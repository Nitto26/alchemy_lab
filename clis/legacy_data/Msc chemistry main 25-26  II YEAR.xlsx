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defaultThemeVersion="124226"/>
  <bookViews>
    <workbookView xWindow="15" yWindow="0" windowWidth="20475" windowHeight="6600"/>
  </bookViews>
  <sheets>
    <sheet name="2022-24 DUES LIST" sheetId="1" r:id="rId1"/>
    <sheet name="RECEIPT" sheetId="8" r:id="rId2"/>
  </sheets>
  <externalReferences>
    <externalReference r:id="rId3"/>
    <externalReference r:id="rId4"/>
    <externalReference r:id="rId5"/>
    <externalReference r:id="rId6"/>
    <externalReference r:id="rId7"/>
  </externalReferences>
  <definedNames>
    <definedName name="_emp1">#REF!</definedName>
    <definedName name="_xlnm._FilterDatabase" localSheetId="0" hidden="1">'2022-24 DUES LIST'!$A$2:$AW$50</definedName>
    <definedName name="CP">[1]July!$B$1:$AT$683</definedName>
    <definedName name="ct">'[2]Time Sheet'!$B$5:$BB$184</definedName>
    <definedName name="Desig">'[3]Time Sheet2'!$L$11:$L$14</definedName>
    <definedName name="designation">[4]Sheet2!$C$3:$C$5</definedName>
    <definedName name="EMP">#REF!</definedName>
    <definedName name="empsr">'[5]PDO-Sr'!$B$4:$B$36</definedName>
    <definedName name="expat">'2022-24 DUES LIST'!$A:$AW</definedName>
    <definedName name="list">'[5]PDO-Jr'!#REF!</definedName>
    <definedName name="payrol">'[5]PDO-Jr'!$B$5:$BD$203</definedName>
    <definedName name="Payrolsr">'[5]PDO-Sr'!$B$4:$AY$37</definedName>
    <definedName name="_xlnm.Print_Area" localSheetId="0">'2022-24 DUES LIST'!$A$1:$AW$50</definedName>
    <definedName name="test">'[5]Timesheet JR'!$B$5:$CN$231</definedName>
  </definedNames>
  <calcPr calcId="144525"/>
</workbook>
</file>

<file path=xl/calcChain.xml><?xml version="1.0" encoding="utf-8"?>
<calcChain xmlns="http://schemas.openxmlformats.org/spreadsheetml/2006/main">
  <c r="H2" i="8" l="1"/>
  <c r="C43" i="8"/>
  <c r="D3" i="8"/>
  <c r="D38" i="8" l="1"/>
  <c r="AU19" i="1"/>
  <c r="AV18" i="1"/>
  <c r="AT18" i="1"/>
  <c r="BC18" i="1"/>
  <c r="D8" i="8" l="1"/>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9" i="8"/>
  <c r="D40" i="8"/>
  <c r="D41" i="8"/>
  <c r="D42" i="8"/>
  <c r="D44" i="8"/>
  <c r="AT5" i="1"/>
  <c r="AT6" i="1"/>
  <c r="AT7" i="1"/>
  <c r="AT8" i="1"/>
  <c r="AT9" i="1"/>
  <c r="AT10" i="1"/>
  <c r="AT11" i="1"/>
  <c r="AT12" i="1"/>
  <c r="AT13" i="1"/>
  <c r="AT14" i="1"/>
  <c r="AT15" i="1"/>
  <c r="AT16" i="1"/>
  <c r="AT17" i="1"/>
  <c r="AO5" i="1"/>
  <c r="AO6" i="1"/>
  <c r="AO7" i="1"/>
  <c r="AO8" i="1"/>
  <c r="AO9" i="1"/>
  <c r="AO10" i="1"/>
  <c r="AO11" i="1"/>
  <c r="AO12" i="1"/>
  <c r="AO13" i="1"/>
  <c r="AO14" i="1"/>
  <c r="AO15" i="1"/>
  <c r="AO16" i="1"/>
  <c r="AO17" i="1"/>
  <c r="BB14" i="1"/>
  <c r="BB15" i="1"/>
  <c r="BB16" i="1"/>
  <c r="BB17" i="1"/>
  <c r="BA15" i="1"/>
  <c r="BA16" i="1"/>
  <c r="BA17" i="1"/>
  <c r="BA14" i="1"/>
  <c r="AT34" i="1" l="1"/>
  <c r="AT32" i="1"/>
  <c r="AU16" i="1" s="1"/>
  <c r="BC16" i="1" s="1"/>
  <c r="AT33" i="1"/>
  <c r="AU17" i="1" l="1"/>
  <c r="BC17" i="1" s="1"/>
  <c r="AT35" i="1"/>
  <c r="E50" i="8"/>
  <c r="E49" i="8"/>
  <c r="E48" i="8"/>
  <c r="E47" i="8"/>
  <c r="E46" i="8"/>
  <c r="E45"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D7" i="8"/>
  <c r="E7" i="8" s="1"/>
  <c r="AT20" i="1" l="1"/>
  <c r="AO4" i="1" s="1"/>
  <c r="AT21" i="1"/>
  <c r="AT22" i="1"/>
  <c r="AT23" i="1"/>
  <c r="AT24" i="1"/>
  <c r="AT25" i="1"/>
  <c r="AT26" i="1"/>
  <c r="AT27" i="1"/>
  <c r="AT28" i="1"/>
  <c r="AU12" i="1" s="1"/>
  <c r="BC12" i="1" s="1"/>
  <c r="AT29" i="1"/>
  <c r="AT30" i="1"/>
  <c r="AT31" i="1"/>
  <c r="AT36" i="1"/>
  <c r="AT37" i="1"/>
  <c r="AT38" i="1"/>
  <c r="AT39" i="1"/>
  <c r="AT40" i="1"/>
  <c r="AT41" i="1"/>
  <c r="AT42" i="1"/>
  <c r="AT43" i="1"/>
  <c r="AT44" i="1"/>
  <c r="AT45" i="1"/>
  <c r="AT46" i="1"/>
  <c r="AT47" i="1"/>
  <c r="AT48" i="1"/>
  <c r="AT49" i="1"/>
  <c r="AU6" i="1" l="1"/>
  <c r="BC6" i="1" s="1"/>
  <c r="AU9" i="1"/>
  <c r="BC9" i="1" s="1"/>
  <c r="AU8" i="1"/>
  <c r="BC8" i="1" s="1"/>
  <c r="AU15" i="1"/>
  <c r="BC15" i="1" s="1"/>
  <c r="AU11" i="1"/>
  <c r="BC11" i="1" s="1"/>
  <c r="AU7" i="1"/>
  <c r="BC7" i="1" s="1"/>
  <c r="AU10" i="1"/>
  <c r="BC10" i="1" s="1"/>
  <c r="AU13" i="1"/>
  <c r="BC13" i="1" s="1"/>
  <c r="AT4" i="1"/>
  <c r="AU4" i="1" s="1"/>
  <c r="AU14" i="1"/>
  <c r="BC14" i="1" s="1"/>
  <c r="E44" i="8"/>
  <c r="E43" i="8"/>
  <c r="AU5" i="1" l="1"/>
  <c r="E52" i="8"/>
  <c r="F2" i="8" s="1"/>
  <c r="BC4" i="1"/>
  <c r="BC5" i="1" l="1"/>
  <c r="AT50" i="1"/>
  <c r="BA5" i="1"/>
  <c r="BB5" i="1"/>
  <c r="BA6" i="1"/>
  <c r="BB6" i="1"/>
  <c r="BA7" i="1"/>
  <c r="BB7" i="1"/>
  <c r="BA8" i="1"/>
  <c r="BB8" i="1"/>
  <c r="BA9" i="1"/>
  <c r="BB9" i="1"/>
  <c r="BA10" i="1"/>
  <c r="BB10" i="1"/>
  <c r="BA11" i="1"/>
  <c r="BB11" i="1"/>
  <c r="BA12" i="1"/>
  <c r="BB12" i="1"/>
  <c r="BA13" i="1"/>
  <c r="BB13" i="1"/>
  <c r="BB4" i="1"/>
  <c r="BA4" i="1"/>
  <c r="E50" i="1" l="1"/>
  <c r="F50" i="1"/>
  <c r="G50" i="1"/>
  <c r="H50" i="1"/>
  <c r="I50" i="1"/>
  <c r="J50" i="1"/>
  <c r="K50" i="1"/>
  <c r="L50" i="1"/>
  <c r="M50" i="1"/>
  <c r="N50" i="1"/>
  <c r="O50" i="1"/>
  <c r="P50" i="1"/>
  <c r="Q50" i="1"/>
  <c r="R50" i="1"/>
  <c r="S50" i="1"/>
  <c r="T50" i="1"/>
  <c r="U50" i="1"/>
  <c r="V50" i="1"/>
  <c r="W50" i="1"/>
  <c r="X50" i="1"/>
  <c r="Y50" i="1"/>
  <c r="Z50" i="1"/>
  <c r="AA50" i="1"/>
  <c r="AB50" i="1"/>
  <c r="AC50" i="1"/>
  <c r="AD50" i="1"/>
  <c r="AE50" i="1"/>
  <c r="AF50" i="1"/>
  <c r="AG50" i="1"/>
  <c r="AH50" i="1"/>
  <c r="AI50" i="1"/>
  <c r="AJ50" i="1"/>
  <c r="AK50" i="1"/>
  <c r="AL50" i="1"/>
  <c r="AM50" i="1"/>
  <c r="E51" i="1"/>
  <c r="F51" i="1"/>
  <c r="G51" i="1"/>
  <c r="H51" i="1"/>
  <c r="I51" i="1"/>
  <c r="J51" i="1"/>
  <c r="K51" i="1"/>
  <c r="L51" i="1"/>
  <c r="M51" i="1"/>
  <c r="N51" i="1"/>
  <c r="O51" i="1"/>
  <c r="P51" i="1"/>
  <c r="Q51" i="1"/>
  <c r="R51" i="1"/>
  <c r="S51" i="1"/>
  <c r="T51" i="1"/>
  <c r="U51" i="1"/>
  <c r="V51" i="1"/>
  <c r="W51" i="1"/>
  <c r="X51" i="1"/>
  <c r="Y51" i="1"/>
  <c r="Z51" i="1"/>
  <c r="AA51" i="1"/>
  <c r="AB51" i="1"/>
  <c r="AC51" i="1"/>
  <c r="AD51" i="1"/>
  <c r="AE51" i="1"/>
  <c r="AF51" i="1"/>
  <c r="AG51" i="1"/>
  <c r="AH51" i="1"/>
  <c r="AI51" i="1"/>
  <c r="AJ51" i="1"/>
  <c r="AK51" i="1"/>
  <c r="AL51" i="1"/>
  <c r="AM51" i="1"/>
  <c r="C51" i="1"/>
  <c r="C50" i="1"/>
  <c r="H52" i="1" l="1"/>
  <c r="O52" i="1"/>
  <c r="K52" i="1"/>
  <c r="G52" i="1"/>
  <c r="L52" i="1"/>
  <c r="AC52" i="1"/>
  <c r="U52" i="1"/>
  <c r="AK52" i="1"/>
  <c r="E52" i="1"/>
  <c r="AA52" i="1"/>
  <c r="AL52" i="1"/>
  <c r="AD52" i="1"/>
  <c r="Z52" i="1"/>
  <c r="V52" i="1"/>
  <c r="R52" i="1"/>
  <c r="N52" i="1"/>
  <c r="J52" i="1"/>
  <c r="F52" i="1"/>
  <c r="AI52" i="1"/>
  <c r="W52" i="1"/>
  <c r="AH52" i="1"/>
  <c r="AG52" i="1"/>
  <c r="Y52" i="1"/>
  <c r="Q52" i="1"/>
  <c r="M52" i="1"/>
  <c r="I52" i="1"/>
  <c r="AM52" i="1"/>
  <c r="AE52" i="1"/>
  <c r="S52" i="1"/>
  <c r="AJ52" i="1"/>
  <c r="AF52" i="1"/>
  <c r="AB52" i="1"/>
  <c r="X52" i="1"/>
  <c r="T52" i="1"/>
  <c r="P52" i="1"/>
  <c r="C52" i="1"/>
  <c r="AS17" i="1"/>
  <c r="AS13" i="1"/>
  <c r="AS12" i="1"/>
  <c r="AS11" i="1"/>
  <c r="AS10" i="1"/>
  <c r="AS9" i="1"/>
  <c r="AS8" i="1"/>
  <c r="AS7" i="1"/>
  <c r="AS6" i="1"/>
  <c r="AS5" i="1"/>
  <c r="AS4" i="1"/>
  <c r="AS3" i="1"/>
  <c r="AT52" i="1" l="1"/>
</calcChain>
</file>

<file path=xl/comments1.xml><?xml version="1.0" encoding="utf-8"?>
<comments xmlns="http://schemas.openxmlformats.org/spreadsheetml/2006/main">
  <authors>
    <author>OFFICE</author>
  </authors>
  <commentList>
    <comment ref="AR2" authorId="0">
      <text>
        <r>
          <rPr>
            <b/>
            <sz val="8"/>
            <color indexed="81"/>
            <rFont val="Tahoma"/>
            <family val="2"/>
          </rPr>
          <t>OFFICE:</t>
        </r>
        <r>
          <rPr>
            <sz val="8"/>
            <color indexed="81"/>
            <rFont val="Tahoma"/>
            <family val="2"/>
          </rPr>
          <t xml:space="preserve">
Only for local hired</t>
        </r>
      </text>
    </comment>
  </commentList>
</comments>
</file>

<file path=xl/sharedStrings.xml><?xml version="1.0" encoding="utf-8"?>
<sst xmlns="http://schemas.openxmlformats.org/spreadsheetml/2006/main" count="168" uniqueCount="115">
  <si>
    <t xml:space="preserve">Description </t>
  </si>
  <si>
    <t>Rate</t>
  </si>
  <si>
    <t>Units</t>
  </si>
  <si>
    <t>PAYMENT BY :</t>
  </si>
  <si>
    <t>Remarks</t>
  </si>
  <si>
    <t>Total Amount Payable</t>
  </si>
  <si>
    <t>Payment By</t>
  </si>
  <si>
    <t>Remarks:</t>
  </si>
  <si>
    <t>Total</t>
  </si>
  <si>
    <t>Name</t>
  </si>
  <si>
    <t>ROLL NO. #</t>
  </si>
  <si>
    <t>Roll No</t>
  </si>
  <si>
    <t>CH03</t>
  </si>
  <si>
    <t>CH05</t>
  </si>
  <si>
    <t>CH06</t>
  </si>
  <si>
    <t>CH07</t>
  </si>
  <si>
    <t>CH08</t>
  </si>
  <si>
    <t>CH09</t>
  </si>
  <si>
    <t>CH10</t>
  </si>
  <si>
    <t>CH12</t>
  </si>
  <si>
    <t>CH13</t>
  </si>
  <si>
    <t>CH14</t>
  </si>
  <si>
    <t>ROLL NO #</t>
  </si>
  <si>
    <t>TEST TUBE</t>
  </si>
  <si>
    <t>BOLING TUBE</t>
  </si>
  <si>
    <t>TEST TUBE HOLDER</t>
  </si>
  <si>
    <t>BEAKER 100</t>
  </si>
  <si>
    <t>BEAKER 250</t>
  </si>
  <si>
    <t>BEAKER 500</t>
  </si>
  <si>
    <t>WATCH GLASS</t>
  </si>
  <si>
    <t>WIRE GAUZE</t>
  </si>
  <si>
    <t>CHINA DISH</t>
  </si>
  <si>
    <t>FUNNEL</t>
  </si>
  <si>
    <t>GLASS ROD</t>
  </si>
  <si>
    <t>GLASS TUBE</t>
  </si>
  <si>
    <t>SPATULA</t>
  </si>
  <si>
    <t>CONICAL FLASK</t>
  </si>
  <si>
    <t>PIPETTE 20</t>
  </si>
  <si>
    <t>PIPETTE 10</t>
  </si>
  <si>
    <t>PIPETTE 5</t>
  </si>
  <si>
    <t>PIPETTE 2</t>
  </si>
  <si>
    <t>STANDARD  FLASK 100 ML</t>
  </si>
  <si>
    <t>STANDARD  FLASK 250 ML</t>
  </si>
  <si>
    <t>STANDARD  FLASK 500 ML</t>
  </si>
  <si>
    <t>BURETTE</t>
  </si>
  <si>
    <t>WEIGHING BOTTLE</t>
  </si>
  <si>
    <t>DESICATOR</t>
  </si>
  <si>
    <t>TONGS</t>
  </si>
  <si>
    <t>CLAY PIPE TRIANGLE</t>
  </si>
  <si>
    <t>SILICA CRUCIBLE</t>
  </si>
  <si>
    <t xml:space="preserve">CENTRIFUGE TUBE </t>
  </si>
  <si>
    <t>WASH BOTTLE</t>
  </si>
  <si>
    <t>SEPARTING  FUNNEL 250</t>
  </si>
  <si>
    <t>RB FLASK 250</t>
  </si>
  <si>
    <t xml:space="preserve"> MORTAR AND PESTLE</t>
  </si>
  <si>
    <t>THEROMETER</t>
  </si>
  <si>
    <t xml:space="preserve">GLASS SLIDE </t>
  </si>
  <si>
    <t>COMMON</t>
  </si>
  <si>
    <t>SLNO</t>
  </si>
  <si>
    <t>Dues Summary</t>
  </si>
  <si>
    <t>TO</t>
  </si>
  <si>
    <t xml:space="preserve">Total </t>
  </si>
  <si>
    <t>YEAR</t>
  </si>
  <si>
    <t>NAME</t>
  </si>
  <si>
    <t xml:space="preserve">COMMON </t>
  </si>
  <si>
    <t>BSC CHEMISTRY  , ST THOMAS COLLEGE  (AUTONOMOUS) THRISSUR</t>
  </si>
  <si>
    <t>TEST TUBE 12 MM/HALF</t>
  </si>
  <si>
    <t>TOTAL</t>
  </si>
  <si>
    <t>REMARKS</t>
  </si>
  <si>
    <t xml:space="preserve"> MORTAR AND PESTLE 400</t>
  </si>
  <si>
    <t>BUCKNER FUNNEL/VISCOMETER 400</t>
  </si>
  <si>
    <t>BUCKNER FUNNEL/VISCOMETER</t>
  </si>
  <si>
    <t>CH01</t>
  </si>
  <si>
    <t>CH04</t>
  </si>
  <si>
    <t xml:space="preserve">  MIC CH01</t>
  </si>
  <si>
    <t xml:space="preserve">  MIC CH03</t>
  </si>
  <si>
    <t xml:space="preserve">  MIC CH04</t>
  </si>
  <si>
    <t xml:space="preserve">  MIC CH05</t>
  </si>
  <si>
    <t xml:space="preserve">  MIC CH06</t>
  </si>
  <si>
    <t xml:space="preserve">  MIC CH07</t>
  </si>
  <si>
    <t xml:space="preserve">  MIC CH08</t>
  </si>
  <si>
    <t xml:space="preserve">  MIC CH09</t>
  </si>
  <si>
    <t xml:space="preserve">  MIC CH10</t>
  </si>
  <si>
    <t xml:space="preserve">  MIC CH12</t>
  </si>
  <si>
    <t xml:space="preserve">  MIC CH13</t>
  </si>
  <si>
    <t xml:space="preserve">  MIC CH14</t>
  </si>
  <si>
    <t>MICRO</t>
  </si>
  <si>
    <t>STANDARD  FLASK 100AND 50ML</t>
  </si>
  <si>
    <t>COMON</t>
  </si>
  <si>
    <t>TOTAL AMOUNT</t>
  </si>
  <si>
    <t>ALEENA NAVEEN</t>
  </si>
  <si>
    <t>ALJO JAISON</t>
  </si>
  <si>
    <t>ANAGHA M</t>
  </si>
  <si>
    <t>ASWATHY M B</t>
  </si>
  <si>
    <t>DEVIKA P K</t>
  </si>
  <si>
    <t>DIGIL DAVIS A</t>
  </si>
  <si>
    <t>KRISHNARCHANA P S</t>
  </si>
  <si>
    <t>SIFA C FRANCIS</t>
  </si>
  <si>
    <t>SOUMYA SUDHAKARAN</t>
  </si>
  <si>
    <t>KAVYAMOL K S</t>
  </si>
  <si>
    <t>CH02</t>
  </si>
  <si>
    <t>CH11</t>
  </si>
  <si>
    <t>SREELAKSHMY J</t>
  </si>
  <si>
    <t>SUSMITHA K</t>
  </si>
  <si>
    <t>STINIYA T D</t>
  </si>
  <si>
    <t>JENETT P J</t>
  </si>
  <si>
    <t xml:space="preserve">  MIC CH02</t>
  </si>
  <si>
    <t xml:space="preserve">  MIC CH11</t>
  </si>
  <si>
    <t>TEST TUBE 7MM</t>
  </si>
  <si>
    <t>BOLING TUBE25 X 150MM</t>
  </si>
  <si>
    <t>MICRO COMMON</t>
  </si>
  <si>
    <t>common</t>
  </si>
  <si>
    <t>CLASS TEACHER  MR. PAULSON MATHEW</t>
  </si>
  <si>
    <t>FOR RECEIPT</t>
  </si>
  <si>
    <t>KRISHNARCHANA P J</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</si>
</sst>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quot;-&quot;??_);_(@_)"/>
    <numFmt numFmtId="165" formatCode="0.0"/>
    <numFmt numFmtId="166" formatCode="0.000"/>
    <numFmt numFmtId="167" formatCode="_(* #,##0.000_);_(* \(#,##0.000\);_(* &quot;-&quot;??_);_(@_)"/>
    <numFmt numFmtId="168" formatCode="_(* #,##0_);_(* \(#,##0\);_(* &quot;-&quot;??_);_(@_)"/>
  </numFmts>
  <fonts count="21" x14ac:knownFonts="1">
    <font>
      <sz val="10"/>
      <name val="Arial"/>
      <family val="2"/>
    </font>
    <font>
      <sz val="11"/>
      <color indexed="8"/>
      <name val="Arial"/>
      <family val="2"/>
    </font>
    <font>
      <b/>
      <sz val="10"/>
      <color indexed="30"/>
      <name val="Times New Roman"/>
      <family val="1"/>
    </font>
    <font>
      <sz val="10"/>
      <name val="Times New Roman"/>
      <family val="1"/>
    </font>
    <font>
      <b/>
      <sz val="10"/>
      <color indexed="10"/>
      <name val="Times New Roman"/>
      <family val="1"/>
    </font>
    <font>
      <sz val="8"/>
      <name val="Arial"/>
      <family val="2"/>
    </font>
    <font>
      <sz val="10"/>
      <name val="Arial"/>
      <family val="2"/>
      <charset val="178"/>
    </font>
    <font>
      <sz val="10"/>
      <name val="Arial"/>
      <family val="2"/>
    </font>
    <font>
      <b/>
      <sz val="8"/>
      <color indexed="81"/>
      <name val="Tahoma"/>
      <family val="2"/>
    </font>
    <font>
      <sz val="8"/>
      <color indexed="81"/>
      <name val="Tahoma"/>
      <family val="2"/>
    </font>
    <font>
      <b/>
      <sz val="9"/>
      <name val="Cambria"/>
      <family val="1"/>
      <scheme val="major"/>
    </font>
    <font>
      <b/>
      <sz val="10"/>
      <name val="Cambria"/>
      <family val="1"/>
      <scheme val="major"/>
    </font>
    <font>
      <b/>
      <sz val="12"/>
      <name val="Cambria"/>
      <family val="1"/>
      <scheme val="major"/>
    </font>
    <font>
      <sz val="10"/>
      <name val="Cambria"/>
      <family val="1"/>
      <scheme val="major"/>
    </font>
    <font>
      <b/>
      <u/>
      <sz val="9"/>
      <name val="Cambria"/>
      <family val="1"/>
      <scheme val="major"/>
    </font>
    <font>
      <sz val="11"/>
      <name val="Cambria"/>
      <family val="1"/>
      <scheme val="major"/>
    </font>
    <font>
      <b/>
      <sz val="11"/>
      <name val="Cambria"/>
      <family val="1"/>
      <scheme val="major"/>
    </font>
    <font>
      <b/>
      <sz val="10"/>
      <name val="Arial"/>
      <family val="2"/>
    </font>
    <font>
      <b/>
      <sz val="10"/>
      <name val="Times New Roman"/>
      <family val="1"/>
    </font>
    <font>
      <b/>
      <sz val="11"/>
      <color theme="1"/>
      <name val="Calibri"/>
      <family val="2"/>
      <scheme val="minor"/>
    </font>
    <font>
      <b/>
      <sz val="8"/>
      <color indexed="30"/>
      <name val="Times New Roman"/>
      <family val="1"/>
    </font>
  </fonts>
  <fills count="13">
    <fill>
      <patternFill patternType="none"/>
    </fill>
    <fill>
      <patternFill patternType="gray125"/>
    </fill>
    <fill>
      <patternFill patternType="solid">
        <fgColor indexed="41"/>
        <bgColor indexed="64"/>
      </patternFill>
    </fill>
    <fill>
      <patternFill patternType="solid">
        <fgColor theme="0"/>
        <bgColor indexed="64"/>
      </patternFill>
    </fill>
    <fill>
      <patternFill patternType="solid">
        <fgColor theme="3"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theme="9" tint="0.39997558519241921"/>
        <bgColor indexed="64"/>
      </patternFill>
    </fill>
  </fills>
  <borders count="2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4">
    <xf numFmtId="0" fontId="0" fillId="0" borderId="0"/>
    <xf numFmtId="164" fontId="1" fillId="0" borderId="0" applyFont="0" applyFill="0" applyBorder="0" applyAlignment="0" applyProtection="0"/>
    <xf numFmtId="0" fontId="6" fillId="0" borderId="0"/>
    <xf numFmtId="0" fontId="7" fillId="0" borderId="0"/>
  </cellStyleXfs>
  <cellXfs count="141">
    <xf numFmtId="0" fontId="0" fillId="0" borderId="0" xfId="0"/>
    <xf numFmtId="0" fontId="0" fillId="2" borderId="0" xfId="0" applyFill="1"/>
    <xf numFmtId="0" fontId="3" fillId="2" borderId="5" xfId="0" applyFont="1" applyFill="1" applyBorder="1" applyAlignment="1">
      <alignment vertical="center"/>
    </xf>
    <xf numFmtId="0" fontId="3" fillId="2" borderId="5" xfId="0" applyFont="1" applyFill="1" applyBorder="1" applyAlignment="1">
      <alignment horizontal="center" vertical="center"/>
    </xf>
    <xf numFmtId="0" fontId="0" fillId="3" borderId="0" xfId="0" applyFill="1"/>
    <xf numFmtId="0" fontId="2" fillId="4" borderId="3" xfId="0" applyFont="1" applyFill="1" applyBorder="1" applyAlignment="1">
      <alignment horizontal="center" vertical="center" wrapText="1"/>
    </xf>
    <xf numFmtId="165" fontId="3" fillId="0" borderId="5" xfId="0" applyNumberFormat="1" applyFont="1" applyFill="1" applyBorder="1" applyAlignment="1">
      <alignment vertical="center"/>
    </xf>
    <xf numFmtId="165" fontId="3" fillId="4" borderId="5" xfId="0" applyNumberFormat="1" applyFont="1" applyFill="1" applyBorder="1" applyAlignment="1">
      <alignment vertical="center"/>
    </xf>
    <xf numFmtId="165" fontId="4" fillId="2" borderId="5" xfId="0" applyNumberFormat="1" applyFont="1" applyFill="1" applyBorder="1" applyAlignment="1">
      <alignment horizontal="center" vertical="center"/>
    </xf>
    <xf numFmtId="0" fontId="3" fillId="2" borderId="13" xfId="0" applyFont="1" applyFill="1" applyBorder="1" applyAlignment="1">
      <alignment horizontal="center" vertical="center"/>
    </xf>
    <xf numFmtId="0" fontId="0" fillId="4" borderId="0" xfId="0" applyFill="1"/>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0" fillId="4" borderId="8" xfId="0" applyFill="1" applyBorder="1" applyAlignment="1">
      <alignment wrapText="1"/>
    </xf>
    <xf numFmtId="0" fontId="0" fillId="4" borderId="8" xfId="0" applyFill="1" applyBorder="1" applyAlignment="1">
      <alignment horizontal="center" wrapText="1"/>
    </xf>
    <xf numFmtId="0" fontId="4"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5" borderId="5" xfId="0" applyFont="1" applyFill="1" applyBorder="1" applyAlignment="1">
      <alignment vertical="center"/>
    </xf>
    <xf numFmtId="0" fontId="3" fillId="5" borderId="13" xfId="0" applyFont="1" applyFill="1" applyBorder="1" applyAlignment="1">
      <alignment horizontal="center" vertical="center"/>
    </xf>
    <xf numFmtId="0" fontId="3" fillId="5" borderId="5" xfId="0" applyFont="1" applyFill="1" applyBorder="1" applyAlignment="1">
      <alignment horizontal="center" vertical="center"/>
    </xf>
    <xf numFmtId="0" fontId="11" fillId="0" borderId="8" xfId="2" applyFont="1" applyBorder="1" applyAlignment="1">
      <alignment horizontal="center"/>
    </xf>
    <xf numFmtId="0" fontId="11" fillId="0" borderId="8" xfId="2" applyFont="1" applyBorder="1" applyAlignment="1" applyProtection="1">
      <alignment horizontal="center"/>
      <protection locked="0"/>
    </xf>
    <xf numFmtId="0" fontId="10" fillId="0" borderId="9" xfId="2" applyFont="1" applyBorder="1" applyAlignment="1">
      <alignment horizontal="center" vertical="center"/>
    </xf>
    <xf numFmtId="0" fontId="10" fillId="0" borderId="11" xfId="2" applyFont="1" applyBorder="1" applyAlignment="1">
      <alignment horizontal="center" vertical="center"/>
    </xf>
    <xf numFmtId="166" fontId="16" fillId="0" borderId="6" xfId="2" applyNumberFormat="1" applyFont="1" applyBorder="1" applyAlignment="1">
      <alignment horizontal="right" vertical="center"/>
    </xf>
    <xf numFmtId="166" fontId="16" fillId="0" borderId="7" xfId="2" applyNumberFormat="1" applyFont="1" applyBorder="1" applyAlignment="1">
      <alignment horizontal="right" vertical="center"/>
    </xf>
    <xf numFmtId="166" fontId="10" fillId="0" borderId="8" xfId="2" applyNumberFormat="1" applyFont="1" applyBorder="1" applyAlignment="1">
      <alignment horizontal="center" vertical="center" wrapText="1"/>
    </xf>
    <xf numFmtId="2" fontId="15" fillId="0" borderId="8" xfId="2" applyNumberFormat="1" applyFont="1" applyBorder="1" applyAlignment="1">
      <alignment horizontal="center" vertical="center"/>
    </xf>
    <xf numFmtId="166" fontId="15" fillId="0" borderId="8" xfId="2" applyNumberFormat="1" applyFont="1" applyBorder="1" applyAlignment="1">
      <alignment horizontal="center" vertical="center"/>
    </xf>
    <xf numFmtId="0" fontId="0" fillId="6" borderId="0" xfId="0" applyFill="1"/>
    <xf numFmtId="0" fontId="0" fillId="6" borderId="8" xfId="0" applyFill="1" applyBorder="1" applyAlignment="1">
      <alignment wrapText="1"/>
    </xf>
    <xf numFmtId="0" fontId="0" fillId="6" borderId="8" xfId="0" applyFill="1" applyBorder="1"/>
    <xf numFmtId="0" fontId="3" fillId="6" borderId="5" xfId="0" applyFont="1" applyFill="1" applyBorder="1" applyAlignment="1">
      <alignment horizontal="center" vertical="center"/>
    </xf>
    <xf numFmtId="0" fontId="0" fillId="4" borderId="8" xfId="0" applyFill="1" applyBorder="1"/>
    <xf numFmtId="0" fontId="3" fillId="4" borderId="5" xfId="0" applyFont="1" applyFill="1" applyBorder="1" applyAlignment="1">
      <alignment horizontal="center" vertical="center"/>
    </xf>
    <xf numFmtId="0" fontId="0" fillId="7" borderId="0" xfId="0" applyFill="1"/>
    <xf numFmtId="0" fontId="0" fillId="7" borderId="8" xfId="0" applyFill="1" applyBorder="1" applyAlignment="1">
      <alignment wrapText="1"/>
    </xf>
    <xf numFmtId="0" fontId="0" fillId="7" borderId="8" xfId="0" applyFill="1" applyBorder="1"/>
    <xf numFmtId="0" fontId="3" fillId="7" borderId="5" xfId="0" applyFont="1" applyFill="1" applyBorder="1" applyAlignment="1">
      <alignment horizontal="center" vertical="center"/>
    </xf>
    <xf numFmtId="0" fontId="0" fillId="8" borderId="0" xfId="0" applyFill="1"/>
    <xf numFmtId="0" fontId="0" fillId="8" borderId="8" xfId="0" applyFill="1" applyBorder="1" applyAlignment="1">
      <alignment wrapText="1"/>
    </xf>
    <xf numFmtId="0" fontId="0" fillId="8" borderId="8" xfId="0" applyFill="1" applyBorder="1"/>
    <xf numFmtId="0" fontId="3" fillId="8" borderId="5" xfId="0" applyFont="1" applyFill="1" applyBorder="1" applyAlignment="1">
      <alignment horizontal="center" vertical="center"/>
    </xf>
    <xf numFmtId="0" fontId="0" fillId="9" borderId="0" xfId="0" applyFill="1"/>
    <xf numFmtId="0" fontId="0" fillId="9" borderId="8" xfId="0" applyFill="1" applyBorder="1" applyAlignment="1">
      <alignment wrapText="1"/>
    </xf>
    <xf numFmtId="0" fontId="0" fillId="9" borderId="8" xfId="0" applyFill="1" applyBorder="1"/>
    <xf numFmtId="0" fontId="3" fillId="9" borderId="5" xfId="0" applyFont="1" applyFill="1" applyBorder="1" applyAlignment="1">
      <alignment horizontal="center" vertical="center"/>
    </xf>
    <xf numFmtId="0" fontId="0" fillId="10" borderId="0" xfId="0" applyFill="1"/>
    <xf numFmtId="0" fontId="0" fillId="10" borderId="8" xfId="0" applyFill="1" applyBorder="1" applyAlignment="1">
      <alignment wrapText="1"/>
    </xf>
    <xf numFmtId="0" fontId="0" fillId="10" borderId="8" xfId="0" applyFill="1" applyBorder="1"/>
    <xf numFmtId="0" fontId="3" fillId="10" borderId="5" xfId="0" applyFont="1" applyFill="1" applyBorder="1" applyAlignment="1">
      <alignment horizontal="center" vertical="center"/>
    </xf>
    <xf numFmtId="0" fontId="3" fillId="2" borderId="5" xfId="0" quotePrefix="1" applyFont="1" applyFill="1" applyBorder="1" applyAlignment="1">
      <alignment horizontal="center" vertical="center"/>
    </xf>
    <xf numFmtId="0" fontId="12" fillId="2" borderId="8" xfId="0" applyFont="1" applyFill="1" applyBorder="1"/>
    <xf numFmtId="165" fontId="12" fillId="2" borderId="8" xfId="0" applyNumberFormat="1" applyFont="1" applyFill="1" applyBorder="1"/>
    <xf numFmtId="0" fontId="17" fillId="4" borderId="8" xfId="0" applyFont="1" applyFill="1" applyBorder="1"/>
    <xf numFmtId="0" fontId="17" fillId="2" borderId="8" xfId="0" applyFont="1" applyFill="1" applyBorder="1"/>
    <xf numFmtId="0" fontId="3" fillId="2" borderId="14" xfId="0" applyFont="1" applyFill="1" applyBorder="1" applyAlignment="1">
      <alignment horizontal="center" vertical="center"/>
    </xf>
    <xf numFmtId="0" fontId="3" fillId="10" borderId="14" xfId="0" applyFont="1" applyFill="1" applyBorder="1" applyAlignment="1">
      <alignment horizontal="center" vertical="center"/>
    </xf>
    <xf numFmtId="0" fontId="3" fillId="6" borderId="14" xfId="0" applyFont="1" applyFill="1" applyBorder="1" applyAlignment="1">
      <alignment horizontal="center" vertical="center"/>
    </xf>
    <xf numFmtId="0" fontId="3" fillId="8" borderId="14" xfId="0" applyFont="1" applyFill="1" applyBorder="1" applyAlignment="1">
      <alignment horizontal="center" vertical="center"/>
    </xf>
    <xf numFmtId="0" fontId="3" fillId="9" borderId="14" xfId="0" applyFont="1" applyFill="1" applyBorder="1" applyAlignment="1">
      <alignment horizontal="center" vertical="center"/>
    </xf>
    <xf numFmtId="0" fontId="3" fillId="4" borderId="14" xfId="0" applyFont="1" applyFill="1" applyBorder="1" applyAlignment="1">
      <alignment horizontal="center" vertical="center"/>
    </xf>
    <xf numFmtId="0" fontId="3" fillId="7" borderId="14" xfId="0" applyFont="1" applyFill="1" applyBorder="1" applyAlignment="1">
      <alignment horizontal="center" vertical="center"/>
    </xf>
    <xf numFmtId="0" fontId="3" fillId="2" borderId="14" xfId="0" applyFont="1" applyFill="1" applyBorder="1" applyAlignment="1">
      <alignment vertical="center"/>
    </xf>
    <xf numFmtId="165" fontId="3" fillId="4" borderId="14" xfId="0" applyNumberFormat="1" applyFont="1" applyFill="1" applyBorder="1" applyAlignment="1">
      <alignment vertical="center"/>
    </xf>
    <xf numFmtId="0" fontId="0" fillId="0" borderId="8" xfId="0" applyBorder="1"/>
    <xf numFmtId="0" fontId="5" fillId="0" borderId="8" xfId="0" applyFont="1" applyBorder="1"/>
    <xf numFmtId="0" fontId="5" fillId="10" borderId="8" xfId="0" applyFont="1" applyFill="1" applyBorder="1"/>
    <xf numFmtId="0" fontId="5" fillId="6" borderId="8" xfId="0" applyFont="1" applyFill="1" applyBorder="1"/>
    <xf numFmtId="0" fontId="5" fillId="8" borderId="8" xfId="0" applyFont="1" applyFill="1" applyBorder="1"/>
    <xf numFmtId="0" fontId="5" fillId="9" borderId="8" xfId="0" applyFont="1" applyFill="1" applyBorder="1"/>
    <xf numFmtId="0" fontId="5" fillId="4" borderId="8" xfId="0" applyFont="1" applyFill="1" applyBorder="1"/>
    <xf numFmtId="0" fontId="5" fillId="7" borderId="8" xfId="0" applyFont="1" applyFill="1" applyBorder="1"/>
    <xf numFmtId="0" fontId="0" fillId="3" borderId="8" xfId="0" applyFill="1" applyBorder="1"/>
    <xf numFmtId="165" fontId="11" fillId="0" borderId="8" xfId="0" applyNumberFormat="1" applyFont="1" applyBorder="1"/>
    <xf numFmtId="0" fontId="11" fillId="0" borderId="8" xfId="0" applyFont="1" applyBorder="1"/>
    <xf numFmtId="0" fontId="0" fillId="5" borderId="8" xfId="0" applyFont="1" applyFill="1" applyBorder="1"/>
    <xf numFmtId="165" fontId="3" fillId="5" borderId="5" xfId="0" applyNumberFormat="1" applyFont="1" applyFill="1" applyBorder="1" applyAlignment="1">
      <alignment vertical="center"/>
    </xf>
    <xf numFmtId="165" fontId="18" fillId="5" borderId="5" xfId="0" applyNumberFormat="1" applyFont="1" applyFill="1" applyBorder="1" applyAlignment="1">
      <alignment vertical="center"/>
    </xf>
    <xf numFmtId="165" fontId="18" fillId="5" borderId="5" xfId="0" applyNumberFormat="1" applyFont="1" applyFill="1" applyBorder="1" applyAlignment="1">
      <alignment horizontal="center" vertical="center"/>
    </xf>
    <xf numFmtId="0" fontId="11" fillId="0" borderId="17" xfId="2" applyFont="1" applyBorder="1" applyAlignment="1">
      <alignment horizontal="center"/>
    </xf>
    <xf numFmtId="2" fontId="12" fillId="0" borderId="18" xfId="2" applyNumberFormat="1" applyFont="1" applyBorder="1" applyAlignment="1">
      <alignment horizontal="center"/>
    </xf>
    <xf numFmtId="0" fontId="11" fillId="0" borderId="9" xfId="2" applyFont="1" applyBorder="1" applyAlignment="1">
      <alignment horizontal="center" vertical="center"/>
    </xf>
    <xf numFmtId="0" fontId="13" fillId="0" borderId="8" xfId="0" applyFont="1" applyBorder="1" applyAlignment="1">
      <alignment wrapText="1"/>
    </xf>
    <xf numFmtId="168" fontId="11" fillId="0" borderId="8" xfId="2" applyNumberFormat="1" applyFont="1" applyBorder="1" applyAlignment="1">
      <alignment horizontal="center" vertical="center"/>
    </xf>
    <xf numFmtId="0" fontId="13" fillId="0" borderId="8" xfId="0" applyFont="1" applyBorder="1" applyAlignment="1">
      <alignment horizontal="left" wrapText="1"/>
    </xf>
    <xf numFmtId="0" fontId="13" fillId="3" borderId="2" xfId="0" applyFont="1" applyFill="1" applyBorder="1" applyAlignment="1">
      <alignment horizontal="left" vertical="center" wrapText="1"/>
    </xf>
    <xf numFmtId="166" fontId="13" fillId="0" borderId="11" xfId="2" applyNumberFormat="1" applyFont="1" applyBorder="1" applyAlignment="1">
      <alignment horizontal="left"/>
    </xf>
    <xf numFmtId="167" fontId="13" fillId="0" borderId="8" xfId="1" applyNumberFormat="1" applyFont="1" applyBorder="1" applyAlignment="1">
      <alignment horizontal="center"/>
    </xf>
    <xf numFmtId="166" fontId="13" fillId="0" borderId="9" xfId="2" applyNumberFormat="1" applyFont="1" applyBorder="1" applyAlignment="1">
      <alignment horizontal="center"/>
    </xf>
    <xf numFmtId="166" fontId="11" fillId="0" borderId="11" xfId="2" applyNumberFormat="1" applyFont="1" applyBorder="1" applyAlignment="1">
      <alignment horizontal="left"/>
    </xf>
    <xf numFmtId="165" fontId="4" fillId="11" borderId="5" xfId="0" applyNumberFormat="1" applyFont="1" applyFill="1" applyBorder="1" applyAlignment="1">
      <alignment vertical="center"/>
    </xf>
    <xf numFmtId="0" fontId="10" fillId="3" borderId="10" xfId="2" applyFont="1" applyFill="1" applyBorder="1" applyAlignment="1">
      <alignment horizontal="center" vertical="center"/>
    </xf>
    <xf numFmtId="0" fontId="0" fillId="3" borderId="8" xfId="0" applyFont="1" applyFill="1" applyBorder="1"/>
    <xf numFmtId="0" fontId="3" fillId="3" borderId="5" xfId="0" applyFont="1" applyFill="1" applyBorder="1" applyAlignment="1">
      <alignment vertical="center"/>
    </xf>
    <xf numFmtId="167" fontId="13" fillId="3" borderId="10" xfId="1" applyNumberFormat="1" applyFont="1" applyFill="1" applyBorder="1" applyAlignment="1">
      <alignment horizontal="center"/>
    </xf>
    <xf numFmtId="166" fontId="16" fillId="3" borderId="7" xfId="2" applyNumberFormat="1" applyFont="1" applyFill="1" applyBorder="1" applyAlignment="1">
      <alignment horizontal="center" vertical="center"/>
    </xf>
    <xf numFmtId="0" fontId="13" fillId="3" borderId="16" xfId="2" applyFont="1" applyFill="1" applyBorder="1" applyAlignment="1">
      <alignment horizontal="center"/>
    </xf>
    <xf numFmtId="168" fontId="13" fillId="0" borderId="10" xfId="1" applyNumberFormat="1" applyFont="1" applyBorder="1" applyAlignment="1" applyProtection="1">
      <alignment horizontal="center"/>
    </xf>
    <xf numFmtId="168" fontId="11" fillId="0" borderId="8" xfId="2" applyNumberFormat="1" applyFont="1" applyBorder="1" applyAlignment="1" applyProtection="1">
      <alignment horizontal="center" vertical="center"/>
    </xf>
    <xf numFmtId="166" fontId="16" fillId="0" borderId="8" xfId="2" applyNumberFormat="1" applyFont="1" applyBorder="1" applyAlignment="1" applyProtection="1">
      <alignment horizontal="center" vertical="center" wrapText="1"/>
    </xf>
    <xf numFmtId="165" fontId="11" fillId="0" borderId="0" xfId="0" applyNumberFormat="1" applyFont="1" applyBorder="1"/>
    <xf numFmtId="0" fontId="11" fillId="0" borderId="0" xfId="0" applyFont="1" applyBorder="1"/>
    <xf numFmtId="0" fontId="0" fillId="0" borderId="0" xfId="0" applyBorder="1"/>
    <xf numFmtId="165" fontId="3" fillId="2" borderId="5" xfId="0" applyNumberFormat="1" applyFont="1" applyFill="1" applyBorder="1" applyAlignment="1">
      <alignment vertical="center"/>
    </xf>
    <xf numFmtId="166" fontId="11" fillId="0" borderId="8" xfId="2" applyNumberFormat="1" applyFont="1" applyBorder="1" applyAlignment="1">
      <alignment horizontal="left"/>
    </xf>
    <xf numFmtId="0" fontId="10" fillId="0" borderId="8" xfId="2" applyFont="1" applyBorder="1" applyAlignment="1">
      <alignment horizontal="center" vertical="center"/>
    </xf>
    <xf numFmtId="0" fontId="19" fillId="0" borderId="19" xfId="0" applyFont="1" applyBorder="1" applyAlignment="1">
      <alignment horizontal="left" vertical="center" wrapText="1"/>
    </xf>
    <xf numFmtId="0" fontId="19" fillId="0" borderId="19" xfId="0" applyFont="1" applyBorder="1" applyAlignment="1">
      <alignment horizontal="center" vertical="center" wrapText="1"/>
    </xf>
    <xf numFmtId="0" fontId="3" fillId="7" borderId="13" xfId="0" applyFont="1" applyFill="1" applyBorder="1" applyAlignment="1">
      <alignment horizontal="center" vertical="center"/>
    </xf>
    <xf numFmtId="165" fontId="3" fillId="7" borderId="5" xfId="0" applyNumberFormat="1" applyFont="1" applyFill="1" applyBorder="1" applyAlignment="1">
      <alignment vertical="center"/>
    </xf>
    <xf numFmtId="0" fontId="3" fillId="7" borderId="5" xfId="0" applyFont="1" applyFill="1" applyBorder="1" applyAlignment="1">
      <alignment vertical="center"/>
    </xf>
    <xf numFmtId="165" fontId="4" fillId="7" borderId="5" xfId="0" applyNumberFormat="1" applyFont="1" applyFill="1" applyBorder="1" applyAlignment="1">
      <alignment vertical="center"/>
    </xf>
    <xf numFmtId="0" fontId="3" fillId="12" borderId="13" xfId="0" applyFont="1" applyFill="1" applyBorder="1" applyAlignment="1">
      <alignment horizontal="center" vertical="center"/>
    </xf>
    <xf numFmtId="0" fontId="3" fillId="12" borderId="5" xfId="0" applyFont="1" applyFill="1" applyBorder="1" applyAlignment="1">
      <alignment horizontal="center" vertical="center"/>
    </xf>
    <xf numFmtId="0" fontId="13" fillId="0" borderId="20" xfId="0" applyFont="1" applyFill="1" applyBorder="1" applyAlignment="1">
      <alignment wrapText="1"/>
    </xf>
    <xf numFmtId="0" fontId="3" fillId="3" borderId="13" xfId="0" applyFont="1" applyFill="1" applyBorder="1" applyAlignment="1">
      <alignment horizontal="center" vertical="center"/>
    </xf>
    <xf numFmtId="0" fontId="19" fillId="3" borderId="19" xfId="0" applyFont="1" applyFill="1" applyBorder="1" applyAlignment="1">
      <alignment horizontal="left" vertical="center" wrapText="1"/>
    </xf>
    <xf numFmtId="0" fontId="19" fillId="3" borderId="0" xfId="0" applyFont="1" applyFill="1" applyBorder="1" applyAlignment="1">
      <alignment horizontal="left" vertical="center" wrapText="1"/>
    </xf>
    <xf numFmtId="0" fontId="20" fillId="4" borderId="2" xfId="0" applyFont="1" applyFill="1" applyBorder="1" applyAlignment="1">
      <alignment horizontal="center" vertical="center" wrapText="1"/>
    </xf>
    <xf numFmtId="2" fontId="18" fillId="11" borderId="5" xfId="0" applyNumberFormat="1" applyFont="1" applyFill="1" applyBorder="1" applyAlignment="1">
      <alignment vertical="center"/>
    </xf>
    <xf numFmtId="0" fontId="3" fillId="7" borderId="0" xfId="0" applyFont="1" applyFill="1" applyBorder="1" applyAlignment="1">
      <alignment horizontal="center" vertical="center"/>
    </xf>
    <xf numFmtId="0" fontId="3" fillId="3" borderId="5" xfId="0" applyFont="1" applyFill="1" applyBorder="1" applyAlignment="1">
      <alignment horizontal="center" vertical="center"/>
    </xf>
    <xf numFmtId="165" fontId="3" fillId="3" borderId="5" xfId="0" applyNumberFormat="1" applyFont="1" applyFill="1" applyBorder="1" applyAlignment="1">
      <alignment vertical="center"/>
    </xf>
    <xf numFmtId="165" fontId="4" fillId="3" borderId="5" xfId="0" applyNumberFormat="1" applyFont="1" applyFill="1" applyBorder="1" applyAlignment="1">
      <alignment vertical="center"/>
    </xf>
    <xf numFmtId="165" fontId="4" fillId="3" borderId="5" xfId="0" applyNumberFormat="1" applyFont="1" applyFill="1" applyBorder="1" applyAlignment="1">
      <alignment horizontal="center" vertical="center"/>
    </xf>
    <xf numFmtId="0" fontId="17" fillId="3" borderId="8" xfId="0" applyFont="1" applyFill="1" applyBorder="1"/>
    <xf numFmtId="166" fontId="0" fillId="0" borderId="0" xfId="0" applyNumberFormat="1"/>
    <xf numFmtId="0" fontId="12" fillId="2" borderId="11" xfId="0" applyFont="1" applyFill="1" applyBorder="1" applyAlignment="1">
      <alignment horizontal="center"/>
    </xf>
    <xf numFmtId="0" fontId="12" fillId="2" borderId="10" xfId="0" applyFont="1" applyFill="1" applyBorder="1" applyAlignment="1">
      <alignment horizontal="center"/>
    </xf>
    <xf numFmtId="0" fontId="14" fillId="0" borderId="8" xfId="2" applyFont="1" applyBorder="1" applyAlignment="1">
      <alignment horizontal="center"/>
    </xf>
    <xf numFmtId="167" fontId="15" fillId="0" borderId="11" xfId="1" applyNumberFormat="1" applyFont="1" applyBorder="1" applyAlignment="1">
      <alignment horizontal="center"/>
    </xf>
    <xf numFmtId="167" fontId="15" fillId="0" borderId="12" xfId="1" applyNumberFormat="1" applyFont="1" applyBorder="1" applyAlignment="1">
      <alignment horizontal="center"/>
    </xf>
    <xf numFmtId="166" fontId="11" fillId="0" borderId="8" xfId="2" applyNumberFormat="1" applyFont="1" applyBorder="1" applyAlignment="1">
      <alignment horizontal="left"/>
    </xf>
    <xf numFmtId="0" fontId="10" fillId="0" borderId="15" xfId="2" applyFont="1" applyBorder="1" applyAlignment="1">
      <alignment horizontal="left"/>
    </xf>
    <xf numFmtId="0" fontId="10" fillId="0" borderId="16" xfId="2" applyFont="1" applyBorder="1" applyAlignment="1">
      <alignment horizontal="left"/>
    </xf>
    <xf numFmtId="0" fontId="12" fillId="0" borderId="0" xfId="2" applyFont="1" applyBorder="1" applyAlignment="1">
      <alignment horizontal="center"/>
    </xf>
    <xf numFmtId="0" fontId="10" fillId="0" borderId="8" xfId="2" applyFont="1" applyBorder="1" applyAlignment="1">
      <alignment horizontal="center" vertical="center"/>
    </xf>
    <xf numFmtId="0" fontId="10" fillId="0" borderId="8" xfId="2" applyFont="1" applyBorder="1" applyAlignment="1">
      <alignment horizontal="center"/>
    </xf>
    <xf numFmtId="0" fontId="11" fillId="0" borderId="8" xfId="2" applyFont="1" applyBorder="1" applyAlignment="1" applyProtection="1">
      <alignment horizontal="center" vertical="center"/>
    </xf>
    <xf numFmtId="0" fontId="11" fillId="0" borderId="8" xfId="2" applyFont="1" applyBorder="1" applyAlignment="1">
      <alignment horizontal="center" vertical="center"/>
    </xf>
  </cellXfs>
  <cellStyles count="4">
    <cellStyle name="Comma" xfId="1" builtinId="3"/>
    <cellStyle name="Normal" xfId="0" builtinId="0"/>
    <cellStyle name="Normal_PDO CREW SALARY November-2008" xfId="2"/>
    <cellStyle name="常规_Temporary employees July  2008(0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DO%20Crew%208622\Casual%20Payrol\Casual%20New%20Payrol\Casual%20July\Temporary%20Employees%20Payrol%20July%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ccounts%20%20D\PDO%20Crew%208622\Casual%20Payrol\Casual%20New%20Payrol\09%20-%20September\PDO%20Crew%20sEPTEMBER%20Casual%20Payrol%20%20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DO%20Crew%208622\Workings\Casual%20Labour\0806%20%20Currunt%20Casual%20Payrol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Senior%20Camp%20Boss\Camp%20Boss%20File%202008\Casual%20Payroll\Casual%20contract%202008\Casual%20updat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sajicopy\New%20Folder\PDO%20CREW%20SALARY%20November-20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July"/>
      <sheetName val="Time Sheet"/>
      <sheetName val="Bank (2)"/>
      <sheetName val="Sheet3"/>
    </sheetNames>
    <sheetDataSet>
      <sheetData sheetId="0" refreshError="1"/>
      <sheetData sheetId="1" refreshError="1">
        <row r="1">
          <cell r="B1">
            <v>1</v>
          </cell>
          <cell r="C1">
            <v>2</v>
          </cell>
          <cell r="D1">
            <v>3</v>
          </cell>
          <cell r="E1">
            <v>4</v>
          </cell>
          <cell r="F1">
            <v>5</v>
          </cell>
          <cell r="G1">
            <v>6</v>
          </cell>
          <cell r="H1">
            <v>7</v>
          </cell>
          <cell r="I1">
            <v>8</v>
          </cell>
          <cell r="J1">
            <v>9</v>
          </cell>
          <cell r="K1">
            <v>10</v>
          </cell>
          <cell r="L1">
            <v>11</v>
          </cell>
          <cell r="M1">
            <v>12</v>
          </cell>
          <cell r="N1">
            <v>13</v>
          </cell>
          <cell r="O1">
            <v>14</v>
          </cell>
          <cell r="P1">
            <v>15</v>
          </cell>
          <cell r="Q1">
            <v>16</v>
          </cell>
          <cell r="R1">
            <v>17</v>
          </cell>
          <cell r="S1">
            <v>18</v>
          </cell>
          <cell r="T1">
            <v>19</v>
          </cell>
          <cell r="U1">
            <v>20</v>
          </cell>
          <cell r="V1">
            <v>21</v>
          </cell>
          <cell r="W1">
            <v>22</v>
          </cell>
          <cell r="X1">
            <v>23</v>
          </cell>
          <cell r="Y1">
            <v>24</v>
          </cell>
          <cell r="Z1">
            <v>25</v>
          </cell>
          <cell r="AA1">
            <v>26</v>
          </cell>
          <cell r="AB1">
            <v>27</v>
          </cell>
          <cell r="AC1">
            <v>28</v>
          </cell>
          <cell r="AD1">
            <v>29</v>
          </cell>
          <cell r="AE1">
            <v>30</v>
          </cell>
          <cell r="AF1">
            <v>31</v>
          </cell>
          <cell r="AG1">
            <v>32</v>
          </cell>
          <cell r="AH1">
            <v>33</v>
          </cell>
          <cell r="AI1">
            <v>34</v>
          </cell>
          <cell r="AJ1">
            <v>35</v>
          </cell>
          <cell r="AK1">
            <v>36</v>
          </cell>
          <cell r="AL1">
            <v>37</v>
          </cell>
          <cell r="AM1">
            <v>38</v>
          </cell>
          <cell r="AN1">
            <v>39</v>
          </cell>
          <cell r="AO1">
            <v>40</v>
          </cell>
          <cell r="AP1">
            <v>41</v>
          </cell>
          <cell r="AQ1">
            <v>42</v>
          </cell>
          <cell r="AR1">
            <v>43</v>
          </cell>
          <cell r="AS1">
            <v>44</v>
          </cell>
          <cell r="AT1">
            <v>45</v>
          </cell>
        </row>
        <row r="2">
          <cell r="C2" t="str">
            <v>BGP OIL &amp; GAS SERVICES LLC.</v>
          </cell>
        </row>
        <row r="3">
          <cell r="B3" t="str">
            <v>PDO Crew A   Temporary Employees Payroll July 2008</v>
          </cell>
        </row>
        <row r="5">
          <cell r="F5" t="str">
            <v>Salary Rate</v>
          </cell>
          <cell r="Y5" t="str">
            <v>Adjustment</v>
          </cell>
          <cell r="AD5" t="str">
            <v>Deductions</v>
          </cell>
        </row>
        <row r="6">
          <cell r="B6" t="str">
            <v>Emp #</v>
          </cell>
          <cell r="C6" t="str">
            <v>Name</v>
          </cell>
          <cell r="D6" t="str">
            <v>Designation</v>
          </cell>
          <cell r="E6" t="str">
            <v>Joining Date</v>
          </cell>
          <cell r="F6" t="str">
            <v>Overtime 
Rate 125%</v>
          </cell>
          <cell r="G6" t="str">
            <v>Overtime 
Rate200% (Holidays)</v>
          </cell>
          <cell r="H6" t="str">
            <v>Basic Allowence</v>
          </cell>
          <cell r="I6" t="str">
            <v>Housing Allowence</v>
          </cell>
          <cell r="J6" t="str">
            <v>Transportaion Allowence</v>
          </cell>
          <cell r="K6" t="str">
            <v>Desert Allowence</v>
          </cell>
          <cell r="L6" t="str">
            <v>Overtime 125%</v>
          </cell>
          <cell r="M6" t="str">
            <v>Holidays Hours</v>
          </cell>
          <cell r="N6" t="str">
            <v>Work Days</v>
          </cell>
          <cell r="O6" t="str">
            <v>Leave</v>
          </cell>
          <cell r="P6" t="str">
            <v>Sick</v>
          </cell>
          <cell r="Q6" t="str">
            <v>Absent</v>
          </cell>
          <cell r="R6" t="str">
            <v>Total Days</v>
          </cell>
          <cell r="S6" t="str">
            <v>Basic Payable</v>
          </cell>
          <cell r="T6" t="str">
            <v>Housing Payable</v>
          </cell>
          <cell r="U6" t="str">
            <v>Transport. Payable</v>
          </cell>
          <cell r="V6" t="str">
            <v>Desert Payable</v>
          </cell>
          <cell r="W6" t="str">
            <v>Overtime Payable</v>
          </cell>
          <cell r="X6" t="str">
            <v>Holidays Payment</v>
          </cell>
          <cell r="Y6" t="str">
            <v>Adj Basic</v>
          </cell>
          <cell r="Z6" t="str">
            <v>Adj Housing</v>
          </cell>
          <cell r="AA6" t="str">
            <v>Adj Transport</v>
          </cell>
          <cell r="AB6" t="str">
            <v>Adj Others</v>
          </cell>
          <cell r="AC6" t="str">
            <v>Amount</v>
          </cell>
          <cell r="AD6" t="str">
            <v>GOSI</v>
          </cell>
          <cell r="AE6" t="str">
            <v>Others</v>
          </cell>
          <cell r="AF6" t="str">
            <v>Total Deducions</v>
          </cell>
          <cell r="AG6" t="str">
            <v>Net Payable</v>
          </cell>
          <cell r="AH6" t="str">
            <v>Remarks</v>
          </cell>
          <cell r="AK6" t="str">
            <v>Bank Name</v>
          </cell>
          <cell r="AL6" t="str">
            <v>Branch</v>
          </cell>
          <cell r="AM6" t="str">
            <v>Account No</v>
          </cell>
        </row>
        <row r="7">
          <cell r="B7">
            <v>1778</v>
          </cell>
          <cell r="C7" t="str">
            <v>Ali Sultan Mohammed Al Shibani</v>
          </cell>
          <cell r="D7" t="str">
            <v>Casual Light Duty Driver</v>
          </cell>
          <cell r="E7">
            <v>39606</v>
          </cell>
          <cell r="F7">
            <v>0.78125</v>
          </cell>
          <cell r="G7">
            <v>1.25</v>
          </cell>
          <cell r="H7">
            <v>150</v>
          </cell>
          <cell r="I7">
            <v>30</v>
          </cell>
          <cell r="J7">
            <v>25</v>
          </cell>
          <cell r="K7">
            <v>40</v>
          </cell>
          <cell r="L7">
            <v>84</v>
          </cell>
          <cell r="M7">
            <v>0</v>
          </cell>
          <cell r="N7">
            <v>18</v>
          </cell>
          <cell r="O7">
            <v>12</v>
          </cell>
          <cell r="P7">
            <v>0</v>
          </cell>
          <cell r="Q7">
            <v>1</v>
          </cell>
          <cell r="R7">
            <v>30</v>
          </cell>
          <cell r="S7">
            <v>150</v>
          </cell>
          <cell r="T7">
            <v>30</v>
          </cell>
          <cell r="U7">
            <v>25</v>
          </cell>
          <cell r="V7">
            <v>24</v>
          </cell>
          <cell r="W7">
            <v>65.625</v>
          </cell>
          <cell r="X7">
            <v>0</v>
          </cell>
          <cell r="AC7">
            <v>294.625</v>
          </cell>
          <cell r="AF7">
            <v>0</v>
          </cell>
          <cell r="AG7">
            <v>294.625</v>
          </cell>
          <cell r="AK7">
            <v>0</v>
          </cell>
          <cell r="AL7">
            <v>0</v>
          </cell>
          <cell r="AM7">
            <v>0</v>
          </cell>
        </row>
        <row r="8">
          <cell r="B8">
            <v>1785</v>
          </cell>
          <cell r="C8" t="str">
            <v>Saleh Musabah Ghanim Al Ghafri</v>
          </cell>
          <cell r="D8" t="str">
            <v>Casual Light Duty Driver</v>
          </cell>
          <cell r="E8">
            <v>39606</v>
          </cell>
          <cell r="F8">
            <v>0.78125</v>
          </cell>
          <cell r="G8">
            <v>1.25</v>
          </cell>
          <cell r="H8">
            <v>150</v>
          </cell>
          <cell r="I8">
            <v>30</v>
          </cell>
          <cell r="J8">
            <v>25</v>
          </cell>
          <cell r="K8">
            <v>40</v>
          </cell>
          <cell r="L8">
            <v>10</v>
          </cell>
          <cell r="M8">
            <v>0</v>
          </cell>
          <cell r="N8">
            <v>3</v>
          </cell>
          <cell r="O8">
            <v>0</v>
          </cell>
          <cell r="P8">
            <v>0</v>
          </cell>
          <cell r="Q8">
            <v>1</v>
          </cell>
          <cell r="R8">
            <v>3</v>
          </cell>
          <cell r="S8">
            <v>15</v>
          </cell>
          <cell r="T8">
            <v>3</v>
          </cell>
          <cell r="U8">
            <v>2.5</v>
          </cell>
          <cell r="V8">
            <v>4</v>
          </cell>
          <cell r="W8">
            <v>7.8125</v>
          </cell>
          <cell r="X8">
            <v>0</v>
          </cell>
          <cell r="AC8">
            <v>32.3125</v>
          </cell>
          <cell r="AF8">
            <v>0</v>
          </cell>
          <cell r="AG8">
            <v>32.3125</v>
          </cell>
          <cell r="AK8" t="str">
            <v>Bank Muscat</v>
          </cell>
          <cell r="AL8" t="str">
            <v>Al Dareez</v>
          </cell>
          <cell r="AM8" t="str">
            <v>119-114000084010</v>
          </cell>
        </row>
        <row r="9">
          <cell r="B9">
            <v>1787</v>
          </cell>
          <cell r="C9" t="str">
            <v>Salim Marzooq Abdulah Al Darai</v>
          </cell>
          <cell r="D9" t="str">
            <v>Casual Labour</v>
          </cell>
          <cell r="E9">
            <v>39609</v>
          </cell>
          <cell r="F9">
            <v>0.625</v>
          </cell>
          <cell r="G9">
            <v>1</v>
          </cell>
          <cell r="H9">
            <v>120</v>
          </cell>
          <cell r="I9">
            <v>25</v>
          </cell>
          <cell r="J9">
            <v>20</v>
          </cell>
          <cell r="K9">
            <v>30</v>
          </cell>
          <cell r="L9">
            <v>110</v>
          </cell>
          <cell r="M9">
            <v>24</v>
          </cell>
          <cell r="N9">
            <v>24</v>
          </cell>
          <cell r="O9">
            <v>6</v>
          </cell>
          <cell r="P9">
            <v>0</v>
          </cell>
          <cell r="Q9">
            <v>1</v>
          </cell>
          <cell r="R9">
            <v>30</v>
          </cell>
          <cell r="S9">
            <v>120</v>
          </cell>
          <cell r="T9">
            <v>25</v>
          </cell>
          <cell r="U9">
            <v>20</v>
          </cell>
          <cell r="V9">
            <v>24</v>
          </cell>
          <cell r="W9">
            <v>68.75</v>
          </cell>
          <cell r="X9">
            <v>24</v>
          </cell>
          <cell r="AC9">
            <v>281.75</v>
          </cell>
          <cell r="AF9">
            <v>0</v>
          </cell>
          <cell r="AG9">
            <v>281.75</v>
          </cell>
          <cell r="AK9" t="str">
            <v>Bank Dofar</v>
          </cell>
          <cell r="AL9" t="str">
            <v>Bahla</v>
          </cell>
          <cell r="AM9">
            <v>1330371982004500</v>
          </cell>
        </row>
        <row r="10">
          <cell r="B10">
            <v>1792</v>
          </cell>
          <cell r="C10" t="str">
            <v>Juma Ali Salim Al Ghafri</v>
          </cell>
          <cell r="D10" t="str">
            <v>Casual Labour</v>
          </cell>
          <cell r="E10">
            <v>39609</v>
          </cell>
          <cell r="F10">
            <v>0.625</v>
          </cell>
          <cell r="G10">
            <v>1</v>
          </cell>
          <cell r="H10">
            <v>120</v>
          </cell>
          <cell r="I10">
            <v>25</v>
          </cell>
          <cell r="J10">
            <v>20</v>
          </cell>
          <cell r="K10">
            <v>30</v>
          </cell>
          <cell r="L10">
            <v>78</v>
          </cell>
          <cell r="M10">
            <v>24</v>
          </cell>
          <cell r="N10">
            <v>31</v>
          </cell>
          <cell r="O10">
            <v>0</v>
          </cell>
          <cell r="P10">
            <v>0</v>
          </cell>
          <cell r="Q10">
            <v>0</v>
          </cell>
          <cell r="R10">
            <v>31</v>
          </cell>
          <cell r="S10">
            <v>124</v>
          </cell>
          <cell r="T10">
            <v>25.833333333333336</v>
          </cell>
          <cell r="U10">
            <v>20.666666666666664</v>
          </cell>
          <cell r="V10">
            <v>31</v>
          </cell>
          <cell r="W10">
            <v>48.75</v>
          </cell>
          <cell r="X10">
            <v>24</v>
          </cell>
          <cell r="AC10">
            <v>274.25</v>
          </cell>
          <cell r="AF10">
            <v>0</v>
          </cell>
          <cell r="AG10">
            <v>274.25</v>
          </cell>
          <cell r="AK10" t="str">
            <v>Oman Internation Bank</v>
          </cell>
          <cell r="AL10" t="str">
            <v>Dhenk</v>
          </cell>
          <cell r="AM10" t="str">
            <v>26-062182-20</v>
          </cell>
        </row>
        <row r="11">
          <cell r="B11">
            <v>1816</v>
          </cell>
          <cell r="C11" t="str">
            <v>Saif Hamed Saif Al Alawi</v>
          </cell>
          <cell r="D11" t="str">
            <v>Casual Labour</v>
          </cell>
          <cell r="E11">
            <v>39613</v>
          </cell>
          <cell r="F11">
            <v>0.625</v>
          </cell>
          <cell r="G11">
            <v>1</v>
          </cell>
          <cell r="H11">
            <v>120</v>
          </cell>
          <cell r="I11">
            <v>25</v>
          </cell>
          <cell r="J11">
            <v>20</v>
          </cell>
          <cell r="K11">
            <v>30</v>
          </cell>
          <cell r="L11">
            <v>112</v>
          </cell>
          <cell r="M11">
            <v>24</v>
          </cell>
          <cell r="N11">
            <v>24</v>
          </cell>
          <cell r="O11">
            <v>0</v>
          </cell>
          <cell r="P11">
            <v>0</v>
          </cell>
          <cell r="Q11">
            <v>7</v>
          </cell>
          <cell r="R11">
            <v>24</v>
          </cell>
          <cell r="S11">
            <v>96</v>
          </cell>
          <cell r="T11">
            <v>20</v>
          </cell>
          <cell r="U11">
            <v>16</v>
          </cell>
          <cell r="V11">
            <v>24</v>
          </cell>
          <cell r="W11">
            <v>70</v>
          </cell>
          <cell r="X11">
            <v>24</v>
          </cell>
          <cell r="AC11">
            <v>250</v>
          </cell>
          <cell r="AF11">
            <v>0</v>
          </cell>
          <cell r="AG11">
            <v>250</v>
          </cell>
          <cell r="AK11" t="str">
            <v>Bank Muscat</v>
          </cell>
          <cell r="AL11">
            <v>0</v>
          </cell>
          <cell r="AM11" t="str">
            <v>011-9128340084021</v>
          </cell>
        </row>
        <row r="12">
          <cell r="B12">
            <v>1821</v>
          </cell>
          <cell r="C12" t="str">
            <v>Ayoub Khalaf Salim Al Kalbani</v>
          </cell>
          <cell r="D12" t="str">
            <v>Casual Labour</v>
          </cell>
          <cell r="E12">
            <v>39614</v>
          </cell>
          <cell r="F12">
            <v>0.625</v>
          </cell>
          <cell r="G12">
            <v>1</v>
          </cell>
          <cell r="H12">
            <v>120</v>
          </cell>
          <cell r="I12">
            <v>25</v>
          </cell>
          <cell r="J12">
            <v>20</v>
          </cell>
          <cell r="K12">
            <v>30</v>
          </cell>
          <cell r="L12">
            <v>175</v>
          </cell>
          <cell r="M12">
            <v>24</v>
          </cell>
          <cell r="N12">
            <v>31</v>
          </cell>
          <cell r="O12">
            <v>0</v>
          </cell>
          <cell r="P12">
            <v>0</v>
          </cell>
          <cell r="Q12">
            <v>0</v>
          </cell>
          <cell r="R12">
            <v>31</v>
          </cell>
          <cell r="S12">
            <v>124</v>
          </cell>
          <cell r="T12">
            <v>25.833333333333336</v>
          </cell>
          <cell r="U12">
            <v>20.666666666666664</v>
          </cell>
          <cell r="V12">
            <v>31</v>
          </cell>
          <cell r="W12">
            <v>109.375</v>
          </cell>
          <cell r="X12">
            <v>24</v>
          </cell>
          <cell r="AC12">
            <v>334.875</v>
          </cell>
          <cell r="AF12">
            <v>0</v>
          </cell>
          <cell r="AG12">
            <v>334.875</v>
          </cell>
          <cell r="AK12" t="str">
            <v>Bank Muscat</v>
          </cell>
          <cell r="AL12">
            <v>0</v>
          </cell>
          <cell r="AM12" t="str">
            <v>0169-12073-0084-014</v>
          </cell>
        </row>
        <row r="13">
          <cell r="B13">
            <v>1822</v>
          </cell>
          <cell r="C13" t="str">
            <v>Abdullah Rashid Hassan Al Hinai</v>
          </cell>
          <cell r="D13" t="str">
            <v>Casual Light Duty Driver</v>
          </cell>
          <cell r="E13">
            <v>39615</v>
          </cell>
          <cell r="F13">
            <v>0.78125</v>
          </cell>
          <cell r="G13">
            <v>1.25</v>
          </cell>
          <cell r="H13">
            <v>150</v>
          </cell>
          <cell r="I13">
            <v>30</v>
          </cell>
          <cell r="J13">
            <v>25</v>
          </cell>
          <cell r="K13">
            <v>40</v>
          </cell>
          <cell r="L13">
            <v>106</v>
          </cell>
          <cell r="M13">
            <v>12</v>
          </cell>
          <cell r="N13">
            <v>24</v>
          </cell>
          <cell r="O13">
            <v>6</v>
          </cell>
          <cell r="P13">
            <v>0</v>
          </cell>
          <cell r="Q13">
            <v>1</v>
          </cell>
          <cell r="R13">
            <v>30</v>
          </cell>
          <cell r="S13">
            <v>150</v>
          </cell>
          <cell r="T13">
            <v>30</v>
          </cell>
          <cell r="U13">
            <v>25</v>
          </cell>
          <cell r="V13">
            <v>32</v>
          </cell>
          <cell r="W13">
            <v>82.8125</v>
          </cell>
          <cell r="X13">
            <v>15</v>
          </cell>
          <cell r="AC13">
            <v>334.8125</v>
          </cell>
          <cell r="AF13">
            <v>0</v>
          </cell>
          <cell r="AG13">
            <v>334.8125</v>
          </cell>
          <cell r="AK13" t="str">
            <v>Bank Muscat</v>
          </cell>
          <cell r="AL13">
            <v>0</v>
          </cell>
          <cell r="AM13">
            <v>8918354</v>
          </cell>
        </row>
        <row r="14">
          <cell r="B14">
            <v>1823</v>
          </cell>
          <cell r="C14" t="str">
            <v>Issa Rabiyah Rabi'a Al Sayabi</v>
          </cell>
          <cell r="D14" t="str">
            <v>Casual Labour</v>
          </cell>
          <cell r="E14">
            <v>39616</v>
          </cell>
          <cell r="F14">
            <v>0.625</v>
          </cell>
          <cell r="G14">
            <v>1</v>
          </cell>
          <cell r="H14">
            <v>120</v>
          </cell>
          <cell r="I14">
            <v>25</v>
          </cell>
          <cell r="J14">
            <v>20</v>
          </cell>
          <cell r="K14">
            <v>30</v>
          </cell>
          <cell r="L14">
            <v>70</v>
          </cell>
          <cell r="M14">
            <v>0</v>
          </cell>
          <cell r="N14">
            <v>17</v>
          </cell>
          <cell r="O14">
            <v>0</v>
          </cell>
          <cell r="P14">
            <v>0</v>
          </cell>
          <cell r="Q14">
            <v>1</v>
          </cell>
          <cell r="R14">
            <v>17</v>
          </cell>
          <cell r="S14">
            <v>68</v>
          </cell>
          <cell r="T14">
            <v>14.166666666666668</v>
          </cell>
          <cell r="U14">
            <v>11.333333333333332</v>
          </cell>
          <cell r="V14">
            <v>17</v>
          </cell>
          <cell r="W14">
            <v>43.75</v>
          </cell>
          <cell r="X14">
            <v>0</v>
          </cell>
          <cell r="AC14">
            <v>154.25</v>
          </cell>
          <cell r="AF14">
            <v>0</v>
          </cell>
          <cell r="AG14">
            <v>154.25</v>
          </cell>
          <cell r="AK14" t="str">
            <v>Bank Muscat</v>
          </cell>
          <cell r="AL14">
            <v>0</v>
          </cell>
          <cell r="AM14" t="str">
            <v>0133-17932-0084-013</v>
          </cell>
        </row>
        <row r="15">
          <cell r="B15">
            <v>1824</v>
          </cell>
          <cell r="C15" t="str">
            <v>Rashid Hamood Rashid Al Khatri</v>
          </cell>
          <cell r="D15" t="str">
            <v>Casual Labour</v>
          </cell>
          <cell r="E15">
            <v>39616</v>
          </cell>
          <cell r="F15">
            <v>0.625</v>
          </cell>
          <cell r="G15">
            <v>1</v>
          </cell>
          <cell r="H15">
            <v>120</v>
          </cell>
          <cell r="I15">
            <v>25</v>
          </cell>
          <cell r="J15">
            <v>20</v>
          </cell>
          <cell r="K15">
            <v>30</v>
          </cell>
          <cell r="L15">
            <v>89</v>
          </cell>
          <cell r="M15">
            <v>12</v>
          </cell>
          <cell r="N15">
            <v>23</v>
          </cell>
          <cell r="O15">
            <v>0</v>
          </cell>
          <cell r="P15">
            <v>0</v>
          </cell>
          <cell r="Q15">
            <v>1</v>
          </cell>
          <cell r="R15">
            <v>23</v>
          </cell>
          <cell r="S15">
            <v>92</v>
          </cell>
          <cell r="T15">
            <v>19.166666666666668</v>
          </cell>
          <cell r="U15">
            <v>15.333333333333332</v>
          </cell>
          <cell r="V15">
            <v>23</v>
          </cell>
          <cell r="W15">
            <v>55.625</v>
          </cell>
          <cell r="X15">
            <v>12</v>
          </cell>
          <cell r="AC15">
            <v>217.125</v>
          </cell>
          <cell r="AF15">
            <v>0</v>
          </cell>
          <cell r="AG15">
            <v>217.125</v>
          </cell>
          <cell r="AK15" t="str">
            <v>Bank Muscat</v>
          </cell>
          <cell r="AL15">
            <v>0</v>
          </cell>
          <cell r="AM15" t="str">
            <v>0169-12507-0084-019</v>
          </cell>
        </row>
        <row r="16">
          <cell r="B16">
            <v>1833</v>
          </cell>
          <cell r="C16" t="str">
            <v>Issa Said Salim Suleimani</v>
          </cell>
          <cell r="D16" t="str">
            <v>Casual Welder</v>
          </cell>
          <cell r="E16">
            <v>39617</v>
          </cell>
          <cell r="F16">
            <v>0.78125</v>
          </cell>
          <cell r="G16">
            <v>1.25</v>
          </cell>
          <cell r="H16">
            <v>150</v>
          </cell>
          <cell r="I16">
            <v>30</v>
          </cell>
          <cell r="J16">
            <v>25</v>
          </cell>
          <cell r="K16">
            <v>40</v>
          </cell>
          <cell r="L16">
            <v>104</v>
          </cell>
          <cell r="M16">
            <v>12</v>
          </cell>
          <cell r="N16">
            <v>13</v>
          </cell>
          <cell r="O16">
            <v>0</v>
          </cell>
          <cell r="P16">
            <v>0</v>
          </cell>
          <cell r="Q16">
            <v>1</v>
          </cell>
          <cell r="R16">
            <v>13</v>
          </cell>
          <cell r="S16">
            <v>65</v>
          </cell>
          <cell r="T16">
            <v>13</v>
          </cell>
          <cell r="U16">
            <v>10.833333333333334</v>
          </cell>
          <cell r="V16">
            <v>17.333333333333332</v>
          </cell>
          <cell r="W16">
            <v>81.25</v>
          </cell>
          <cell r="X16">
            <v>15</v>
          </cell>
          <cell r="AB16">
            <v>43.177</v>
          </cell>
          <cell r="AC16">
            <v>245.59366666666665</v>
          </cell>
          <cell r="AF16">
            <v>0</v>
          </cell>
          <cell r="AG16">
            <v>245.59366666666665</v>
          </cell>
          <cell r="AH16" t="str">
            <v xml:space="preserve">June pending </v>
          </cell>
          <cell r="AK16" t="str">
            <v>Bank Muscat</v>
          </cell>
          <cell r="AL16" t="str">
            <v>Nizwa/Firq</v>
          </cell>
          <cell r="AM16" t="str">
            <v>133144280084-010</v>
          </cell>
        </row>
        <row r="17">
          <cell r="B17">
            <v>1839</v>
          </cell>
          <cell r="C17" t="str">
            <v>Ibrahim Obaid Saleem Al Attabi</v>
          </cell>
          <cell r="D17" t="str">
            <v>Casual Labour</v>
          </cell>
          <cell r="E17">
            <v>39620</v>
          </cell>
          <cell r="F17">
            <v>0.625</v>
          </cell>
          <cell r="G17">
            <v>1</v>
          </cell>
          <cell r="H17">
            <v>120</v>
          </cell>
          <cell r="I17">
            <v>25</v>
          </cell>
          <cell r="J17">
            <v>20</v>
          </cell>
          <cell r="K17">
            <v>30</v>
          </cell>
          <cell r="L17">
            <v>84</v>
          </cell>
          <cell r="M17">
            <v>0</v>
          </cell>
          <cell r="N17">
            <v>16</v>
          </cell>
          <cell r="O17">
            <v>0</v>
          </cell>
          <cell r="P17">
            <v>0</v>
          </cell>
          <cell r="Q17">
            <v>1</v>
          </cell>
          <cell r="R17">
            <v>16</v>
          </cell>
          <cell r="S17">
            <v>64</v>
          </cell>
          <cell r="T17">
            <v>13.333333333333334</v>
          </cell>
          <cell r="U17">
            <v>10.666666666666666</v>
          </cell>
          <cell r="V17">
            <v>16</v>
          </cell>
          <cell r="W17">
            <v>52.5</v>
          </cell>
          <cell r="X17">
            <v>0</v>
          </cell>
          <cell r="AC17">
            <v>156.5</v>
          </cell>
          <cell r="AF17">
            <v>0</v>
          </cell>
          <cell r="AG17">
            <v>156.5</v>
          </cell>
          <cell r="AK17" t="str">
            <v>National bank of Oman</v>
          </cell>
          <cell r="AL17">
            <v>0</v>
          </cell>
          <cell r="AM17" t="str">
            <v>1019-567215-086</v>
          </cell>
        </row>
        <row r="18">
          <cell r="B18">
            <v>1844</v>
          </cell>
          <cell r="C18" t="str">
            <v>Abdul Aziz Khalfan Khamis Al Majarafi</v>
          </cell>
          <cell r="D18" t="str">
            <v>Casual Labour</v>
          </cell>
          <cell r="E18">
            <v>39620</v>
          </cell>
          <cell r="F18">
            <v>0.625</v>
          </cell>
          <cell r="G18">
            <v>1</v>
          </cell>
          <cell r="H18">
            <v>120</v>
          </cell>
          <cell r="I18">
            <v>25</v>
          </cell>
          <cell r="J18">
            <v>20</v>
          </cell>
          <cell r="K18">
            <v>30</v>
          </cell>
          <cell r="L18">
            <v>154</v>
          </cell>
          <cell r="M18">
            <v>24</v>
          </cell>
          <cell r="N18">
            <v>27</v>
          </cell>
          <cell r="O18">
            <v>0</v>
          </cell>
          <cell r="P18">
            <v>0</v>
          </cell>
          <cell r="Q18">
            <v>4</v>
          </cell>
          <cell r="R18">
            <v>27</v>
          </cell>
          <cell r="S18">
            <v>108</v>
          </cell>
          <cell r="T18">
            <v>22.5</v>
          </cell>
          <cell r="U18">
            <v>18</v>
          </cell>
          <cell r="V18">
            <v>27</v>
          </cell>
          <cell r="W18">
            <v>96.25</v>
          </cell>
          <cell r="X18">
            <v>24</v>
          </cell>
          <cell r="AC18">
            <v>295.75</v>
          </cell>
          <cell r="AF18">
            <v>0</v>
          </cell>
          <cell r="AG18">
            <v>295.75</v>
          </cell>
          <cell r="AK18" t="str">
            <v>Bank Muscat</v>
          </cell>
          <cell r="AL18">
            <v>0</v>
          </cell>
          <cell r="AM18" t="str">
            <v>0118-24728-0084-015</v>
          </cell>
        </row>
        <row r="19">
          <cell r="B19">
            <v>1847</v>
          </cell>
          <cell r="C19" t="str">
            <v>Said Hamed Rashid Al Shidhani</v>
          </cell>
          <cell r="D19" t="str">
            <v>Casual Labour</v>
          </cell>
          <cell r="E19">
            <v>39621</v>
          </cell>
          <cell r="F19">
            <v>0.625</v>
          </cell>
          <cell r="G19">
            <v>1</v>
          </cell>
          <cell r="H19">
            <v>120</v>
          </cell>
          <cell r="I19">
            <v>25</v>
          </cell>
          <cell r="J19">
            <v>20</v>
          </cell>
          <cell r="K19">
            <v>30</v>
          </cell>
          <cell r="L19">
            <v>144</v>
          </cell>
          <cell r="M19">
            <v>24</v>
          </cell>
          <cell r="N19">
            <v>30</v>
          </cell>
          <cell r="O19">
            <v>0</v>
          </cell>
          <cell r="P19">
            <v>0</v>
          </cell>
          <cell r="Q19">
            <v>1</v>
          </cell>
          <cell r="R19">
            <v>30</v>
          </cell>
          <cell r="S19">
            <v>120</v>
          </cell>
          <cell r="T19">
            <v>25</v>
          </cell>
          <cell r="U19">
            <v>20</v>
          </cell>
          <cell r="V19">
            <v>30</v>
          </cell>
          <cell r="W19">
            <v>90</v>
          </cell>
          <cell r="X19">
            <v>24</v>
          </cell>
          <cell r="AC19">
            <v>309</v>
          </cell>
          <cell r="AF19">
            <v>0</v>
          </cell>
          <cell r="AG19">
            <v>309</v>
          </cell>
          <cell r="AK19">
            <v>0</v>
          </cell>
          <cell r="AL19">
            <v>0</v>
          </cell>
          <cell r="AM19">
            <v>0</v>
          </cell>
        </row>
        <row r="20">
          <cell r="B20">
            <v>1849</v>
          </cell>
          <cell r="C20" t="str">
            <v>Yaqoub Ahmed Hamood Al Mahrouqi</v>
          </cell>
          <cell r="D20" t="str">
            <v>Casual Labour</v>
          </cell>
          <cell r="E20">
            <v>39626</v>
          </cell>
          <cell r="F20">
            <v>0.625</v>
          </cell>
          <cell r="G20">
            <v>1</v>
          </cell>
          <cell r="H20">
            <v>120</v>
          </cell>
          <cell r="I20">
            <v>25</v>
          </cell>
          <cell r="J20">
            <v>20</v>
          </cell>
          <cell r="K20">
            <v>30</v>
          </cell>
          <cell r="L20">
            <v>154</v>
          </cell>
          <cell r="M20">
            <v>24</v>
          </cell>
          <cell r="N20">
            <v>29</v>
          </cell>
          <cell r="O20">
            <v>1</v>
          </cell>
          <cell r="P20">
            <v>0</v>
          </cell>
          <cell r="Q20">
            <v>1</v>
          </cell>
          <cell r="R20">
            <v>30</v>
          </cell>
          <cell r="S20">
            <v>120</v>
          </cell>
          <cell r="T20">
            <v>25</v>
          </cell>
          <cell r="U20">
            <v>20</v>
          </cell>
          <cell r="V20">
            <v>29</v>
          </cell>
          <cell r="W20">
            <v>96.25</v>
          </cell>
          <cell r="X20">
            <v>24</v>
          </cell>
          <cell r="AC20">
            <v>314.25</v>
          </cell>
          <cell r="AF20">
            <v>0</v>
          </cell>
          <cell r="AG20">
            <v>314.25</v>
          </cell>
          <cell r="AK20" t="str">
            <v>Bank Muscat</v>
          </cell>
          <cell r="AL20">
            <v>0</v>
          </cell>
          <cell r="AM20" t="str">
            <v>012924264-0084-017</v>
          </cell>
        </row>
        <row r="21">
          <cell r="B21">
            <v>1850</v>
          </cell>
          <cell r="C21" t="str">
            <v>Sa'ud Saif Amur Al Ghafri</v>
          </cell>
          <cell r="D21" t="str">
            <v>Casual Labour</v>
          </cell>
          <cell r="E21">
            <v>39626</v>
          </cell>
          <cell r="F21">
            <v>0.625</v>
          </cell>
          <cell r="G21">
            <v>1</v>
          </cell>
          <cell r="H21">
            <v>120</v>
          </cell>
          <cell r="I21">
            <v>25</v>
          </cell>
          <cell r="J21">
            <v>20</v>
          </cell>
          <cell r="K21">
            <v>30</v>
          </cell>
          <cell r="L21">
            <v>30</v>
          </cell>
          <cell r="M21">
            <v>0</v>
          </cell>
          <cell r="N21">
            <v>5</v>
          </cell>
          <cell r="O21">
            <v>0</v>
          </cell>
          <cell r="P21">
            <v>0</v>
          </cell>
          <cell r="Q21">
            <v>0</v>
          </cell>
          <cell r="R21">
            <v>5</v>
          </cell>
          <cell r="S21">
            <v>20</v>
          </cell>
          <cell r="T21">
            <v>4.166666666666667</v>
          </cell>
          <cell r="U21">
            <v>3.333333333333333</v>
          </cell>
          <cell r="V21">
            <v>5</v>
          </cell>
          <cell r="W21">
            <v>18.75</v>
          </cell>
          <cell r="X21">
            <v>0</v>
          </cell>
          <cell r="AC21">
            <v>51.25</v>
          </cell>
          <cell r="AF21">
            <v>0</v>
          </cell>
          <cell r="AG21">
            <v>51.25</v>
          </cell>
          <cell r="AK21" t="str">
            <v>Bank Muscat</v>
          </cell>
          <cell r="AL21">
            <v>0</v>
          </cell>
          <cell r="AM21" t="str">
            <v>0118-2119-0084-010</v>
          </cell>
        </row>
        <row r="22">
          <cell r="B22">
            <v>1851</v>
          </cell>
          <cell r="C22" t="str">
            <v>Ahmed Hamood Saif Al Hina'i</v>
          </cell>
          <cell r="D22" t="str">
            <v>Casual Labour</v>
          </cell>
          <cell r="E22">
            <v>39626</v>
          </cell>
          <cell r="F22">
            <v>0.625</v>
          </cell>
          <cell r="G22">
            <v>1</v>
          </cell>
          <cell r="H22">
            <v>120</v>
          </cell>
          <cell r="I22">
            <v>25</v>
          </cell>
          <cell r="J22">
            <v>20</v>
          </cell>
          <cell r="K22">
            <v>30</v>
          </cell>
          <cell r="L22">
            <v>282.5</v>
          </cell>
          <cell r="M22">
            <v>24</v>
          </cell>
          <cell r="N22">
            <v>30</v>
          </cell>
          <cell r="O22">
            <v>0</v>
          </cell>
          <cell r="P22">
            <v>0</v>
          </cell>
          <cell r="Q22">
            <v>1</v>
          </cell>
          <cell r="R22">
            <v>30</v>
          </cell>
          <cell r="S22">
            <v>120</v>
          </cell>
          <cell r="T22">
            <v>25</v>
          </cell>
          <cell r="U22">
            <v>20</v>
          </cell>
          <cell r="V22">
            <v>30</v>
          </cell>
          <cell r="W22">
            <v>176.5625</v>
          </cell>
          <cell r="X22">
            <v>24</v>
          </cell>
          <cell r="AC22">
            <v>395.5625</v>
          </cell>
          <cell r="AF22">
            <v>0</v>
          </cell>
          <cell r="AG22">
            <v>395.5625</v>
          </cell>
          <cell r="AK22" t="str">
            <v>National bank of Oman</v>
          </cell>
          <cell r="AL22">
            <v>0</v>
          </cell>
          <cell r="AM22" t="str">
            <v>1019-551142</v>
          </cell>
        </row>
        <row r="23">
          <cell r="B23">
            <v>1855</v>
          </cell>
          <cell r="C23" t="str">
            <v>Abdul Rahman Sulaiyam Musabah Al Ghafri</v>
          </cell>
          <cell r="D23" t="str">
            <v>Casual Labour</v>
          </cell>
          <cell r="E23">
            <v>39630</v>
          </cell>
          <cell r="F23">
            <v>0.625</v>
          </cell>
          <cell r="G23">
            <v>1</v>
          </cell>
          <cell r="H23">
            <v>120</v>
          </cell>
          <cell r="I23">
            <v>25</v>
          </cell>
          <cell r="J23">
            <v>20</v>
          </cell>
          <cell r="K23">
            <v>30</v>
          </cell>
          <cell r="L23">
            <v>50</v>
          </cell>
          <cell r="M23">
            <v>0</v>
          </cell>
          <cell r="N23">
            <v>15</v>
          </cell>
          <cell r="O23">
            <v>0</v>
          </cell>
          <cell r="P23">
            <v>0</v>
          </cell>
          <cell r="Q23">
            <v>2</v>
          </cell>
          <cell r="R23">
            <v>15</v>
          </cell>
          <cell r="S23">
            <v>60</v>
          </cell>
          <cell r="T23">
            <v>12.5</v>
          </cell>
          <cell r="U23">
            <v>10</v>
          </cell>
          <cell r="V23">
            <v>15</v>
          </cell>
          <cell r="W23">
            <v>31.25</v>
          </cell>
          <cell r="X23">
            <v>0</v>
          </cell>
          <cell r="AC23">
            <v>128.75</v>
          </cell>
          <cell r="AF23">
            <v>0</v>
          </cell>
          <cell r="AG23">
            <v>128.75</v>
          </cell>
          <cell r="AK23" t="str">
            <v>Bank Muscat</v>
          </cell>
          <cell r="AL23" t="str">
            <v>Bahla Souq</v>
          </cell>
          <cell r="AM23" t="str">
            <v>191-10699-00084-010</v>
          </cell>
        </row>
        <row r="24">
          <cell r="B24">
            <v>1858</v>
          </cell>
          <cell r="C24" t="str">
            <v>Younis Said Ali Al Amri</v>
          </cell>
          <cell r="D24" t="str">
            <v>Casual Labour</v>
          </cell>
          <cell r="E24">
            <v>39631</v>
          </cell>
          <cell r="F24">
            <v>0.625</v>
          </cell>
          <cell r="G24">
            <v>1</v>
          </cell>
          <cell r="H24">
            <v>120</v>
          </cell>
          <cell r="I24">
            <v>25</v>
          </cell>
          <cell r="J24">
            <v>20</v>
          </cell>
          <cell r="K24">
            <v>30</v>
          </cell>
          <cell r="L24">
            <v>219</v>
          </cell>
          <cell r="M24">
            <v>24</v>
          </cell>
          <cell r="N24">
            <v>28</v>
          </cell>
          <cell r="O24">
            <v>0</v>
          </cell>
          <cell r="P24">
            <v>1</v>
          </cell>
          <cell r="Q24">
            <v>1</v>
          </cell>
          <cell r="R24">
            <v>29</v>
          </cell>
          <cell r="S24">
            <v>116</v>
          </cell>
          <cell r="T24">
            <v>24.166666666666668</v>
          </cell>
          <cell r="U24">
            <v>19.333333333333332</v>
          </cell>
          <cell r="V24">
            <v>28</v>
          </cell>
          <cell r="W24">
            <v>136.875</v>
          </cell>
          <cell r="X24">
            <v>24</v>
          </cell>
          <cell r="AC24">
            <v>348.375</v>
          </cell>
          <cell r="AF24">
            <v>0</v>
          </cell>
          <cell r="AG24">
            <v>348.375</v>
          </cell>
          <cell r="AK24" t="str">
            <v>Oman Arab Bank</v>
          </cell>
          <cell r="AL24" t="str">
            <v>Sanao</v>
          </cell>
          <cell r="AM24">
            <v>3112132756700</v>
          </cell>
        </row>
        <row r="25">
          <cell r="B25">
            <v>1864</v>
          </cell>
          <cell r="C25" t="str">
            <v>Fahad Hamed Khamis Hammad Al Hinai</v>
          </cell>
          <cell r="D25" t="str">
            <v>Casual Labour</v>
          </cell>
          <cell r="E25">
            <v>39632</v>
          </cell>
          <cell r="F25">
            <v>0.625</v>
          </cell>
          <cell r="G25">
            <v>1</v>
          </cell>
          <cell r="H25">
            <v>120</v>
          </cell>
          <cell r="I25">
            <v>25</v>
          </cell>
          <cell r="J25">
            <v>20</v>
          </cell>
          <cell r="K25">
            <v>30</v>
          </cell>
          <cell r="L25">
            <v>46</v>
          </cell>
          <cell r="M25">
            <v>0</v>
          </cell>
          <cell r="N25">
            <v>14</v>
          </cell>
          <cell r="O25">
            <v>0</v>
          </cell>
          <cell r="P25">
            <v>0</v>
          </cell>
          <cell r="Q25">
            <v>1</v>
          </cell>
          <cell r="R25">
            <v>14</v>
          </cell>
          <cell r="S25">
            <v>56</v>
          </cell>
          <cell r="T25">
            <v>11.666666666666668</v>
          </cell>
          <cell r="U25">
            <v>9.3333333333333321</v>
          </cell>
          <cell r="V25">
            <v>14</v>
          </cell>
          <cell r="W25">
            <v>28.75</v>
          </cell>
          <cell r="X25">
            <v>0</v>
          </cell>
          <cell r="AC25">
            <v>119.75</v>
          </cell>
          <cell r="AF25">
            <v>0</v>
          </cell>
          <cell r="AG25">
            <v>119.75</v>
          </cell>
          <cell r="AK25" t="str">
            <v>Oman International Bank</v>
          </cell>
          <cell r="AL25" t="str">
            <v>Firq</v>
          </cell>
          <cell r="AM25" t="str">
            <v>34-123844-29</v>
          </cell>
        </row>
        <row r="26">
          <cell r="B26">
            <v>1865</v>
          </cell>
          <cell r="C26" t="str">
            <v>Mahmood Mohammed Said Al Mahrouqi</v>
          </cell>
          <cell r="D26" t="str">
            <v>Casual Labour</v>
          </cell>
          <cell r="E26">
            <v>39632</v>
          </cell>
          <cell r="F26">
            <v>0.625</v>
          </cell>
          <cell r="G26">
            <v>1</v>
          </cell>
          <cell r="H26">
            <v>120</v>
          </cell>
          <cell r="I26">
            <v>25</v>
          </cell>
          <cell r="J26">
            <v>20</v>
          </cell>
          <cell r="K26">
            <v>30</v>
          </cell>
          <cell r="L26">
            <v>148</v>
          </cell>
          <cell r="M26">
            <v>24</v>
          </cell>
          <cell r="N26">
            <v>28</v>
          </cell>
          <cell r="O26">
            <v>0</v>
          </cell>
          <cell r="P26">
            <v>0</v>
          </cell>
          <cell r="Q26">
            <v>1</v>
          </cell>
          <cell r="R26">
            <v>28</v>
          </cell>
          <cell r="S26">
            <v>112</v>
          </cell>
          <cell r="T26">
            <v>23.333333333333336</v>
          </cell>
          <cell r="U26">
            <v>18.666666666666664</v>
          </cell>
          <cell r="V26">
            <v>28</v>
          </cell>
          <cell r="W26">
            <v>92.5</v>
          </cell>
          <cell r="X26">
            <v>24</v>
          </cell>
          <cell r="AC26">
            <v>298.5</v>
          </cell>
          <cell r="AF26">
            <v>0</v>
          </cell>
          <cell r="AG26">
            <v>298.5</v>
          </cell>
          <cell r="AK26" t="str">
            <v>Bank Muscat</v>
          </cell>
          <cell r="AL26">
            <v>0</v>
          </cell>
          <cell r="AM26" t="str">
            <v>121-15577-0084-017</v>
          </cell>
        </row>
        <row r="27">
          <cell r="B27">
            <v>1868</v>
          </cell>
          <cell r="C27" t="str">
            <v>Jalal Said Salim AL Khatri</v>
          </cell>
          <cell r="D27" t="str">
            <v>Casual Labour</v>
          </cell>
          <cell r="E27">
            <v>39632</v>
          </cell>
          <cell r="F27">
            <v>0.625</v>
          </cell>
          <cell r="G27">
            <v>1</v>
          </cell>
          <cell r="H27">
            <v>120</v>
          </cell>
          <cell r="I27">
            <v>25</v>
          </cell>
          <cell r="J27">
            <v>20</v>
          </cell>
          <cell r="K27">
            <v>30</v>
          </cell>
          <cell r="L27">
            <v>115</v>
          </cell>
          <cell r="M27">
            <v>12</v>
          </cell>
          <cell r="N27">
            <v>22</v>
          </cell>
          <cell r="O27">
            <v>0</v>
          </cell>
          <cell r="P27">
            <v>0</v>
          </cell>
          <cell r="Q27">
            <v>1</v>
          </cell>
          <cell r="R27">
            <v>22</v>
          </cell>
          <cell r="S27">
            <v>88</v>
          </cell>
          <cell r="T27">
            <v>18.333333333333336</v>
          </cell>
          <cell r="U27">
            <v>14.666666666666666</v>
          </cell>
          <cell r="V27">
            <v>22</v>
          </cell>
          <cell r="W27">
            <v>71.875</v>
          </cell>
          <cell r="X27">
            <v>12</v>
          </cell>
          <cell r="AC27">
            <v>226.875</v>
          </cell>
          <cell r="AF27">
            <v>0</v>
          </cell>
          <cell r="AG27">
            <v>226.875</v>
          </cell>
          <cell r="AK27" t="str">
            <v>Bank Muscat</v>
          </cell>
          <cell r="AL27">
            <v>0</v>
          </cell>
          <cell r="AM27" t="str">
            <v>191-10718-0084-018</v>
          </cell>
        </row>
        <row r="28">
          <cell r="B28">
            <v>1870</v>
          </cell>
          <cell r="C28" t="str">
            <v>Hossain Suwaidan Bakheit Al Shukaili</v>
          </cell>
          <cell r="D28" t="str">
            <v>Casual Labour</v>
          </cell>
          <cell r="E28">
            <v>39634</v>
          </cell>
          <cell r="F28">
            <v>0.625</v>
          </cell>
          <cell r="G28">
            <v>1</v>
          </cell>
          <cell r="H28">
            <v>120</v>
          </cell>
          <cell r="I28">
            <v>25</v>
          </cell>
          <cell r="J28">
            <v>20</v>
          </cell>
          <cell r="K28">
            <v>30</v>
          </cell>
          <cell r="L28">
            <v>150</v>
          </cell>
          <cell r="M28">
            <v>24</v>
          </cell>
          <cell r="N28">
            <v>27</v>
          </cell>
          <cell r="O28">
            <v>0</v>
          </cell>
          <cell r="P28">
            <v>0</v>
          </cell>
          <cell r="Q28">
            <v>0</v>
          </cell>
          <cell r="R28">
            <v>27</v>
          </cell>
          <cell r="S28">
            <v>108</v>
          </cell>
          <cell r="T28">
            <v>22.5</v>
          </cell>
          <cell r="U28">
            <v>18</v>
          </cell>
          <cell r="V28">
            <v>27</v>
          </cell>
          <cell r="W28">
            <v>93.75</v>
          </cell>
          <cell r="X28">
            <v>24</v>
          </cell>
          <cell r="AC28">
            <v>293.25</v>
          </cell>
          <cell r="AF28">
            <v>0</v>
          </cell>
          <cell r="AG28">
            <v>293.25</v>
          </cell>
          <cell r="AK28" t="str">
            <v>Bank Muscat</v>
          </cell>
          <cell r="AL28" t="str">
            <v>Bahla Souq</v>
          </cell>
          <cell r="AM28" t="str">
            <v>191-107620084013</v>
          </cell>
        </row>
        <row r="29">
          <cell r="B29">
            <v>1871</v>
          </cell>
          <cell r="C29" t="str">
            <v>Khamis Sulaiyam Salim Al Mamari</v>
          </cell>
          <cell r="D29" t="str">
            <v>Casual Heavy Duty Driver</v>
          </cell>
          <cell r="E29">
            <v>39634</v>
          </cell>
          <cell r="F29">
            <v>0.9375</v>
          </cell>
          <cell r="G29">
            <v>1.5</v>
          </cell>
          <cell r="H29">
            <v>180</v>
          </cell>
          <cell r="I29">
            <v>40</v>
          </cell>
          <cell r="J29">
            <v>30</v>
          </cell>
          <cell r="K29">
            <v>45</v>
          </cell>
          <cell r="L29">
            <v>154</v>
          </cell>
          <cell r="M29">
            <v>24</v>
          </cell>
          <cell r="N29">
            <v>27</v>
          </cell>
          <cell r="O29">
            <v>0</v>
          </cell>
          <cell r="P29">
            <v>0</v>
          </cell>
          <cell r="Q29">
            <v>0</v>
          </cell>
          <cell r="R29">
            <v>27</v>
          </cell>
          <cell r="S29">
            <v>162</v>
          </cell>
          <cell r="T29">
            <v>36</v>
          </cell>
          <cell r="U29">
            <v>27</v>
          </cell>
          <cell r="V29">
            <v>40.5</v>
          </cell>
          <cell r="W29">
            <v>144.375</v>
          </cell>
          <cell r="X29">
            <v>36</v>
          </cell>
          <cell r="AC29">
            <v>445.875</v>
          </cell>
          <cell r="AF29">
            <v>0</v>
          </cell>
          <cell r="AG29">
            <v>445.875</v>
          </cell>
          <cell r="AK29" t="str">
            <v>Bank Muscat</v>
          </cell>
          <cell r="AL29" t="str">
            <v>Ibri / Dreiz</v>
          </cell>
          <cell r="AM29">
            <v>119132540084012</v>
          </cell>
        </row>
        <row r="30">
          <cell r="B30">
            <v>1872</v>
          </cell>
          <cell r="C30" t="str">
            <v>Mohammed Rashid Bukhit Al Ghafri</v>
          </cell>
          <cell r="D30" t="str">
            <v>Casual Labour</v>
          </cell>
          <cell r="E30">
            <v>39634</v>
          </cell>
          <cell r="F30">
            <v>0.625</v>
          </cell>
          <cell r="G30">
            <v>1</v>
          </cell>
          <cell r="H30">
            <v>120</v>
          </cell>
          <cell r="I30">
            <v>25</v>
          </cell>
          <cell r="J30">
            <v>20</v>
          </cell>
          <cell r="K30">
            <v>30</v>
          </cell>
          <cell r="L30">
            <v>50</v>
          </cell>
          <cell r="M30">
            <v>0</v>
          </cell>
          <cell r="N30">
            <v>13</v>
          </cell>
          <cell r="O30">
            <v>0</v>
          </cell>
          <cell r="P30">
            <v>0</v>
          </cell>
          <cell r="Q30">
            <v>0</v>
          </cell>
          <cell r="R30">
            <v>13</v>
          </cell>
          <cell r="S30">
            <v>52</v>
          </cell>
          <cell r="T30">
            <v>10.833333333333334</v>
          </cell>
          <cell r="U30">
            <v>8.6666666666666661</v>
          </cell>
          <cell r="V30">
            <v>13</v>
          </cell>
          <cell r="W30">
            <v>31.25</v>
          </cell>
          <cell r="X30">
            <v>0</v>
          </cell>
          <cell r="AC30">
            <v>115.75</v>
          </cell>
          <cell r="AF30">
            <v>0</v>
          </cell>
          <cell r="AG30">
            <v>115.75</v>
          </cell>
          <cell r="AK30" t="str">
            <v>Bank Muscat</v>
          </cell>
          <cell r="AL30" t="str">
            <v xml:space="preserve">Ibri  </v>
          </cell>
          <cell r="AM30" t="str">
            <v>0119-15184-0084-012</v>
          </cell>
        </row>
        <row r="31">
          <cell r="B31">
            <v>1873</v>
          </cell>
          <cell r="C31" t="str">
            <v>Masoud Nasser Mohammed Al Busaidi</v>
          </cell>
          <cell r="D31" t="str">
            <v>Casual Labour</v>
          </cell>
          <cell r="E31">
            <v>39634</v>
          </cell>
          <cell r="F31">
            <v>0.625</v>
          </cell>
          <cell r="G31">
            <v>1</v>
          </cell>
          <cell r="H31">
            <v>120</v>
          </cell>
          <cell r="I31">
            <v>25</v>
          </cell>
          <cell r="J31">
            <v>20</v>
          </cell>
          <cell r="K31">
            <v>30</v>
          </cell>
          <cell r="L31">
            <v>146</v>
          </cell>
          <cell r="M31">
            <v>24</v>
          </cell>
          <cell r="N31">
            <v>27</v>
          </cell>
          <cell r="O31">
            <v>0</v>
          </cell>
          <cell r="P31">
            <v>0</v>
          </cell>
          <cell r="Q31">
            <v>0</v>
          </cell>
          <cell r="R31">
            <v>27</v>
          </cell>
          <cell r="S31">
            <v>108</v>
          </cell>
          <cell r="T31">
            <v>22.5</v>
          </cell>
          <cell r="U31">
            <v>18</v>
          </cell>
          <cell r="V31">
            <v>27</v>
          </cell>
          <cell r="W31">
            <v>91.25</v>
          </cell>
          <cell r="X31">
            <v>24</v>
          </cell>
          <cell r="AC31">
            <v>290.75</v>
          </cell>
          <cell r="AF31">
            <v>0</v>
          </cell>
          <cell r="AG31">
            <v>290.75</v>
          </cell>
          <cell r="AK31" t="str">
            <v>Bank Muscat</v>
          </cell>
          <cell r="AL31" t="str">
            <v>Ghala</v>
          </cell>
          <cell r="AM31" t="str">
            <v>0059-99800-0084-019</v>
          </cell>
        </row>
        <row r="32">
          <cell r="B32">
            <v>1874</v>
          </cell>
          <cell r="C32" t="str">
            <v>Said Nasser Mohammed Al Busaidi</v>
          </cell>
          <cell r="D32" t="str">
            <v>Casual Labour</v>
          </cell>
          <cell r="E32">
            <v>39634</v>
          </cell>
          <cell r="F32">
            <v>0.625</v>
          </cell>
          <cell r="G32">
            <v>1</v>
          </cell>
          <cell r="H32">
            <v>120</v>
          </cell>
          <cell r="I32">
            <v>25</v>
          </cell>
          <cell r="J32">
            <v>20</v>
          </cell>
          <cell r="K32">
            <v>30</v>
          </cell>
          <cell r="L32">
            <v>193</v>
          </cell>
          <cell r="M32">
            <v>24</v>
          </cell>
          <cell r="N32">
            <v>27</v>
          </cell>
          <cell r="O32">
            <v>0</v>
          </cell>
          <cell r="P32">
            <v>0</v>
          </cell>
          <cell r="Q32">
            <v>0</v>
          </cell>
          <cell r="R32">
            <v>27</v>
          </cell>
          <cell r="S32">
            <v>108</v>
          </cell>
          <cell r="T32">
            <v>22.5</v>
          </cell>
          <cell r="U32">
            <v>18</v>
          </cell>
          <cell r="V32">
            <v>27</v>
          </cell>
          <cell r="W32">
            <v>120.625</v>
          </cell>
          <cell r="X32">
            <v>24</v>
          </cell>
          <cell r="AC32">
            <v>320.125</v>
          </cell>
          <cell r="AF32">
            <v>0</v>
          </cell>
          <cell r="AG32">
            <v>320.125</v>
          </cell>
          <cell r="AK32" t="str">
            <v>Bank Muscat</v>
          </cell>
          <cell r="AL32" t="str">
            <v>Ghala</v>
          </cell>
          <cell r="AM32" t="str">
            <v>0059-72618-0084-018</v>
          </cell>
        </row>
        <row r="33">
          <cell r="B33">
            <v>1875</v>
          </cell>
          <cell r="C33" t="str">
            <v>Saif Nasser Mohammed Al Busaidi</v>
          </cell>
          <cell r="D33" t="str">
            <v>Casual Labour</v>
          </cell>
          <cell r="E33">
            <v>39634</v>
          </cell>
          <cell r="F33">
            <v>0.625</v>
          </cell>
          <cell r="G33">
            <v>1</v>
          </cell>
          <cell r="H33">
            <v>120</v>
          </cell>
          <cell r="I33">
            <v>25</v>
          </cell>
          <cell r="J33">
            <v>20</v>
          </cell>
          <cell r="K33">
            <v>30</v>
          </cell>
          <cell r="L33">
            <v>197</v>
          </cell>
          <cell r="M33">
            <v>24</v>
          </cell>
          <cell r="N33">
            <v>27</v>
          </cell>
          <cell r="O33">
            <v>0</v>
          </cell>
          <cell r="P33">
            <v>0</v>
          </cell>
          <cell r="Q33">
            <v>0</v>
          </cell>
          <cell r="R33">
            <v>27</v>
          </cell>
          <cell r="S33">
            <v>108</v>
          </cell>
          <cell r="T33">
            <v>22.5</v>
          </cell>
          <cell r="U33">
            <v>18</v>
          </cell>
          <cell r="V33">
            <v>27</v>
          </cell>
          <cell r="W33">
            <v>123.125</v>
          </cell>
          <cell r="X33">
            <v>24</v>
          </cell>
          <cell r="AC33">
            <v>322.625</v>
          </cell>
          <cell r="AF33">
            <v>0</v>
          </cell>
          <cell r="AG33">
            <v>322.625</v>
          </cell>
          <cell r="AK33" t="str">
            <v>Bank Muscat</v>
          </cell>
          <cell r="AL33" t="str">
            <v>Ghala</v>
          </cell>
          <cell r="AM33" t="str">
            <v>0059-72691-0084-017</v>
          </cell>
        </row>
        <row r="34">
          <cell r="B34">
            <v>1877</v>
          </cell>
          <cell r="C34" t="str">
            <v>Aadil Rashid Habib Al Daghari</v>
          </cell>
          <cell r="D34" t="str">
            <v>Casual Labour</v>
          </cell>
          <cell r="E34">
            <v>39634</v>
          </cell>
          <cell r="F34">
            <v>0.625</v>
          </cell>
          <cell r="G34">
            <v>1</v>
          </cell>
          <cell r="H34">
            <v>120</v>
          </cell>
          <cell r="I34">
            <v>25</v>
          </cell>
          <cell r="J34">
            <v>20</v>
          </cell>
          <cell r="K34">
            <v>30</v>
          </cell>
          <cell r="L34">
            <v>176</v>
          </cell>
          <cell r="M34">
            <v>24</v>
          </cell>
          <cell r="N34">
            <v>27</v>
          </cell>
          <cell r="O34">
            <v>0</v>
          </cell>
          <cell r="P34">
            <v>0</v>
          </cell>
          <cell r="Q34">
            <v>0</v>
          </cell>
          <cell r="R34">
            <v>27</v>
          </cell>
          <cell r="S34">
            <v>108</v>
          </cell>
          <cell r="T34">
            <v>22.5</v>
          </cell>
          <cell r="U34">
            <v>18</v>
          </cell>
          <cell r="V34">
            <v>27</v>
          </cell>
          <cell r="W34">
            <v>110</v>
          </cell>
          <cell r="X34">
            <v>24</v>
          </cell>
          <cell r="AC34">
            <v>309.5</v>
          </cell>
          <cell r="AF34">
            <v>0</v>
          </cell>
          <cell r="AG34">
            <v>309.5</v>
          </cell>
          <cell r="AK34" t="str">
            <v>Oman International Bank</v>
          </cell>
          <cell r="AL34" t="str">
            <v>Nizwa</v>
          </cell>
          <cell r="AM34" t="str">
            <v>35-017854-29-01</v>
          </cell>
        </row>
        <row r="35">
          <cell r="B35">
            <v>1879</v>
          </cell>
          <cell r="C35" t="str">
            <v>Ghanim Mubarak Hamed Al Daraai</v>
          </cell>
          <cell r="D35" t="str">
            <v>Casual Light Duty Driver</v>
          </cell>
          <cell r="E35">
            <v>39635</v>
          </cell>
          <cell r="F35">
            <v>0.78125</v>
          </cell>
          <cell r="G35">
            <v>1.25</v>
          </cell>
          <cell r="H35">
            <v>150</v>
          </cell>
          <cell r="I35">
            <v>30</v>
          </cell>
          <cell r="J35">
            <v>25</v>
          </cell>
          <cell r="K35">
            <v>40</v>
          </cell>
          <cell r="L35">
            <v>129</v>
          </cell>
          <cell r="M35">
            <v>24</v>
          </cell>
          <cell r="N35">
            <v>25</v>
          </cell>
          <cell r="O35">
            <v>0</v>
          </cell>
          <cell r="P35">
            <v>0</v>
          </cell>
          <cell r="Q35">
            <v>0</v>
          </cell>
          <cell r="R35">
            <v>25</v>
          </cell>
          <cell r="S35">
            <v>125</v>
          </cell>
          <cell r="T35">
            <v>25</v>
          </cell>
          <cell r="U35">
            <v>20.833333333333336</v>
          </cell>
          <cell r="V35">
            <v>33.333333333333329</v>
          </cell>
          <cell r="W35">
            <v>100.78125</v>
          </cell>
          <cell r="X35">
            <v>30</v>
          </cell>
          <cell r="AC35">
            <v>334.94791666666669</v>
          </cell>
          <cell r="AF35">
            <v>0</v>
          </cell>
          <cell r="AG35">
            <v>334.94791666666669</v>
          </cell>
          <cell r="AK35" t="str">
            <v>Bank Muscat</v>
          </cell>
          <cell r="AL35" t="str">
            <v xml:space="preserve">Bahla   </v>
          </cell>
          <cell r="AM35" t="str">
            <v>062-186280084-019</v>
          </cell>
        </row>
        <row r="36">
          <cell r="B36">
            <v>1880</v>
          </cell>
          <cell r="C36" t="str">
            <v>Adnan Khalfan Sulaiman Al Rahbi</v>
          </cell>
          <cell r="D36" t="str">
            <v>Casual Labour</v>
          </cell>
          <cell r="E36">
            <v>39636</v>
          </cell>
          <cell r="F36">
            <v>0.625</v>
          </cell>
          <cell r="G36">
            <v>1</v>
          </cell>
          <cell r="H36">
            <v>120</v>
          </cell>
          <cell r="I36">
            <v>25</v>
          </cell>
          <cell r="J36">
            <v>20</v>
          </cell>
          <cell r="K36">
            <v>30</v>
          </cell>
          <cell r="L36">
            <v>146</v>
          </cell>
          <cell r="M36">
            <v>24</v>
          </cell>
          <cell r="N36">
            <v>25</v>
          </cell>
          <cell r="O36">
            <v>0</v>
          </cell>
          <cell r="P36">
            <v>0</v>
          </cell>
          <cell r="Q36">
            <v>0</v>
          </cell>
          <cell r="R36">
            <v>25</v>
          </cell>
          <cell r="S36">
            <v>100</v>
          </cell>
          <cell r="T36">
            <v>20.833333333333336</v>
          </cell>
          <cell r="U36">
            <v>16.666666666666664</v>
          </cell>
          <cell r="V36">
            <v>25</v>
          </cell>
          <cell r="W36">
            <v>91.25</v>
          </cell>
          <cell r="X36">
            <v>24</v>
          </cell>
          <cell r="AC36">
            <v>277.75</v>
          </cell>
          <cell r="AF36">
            <v>0</v>
          </cell>
          <cell r="AG36">
            <v>277.75</v>
          </cell>
          <cell r="AK36">
            <v>0</v>
          </cell>
          <cell r="AL36">
            <v>0</v>
          </cell>
          <cell r="AM36">
            <v>0</v>
          </cell>
        </row>
        <row r="37">
          <cell r="B37">
            <v>1881</v>
          </cell>
          <cell r="C37" t="str">
            <v>Kharoos Zaher Mohammed Al Shidhani</v>
          </cell>
          <cell r="D37" t="str">
            <v>Casual Labour</v>
          </cell>
          <cell r="E37">
            <v>39636</v>
          </cell>
          <cell r="F37">
            <v>0.625</v>
          </cell>
          <cell r="G37">
            <v>1</v>
          </cell>
          <cell r="H37">
            <v>120</v>
          </cell>
          <cell r="I37">
            <v>25</v>
          </cell>
          <cell r="J37">
            <v>20</v>
          </cell>
          <cell r="K37">
            <v>30</v>
          </cell>
          <cell r="L37">
            <v>78</v>
          </cell>
          <cell r="M37">
            <v>0</v>
          </cell>
          <cell r="N37">
            <v>17</v>
          </cell>
          <cell r="O37">
            <v>0</v>
          </cell>
          <cell r="P37">
            <v>0</v>
          </cell>
          <cell r="Q37">
            <v>0</v>
          </cell>
          <cell r="R37">
            <v>17</v>
          </cell>
          <cell r="S37">
            <v>68</v>
          </cell>
          <cell r="T37">
            <v>14.166666666666668</v>
          </cell>
          <cell r="U37">
            <v>11.333333333333332</v>
          </cell>
          <cell r="V37">
            <v>17</v>
          </cell>
          <cell r="W37">
            <v>48.75</v>
          </cell>
          <cell r="X37">
            <v>0</v>
          </cell>
          <cell r="AC37">
            <v>159.25</v>
          </cell>
          <cell r="AF37">
            <v>0</v>
          </cell>
          <cell r="AG37">
            <v>159.25</v>
          </cell>
          <cell r="AK37" t="str">
            <v>Bank Muscat</v>
          </cell>
          <cell r="AL37">
            <v>0</v>
          </cell>
          <cell r="AM37" t="str">
            <v>0131-21532-0084-019</v>
          </cell>
        </row>
        <row r="38">
          <cell r="B38">
            <v>1882</v>
          </cell>
          <cell r="C38" t="str">
            <v>Talal Salim Ali Al Busaidi</v>
          </cell>
          <cell r="D38" t="str">
            <v>Casual Labour</v>
          </cell>
          <cell r="E38">
            <v>39636</v>
          </cell>
          <cell r="F38">
            <v>0.625</v>
          </cell>
          <cell r="G38">
            <v>1</v>
          </cell>
          <cell r="H38">
            <v>120</v>
          </cell>
          <cell r="I38">
            <v>25</v>
          </cell>
          <cell r="J38">
            <v>20</v>
          </cell>
          <cell r="K38">
            <v>30</v>
          </cell>
          <cell r="L38">
            <v>62</v>
          </cell>
          <cell r="M38">
            <v>0</v>
          </cell>
          <cell r="N38">
            <v>15</v>
          </cell>
          <cell r="O38">
            <v>0</v>
          </cell>
          <cell r="P38">
            <v>0</v>
          </cell>
          <cell r="Q38">
            <v>0</v>
          </cell>
          <cell r="R38">
            <v>15</v>
          </cell>
          <cell r="S38">
            <v>60</v>
          </cell>
          <cell r="T38">
            <v>12.5</v>
          </cell>
          <cell r="U38">
            <v>10</v>
          </cell>
          <cell r="V38">
            <v>15</v>
          </cell>
          <cell r="W38">
            <v>38.75</v>
          </cell>
          <cell r="X38">
            <v>0</v>
          </cell>
          <cell r="AC38">
            <v>136.25</v>
          </cell>
          <cell r="AF38">
            <v>0</v>
          </cell>
          <cell r="AG38">
            <v>136.25</v>
          </cell>
          <cell r="AK38" t="str">
            <v>Bank Muscat</v>
          </cell>
          <cell r="AL38" t="str">
            <v>Adam</v>
          </cell>
          <cell r="AM38">
            <v>3883667</v>
          </cell>
        </row>
        <row r="39">
          <cell r="B39">
            <v>1883</v>
          </cell>
          <cell r="C39" t="str">
            <v>Suod Ali Said Al Busaidi</v>
          </cell>
          <cell r="D39" t="str">
            <v>Casual Labour</v>
          </cell>
          <cell r="E39">
            <v>39637</v>
          </cell>
          <cell r="F39">
            <v>0.625</v>
          </cell>
          <cell r="G39">
            <v>1</v>
          </cell>
          <cell r="H39">
            <v>120</v>
          </cell>
          <cell r="I39">
            <v>25</v>
          </cell>
          <cell r="J39">
            <v>20</v>
          </cell>
          <cell r="K39">
            <v>30</v>
          </cell>
          <cell r="L39">
            <v>92</v>
          </cell>
          <cell r="M39">
            <v>24</v>
          </cell>
          <cell r="N39">
            <v>24</v>
          </cell>
          <cell r="O39">
            <v>0</v>
          </cell>
          <cell r="P39">
            <v>0</v>
          </cell>
          <cell r="Q39">
            <v>0</v>
          </cell>
          <cell r="R39">
            <v>24</v>
          </cell>
          <cell r="S39">
            <v>96</v>
          </cell>
          <cell r="T39">
            <v>20</v>
          </cell>
          <cell r="U39">
            <v>16</v>
          </cell>
          <cell r="V39">
            <v>24</v>
          </cell>
          <cell r="W39">
            <v>57.5</v>
          </cell>
          <cell r="X39">
            <v>24</v>
          </cell>
          <cell r="AC39">
            <v>237.5</v>
          </cell>
          <cell r="AF39">
            <v>0</v>
          </cell>
          <cell r="AG39">
            <v>237.5</v>
          </cell>
          <cell r="AK39" t="str">
            <v>Oman International Bank</v>
          </cell>
          <cell r="AL39" t="str">
            <v>Adam</v>
          </cell>
          <cell r="AM39" t="str">
            <v>28-113546-20</v>
          </cell>
        </row>
        <row r="40">
          <cell r="B40">
            <v>1884</v>
          </cell>
          <cell r="C40" t="str">
            <v>Ahmed Ziyad Sulaiman Al Khasaibi</v>
          </cell>
          <cell r="D40" t="str">
            <v>Casual Labour</v>
          </cell>
          <cell r="E40">
            <v>39637</v>
          </cell>
          <cell r="F40">
            <v>0.625</v>
          </cell>
          <cell r="G40">
            <v>1</v>
          </cell>
          <cell r="H40">
            <v>120</v>
          </cell>
          <cell r="I40">
            <v>25</v>
          </cell>
          <cell r="J40">
            <v>20</v>
          </cell>
          <cell r="K40">
            <v>30</v>
          </cell>
          <cell r="L40">
            <v>28</v>
          </cell>
          <cell r="M40">
            <v>0</v>
          </cell>
          <cell r="N40">
            <v>9</v>
          </cell>
          <cell r="O40">
            <v>0</v>
          </cell>
          <cell r="P40">
            <v>0</v>
          </cell>
          <cell r="Q40">
            <v>0</v>
          </cell>
          <cell r="R40">
            <v>9</v>
          </cell>
          <cell r="S40">
            <v>36</v>
          </cell>
          <cell r="T40">
            <v>7.5</v>
          </cell>
          <cell r="U40">
            <v>6</v>
          </cell>
          <cell r="V40">
            <v>9</v>
          </cell>
          <cell r="W40">
            <v>17.5</v>
          </cell>
          <cell r="X40">
            <v>0</v>
          </cell>
          <cell r="AC40">
            <v>76</v>
          </cell>
          <cell r="AF40">
            <v>0</v>
          </cell>
          <cell r="AG40">
            <v>76</v>
          </cell>
          <cell r="AK40" t="str">
            <v>Bank Muscat</v>
          </cell>
          <cell r="AL40" t="str">
            <v>Adam</v>
          </cell>
          <cell r="AM40">
            <v>12922227</v>
          </cell>
        </row>
        <row r="41">
          <cell r="B41">
            <v>1885</v>
          </cell>
          <cell r="C41" t="str">
            <v>Mohammed Sulaiman Saif Al Al Mahrouqi</v>
          </cell>
          <cell r="D41" t="str">
            <v>Casual Labour</v>
          </cell>
          <cell r="E41">
            <v>39637</v>
          </cell>
          <cell r="F41">
            <v>0.625</v>
          </cell>
          <cell r="G41">
            <v>1</v>
          </cell>
          <cell r="H41">
            <v>120</v>
          </cell>
          <cell r="I41">
            <v>25</v>
          </cell>
          <cell r="J41">
            <v>20</v>
          </cell>
          <cell r="K41">
            <v>30</v>
          </cell>
          <cell r="L41">
            <v>122</v>
          </cell>
          <cell r="M41">
            <v>12</v>
          </cell>
          <cell r="N41">
            <v>21</v>
          </cell>
          <cell r="O41">
            <v>0</v>
          </cell>
          <cell r="P41">
            <v>3</v>
          </cell>
          <cell r="Q41">
            <v>0</v>
          </cell>
          <cell r="R41">
            <v>24</v>
          </cell>
          <cell r="S41">
            <v>96</v>
          </cell>
          <cell r="T41">
            <v>20</v>
          </cell>
          <cell r="U41">
            <v>16</v>
          </cell>
          <cell r="V41">
            <v>21</v>
          </cell>
          <cell r="W41">
            <v>76.25</v>
          </cell>
          <cell r="X41">
            <v>12</v>
          </cell>
          <cell r="AC41">
            <v>241.25</v>
          </cell>
          <cell r="AF41">
            <v>0</v>
          </cell>
          <cell r="AG41">
            <v>241.25</v>
          </cell>
          <cell r="AK41" t="str">
            <v>Oman International Bank</v>
          </cell>
          <cell r="AL41" t="str">
            <v>Adam</v>
          </cell>
          <cell r="AM41" t="str">
            <v>28-113553-20</v>
          </cell>
        </row>
        <row r="42">
          <cell r="B42">
            <v>1886</v>
          </cell>
          <cell r="C42" t="str">
            <v>Younis Ali Said Al Mahrouqi</v>
          </cell>
          <cell r="D42" t="str">
            <v>Casual Labour</v>
          </cell>
          <cell r="E42">
            <v>39637</v>
          </cell>
          <cell r="F42">
            <v>0.625</v>
          </cell>
          <cell r="G42">
            <v>1</v>
          </cell>
          <cell r="H42">
            <v>120</v>
          </cell>
          <cell r="I42">
            <v>25</v>
          </cell>
          <cell r="J42">
            <v>20</v>
          </cell>
          <cell r="K42">
            <v>30</v>
          </cell>
          <cell r="L42">
            <v>128</v>
          </cell>
          <cell r="M42">
            <v>24</v>
          </cell>
          <cell r="N42">
            <v>24</v>
          </cell>
          <cell r="O42">
            <v>0</v>
          </cell>
          <cell r="P42">
            <v>0</v>
          </cell>
          <cell r="Q42">
            <v>0</v>
          </cell>
          <cell r="R42">
            <v>24</v>
          </cell>
          <cell r="S42">
            <v>96</v>
          </cell>
          <cell r="T42">
            <v>20</v>
          </cell>
          <cell r="U42">
            <v>16</v>
          </cell>
          <cell r="V42">
            <v>24</v>
          </cell>
          <cell r="W42">
            <v>80</v>
          </cell>
          <cell r="X42">
            <v>24</v>
          </cell>
          <cell r="AC42">
            <v>260</v>
          </cell>
          <cell r="AF42">
            <v>0</v>
          </cell>
          <cell r="AG42">
            <v>260</v>
          </cell>
          <cell r="AK42" t="str">
            <v>Bank Muscat</v>
          </cell>
          <cell r="AL42">
            <v>0</v>
          </cell>
          <cell r="AM42" t="str">
            <v>0121-15561-0084-015</v>
          </cell>
        </row>
        <row r="43">
          <cell r="B43">
            <v>1887</v>
          </cell>
          <cell r="C43" t="str">
            <v>Shihab Nasser Ahmed Al Sheibabi</v>
          </cell>
          <cell r="D43" t="str">
            <v>Casual Labour</v>
          </cell>
          <cell r="E43">
            <v>39637</v>
          </cell>
          <cell r="F43">
            <v>0.625</v>
          </cell>
          <cell r="G43">
            <v>1</v>
          </cell>
          <cell r="H43">
            <v>120</v>
          </cell>
          <cell r="I43">
            <v>25</v>
          </cell>
          <cell r="J43">
            <v>20</v>
          </cell>
          <cell r="K43">
            <v>30</v>
          </cell>
          <cell r="L43">
            <v>40</v>
          </cell>
          <cell r="M43">
            <v>0</v>
          </cell>
          <cell r="N43">
            <v>10</v>
          </cell>
          <cell r="O43">
            <v>0</v>
          </cell>
          <cell r="P43">
            <v>0</v>
          </cell>
          <cell r="Q43">
            <v>0</v>
          </cell>
          <cell r="R43">
            <v>10</v>
          </cell>
          <cell r="S43">
            <v>40</v>
          </cell>
          <cell r="T43">
            <v>8.3333333333333339</v>
          </cell>
          <cell r="U43">
            <v>6.6666666666666661</v>
          </cell>
          <cell r="V43">
            <v>10</v>
          </cell>
          <cell r="W43">
            <v>25</v>
          </cell>
          <cell r="X43">
            <v>0</v>
          </cell>
          <cell r="AC43">
            <v>90</v>
          </cell>
          <cell r="AF43">
            <v>0</v>
          </cell>
          <cell r="AG43">
            <v>90</v>
          </cell>
          <cell r="AK43" t="str">
            <v>Bank Muscat</v>
          </cell>
          <cell r="AL43">
            <v>0</v>
          </cell>
          <cell r="AM43" t="str">
            <v>0121-15873-0084-018</v>
          </cell>
        </row>
        <row r="44">
          <cell r="B44">
            <v>1888</v>
          </cell>
          <cell r="C44" t="str">
            <v>Sameer Saleem Muslem Rasheed Al Asmi</v>
          </cell>
          <cell r="D44" t="str">
            <v>Casual Labour</v>
          </cell>
          <cell r="E44">
            <v>39637</v>
          </cell>
          <cell r="F44">
            <v>0.625</v>
          </cell>
          <cell r="G44">
            <v>1</v>
          </cell>
          <cell r="H44">
            <v>120</v>
          </cell>
          <cell r="I44">
            <v>25</v>
          </cell>
          <cell r="J44">
            <v>20</v>
          </cell>
          <cell r="K44">
            <v>30</v>
          </cell>
          <cell r="L44">
            <v>64</v>
          </cell>
          <cell r="M44">
            <v>0</v>
          </cell>
          <cell r="N44">
            <v>12</v>
          </cell>
          <cell r="O44">
            <v>0</v>
          </cell>
          <cell r="P44">
            <v>0</v>
          </cell>
          <cell r="Q44">
            <v>0</v>
          </cell>
          <cell r="R44">
            <v>12</v>
          </cell>
          <cell r="S44">
            <v>48</v>
          </cell>
          <cell r="T44">
            <v>10</v>
          </cell>
          <cell r="U44">
            <v>8</v>
          </cell>
          <cell r="V44">
            <v>12</v>
          </cell>
          <cell r="W44">
            <v>40</v>
          </cell>
          <cell r="X44">
            <v>0</v>
          </cell>
          <cell r="AC44">
            <v>118</v>
          </cell>
          <cell r="AF44">
            <v>0</v>
          </cell>
          <cell r="AG44">
            <v>118</v>
          </cell>
          <cell r="AK44" t="str">
            <v>Bank Muscat</v>
          </cell>
          <cell r="AL44" t="str">
            <v>Adam</v>
          </cell>
          <cell r="AM44" t="str">
            <v>0129-248960084-011</v>
          </cell>
        </row>
        <row r="45">
          <cell r="B45">
            <v>1889</v>
          </cell>
          <cell r="C45" t="str">
            <v>Sami Ali Abdullah Al Hattali</v>
          </cell>
          <cell r="D45" t="str">
            <v>Casual Labour</v>
          </cell>
          <cell r="E45">
            <v>39637</v>
          </cell>
          <cell r="F45">
            <v>0.625</v>
          </cell>
          <cell r="G45">
            <v>1</v>
          </cell>
          <cell r="H45">
            <v>120</v>
          </cell>
          <cell r="I45">
            <v>25</v>
          </cell>
          <cell r="J45">
            <v>20</v>
          </cell>
          <cell r="K45">
            <v>30</v>
          </cell>
          <cell r="L45">
            <v>48</v>
          </cell>
          <cell r="M45">
            <v>24</v>
          </cell>
          <cell r="N45">
            <v>24</v>
          </cell>
          <cell r="O45">
            <v>0</v>
          </cell>
          <cell r="P45">
            <v>0</v>
          </cell>
          <cell r="Q45">
            <v>0</v>
          </cell>
          <cell r="R45">
            <v>24</v>
          </cell>
          <cell r="S45">
            <v>96</v>
          </cell>
          <cell r="T45">
            <v>20</v>
          </cell>
          <cell r="U45">
            <v>16</v>
          </cell>
          <cell r="V45">
            <v>24</v>
          </cell>
          <cell r="W45">
            <v>30</v>
          </cell>
          <cell r="X45">
            <v>24</v>
          </cell>
          <cell r="AC45">
            <v>210</v>
          </cell>
          <cell r="AF45">
            <v>0</v>
          </cell>
          <cell r="AG45">
            <v>210</v>
          </cell>
          <cell r="AK45" t="str">
            <v>Bank Muscat</v>
          </cell>
          <cell r="AL45">
            <v>0</v>
          </cell>
          <cell r="AM45" t="str">
            <v>0062-21961-0084-019</v>
          </cell>
        </row>
        <row r="46">
          <cell r="B46">
            <v>1890</v>
          </cell>
          <cell r="C46" t="str">
            <v>Yasir Said Mohammed Al Raqmi</v>
          </cell>
          <cell r="D46" t="str">
            <v>Casual Labour</v>
          </cell>
          <cell r="E46">
            <v>39637</v>
          </cell>
          <cell r="F46">
            <v>0.625</v>
          </cell>
          <cell r="G46">
            <v>1</v>
          </cell>
          <cell r="H46">
            <v>120</v>
          </cell>
          <cell r="I46">
            <v>25</v>
          </cell>
          <cell r="J46">
            <v>20</v>
          </cell>
          <cell r="K46">
            <v>30</v>
          </cell>
          <cell r="L46">
            <v>32</v>
          </cell>
          <cell r="M46">
            <v>0</v>
          </cell>
          <cell r="N46">
            <v>9</v>
          </cell>
          <cell r="O46">
            <v>0</v>
          </cell>
          <cell r="P46">
            <v>0</v>
          </cell>
          <cell r="Q46">
            <v>0</v>
          </cell>
          <cell r="R46">
            <v>9</v>
          </cell>
          <cell r="S46">
            <v>36</v>
          </cell>
          <cell r="T46">
            <v>7.5</v>
          </cell>
          <cell r="U46">
            <v>6</v>
          </cell>
          <cell r="V46">
            <v>9</v>
          </cell>
          <cell r="W46">
            <v>20</v>
          </cell>
          <cell r="X46">
            <v>0</v>
          </cell>
          <cell r="AC46">
            <v>78.5</v>
          </cell>
          <cell r="AF46">
            <v>0</v>
          </cell>
          <cell r="AG46">
            <v>78.5</v>
          </cell>
          <cell r="AK46" t="str">
            <v>Bank Muscat</v>
          </cell>
          <cell r="AL46">
            <v>0</v>
          </cell>
          <cell r="AM46">
            <v>4920128</v>
          </cell>
        </row>
        <row r="47">
          <cell r="B47">
            <v>1891</v>
          </cell>
          <cell r="C47" t="str">
            <v>Walid Salim Hamed Al Shukaili</v>
          </cell>
          <cell r="D47" t="str">
            <v>Casual Labour</v>
          </cell>
          <cell r="E47">
            <v>39637</v>
          </cell>
          <cell r="F47">
            <v>0.625</v>
          </cell>
          <cell r="G47">
            <v>1</v>
          </cell>
          <cell r="H47">
            <v>120</v>
          </cell>
          <cell r="I47">
            <v>25</v>
          </cell>
          <cell r="J47">
            <v>20</v>
          </cell>
          <cell r="K47">
            <v>30</v>
          </cell>
          <cell r="L47">
            <v>124</v>
          </cell>
          <cell r="M47">
            <v>24</v>
          </cell>
          <cell r="N47">
            <v>24</v>
          </cell>
          <cell r="O47">
            <v>0</v>
          </cell>
          <cell r="P47">
            <v>0</v>
          </cell>
          <cell r="Q47">
            <v>0</v>
          </cell>
          <cell r="R47">
            <v>24</v>
          </cell>
          <cell r="S47">
            <v>96</v>
          </cell>
          <cell r="T47">
            <v>20</v>
          </cell>
          <cell r="U47">
            <v>16</v>
          </cell>
          <cell r="V47">
            <v>24</v>
          </cell>
          <cell r="W47">
            <v>77.5</v>
          </cell>
          <cell r="X47">
            <v>24</v>
          </cell>
          <cell r="AC47">
            <v>257.5</v>
          </cell>
          <cell r="AF47">
            <v>0</v>
          </cell>
          <cell r="AG47">
            <v>257.5</v>
          </cell>
          <cell r="AK47" t="str">
            <v>Bank Muscat</v>
          </cell>
          <cell r="AL47">
            <v>0</v>
          </cell>
          <cell r="AM47" t="str">
            <v>0062-22047-0084-014</v>
          </cell>
        </row>
        <row r="48">
          <cell r="B48">
            <v>1893</v>
          </cell>
          <cell r="C48" t="str">
            <v>Majib Abdullah Masoud Al Qassabi</v>
          </cell>
          <cell r="D48" t="str">
            <v>Casual Labour</v>
          </cell>
          <cell r="E48">
            <v>39637</v>
          </cell>
          <cell r="F48">
            <v>0.625</v>
          </cell>
          <cell r="G48">
            <v>1</v>
          </cell>
          <cell r="H48">
            <v>120</v>
          </cell>
          <cell r="I48">
            <v>25</v>
          </cell>
          <cell r="J48">
            <v>20</v>
          </cell>
          <cell r="K48">
            <v>30</v>
          </cell>
          <cell r="L48">
            <v>128</v>
          </cell>
          <cell r="M48">
            <v>24</v>
          </cell>
          <cell r="N48">
            <v>24</v>
          </cell>
          <cell r="O48">
            <v>0</v>
          </cell>
          <cell r="P48">
            <v>0</v>
          </cell>
          <cell r="Q48">
            <v>0</v>
          </cell>
          <cell r="R48">
            <v>24</v>
          </cell>
          <cell r="S48">
            <v>96</v>
          </cell>
          <cell r="T48">
            <v>20</v>
          </cell>
          <cell r="U48">
            <v>16</v>
          </cell>
          <cell r="V48">
            <v>24</v>
          </cell>
          <cell r="W48">
            <v>80</v>
          </cell>
          <cell r="X48">
            <v>24</v>
          </cell>
          <cell r="AC48">
            <v>260</v>
          </cell>
          <cell r="AF48">
            <v>0</v>
          </cell>
          <cell r="AG48">
            <v>260</v>
          </cell>
          <cell r="AK48" t="str">
            <v>Bank Muscat</v>
          </cell>
          <cell r="AL48">
            <v>0</v>
          </cell>
          <cell r="AM48" t="str">
            <v>0062-21988-084-017</v>
          </cell>
        </row>
        <row r="49">
          <cell r="B49">
            <v>1894</v>
          </cell>
          <cell r="C49" t="str">
            <v>Jamal Abdullah Said Al Mahrouqi</v>
          </cell>
          <cell r="D49" t="str">
            <v>Casual Labour</v>
          </cell>
          <cell r="E49">
            <v>39637</v>
          </cell>
          <cell r="F49">
            <v>0.625</v>
          </cell>
          <cell r="G49">
            <v>1</v>
          </cell>
          <cell r="H49">
            <v>120</v>
          </cell>
          <cell r="I49">
            <v>25</v>
          </cell>
          <cell r="J49">
            <v>20</v>
          </cell>
          <cell r="K49">
            <v>30</v>
          </cell>
          <cell r="L49">
            <v>132</v>
          </cell>
          <cell r="M49">
            <v>24</v>
          </cell>
          <cell r="N49">
            <v>24</v>
          </cell>
          <cell r="O49">
            <v>0</v>
          </cell>
          <cell r="P49">
            <v>0</v>
          </cell>
          <cell r="Q49">
            <v>0</v>
          </cell>
          <cell r="R49">
            <v>24</v>
          </cell>
          <cell r="S49">
            <v>96</v>
          </cell>
          <cell r="T49">
            <v>20</v>
          </cell>
          <cell r="U49">
            <v>16</v>
          </cell>
          <cell r="V49">
            <v>24</v>
          </cell>
          <cell r="W49">
            <v>82.5</v>
          </cell>
          <cell r="X49">
            <v>24</v>
          </cell>
          <cell r="AC49">
            <v>262.5</v>
          </cell>
          <cell r="AF49">
            <v>0</v>
          </cell>
          <cell r="AG49">
            <v>262.5</v>
          </cell>
          <cell r="AK49" t="str">
            <v>Bank Muscat</v>
          </cell>
          <cell r="AL49">
            <v>0</v>
          </cell>
          <cell r="AM49" t="str">
            <v>0121-15649-0084-010</v>
          </cell>
        </row>
        <row r="50">
          <cell r="B50">
            <v>1895</v>
          </cell>
          <cell r="C50" t="str">
            <v>Sultan Khalifa Khalaf Al Riyami</v>
          </cell>
          <cell r="D50" t="str">
            <v>Casual Labour</v>
          </cell>
          <cell r="E50">
            <v>39637</v>
          </cell>
          <cell r="F50">
            <v>0.625</v>
          </cell>
          <cell r="G50">
            <v>1</v>
          </cell>
          <cell r="H50">
            <v>120</v>
          </cell>
          <cell r="I50">
            <v>25</v>
          </cell>
          <cell r="J50">
            <v>20</v>
          </cell>
          <cell r="K50">
            <v>30</v>
          </cell>
          <cell r="L50">
            <v>137</v>
          </cell>
          <cell r="M50">
            <v>24</v>
          </cell>
          <cell r="N50">
            <v>24</v>
          </cell>
          <cell r="O50">
            <v>0</v>
          </cell>
          <cell r="P50">
            <v>0</v>
          </cell>
          <cell r="Q50">
            <v>0</v>
          </cell>
          <cell r="R50">
            <v>24</v>
          </cell>
          <cell r="S50">
            <v>96</v>
          </cell>
          <cell r="T50">
            <v>20</v>
          </cell>
          <cell r="U50">
            <v>16</v>
          </cell>
          <cell r="V50">
            <v>24</v>
          </cell>
          <cell r="W50">
            <v>85.625</v>
          </cell>
          <cell r="X50">
            <v>24</v>
          </cell>
          <cell r="AC50">
            <v>265.625</v>
          </cell>
          <cell r="AF50">
            <v>0</v>
          </cell>
          <cell r="AG50">
            <v>265.625</v>
          </cell>
          <cell r="AK50" t="str">
            <v>Bank Muscat</v>
          </cell>
          <cell r="AL50">
            <v>0</v>
          </cell>
          <cell r="AM50" t="str">
            <v>0128-20255-0084-017</v>
          </cell>
        </row>
        <row r="51">
          <cell r="B51">
            <v>1897</v>
          </cell>
          <cell r="C51" t="str">
            <v>Walid Mubarak Fadhil Al Asmi</v>
          </cell>
          <cell r="D51" t="str">
            <v>Casual Labour</v>
          </cell>
          <cell r="E51">
            <v>39637</v>
          </cell>
          <cell r="F51">
            <v>0.625</v>
          </cell>
          <cell r="G51">
            <v>1</v>
          </cell>
          <cell r="H51">
            <v>120</v>
          </cell>
          <cell r="I51">
            <v>25</v>
          </cell>
          <cell r="J51">
            <v>20</v>
          </cell>
          <cell r="K51">
            <v>30</v>
          </cell>
          <cell r="L51">
            <v>124</v>
          </cell>
          <cell r="M51">
            <v>24</v>
          </cell>
          <cell r="N51">
            <v>24</v>
          </cell>
          <cell r="O51">
            <v>0</v>
          </cell>
          <cell r="P51">
            <v>0</v>
          </cell>
          <cell r="Q51">
            <v>0</v>
          </cell>
          <cell r="R51">
            <v>24</v>
          </cell>
          <cell r="S51">
            <v>96</v>
          </cell>
          <cell r="T51">
            <v>20</v>
          </cell>
          <cell r="U51">
            <v>16</v>
          </cell>
          <cell r="V51">
            <v>24</v>
          </cell>
          <cell r="W51">
            <v>77.5</v>
          </cell>
          <cell r="X51">
            <v>24</v>
          </cell>
          <cell r="AC51">
            <v>257.5</v>
          </cell>
          <cell r="AF51">
            <v>0</v>
          </cell>
          <cell r="AG51">
            <v>257.5</v>
          </cell>
          <cell r="AK51" t="str">
            <v>Bank Muscat</v>
          </cell>
          <cell r="AL51" t="str">
            <v>Adam</v>
          </cell>
          <cell r="AM51" t="str">
            <v>0129-249130084-011</v>
          </cell>
        </row>
        <row r="52">
          <cell r="B52">
            <v>1898</v>
          </cell>
          <cell r="C52" t="str">
            <v>Majib Hamed Said Al Harmali</v>
          </cell>
          <cell r="D52" t="str">
            <v>Casual Labour</v>
          </cell>
          <cell r="E52">
            <v>39637</v>
          </cell>
          <cell r="F52">
            <v>0.625</v>
          </cell>
          <cell r="G52">
            <v>1</v>
          </cell>
          <cell r="H52">
            <v>120</v>
          </cell>
          <cell r="I52">
            <v>25</v>
          </cell>
          <cell r="J52">
            <v>20</v>
          </cell>
          <cell r="K52">
            <v>30</v>
          </cell>
          <cell r="L52">
            <v>132</v>
          </cell>
          <cell r="M52">
            <v>24</v>
          </cell>
          <cell r="N52">
            <v>24</v>
          </cell>
          <cell r="O52">
            <v>0</v>
          </cell>
          <cell r="P52">
            <v>0</v>
          </cell>
          <cell r="Q52">
            <v>0</v>
          </cell>
          <cell r="R52">
            <v>24</v>
          </cell>
          <cell r="S52">
            <v>96</v>
          </cell>
          <cell r="T52">
            <v>20</v>
          </cell>
          <cell r="U52">
            <v>16</v>
          </cell>
          <cell r="V52">
            <v>24</v>
          </cell>
          <cell r="W52">
            <v>82.5</v>
          </cell>
          <cell r="X52">
            <v>24</v>
          </cell>
          <cell r="AC52">
            <v>262.5</v>
          </cell>
          <cell r="AF52">
            <v>0</v>
          </cell>
          <cell r="AG52">
            <v>262.5</v>
          </cell>
          <cell r="AK52" t="str">
            <v>Oman International Bank</v>
          </cell>
          <cell r="AL52">
            <v>0</v>
          </cell>
          <cell r="AM52" t="str">
            <v>30-282339-20-01</v>
          </cell>
        </row>
        <row r="53">
          <cell r="B53">
            <v>1899</v>
          </cell>
          <cell r="C53" t="str">
            <v>Hamed Hamed Bati Al Dara'I</v>
          </cell>
          <cell r="D53" t="str">
            <v>Casual Labour</v>
          </cell>
          <cell r="E53">
            <v>39637</v>
          </cell>
          <cell r="F53">
            <v>0.625</v>
          </cell>
          <cell r="G53">
            <v>1</v>
          </cell>
          <cell r="H53">
            <v>120</v>
          </cell>
          <cell r="I53">
            <v>25</v>
          </cell>
          <cell r="J53">
            <v>20</v>
          </cell>
          <cell r="K53">
            <v>30</v>
          </cell>
          <cell r="L53">
            <v>44</v>
          </cell>
          <cell r="M53">
            <v>0</v>
          </cell>
          <cell r="N53">
            <v>10</v>
          </cell>
          <cell r="O53">
            <v>0</v>
          </cell>
          <cell r="P53">
            <v>0</v>
          </cell>
          <cell r="Q53">
            <v>0</v>
          </cell>
          <cell r="R53">
            <v>10</v>
          </cell>
          <cell r="S53">
            <v>40</v>
          </cell>
          <cell r="T53">
            <v>8.3333333333333339</v>
          </cell>
          <cell r="U53">
            <v>6.6666666666666661</v>
          </cell>
          <cell r="V53">
            <v>10</v>
          </cell>
          <cell r="W53">
            <v>27.5</v>
          </cell>
          <cell r="X53">
            <v>0</v>
          </cell>
          <cell r="AC53">
            <v>92.5</v>
          </cell>
          <cell r="AF53">
            <v>0</v>
          </cell>
          <cell r="AG53">
            <v>92.5</v>
          </cell>
          <cell r="AK53" t="str">
            <v>Oman International Bank</v>
          </cell>
          <cell r="AL53" t="str">
            <v>Bisya</v>
          </cell>
          <cell r="AM53" t="str">
            <v>32-039315-20</v>
          </cell>
        </row>
        <row r="54">
          <cell r="B54">
            <v>1900</v>
          </cell>
          <cell r="C54" t="str">
            <v>Samir Abdullah Thani Humaid Al Mahrouqi</v>
          </cell>
          <cell r="D54" t="str">
            <v>Casual Labour</v>
          </cell>
          <cell r="E54">
            <v>39637</v>
          </cell>
          <cell r="F54">
            <v>0.625</v>
          </cell>
          <cell r="G54">
            <v>1</v>
          </cell>
          <cell r="H54">
            <v>120</v>
          </cell>
          <cell r="I54">
            <v>25</v>
          </cell>
          <cell r="J54">
            <v>20</v>
          </cell>
          <cell r="K54">
            <v>30</v>
          </cell>
          <cell r="L54">
            <v>132</v>
          </cell>
          <cell r="M54">
            <v>24</v>
          </cell>
          <cell r="N54">
            <v>24</v>
          </cell>
          <cell r="O54">
            <v>0</v>
          </cell>
          <cell r="P54">
            <v>0</v>
          </cell>
          <cell r="Q54">
            <v>0</v>
          </cell>
          <cell r="R54">
            <v>24</v>
          </cell>
          <cell r="S54">
            <v>96</v>
          </cell>
          <cell r="T54">
            <v>20</v>
          </cell>
          <cell r="U54">
            <v>16</v>
          </cell>
          <cell r="V54">
            <v>24</v>
          </cell>
          <cell r="W54">
            <v>82.5</v>
          </cell>
          <cell r="X54">
            <v>24</v>
          </cell>
          <cell r="AC54">
            <v>262.5</v>
          </cell>
          <cell r="AF54">
            <v>0</v>
          </cell>
          <cell r="AG54">
            <v>262.5</v>
          </cell>
          <cell r="AK54" t="str">
            <v>Bank Muscat</v>
          </cell>
          <cell r="AL54" t="str">
            <v>Adam</v>
          </cell>
          <cell r="AM54" t="str">
            <v>0129-248950084-012</v>
          </cell>
        </row>
        <row r="55">
          <cell r="B55">
            <v>1901</v>
          </cell>
          <cell r="C55" t="str">
            <v>Hamood Al Theib Saif Al Ma'ni</v>
          </cell>
          <cell r="D55" t="str">
            <v>Casual Labour</v>
          </cell>
          <cell r="E55">
            <v>39637</v>
          </cell>
          <cell r="F55">
            <v>0.625</v>
          </cell>
          <cell r="G55">
            <v>1</v>
          </cell>
          <cell r="H55">
            <v>120</v>
          </cell>
          <cell r="I55">
            <v>25</v>
          </cell>
          <cell r="J55">
            <v>20</v>
          </cell>
          <cell r="K55">
            <v>30</v>
          </cell>
          <cell r="L55">
            <v>128</v>
          </cell>
          <cell r="M55">
            <v>0</v>
          </cell>
          <cell r="N55">
            <v>14</v>
          </cell>
          <cell r="O55">
            <v>0</v>
          </cell>
          <cell r="P55">
            <v>0</v>
          </cell>
          <cell r="Q55">
            <v>0</v>
          </cell>
          <cell r="R55">
            <v>14</v>
          </cell>
          <cell r="S55">
            <v>56</v>
          </cell>
          <cell r="T55">
            <v>11.666666666666668</v>
          </cell>
          <cell r="U55">
            <v>9.3333333333333321</v>
          </cell>
          <cell r="V55">
            <v>14</v>
          </cell>
          <cell r="W55">
            <v>80</v>
          </cell>
          <cell r="X55">
            <v>0</v>
          </cell>
          <cell r="AC55">
            <v>171</v>
          </cell>
          <cell r="AF55">
            <v>0</v>
          </cell>
          <cell r="AG55">
            <v>171</v>
          </cell>
          <cell r="AK55" t="str">
            <v>Bank Muscat</v>
          </cell>
          <cell r="AL55">
            <v>0</v>
          </cell>
          <cell r="AM55" t="str">
            <v>0128-16627-0084-014</v>
          </cell>
        </row>
        <row r="56">
          <cell r="B56">
            <v>1902</v>
          </cell>
          <cell r="C56" t="str">
            <v>Said Ali Said Al Qamshuiee</v>
          </cell>
          <cell r="D56" t="str">
            <v>Casual Labour</v>
          </cell>
          <cell r="E56">
            <v>39637</v>
          </cell>
          <cell r="F56">
            <v>0.625</v>
          </cell>
          <cell r="G56">
            <v>1</v>
          </cell>
          <cell r="H56">
            <v>120</v>
          </cell>
          <cell r="I56">
            <v>25</v>
          </cell>
          <cell r="J56">
            <v>20</v>
          </cell>
          <cell r="K56">
            <v>30</v>
          </cell>
          <cell r="L56">
            <v>78</v>
          </cell>
          <cell r="M56">
            <v>12</v>
          </cell>
          <cell r="N56">
            <v>17</v>
          </cell>
          <cell r="O56">
            <v>0</v>
          </cell>
          <cell r="P56">
            <v>0</v>
          </cell>
          <cell r="Q56">
            <v>0</v>
          </cell>
          <cell r="R56">
            <v>17</v>
          </cell>
          <cell r="S56">
            <v>68</v>
          </cell>
          <cell r="T56">
            <v>14.166666666666668</v>
          </cell>
          <cell r="U56">
            <v>11.333333333333332</v>
          </cell>
          <cell r="V56">
            <v>17</v>
          </cell>
          <cell r="W56">
            <v>48.75</v>
          </cell>
          <cell r="X56">
            <v>12</v>
          </cell>
          <cell r="Y56">
            <v>28</v>
          </cell>
          <cell r="Z56">
            <v>5.8333333333333339</v>
          </cell>
          <cell r="AA56">
            <v>4.6666666666666661</v>
          </cell>
          <cell r="AB56">
            <v>7</v>
          </cell>
          <cell r="AC56">
            <v>216.75</v>
          </cell>
          <cell r="AE56">
            <v>20</v>
          </cell>
          <cell r="AF56">
            <v>20</v>
          </cell>
          <cell r="AG56">
            <v>196.75</v>
          </cell>
          <cell r="AH56" t="str">
            <v>07 days more to be paid as he was terminated without Notice(HRM Told)Deducted 20 Rials he took for Bus Fare Advace agains salary</v>
          </cell>
          <cell r="AK56" t="str">
            <v>Oman International Bank</v>
          </cell>
          <cell r="AL56" t="str">
            <v>Bahla</v>
          </cell>
          <cell r="AM56" t="str">
            <v>21-758354-20</v>
          </cell>
        </row>
        <row r="57">
          <cell r="B57">
            <v>1903</v>
          </cell>
          <cell r="C57" t="str">
            <v>Saif Hamed Fahdil Al Aasmi</v>
          </cell>
          <cell r="D57" t="str">
            <v>Casual Labour</v>
          </cell>
          <cell r="E57">
            <v>39637</v>
          </cell>
          <cell r="F57">
            <v>0.625</v>
          </cell>
          <cell r="G57">
            <v>1</v>
          </cell>
          <cell r="H57">
            <v>120</v>
          </cell>
          <cell r="I57">
            <v>25</v>
          </cell>
          <cell r="J57">
            <v>20</v>
          </cell>
          <cell r="K57">
            <v>30</v>
          </cell>
          <cell r="L57">
            <v>32</v>
          </cell>
          <cell r="M57">
            <v>0</v>
          </cell>
          <cell r="N57">
            <v>9</v>
          </cell>
          <cell r="O57">
            <v>0</v>
          </cell>
          <cell r="P57">
            <v>0</v>
          </cell>
          <cell r="Q57">
            <v>0</v>
          </cell>
          <cell r="R57">
            <v>9</v>
          </cell>
          <cell r="S57">
            <v>36</v>
          </cell>
          <cell r="T57">
            <v>7.5</v>
          </cell>
          <cell r="U57">
            <v>6</v>
          </cell>
          <cell r="V57">
            <v>9</v>
          </cell>
          <cell r="W57">
            <v>20</v>
          </cell>
          <cell r="X57">
            <v>0</v>
          </cell>
          <cell r="AC57">
            <v>78.5</v>
          </cell>
          <cell r="AF57">
            <v>0</v>
          </cell>
          <cell r="AG57">
            <v>78.5</v>
          </cell>
          <cell r="AK57" t="str">
            <v>Bank Muscat</v>
          </cell>
          <cell r="AL57" t="str">
            <v>Adam</v>
          </cell>
          <cell r="AM57" t="str">
            <v>0129-249110084-014</v>
          </cell>
        </row>
        <row r="58">
          <cell r="B58">
            <v>1905</v>
          </cell>
          <cell r="C58" t="str">
            <v>Shabib Saif Issa Al Jassasi</v>
          </cell>
          <cell r="D58" t="str">
            <v>Casual Labour</v>
          </cell>
          <cell r="E58">
            <v>39637</v>
          </cell>
          <cell r="F58">
            <v>0.625</v>
          </cell>
          <cell r="G58">
            <v>1</v>
          </cell>
          <cell r="H58">
            <v>120</v>
          </cell>
          <cell r="I58">
            <v>25</v>
          </cell>
          <cell r="J58">
            <v>20</v>
          </cell>
          <cell r="K58">
            <v>30</v>
          </cell>
          <cell r="L58">
            <v>108</v>
          </cell>
          <cell r="M58">
            <v>24</v>
          </cell>
          <cell r="N58">
            <v>24</v>
          </cell>
          <cell r="O58">
            <v>0</v>
          </cell>
          <cell r="P58">
            <v>0</v>
          </cell>
          <cell r="Q58">
            <v>0</v>
          </cell>
          <cell r="R58">
            <v>24</v>
          </cell>
          <cell r="S58">
            <v>96</v>
          </cell>
          <cell r="T58">
            <v>20</v>
          </cell>
          <cell r="U58">
            <v>16</v>
          </cell>
          <cell r="V58">
            <v>24</v>
          </cell>
          <cell r="W58">
            <v>67.5</v>
          </cell>
          <cell r="X58">
            <v>24</v>
          </cell>
          <cell r="AC58">
            <v>247.5</v>
          </cell>
          <cell r="AF58">
            <v>0</v>
          </cell>
          <cell r="AG58">
            <v>247.5</v>
          </cell>
          <cell r="AK58" t="str">
            <v>Bank Muscat</v>
          </cell>
          <cell r="AL58" t="str">
            <v>Yanqul</v>
          </cell>
          <cell r="AM58" t="str">
            <v>0073-172850084-015</v>
          </cell>
        </row>
        <row r="59">
          <cell r="B59">
            <v>1906</v>
          </cell>
          <cell r="C59" t="str">
            <v>Abdullah Muslem Mohammed Al Hinai</v>
          </cell>
          <cell r="D59" t="str">
            <v>Casual Labour</v>
          </cell>
          <cell r="E59">
            <v>39637</v>
          </cell>
          <cell r="F59">
            <v>0.625</v>
          </cell>
          <cell r="G59">
            <v>1</v>
          </cell>
          <cell r="H59">
            <v>120</v>
          </cell>
          <cell r="I59">
            <v>25</v>
          </cell>
          <cell r="J59">
            <v>20</v>
          </cell>
          <cell r="K59">
            <v>30</v>
          </cell>
          <cell r="L59">
            <v>126</v>
          </cell>
          <cell r="M59">
            <v>12</v>
          </cell>
          <cell r="N59">
            <v>23</v>
          </cell>
          <cell r="O59">
            <v>0</v>
          </cell>
          <cell r="P59">
            <v>0</v>
          </cell>
          <cell r="Q59">
            <v>0</v>
          </cell>
          <cell r="R59">
            <v>23</v>
          </cell>
          <cell r="S59">
            <v>92</v>
          </cell>
          <cell r="T59">
            <v>19.166666666666668</v>
          </cell>
          <cell r="U59">
            <v>15.333333333333332</v>
          </cell>
          <cell r="V59">
            <v>23</v>
          </cell>
          <cell r="W59">
            <v>78.75</v>
          </cell>
          <cell r="X59">
            <v>12</v>
          </cell>
          <cell r="AC59">
            <v>240.25</v>
          </cell>
          <cell r="AF59">
            <v>0</v>
          </cell>
          <cell r="AG59">
            <v>240.25</v>
          </cell>
          <cell r="AK59" t="str">
            <v>Bank Muscat</v>
          </cell>
          <cell r="AL59" t="str">
            <v>Ibri/Jubail</v>
          </cell>
          <cell r="AM59" t="str">
            <v>118-285280084-019</v>
          </cell>
        </row>
        <row r="60">
          <cell r="B60">
            <v>1907</v>
          </cell>
          <cell r="C60" t="str">
            <v>Ahmed Salim Mohammed Al Hina'i</v>
          </cell>
          <cell r="D60" t="str">
            <v>Casual Labour</v>
          </cell>
          <cell r="E60">
            <v>39637</v>
          </cell>
          <cell r="F60">
            <v>0.625</v>
          </cell>
          <cell r="G60">
            <v>1</v>
          </cell>
          <cell r="H60">
            <v>120</v>
          </cell>
          <cell r="I60">
            <v>25</v>
          </cell>
          <cell r="J60">
            <v>20</v>
          </cell>
          <cell r="K60">
            <v>30</v>
          </cell>
          <cell r="L60">
            <v>136</v>
          </cell>
          <cell r="M60">
            <v>24</v>
          </cell>
          <cell r="N60">
            <v>24</v>
          </cell>
          <cell r="O60">
            <v>0</v>
          </cell>
          <cell r="P60">
            <v>0</v>
          </cell>
          <cell r="Q60">
            <v>0</v>
          </cell>
          <cell r="R60">
            <v>24</v>
          </cell>
          <cell r="S60">
            <v>96</v>
          </cell>
          <cell r="T60">
            <v>20</v>
          </cell>
          <cell r="U60">
            <v>16</v>
          </cell>
          <cell r="V60">
            <v>24</v>
          </cell>
          <cell r="W60">
            <v>85</v>
          </cell>
          <cell r="X60">
            <v>24</v>
          </cell>
          <cell r="AC60">
            <v>265</v>
          </cell>
          <cell r="AF60">
            <v>0</v>
          </cell>
          <cell r="AG60">
            <v>265</v>
          </cell>
          <cell r="AK60" t="str">
            <v>Oman International Bank</v>
          </cell>
          <cell r="AL60">
            <v>0</v>
          </cell>
          <cell r="AM60" t="str">
            <v>27-189778-20-02</v>
          </cell>
        </row>
        <row r="61">
          <cell r="B61">
            <v>1908</v>
          </cell>
          <cell r="C61" t="str">
            <v>Khalifa Mas'oud Rashid Al Sa'idi</v>
          </cell>
          <cell r="D61" t="str">
            <v>Casual Labour</v>
          </cell>
          <cell r="E61">
            <v>39637</v>
          </cell>
          <cell r="F61">
            <v>0.625</v>
          </cell>
          <cell r="G61">
            <v>1</v>
          </cell>
          <cell r="H61">
            <v>120</v>
          </cell>
          <cell r="I61">
            <v>25</v>
          </cell>
          <cell r="J61">
            <v>20</v>
          </cell>
          <cell r="K61">
            <v>30</v>
          </cell>
          <cell r="L61">
            <v>124</v>
          </cell>
          <cell r="M61">
            <v>24</v>
          </cell>
          <cell r="N61">
            <v>24</v>
          </cell>
          <cell r="O61">
            <v>0</v>
          </cell>
          <cell r="P61">
            <v>0</v>
          </cell>
          <cell r="Q61">
            <v>0</v>
          </cell>
          <cell r="R61">
            <v>24</v>
          </cell>
          <cell r="S61">
            <v>96</v>
          </cell>
          <cell r="T61">
            <v>20</v>
          </cell>
          <cell r="U61">
            <v>16</v>
          </cell>
          <cell r="V61">
            <v>24</v>
          </cell>
          <cell r="W61">
            <v>77.5</v>
          </cell>
          <cell r="X61">
            <v>24</v>
          </cell>
          <cell r="AC61">
            <v>257.5</v>
          </cell>
          <cell r="AF61">
            <v>0</v>
          </cell>
          <cell r="AG61">
            <v>257.5</v>
          </cell>
          <cell r="AK61" t="str">
            <v>Bank Muscat</v>
          </cell>
          <cell r="AL61" t="str">
            <v>Yanqul</v>
          </cell>
          <cell r="AM61" t="str">
            <v>0073-172860084-014</v>
          </cell>
        </row>
        <row r="62">
          <cell r="B62">
            <v>1911</v>
          </cell>
          <cell r="C62" t="str">
            <v>Khalid Abdullah Masoud Al Mahrouqi</v>
          </cell>
          <cell r="D62" t="str">
            <v>Casual Labour</v>
          </cell>
          <cell r="E62">
            <v>39637</v>
          </cell>
          <cell r="F62">
            <v>0.625</v>
          </cell>
          <cell r="G62">
            <v>1</v>
          </cell>
          <cell r="H62">
            <v>120</v>
          </cell>
          <cell r="I62">
            <v>25</v>
          </cell>
          <cell r="J62">
            <v>20</v>
          </cell>
          <cell r="K62">
            <v>30</v>
          </cell>
          <cell r="L62">
            <v>32</v>
          </cell>
          <cell r="M62">
            <v>0</v>
          </cell>
          <cell r="N62">
            <v>9</v>
          </cell>
          <cell r="O62">
            <v>0</v>
          </cell>
          <cell r="P62">
            <v>0</v>
          </cell>
          <cell r="Q62">
            <v>0</v>
          </cell>
          <cell r="R62">
            <v>9</v>
          </cell>
          <cell r="S62">
            <v>36</v>
          </cell>
          <cell r="T62">
            <v>7.5</v>
          </cell>
          <cell r="U62">
            <v>6</v>
          </cell>
          <cell r="V62">
            <v>9</v>
          </cell>
          <cell r="W62">
            <v>20</v>
          </cell>
          <cell r="X62">
            <v>0</v>
          </cell>
          <cell r="AC62">
            <v>78.5</v>
          </cell>
          <cell r="AF62">
            <v>0</v>
          </cell>
          <cell r="AG62">
            <v>78.5</v>
          </cell>
          <cell r="AK62" t="str">
            <v>Bank Muscat</v>
          </cell>
          <cell r="AL62" t="str">
            <v>Adam</v>
          </cell>
          <cell r="AM62" t="str">
            <v>0129-249100084-015</v>
          </cell>
        </row>
        <row r="63">
          <cell r="B63">
            <v>1912</v>
          </cell>
          <cell r="C63" t="str">
            <v>Ahmed Nasser Said Al Shuhoumi</v>
          </cell>
          <cell r="D63" t="str">
            <v>Casual Labour</v>
          </cell>
          <cell r="E63">
            <v>39638</v>
          </cell>
          <cell r="F63">
            <v>0.625</v>
          </cell>
          <cell r="G63">
            <v>1</v>
          </cell>
          <cell r="H63">
            <v>120</v>
          </cell>
          <cell r="I63">
            <v>25</v>
          </cell>
          <cell r="J63">
            <v>20</v>
          </cell>
          <cell r="K63">
            <v>30</v>
          </cell>
          <cell r="L63">
            <v>110</v>
          </cell>
          <cell r="M63">
            <v>24</v>
          </cell>
          <cell r="N63">
            <v>23</v>
          </cell>
          <cell r="O63">
            <v>0</v>
          </cell>
          <cell r="P63">
            <v>0</v>
          </cell>
          <cell r="Q63">
            <v>0</v>
          </cell>
          <cell r="R63">
            <v>23</v>
          </cell>
          <cell r="S63">
            <v>92</v>
          </cell>
          <cell r="T63">
            <v>19.166666666666668</v>
          </cell>
          <cell r="U63">
            <v>15.333333333333332</v>
          </cell>
          <cell r="V63">
            <v>23</v>
          </cell>
          <cell r="W63">
            <v>68.75</v>
          </cell>
          <cell r="X63">
            <v>24</v>
          </cell>
          <cell r="AC63">
            <v>242.25</v>
          </cell>
          <cell r="AF63">
            <v>0</v>
          </cell>
          <cell r="AG63">
            <v>242.25</v>
          </cell>
          <cell r="AK63" t="str">
            <v>Bank Muscat</v>
          </cell>
          <cell r="AL63">
            <v>0</v>
          </cell>
          <cell r="AM63" t="str">
            <v>128-16603-0084-013</v>
          </cell>
        </row>
        <row r="64">
          <cell r="B64">
            <v>1913</v>
          </cell>
          <cell r="C64" t="str">
            <v>Khalid Ali Masoud Al Raqmidhi</v>
          </cell>
          <cell r="D64" t="str">
            <v>Casual Labour</v>
          </cell>
          <cell r="E64">
            <v>39638</v>
          </cell>
          <cell r="F64">
            <v>0.625</v>
          </cell>
          <cell r="G64">
            <v>1</v>
          </cell>
          <cell r="H64">
            <v>120</v>
          </cell>
          <cell r="I64">
            <v>25</v>
          </cell>
          <cell r="J64">
            <v>20</v>
          </cell>
          <cell r="K64">
            <v>30</v>
          </cell>
          <cell r="L64">
            <v>114</v>
          </cell>
          <cell r="M64">
            <v>24</v>
          </cell>
          <cell r="N64">
            <v>23</v>
          </cell>
          <cell r="O64">
            <v>0</v>
          </cell>
          <cell r="P64">
            <v>0</v>
          </cell>
          <cell r="Q64">
            <v>0</v>
          </cell>
          <cell r="R64">
            <v>23</v>
          </cell>
          <cell r="S64">
            <v>92</v>
          </cell>
          <cell r="T64">
            <v>19.166666666666668</v>
          </cell>
          <cell r="U64">
            <v>15.333333333333332</v>
          </cell>
          <cell r="V64">
            <v>23</v>
          </cell>
          <cell r="W64">
            <v>71.25</v>
          </cell>
          <cell r="X64">
            <v>24</v>
          </cell>
          <cell r="AC64">
            <v>244.75</v>
          </cell>
          <cell r="AF64">
            <v>0</v>
          </cell>
          <cell r="AG64">
            <v>244.75</v>
          </cell>
          <cell r="AK64" t="str">
            <v>Bank Muscat</v>
          </cell>
          <cell r="AL64">
            <v>0</v>
          </cell>
          <cell r="AM64" t="str">
            <v>0049-22324-0084-019</v>
          </cell>
        </row>
        <row r="65">
          <cell r="B65">
            <v>1915</v>
          </cell>
          <cell r="C65" t="str">
            <v>Abdullah Sultan Said Al Hashmi</v>
          </cell>
          <cell r="D65" t="str">
            <v>Casual Labour</v>
          </cell>
          <cell r="E65">
            <v>39638</v>
          </cell>
          <cell r="F65">
            <v>0.625</v>
          </cell>
          <cell r="G65">
            <v>1</v>
          </cell>
          <cell r="H65">
            <v>120</v>
          </cell>
          <cell r="I65">
            <v>25</v>
          </cell>
          <cell r="J65">
            <v>20</v>
          </cell>
          <cell r="K65">
            <v>30</v>
          </cell>
          <cell r="L65">
            <v>102</v>
          </cell>
          <cell r="M65">
            <v>24</v>
          </cell>
          <cell r="N65">
            <v>23</v>
          </cell>
          <cell r="O65">
            <v>0</v>
          </cell>
          <cell r="P65">
            <v>0</v>
          </cell>
          <cell r="Q65">
            <v>0</v>
          </cell>
          <cell r="R65">
            <v>23</v>
          </cell>
          <cell r="S65">
            <v>92</v>
          </cell>
          <cell r="T65">
            <v>19.166666666666668</v>
          </cell>
          <cell r="U65">
            <v>15.333333333333332</v>
          </cell>
          <cell r="V65">
            <v>23</v>
          </cell>
          <cell r="W65">
            <v>63.75</v>
          </cell>
          <cell r="X65">
            <v>24</v>
          </cell>
          <cell r="AC65">
            <v>237.25</v>
          </cell>
          <cell r="AF65">
            <v>0</v>
          </cell>
          <cell r="AG65">
            <v>237.25</v>
          </cell>
          <cell r="AK65" t="str">
            <v>Bank Muscat</v>
          </cell>
          <cell r="AL65">
            <v>0</v>
          </cell>
          <cell r="AM65" t="str">
            <v>0046-16410-0084-016</v>
          </cell>
        </row>
        <row r="66">
          <cell r="B66">
            <v>1916</v>
          </cell>
          <cell r="C66" t="str">
            <v>Hafed Said Amur Al Raqmi</v>
          </cell>
          <cell r="D66" t="str">
            <v>Casual Labour</v>
          </cell>
          <cell r="E66">
            <v>39638</v>
          </cell>
          <cell r="F66">
            <v>0.625</v>
          </cell>
          <cell r="G66">
            <v>1</v>
          </cell>
          <cell r="H66">
            <v>120</v>
          </cell>
          <cell r="I66">
            <v>25</v>
          </cell>
          <cell r="J66">
            <v>20</v>
          </cell>
          <cell r="K66">
            <v>30</v>
          </cell>
          <cell r="L66">
            <v>126</v>
          </cell>
          <cell r="M66">
            <v>24</v>
          </cell>
          <cell r="N66">
            <v>23</v>
          </cell>
          <cell r="O66">
            <v>0</v>
          </cell>
          <cell r="P66">
            <v>0</v>
          </cell>
          <cell r="Q66">
            <v>0</v>
          </cell>
          <cell r="R66">
            <v>23</v>
          </cell>
          <cell r="S66">
            <v>92</v>
          </cell>
          <cell r="T66">
            <v>19.166666666666668</v>
          </cell>
          <cell r="U66">
            <v>15.333333333333332</v>
          </cell>
          <cell r="V66">
            <v>23</v>
          </cell>
          <cell r="W66">
            <v>78.75</v>
          </cell>
          <cell r="X66">
            <v>24</v>
          </cell>
          <cell r="AC66">
            <v>252.25</v>
          </cell>
          <cell r="AF66">
            <v>0</v>
          </cell>
          <cell r="AG66">
            <v>252.25</v>
          </cell>
          <cell r="AK66" t="str">
            <v>Bank Muscat</v>
          </cell>
          <cell r="AL66" t="str">
            <v>Adam</v>
          </cell>
          <cell r="AM66" t="str">
            <v>129-216930084014</v>
          </cell>
        </row>
        <row r="67">
          <cell r="B67">
            <v>1917</v>
          </cell>
          <cell r="C67" t="str">
            <v>Mohammed Ali Mohammed Al-Raqmi</v>
          </cell>
          <cell r="D67" t="str">
            <v>Casual Labour</v>
          </cell>
          <cell r="E67">
            <v>39639</v>
          </cell>
          <cell r="F67">
            <v>0.625</v>
          </cell>
          <cell r="G67">
            <v>1</v>
          </cell>
          <cell r="H67">
            <v>120</v>
          </cell>
          <cell r="I67">
            <v>25</v>
          </cell>
          <cell r="J67">
            <v>20</v>
          </cell>
          <cell r="K67">
            <v>30</v>
          </cell>
          <cell r="L67">
            <v>44</v>
          </cell>
          <cell r="M67">
            <v>24</v>
          </cell>
          <cell r="N67">
            <v>22</v>
          </cell>
          <cell r="O67">
            <v>0</v>
          </cell>
          <cell r="P67">
            <v>0</v>
          </cell>
          <cell r="Q67">
            <v>0</v>
          </cell>
          <cell r="R67">
            <v>22</v>
          </cell>
          <cell r="S67">
            <v>88</v>
          </cell>
          <cell r="T67">
            <v>18.333333333333336</v>
          </cell>
          <cell r="U67">
            <v>14.666666666666666</v>
          </cell>
          <cell r="V67">
            <v>22</v>
          </cell>
          <cell r="W67">
            <v>27.5</v>
          </cell>
          <cell r="X67">
            <v>24</v>
          </cell>
          <cell r="AC67">
            <v>194.5</v>
          </cell>
          <cell r="AF67">
            <v>0</v>
          </cell>
          <cell r="AG67">
            <v>194.5</v>
          </cell>
          <cell r="AK67" t="str">
            <v>Bank Muscat</v>
          </cell>
          <cell r="AL67">
            <v>0</v>
          </cell>
          <cell r="AM67" t="str">
            <v>128-14638</v>
          </cell>
        </row>
        <row r="68">
          <cell r="B68">
            <v>1918</v>
          </cell>
          <cell r="C68" t="str">
            <v>Samir Said Aamir Al-Raqmi</v>
          </cell>
          <cell r="D68" t="str">
            <v>Casual Labour</v>
          </cell>
          <cell r="E68">
            <v>39639</v>
          </cell>
          <cell r="F68">
            <v>0.625</v>
          </cell>
          <cell r="G68">
            <v>1</v>
          </cell>
          <cell r="H68">
            <v>120</v>
          </cell>
          <cell r="I68">
            <v>25</v>
          </cell>
          <cell r="J68">
            <v>20</v>
          </cell>
          <cell r="K68">
            <v>30</v>
          </cell>
          <cell r="L68">
            <v>44</v>
          </cell>
          <cell r="M68">
            <v>24</v>
          </cell>
          <cell r="N68">
            <v>22</v>
          </cell>
          <cell r="O68">
            <v>0</v>
          </cell>
          <cell r="P68">
            <v>0</v>
          </cell>
          <cell r="Q68">
            <v>0</v>
          </cell>
          <cell r="R68">
            <v>22</v>
          </cell>
          <cell r="S68">
            <v>88</v>
          </cell>
          <cell r="T68">
            <v>18.333333333333336</v>
          </cell>
          <cell r="U68">
            <v>14.666666666666666</v>
          </cell>
          <cell r="V68">
            <v>22</v>
          </cell>
          <cell r="W68">
            <v>27.5</v>
          </cell>
          <cell r="X68">
            <v>24</v>
          </cell>
          <cell r="AC68">
            <v>194.5</v>
          </cell>
          <cell r="AF68">
            <v>0</v>
          </cell>
          <cell r="AG68">
            <v>194.5</v>
          </cell>
          <cell r="AK68" t="str">
            <v>Oman International bank</v>
          </cell>
          <cell r="AL68">
            <v>0</v>
          </cell>
          <cell r="AM68" t="str">
            <v>34-094649-29-01</v>
          </cell>
        </row>
        <row r="69">
          <cell r="B69">
            <v>1919</v>
          </cell>
          <cell r="C69" t="str">
            <v>Faisal Abdullah Mohammed Al-Raqmi</v>
          </cell>
          <cell r="D69" t="str">
            <v>Casual Labour</v>
          </cell>
          <cell r="E69">
            <v>39639</v>
          </cell>
          <cell r="F69">
            <v>0.625</v>
          </cell>
          <cell r="G69">
            <v>1</v>
          </cell>
          <cell r="H69">
            <v>120</v>
          </cell>
          <cell r="I69">
            <v>25</v>
          </cell>
          <cell r="J69">
            <v>20</v>
          </cell>
          <cell r="K69">
            <v>30</v>
          </cell>
          <cell r="L69">
            <v>44</v>
          </cell>
          <cell r="M69">
            <v>24</v>
          </cell>
          <cell r="N69">
            <v>22</v>
          </cell>
          <cell r="O69">
            <v>0</v>
          </cell>
          <cell r="P69">
            <v>0</v>
          </cell>
          <cell r="Q69">
            <v>0</v>
          </cell>
          <cell r="R69">
            <v>22</v>
          </cell>
          <cell r="S69">
            <v>88</v>
          </cell>
          <cell r="T69">
            <v>18.333333333333336</v>
          </cell>
          <cell r="U69">
            <v>14.666666666666666</v>
          </cell>
          <cell r="V69">
            <v>22</v>
          </cell>
          <cell r="W69">
            <v>27.5</v>
          </cell>
          <cell r="X69">
            <v>24</v>
          </cell>
          <cell r="AC69">
            <v>194.5</v>
          </cell>
          <cell r="AF69">
            <v>0</v>
          </cell>
          <cell r="AG69">
            <v>194.5</v>
          </cell>
          <cell r="AK69" t="str">
            <v>Oman International bank</v>
          </cell>
          <cell r="AL69">
            <v>0</v>
          </cell>
          <cell r="AM69" t="str">
            <v>20-373379-29-01</v>
          </cell>
        </row>
        <row r="70">
          <cell r="B70">
            <v>1920</v>
          </cell>
          <cell r="C70" t="str">
            <v>Dawood Mohammed Talib Al Mahrouqi</v>
          </cell>
          <cell r="D70" t="str">
            <v>Casual Labour</v>
          </cell>
          <cell r="E70">
            <v>39639</v>
          </cell>
          <cell r="F70">
            <v>0.625</v>
          </cell>
          <cell r="G70">
            <v>1</v>
          </cell>
          <cell r="H70">
            <v>120</v>
          </cell>
          <cell r="I70">
            <v>25</v>
          </cell>
          <cell r="J70">
            <v>20</v>
          </cell>
          <cell r="K70">
            <v>30</v>
          </cell>
          <cell r="L70">
            <v>44</v>
          </cell>
          <cell r="M70">
            <v>24</v>
          </cell>
          <cell r="N70">
            <v>22</v>
          </cell>
          <cell r="O70">
            <v>0</v>
          </cell>
          <cell r="P70">
            <v>0</v>
          </cell>
          <cell r="Q70">
            <v>0</v>
          </cell>
          <cell r="R70">
            <v>22</v>
          </cell>
          <cell r="S70">
            <v>88</v>
          </cell>
          <cell r="T70">
            <v>18.333333333333336</v>
          </cell>
          <cell r="U70">
            <v>14.666666666666666</v>
          </cell>
          <cell r="V70">
            <v>22</v>
          </cell>
          <cell r="W70">
            <v>27.5</v>
          </cell>
          <cell r="X70">
            <v>24</v>
          </cell>
          <cell r="AC70">
            <v>194.5</v>
          </cell>
          <cell r="AF70">
            <v>0</v>
          </cell>
          <cell r="AG70">
            <v>194.5</v>
          </cell>
          <cell r="AK70" t="str">
            <v>Bank Muscat</v>
          </cell>
          <cell r="AL70">
            <v>0</v>
          </cell>
          <cell r="AM70" t="str">
            <v>129-21610</v>
          </cell>
        </row>
        <row r="71">
          <cell r="B71">
            <v>1921</v>
          </cell>
          <cell r="C71" t="str">
            <v xml:space="preserve"> Ibrahim Aamur  Said Al Mahrooqi</v>
          </cell>
          <cell r="D71" t="str">
            <v>Casual Labour</v>
          </cell>
          <cell r="E71">
            <v>39639</v>
          </cell>
          <cell r="F71">
            <v>0.625</v>
          </cell>
          <cell r="G71">
            <v>1</v>
          </cell>
          <cell r="H71">
            <v>120</v>
          </cell>
          <cell r="I71">
            <v>25</v>
          </cell>
          <cell r="J71">
            <v>20</v>
          </cell>
          <cell r="K71">
            <v>30</v>
          </cell>
          <cell r="L71">
            <v>20</v>
          </cell>
          <cell r="M71">
            <v>0</v>
          </cell>
          <cell r="N71">
            <v>7</v>
          </cell>
          <cell r="O71">
            <v>0</v>
          </cell>
          <cell r="P71">
            <v>0</v>
          </cell>
          <cell r="Q71">
            <v>0</v>
          </cell>
          <cell r="R71">
            <v>7</v>
          </cell>
          <cell r="S71">
            <v>28</v>
          </cell>
          <cell r="T71">
            <v>5.8333333333333339</v>
          </cell>
          <cell r="U71">
            <v>4.6666666666666661</v>
          </cell>
          <cell r="V71">
            <v>7</v>
          </cell>
          <cell r="W71">
            <v>12.5</v>
          </cell>
          <cell r="X71">
            <v>0</v>
          </cell>
          <cell r="AC71">
            <v>58</v>
          </cell>
          <cell r="AF71">
            <v>0</v>
          </cell>
          <cell r="AG71">
            <v>58</v>
          </cell>
          <cell r="AK71" t="str">
            <v>Bank Muscat</v>
          </cell>
          <cell r="AL71" t="str">
            <v>Adam</v>
          </cell>
          <cell r="AM71">
            <v>121156450084015</v>
          </cell>
        </row>
        <row r="72">
          <cell r="B72">
            <v>1922</v>
          </cell>
          <cell r="C72" t="str">
            <v>Said Sulaiman Said Al Hattali</v>
          </cell>
          <cell r="D72" t="str">
            <v>Casual Labour</v>
          </cell>
          <cell r="E72">
            <v>39639</v>
          </cell>
          <cell r="F72">
            <v>0.625</v>
          </cell>
          <cell r="G72">
            <v>1</v>
          </cell>
          <cell r="H72">
            <v>120</v>
          </cell>
          <cell r="I72">
            <v>25</v>
          </cell>
          <cell r="J72">
            <v>20</v>
          </cell>
          <cell r="K72">
            <v>30</v>
          </cell>
          <cell r="L72">
            <v>128</v>
          </cell>
          <cell r="M72">
            <v>24</v>
          </cell>
          <cell r="N72">
            <v>22</v>
          </cell>
          <cell r="O72">
            <v>0</v>
          </cell>
          <cell r="P72">
            <v>0</v>
          </cell>
          <cell r="Q72">
            <v>0</v>
          </cell>
          <cell r="R72">
            <v>22</v>
          </cell>
          <cell r="S72">
            <v>88</v>
          </cell>
          <cell r="T72">
            <v>18.333333333333336</v>
          </cell>
          <cell r="U72">
            <v>14.666666666666666</v>
          </cell>
          <cell r="V72">
            <v>22</v>
          </cell>
          <cell r="W72">
            <v>80</v>
          </cell>
          <cell r="X72">
            <v>24</v>
          </cell>
          <cell r="AC72">
            <v>247</v>
          </cell>
          <cell r="AF72">
            <v>0</v>
          </cell>
          <cell r="AG72">
            <v>247</v>
          </cell>
          <cell r="AK72" t="str">
            <v>Bank Muscat</v>
          </cell>
          <cell r="AL72">
            <v>0</v>
          </cell>
          <cell r="AM72" t="str">
            <v>128-20684-0084-017</v>
          </cell>
        </row>
        <row r="73">
          <cell r="B73">
            <v>1923</v>
          </cell>
          <cell r="C73" t="str">
            <v>Ali Hamed Ahmed Al Waaili</v>
          </cell>
          <cell r="D73" t="str">
            <v>Casual Labour</v>
          </cell>
          <cell r="E73">
            <v>39639</v>
          </cell>
          <cell r="F73">
            <v>0.625</v>
          </cell>
          <cell r="G73">
            <v>1</v>
          </cell>
          <cell r="H73">
            <v>120</v>
          </cell>
          <cell r="I73">
            <v>25</v>
          </cell>
          <cell r="J73">
            <v>20</v>
          </cell>
          <cell r="K73">
            <v>30</v>
          </cell>
          <cell r="L73">
            <v>45</v>
          </cell>
          <cell r="M73">
            <v>0</v>
          </cell>
          <cell r="N73">
            <v>10</v>
          </cell>
          <cell r="O73">
            <v>0</v>
          </cell>
          <cell r="P73">
            <v>0</v>
          </cell>
          <cell r="Q73">
            <v>0</v>
          </cell>
          <cell r="R73">
            <v>10</v>
          </cell>
          <cell r="S73">
            <v>40</v>
          </cell>
          <cell r="T73">
            <v>8.3333333333333339</v>
          </cell>
          <cell r="U73">
            <v>6.6666666666666661</v>
          </cell>
          <cell r="V73">
            <v>10</v>
          </cell>
          <cell r="W73">
            <v>28.125</v>
          </cell>
          <cell r="X73">
            <v>0</v>
          </cell>
          <cell r="AC73">
            <v>93.125</v>
          </cell>
          <cell r="AF73">
            <v>0</v>
          </cell>
          <cell r="AG73">
            <v>93.125</v>
          </cell>
          <cell r="AK73" t="str">
            <v>Bank Muscat</v>
          </cell>
          <cell r="AL73" t="str">
            <v>Adam</v>
          </cell>
          <cell r="AM73" t="str">
            <v>129-24918-0084-016</v>
          </cell>
        </row>
        <row r="74">
          <cell r="B74">
            <v>1924</v>
          </cell>
          <cell r="C74" t="str">
            <v>Said Issa Salim Al-Omairi</v>
          </cell>
          <cell r="D74" t="str">
            <v>Casual Labour</v>
          </cell>
          <cell r="E74">
            <v>39639</v>
          </cell>
          <cell r="F74">
            <v>0.625</v>
          </cell>
          <cell r="G74">
            <v>1</v>
          </cell>
          <cell r="H74">
            <v>120</v>
          </cell>
          <cell r="I74">
            <v>25</v>
          </cell>
          <cell r="J74">
            <v>20</v>
          </cell>
          <cell r="K74">
            <v>30</v>
          </cell>
          <cell r="L74">
            <v>128</v>
          </cell>
          <cell r="M74">
            <v>24</v>
          </cell>
          <cell r="N74">
            <v>22</v>
          </cell>
          <cell r="O74">
            <v>0</v>
          </cell>
          <cell r="P74">
            <v>0</v>
          </cell>
          <cell r="Q74">
            <v>0</v>
          </cell>
          <cell r="R74">
            <v>22</v>
          </cell>
          <cell r="S74">
            <v>88</v>
          </cell>
          <cell r="T74">
            <v>18.333333333333336</v>
          </cell>
          <cell r="U74">
            <v>14.666666666666666</v>
          </cell>
          <cell r="V74">
            <v>22</v>
          </cell>
          <cell r="W74">
            <v>80</v>
          </cell>
          <cell r="X74">
            <v>24</v>
          </cell>
          <cell r="AC74">
            <v>247</v>
          </cell>
          <cell r="AF74">
            <v>0</v>
          </cell>
          <cell r="AG74">
            <v>247</v>
          </cell>
          <cell r="AK74" t="str">
            <v>Bank Muscat</v>
          </cell>
          <cell r="AL74">
            <v>0</v>
          </cell>
          <cell r="AM74" t="str">
            <v>129-28256-0084-018</v>
          </cell>
        </row>
        <row r="75">
          <cell r="B75">
            <v>1925</v>
          </cell>
          <cell r="C75" t="str">
            <v>Hamdoon Mahmood Rashid  Al Dari</v>
          </cell>
          <cell r="D75" t="str">
            <v>Casual Labour</v>
          </cell>
          <cell r="E75">
            <v>39639</v>
          </cell>
          <cell r="F75">
            <v>0.625</v>
          </cell>
          <cell r="G75">
            <v>1</v>
          </cell>
          <cell r="H75">
            <v>120</v>
          </cell>
          <cell r="I75">
            <v>25</v>
          </cell>
          <cell r="J75">
            <v>20</v>
          </cell>
          <cell r="K75">
            <v>30</v>
          </cell>
          <cell r="L75">
            <v>70</v>
          </cell>
          <cell r="M75">
            <v>24</v>
          </cell>
          <cell r="N75">
            <v>13</v>
          </cell>
          <cell r="O75">
            <v>0</v>
          </cell>
          <cell r="P75">
            <v>0</v>
          </cell>
          <cell r="Q75">
            <v>0</v>
          </cell>
          <cell r="R75">
            <v>13</v>
          </cell>
          <cell r="S75">
            <v>52</v>
          </cell>
          <cell r="T75">
            <v>10.833333333333334</v>
          </cell>
          <cell r="U75">
            <v>8.6666666666666661</v>
          </cell>
          <cell r="V75">
            <v>13</v>
          </cell>
          <cell r="W75">
            <v>43.75</v>
          </cell>
          <cell r="X75">
            <v>24</v>
          </cell>
          <cell r="AC75">
            <v>152.25</v>
          </cell>
          <cell r="AF75">
            <v>0</v>
          </cell>
          <cell r="AG75">
            <v>152.25</v>
          </cell>
          <cell r="AK75" t="str">
            <v>Oman International Bank</v>
          </cell>
          <cell r="AL75" t="str">
            <v>Adam</v>
          </cell>
          <cell r="AM75" t="str">
            <v>28-113587-20</v>
          </cell>
        </row>
        <row r="76">
          <cell r="B76">
            <v>1926</v>
          </cell>
          <cell r="C76" t="str">
            <v>Thuwaini Dhahi Al Abd Al Darai</v>
          </cell>
          <cell r="D76" t="str">
            <v>Casual Labour</v>
          </cell>
          <cell r="E76">
            <v>39639</v>
          </cell>
          <cell r="F76">
            <v>0.625</v>
          </cell>
          <cell r="G76">
            <v>1</v>
          </cell>
          <cell r="H76">
            <v>120</v>
          </cell>
          <cell r="I76">
            <v>25</v>
          </cell>
          <cell r="J76">
            <v>20</v>
          </cell>
          <cell r="K76">
            <v>30</v>
          </cell>
          <cell r="L76">
            <v>107</v>
          </cell>
          <cell r="M76">
            <v>12</v>
          </cell>
          <cell r="N76">
            <v>20</v>
          </cell>
          <cell r="O76">
            <v>0</v>
          </cell>
          <cell r="P76">
            <v>0</v>
          </cell>
          <cell r="Q76">
            <v>0</v>
          </cell>
          <cell r="R76">
            <v>20</v>
          </cell>
          <cell r="S76">
            <v>80</v>
          </cell>
          <cell r="T76">
            <v>16.666666666666668</v>
          </cell>
          <cell r="U76">
            <v>13.333333333333332</v>
          </cell>
          <cell r="V76">
            <v>20</v>
          </cell>
          <cell r="W76">
            <v>66.875</v>
          </cell>
          <cell r="X76">
            <v>12</v>
          </cell>
          <cell r="AC76">
            <v>208.875</v>
          </cell>
          <cell r="AF76">
            <v>0</v>
          </cell>
          <cell r="AG76">
            <v>208.875</v>
          </cell>
          <cell r="AK76" t="str">
            <v>Oman International Bank</v>
          </cell>
          <cell r="AL76" t="str">
            <v>Adam</v>
          </cell>
          <cell r="AM76" t="str">
            <v>28-113579-20</v>
          </cell>
        </row>
        <row r="77">
          <cell r="B77">
            <v>1929</v>
          </cell>
          <cell r="C77" t="str">
            <v>Waleed Nasser Khalaf Al Nasser</v>
          </cell>
          <cell r="D77" t="str">
            <v>Casual Labour</v>
          </cell>
          <cell r="E77">
            <v>39639</v>
          </cell>
          <cell r="F77">
            <v>0.625</v>
          </cell>
          <cell r="G77">
            <v>1</v>
          </cell>
          <cell r="H77">
            <v>120</v>
          </cell>
          <cell r="I77">
            <v>25</v>
          </cell>
          <cell r="J77">
            <v>20</v>
          </cell>
          <cell r="K77">
            <v>30</v>
          </cell>
          <cell r="L77">
            <v>68</v>
          </cell>
          <cell r="M77">
            <v>24</v>
          </cell>
          <cell r="N77">
            <v>22</v>
          </cell>
          <cell r="O77">
            <v>0</v>
          </cell>
          <cell r="P77">
            <v>0</v>
          </cell>
          <cell r="Q77">
            <v>0</v>
          </cell>
          <cell r="R77">
            <v>22</v>
          </cell>
          <cell r="S77">
            <v>88</v>
          </cell>
          <cell r="T77">
            <v>18.333333333333336</v>
          </cell>
          <cell r="U77">
            <v>14.666666666666666</v>
          </cell>
          <cell r="V77">
            <v>22</v>
          </cell>
          <cell r="W77">
            <v>42.5</v>
          </cell>
          <cell r="X77">
            <v>24</v>
          </cell>
          <cell r="AC77">
            <v>209.5</v>
          </cell>
          <cell r="AF77">
            <v>0</v>
          </cell>
          <cell r="AG77">
            <v>209.5</v>
          </cell>
          <cell r="AK77" t="str">
            <v>Oman Arab Bank</v>
          </cell>
          <cell r="AL77">
            <v>0</v>
          </cell>
          <cell r="AM77" t="str">
            <v>3123-035662-700</v>
          </cell>
        </row>
        <row r="78">
          <cell r="B78">
            <v>1930</v>
          </cell>
          <cell r="C78" t="str">
            <v>Manaa Hamed Sulaiyam Al Nasseri</v>
          </cell>
          <cell r="D78" t="str">
            <v>Casual Labour</v>
          </cell>
          <cell r="E78">
            <v>39639</v>
          </cell>
          <cell r="F78">
            <v>0.625</v>
          </cell>
          <cell r="G78">
            <v>1</v>
          </cell>
          <cell r="H78">
            <v>120</v>
          </cell>
          <cell r="I78">
            <v>25</v>
          </cell>
          <cell r="J78">
            <v>20</v>
          </cell>
          <cell r="K78">
            <v>30</v>
          </cell>
          <cell r="L78">
            <v>120</v>
          </cell>
          <cell r="M78">
            <v>24</v>
          </cell>
          <cell r="N78">
            <v>22</v>
          </cell>
          <cell r="O78">
            <v>0</v>
          </cell>
          <cell r="P78">
            <v>0</v>
          </cell>
          <cell r="Q78">
            <v>0</v>
          </cell>
          <cell r="R78">
            <v>22</v>
          </cell>
          <cell r="S78">
            <v>88</v>
          </cell>
          <cell r="T78">
            <v>18.333333333333336</v>
          </cell>
          <cell r="U78">
            <v>14.666666666666666</v>
          </cell>
          <cell r="V78">
            <v>22</v>
          </cell>
          <cell r="W78">
            <v>75</v>
          </cell>
          <cell r="X78">
            <v>24</v>
          </cell>
          <cell r="AC78">
            <v>242</v>
          </cell>
          <cell r="AF78">
            <v>0</v>
          </cell>
          <cell r="AG78">
            <v>242</v>
          </cell>
          <cell r="AK78" t="str">
            <v>Bank Muscat</v>
          </cell>
          <cell r="AL78">
            <v>0</v>
          </cell>
          <cell r="AM78">
            <v>14221498</v>
          </cell>
        </row>
        <row r="79">
          <cell r="B79">
            <v>1931</v>
          </cell>
          <cell r="C79" t="str">
            <v>Abdullah Nasser Rashid Al Nasseri</v>
          </cell>
          <cell r="D79" t="str">
            <v>Casual Labour</v>
          </cell>
          <cell r="E79">
            <v>39639</v>
          </cell>
          <cell r="F79">
            <v>0.625</v>
          </cell>
          <cell r="G79">
            <v>1</v>
          </cell>
          <cell r="H79">
            <v>120</v>
          </cell>
          <cell r="I79">
            <v>25</v>
          </cell>
          <cell r="J79">
            <v>20</v>
          </cell>
          <cell r="K79">
            <v>30</v>
          </cell>
          <cell r="L79">
            <v>44</v>
          </cell>
          <cell r="M79">
            <v>24</v>
          </cell>
          <cell r="N79">
            <v>22</v>
          </cell>
          <cell r="O79">
            <v>0</v>
          </cell>
          <cell r="P79">
            <v>0</v>
          </cell>
          <cell r="Q79">
            <v>0</v>
          </cell>
          <cell r="R79">
            <v>22</v>
          </cell>
          <cell r="S79">
            <v>88</v>
          </cell>
          <cell r="T79">
            <v>18.333333333333336</v>
          </cell>
          <cell r="U79">
            <v>14.666666666666666</v>
          </cell>
          <cell r="V79">
            <v>22</v>
          </cell>
          <cell r="W79">
            <v>27.5</v>
          </cell>
          <cell r="X79">
            <v>24</v>
          </cell>
          <cell r="AC79">
            <v>194.5</v>
          </cell>
          <cell r="AF79">
            <v>0</v>
          </cell>
          <cell r="AG79">
            <v>194.5</v>
          </cell>
          <cell r="AK79" t="str">
            <v>Bank Muscat</v>
          </cell>
          <cell r="AL79">
            <v>0</v>
          </cell>
          <cell r="AM79" t="str">
            <v>169-12026-0084-011</v>
          </cell>
        </row>
        <row r="80">
          <cell r="B80">
            <v>1932</v>
          </cell>
          <cell r="C80" t="str">
            <v>Fahad Ali Masaaod Al Khatri</v>
          </cell>
          <cell r="D80" t="str">
            <v>Casual Labour</v>
          </cell>
          <cell r="E80">
            <v>39639</v>
          </cell>
          <cell r="F80">
            <v>0.625</v>
          </cell>
          <cell r="G80">
            <v>1</v>
          </cell>
          <cell r="H80">
            <v>120</v>
          </cell>
          <cell r="I80">
            <v>25</v>
          </cell>
          <cell r="J80">
            <v>20</v>
          </cell>
          <cell r="K80">
            <v>30</v>
          </cell>
          <cell r="L80">
            <v>44</v>
          </cell>
          <cell r="M80">
            <v>0</v>
          </cell>
          <cell r="N80">
            <v>8</v>
          </cell>
          <cell r="O80">
            <v>0</v>
          </cell>
          <cell r="P80">
            <v>0</v>
          </cell>
          <cell r="Q80">
            <v>0</v>
          </cell>
          <cell r="R80">
            <v>8</v>
          </cell>
          <cell r="S80">
            <v>32</v>
          </cell>
          <cell r="T80">
            <v>6.666666666666667</v>
          </cell>
          <cell r="U80">
            <v>5.333333333333333</v>
          </cell>
          <cell r="V80">
            <v>8</v>
          </cell>
          <cell r="W80">
            <v>27.5</v>
          </cell>
          <cell r="X80">
            <v>0</v>
          </cell>
          <cell r="AC80">
            <v>79.5</v>
          </cell>
          <cell r="AF80">
            <v>0</v>
          </cell>
          <cell r="AG80">
            <v>79.5</v>
          </cell>
          <cell r="AK80">
            <v>0</v>
          </cell>
          <cell r="AL80">
            <v>0</v>
          </cell>
          <cell r="AM80">
            <v>0</v>
          </cell>
        </row>
        <row r="81">
          <cell r="B81">
            <v>1933</v>
          </cell>
          <cell r="C81" t="str">
            <v>Saif Salim Al Abd Al Mabsali</v>
          </cell>
          <cell r="D81" t="str">
            <v>Casual Labour</v>
          </cell>
          <cell r="E81">
            <v>39639</v>
          </cell>
          <cell r="F81">
            <v>0.625</v>
          </cell>
          <cell r="G81">
            <v>1</v>
          </cell>
          <cell r="H81">
            <v>120</v>
          </cell>
          <cell r="I81">
            <v>25</v>
          </cell>
          <cell r="J81">
            <v>20</v>
          </cell>
          <cell r="K81">
            <v>30</v>
          </cell>
          <cell r="L81">
            <v>68</v>
          </cell>
          <cell r="M81">
            <v>0</v>
          </cell>
          <cell r="N81">
            <v>14</v>
          </cell>
          <cell r="O81">
            <v>0</v>
          </cell>
          <cell r="P81">
            <v>0</v>
          </cell>
          <cell r="Q81">
            <v>0</v>
          </cell>
          <cell r="R81">
            <v>14</v>
          </cell>
          <cell r="S81">
            <v>56</v>
          </cell>
          <cell r="T81">
            <v>11.666666666666668</v>
          </cell>
          <cell r="U81">
            <v>9.3333333333333321</v>
          </cell>
          <cell r="V81">
            <v>14</v>
          </cell>
          <cell r="W81">
            <v>42.5</v>
          </cell>
          <cell r="X81">
            <v>0</v>
          </cell>
          <cell r="AC81">
            <v>133.5</v>
          </cell>
          <cell r="AF81">
            <v>0</v>
          </cell>
          <cell r="AG81">
            <v>133.5</v>
          </cell>
          <cell r="AK81" t="str">
            <v>Bank Muscat</v>
          </cell>
          <cell r="AL81">
            <v>0</v>
          </cell>
          <cell r="AM81" t="str">
            <v>131-21679-0084-011</v>
          </cell>
        </row>
        <row r="82">
          <cell r="B82">
            <v>1934</v>
          </cell>
          <cell r="C82" t="str">
            <v>Nasser Ali Bar Ghoush AL Amri</v>
          </cell>
          <cell r="D82" t="str">
            <v>Casual Labour</v>
          </cell>
          <cell r="E82">
            <v>39639</v>
          </cell>
          <cell r="F82">
            <v>0.625</v>
          </cell>
          <cell r="G82">
            <v>1</v>
          </cell>
          <cell r="H82">
            <v>120</v>
          </cell>
          <cell r="I82">
            <v>25</v>
          </cell>
          <cell r="J82">
            <v>20</v>
          </cell>
          <cell r="K82">
            <v>30</v>
          </cell>
          <cell r="L82">
            <v>0</v>
          </cell>
          <cell r="M82">
            <v>0</v>
          </cell>
          <cell r="N82">
            <v>1</v>
          </cell>
          <cell r="O82">
            <v>0</v>
          </cell>
          <cell r="P82">
            <v>0</v>
          </cell>
          <cell r="Q82">
            <v>0</v>
          </cell>
          <cell r="R82">
            <v>1</v>
          </cell>
          <cell r="S82">
            <v>4</v>
          </cell>
          <cell r="T82">
            <v>0.83333333333333337</v>
          </cell>
          <cell r="U82">
            <v>0.66666666666666663</v>
          </cell>
          <cell r="V82">
            <v>1</v>
          </cell>
          <cell r="W82">
            <v>0</v>
          </cell>
          <cell r="X82">
            <v>0</v>
          </cell>
          <cell r="AC82">
            <v>6.5</v>
          </cell>
          <cell r="AF82">
            <v>0</v>
          </cell>
          <cell r="AG82">
            <v>6.5</v>
          </cell>
          <cell r="AK82" t="str">
            <v>Bank Muscat</v>
          </cell>
          <cell r="AL82">
            <v>0</v>
          </cell>
          <cell r="AM82" t="str">
            <v>0056-26442-0084-017</v>
          </cell>
        </row>
        <row r="83">
          <cell r="B83">
            <v>1937</v>
          </cell>
          <cell r="C83" t="str">
            <v>Abdul  Aziz  Saud  Ali Al Mahrooqi</v>
          </cell>
          <cell r="D83" t="str">
            <v>Casual Labour</v>
          </cell>
          <cell r="E83">
            <v>39640</v>
          </cell>
          <cell r="F83">
            <v>0.625</v>
          </cell>
          <cell r="G83">
            <v>1</v>
          </cell>
          <cell r="H83">
            <v>120</v>
          </cell>
          <cell r="I83">
            <v>25</v>
          </cell>
          <cell r="J83">
            <v>20</v>
          </cell>
          <cell r="K83">
            <v>30</v>
          </cell>
          <cell r="L83">
            <v>118</v>
          </cell>
          <cell r="M83">
            <v>24</v>
          </cell>
          <cell r="N83">
            <v>21</v>
          </cell>
          <cell r="O83">
            <v>0</v>
          </cell>
          <cell r="P83">
            <v>0</v>
          </cell>
          <cell r="Q83">
            <v>0</v>
          </cell>
          <cell r="R83">
            <v>21</v>
          </cell>
          <cell r="S83">
            <v>84</v>
          </cell>
          <cell r="T83">
            <v>17.5</v>
          </cell>
          <cell r="U83">
            <v>14</v>
          </cell>
          <cell r="V83">
            <v>21</v>
          </cell>
          <cell r="W83">
            <v>73.75</v>
          </cell>
          <cell r="X83">
            <v>24</v>
          </cell>
          <cell r="AC83">
            <v>234.25</v>
          </cell>
          <cell r="AF83">
            <v>0</v>
          </cell>
          <cell r="AG83">
            <v>234.25</v>
          </cell>
          <cell r="AK83" t="str">
            <v>Bank Muscat</v>
          </cell>
          <cell r="AL83" t="str">
            <v>Adam</v>
          </cell>
          <cell r="AM83">
            <v>142817490084010</v>
          </cell>
        </row>
        <row r="84">
          <cell r="B84">
            <v>1938</v>
          </cell>
          <cell r="C84" t="str">
            <v>Malik Ali Mohameed Al Nassri</v>
          </cell>
          <cell r="D84" t="str">
            <v>Casual Labour</v>
          </cell>
          <cell r="E84">
            <v>39640</v>
          </cell>
          <cell r="F84">
            <v>0.625</v>
          </cell>
          <cell r="G84">
            <v>1</v>
          </cell>
          <cell r="H84">
            <v>120</v>
          </cell>
          <cell r="I84">
            <v>25</v>
          </cell>
          <cell r="J84">
            <v>20</v>
          </cell>
          <cell r="K84">
            <v>30</v>
          </cell>
          <cell r="L84">
            <v>78</v>
          </cell>
          <cell r="M84">
            <v>24</v>
          </cell>
          <cell r="N84">
            <v>21</v>
          </cell>
          <cell r="O84">
            <v>0</v>
          </cell>
          <cell r="P84">
            <v>0</v>
          </cell>
          <cell r="Q84">
            <v>0</v>
          </cell>
          <cell r="R84">
            <v>21</v>
          </cell>
          <cell r="S84">
            <v>84</v>
          </cell>
          <cell r="T84">
            <v>17.5</v>
          </cell>
          <cell r="U84">
            <v>14</v>
          </cell>
          <cell r="V84">
            <v>21</v>
          </cell>
          <cell r="W84">
            <v>48.75</v>
          </cell>
          <cell r="X84">
            <v>24</v>
          </cell>
          <cell r="AC84">
            <v>209.25</v>
          </cell>
          <cell r="AF84">
            <v>0</v>
          </cell>
          <cell r="AG84">
            <v>209.25</v>
          </cell>
          <cell r="AK84" t="str">
            <v>Bank Muscat</v>
          </cell>
          <cell r="AL84" t="str">
            <v>Al Khawer</v>
          </cell>
          <cell r="AM84">
            <v>142243990091015</v>
          </cell>
        </row>
        <row r="85">
          <cell r="B85">
            <v>1939</v>
          </cell>
          <cell r="C85" t="str">
            <v>Ahamed Mohameed Said Al Nasri</v>
          </cell>
          <cell r="D85" t="str">
            <v>Casual Labour</v>
          </cell>
          <cell r="E85">
            <v>39640</v>
          </cell>
          <cell r="F85">
            <v>0.625</v>
          </cell>
          <cell r="G85">
            <v>1</v>
          </cell>
          <cell r="H85">
            <v>120</v>
          </cell>
          <cell r="I85">
            <v>25</v>
          </cell>
          <cell r="J85">
            <v>20</v>
          </cell>
          <cell r="K85">
            <v>30</v>
          </cell>
          <cell r="L85">
            <v>82</v>
          </cell>
          <cell r="M85">
            <v>12</v>
          </cell>
          <cell r="N85">
            <v>16</v>
          </cell>
          <cell r="O85">
            <v>0</v>
          </cell>
          <cell r="P85">
            <v>0</v>
          </cell>
          <cell r="Q85">
            <v>0</v>
          </cell>
          <cell r="R85">
            <v>16</v>
          </cell>
          <cell r="S85">
            <v>64</v>
          </cell>
          <cell r="T85">
            <v>13.333333333333334</v>
          </cell>
          <cell r="U85">
            <v>10.666666666666666</v>
          </cell>
          <cell r="V85">
            <v>16</v>
          </cell>
          <cell r="W85">
            <v>51.25</v>
          </cell>
          <cell r="X85">
            <v>12</v>
          </cell>
          <cell r="AC85">
            <v>167.25</v>
          </cell>
          <cell r="AF85">
            <v>0</v>
          </cell>
          <cell r="AG85">
            <v>167.25</v>
          </cell>
          <cell r="AK85" t="str">
            <v>Bank Muscat</v>
          </cell>
          <cell r="AL85" t="str">
            <v>Adam</v>
          </cell>
          <cell r="AM85">
            <v>11912699</v>
          </cell>
        </row>
        <row r="86">
          <cell r="B86">
            <v>1940</v>
          </cell>
          <cell r="C86" t="str">
            <v>Ahamed Nasser Ahamed  Al Shaibani</v>
          </cell>
          <cell r="D86" t="str">
            <v>Casual Labour</v>
          </cell>
          <cell r="E86">
            <v>39640</v>
          </cell>
          <cell r="F86">
            <v>0.625</v>
          </cell>
          <cell r="G86">
            <v>1</v>
          </cell>
          <cell r="H86">
            <v>120</v>
          </cell>
          <cell r="I86">
            <v>25</v>
          </cell>
          <cell r="J86">
            <v>20</v>
          </cell>
          <cell r="K86">
            <v>30</v>
          </cell>
          <cell r="L86">
            <v>69</v>
          </cell>
          <cell r="M86">
            <v>12</v>
          </cell>
          <cell r="N86">
            <v>14</v>
          </cell>
          <cell r="O86">
            <v>0</v>
          </cell>
          <cell r="P86">
            <v>0</v>
          </cell>
          <cell r="Q86">
            <v>0</v>
          </cell>
          <cell r="R86">
            <v>14</v>
          </cell>
          <cell r="S86">
            <v>56</v>
          </cell>
          <cell r="T86">
            <v>11.666666666666668</v>
          </cell>
          <cell r="U86">
            <v>9.3333333333333321</v>
          </cell>
          <cell r="V86">
            <v>14</v>
          </cell>
          <cell r="W86">
            <v>43.125</v>
          </cell>
          <cell r="X86">
            <v>12</v>
          </cell>
          <cell r="AC86">
            <v>146.125</v>
          </cell>
          <cell r="AF86">
            <v>0</v>
          </cell>
          <cell r="AG86">
            <v>146.125</v>
          </cell>
          <cell r="AK86" t="str">
            <v>Bank Muscat</v>
          </cell>
          <cell r="AL86" t="str">
            <v>Adam</v>
          </cell>
          <cell r="AM86">
            <v>129249250084016</v>
          </cell>
        </row>
        <row r="87">
          <cell r="B87">
            <v>1944</v>
          </cell>
          <cell r="C87" t="str">
            <v xml:space="preserve">Ali Abdullah Khalfan  Al Shazani </v>
          </cell>
          <cell r="D87" t="str">
            <v>Casual Labour</v>
          </cell>
          <cell r="E87">
            <v>39641</v>
          </cell>
          <cell r="F87">
            <v>0.625</v>
          </cell>
          <cell r="G87">
            <v>1</v>
          </cell>
          <cell r="H87">
            <v>120</v>
          </cell>
          <cell r="I87">
            <v>25</v>
          </cell>
          <cell r="J87">
            <v>20</v>
          </cell>
          <cell r="K87">
            <v>30</v>
          </cell>
          <cell r="L87">
            <v>32</v>
          </cell>
          <cell r="M87">
            <v>0</v>
          </cell>
          <cell r="N87">
            <v>8</v>
          </cell>
          <cell r="O87">
            <v>0</v>
          </cell>
          <cell r="P87">
            <v>0</v>
          </cell>
          <cell r="Q87">
            <v>0</v>
          </cell>
          <cell r="R87">
            <v>8</v>
          </cell>
          <cell r="S87">
            <v>32</v>
          </cell>
          <cell r="T87">
            <v>6.666666666666667</v>
          </cell>
          <cell r="U87">
            <v>5.333333333333333</v>
          </cell>
          <cell r="V87">
            <v>8</v>
          </cell>
          <cell r="W87">
            <v>20</v>
          </cell>
          <cell r="X87">
            <v>0</v>
          </cell>
          <cell r="AC87">
            <v>72</v>
          </cell>
          <cell r="AF87">
            <v>0</v>
          </cell>
          <cell r="AG87">
            <v>72</v>
          </cell>
          <cell r="AK87" t="str">
            <v>Bank Muscat</v>
          </cell>
          <cell r="AL87" t="str">
            <v>Sinaw</v>
          </cell>
          <cell r="AM87">
            <v>131173810084018</v>
          </cell>
        </row>
        <row r="88">
          <cell r="B88">
            <v>1945</v>
          </cell>
          <cell r="C88" t="str">
            <v xml:space="preserve"> Musalam Suliman Said Al Hinai</v>
          </cell>
          <cell r="D88" t="str">
            <v>Casual Light Duty Driver</v>
          </cell>
          <cell r="E88">
            <v>39641</v>
          </cell>
          <cell r="F88">
            <v>0.78125</v>
          </cell>
          <cell r="G88">
            <v>1.25</v>
          </cell>
          <cell r="H88">
            <v>150</v>
          </cell>
          <cell r="I88">
            <v>30</v>
          </cell>
          <cell r="J88">
            <v>25</v>
          </cell>
          <cell r="K88">
            <v>40</v>
          </cell>
          <cell r="L88">
            <v>112</v>
          </cell>
          <cell r="M88">
            <v>24</v>
          </cell>
          <cell r="N88">
            <v>20</v>
          </cell>
          <cell r="O88">
            <v>0</v>
          </cell>
          <cell r="P88">
            <v>0</v>
          </cell>
          <cell r="Q88">
            <v>0</v>
          </cell>
          <cell r="R88">
            <v>20</v>
          </cell>
          <cell r="S88">
            <v>100</v>
          </cell>
          <cell r="T88">
            <v>20</v>
          </cell>
          <cell r="U88">
            <v>16.666666666666668</v>
          </cell>
          <cell r="V88">
            <v>26.666666666666664</v>
          </cell>
          <cell r="W88">
            <v>87.5</v>
          </cell>
          <cell r="X88">
            <v>30</v>
          </cell>
          <cell r="AC88">
            <v>280.83333333333331</v>
          </cell>
          <cell r="AF88">
            <v>0</v>
          </cell>
          <cell r="AG88">
            <v>280.83333333333331</v>
          </cell>
          <cell r="AK88" t="str">
            <v>Oman International bank</v>
          </cell>
          <cell r="AL88">
            <v>0</v>
          </cell>
          <cell r="AM88" t="str">
            <v>27-190313-20-01</v>
          </cell>
        </row>
        <row r="89">
          <cell r="B89">
            <v>1946</v>
          </cell>
          <cell r="C89" t="str">
            <v>Fahad hamed Said Al Hadrami</v>
          </cell>
          <cell r="D89" t="str">
            <v>Casual Labour</v>
          </cell>
          <cell r="E89">
            <v>39642</v>
          </cell>
          <cell r="F89">
            <v>0.625</v>
          </cell>
          <cell r="G89">
            <v>1</v>
          </cell>
          <cell r="H89">
            <v>120</v>
          </cell>
          <cell r="I89">
            <v>25</v>
          </cell>
          <cell r="J89">
            <v>20</v>
          </cell>
          <cell r="K89">
            <v>30</v>
          </cell>
          <cell r="L89">
            <v>60</v>
          </cell>
          <cell r="M89">
            <v>12</v>
          </cell>
          <cell r="N89">
            <v>12</v>
          </cell>
          <cell r="O89">
            <v>0</v>
          </cell>
          <cell r="P89">
            <v>0</v>
          </cell>
          <cell r="Q89">
            <v>0</v>
          </cell>
          <cell r="R89">
            <v>12</v>
          </cell>
          <cell r="S89">
            <v>48</v>
          </cell>
          <cell r="T89">
            <v>10</v>
          </cell>
          <cell r="U89">
            <v>8</v>
          </cell>
          <cell r="V89">
            <v>12</v>
          </cell>
          <cell r="W89">
            <v>37.5</v>
          </cell>
          <cell r="X89">
            <v>12</v>
          </cell>
          <cell r="AC89">
            <v>127.5</v>
          </cell>
          <cell r="AF89">
            <v>0</v>
          </cell>
          <cell r="AG89">
            <v>127.5</v>
          </cell>
          <cell r="AK89" t="str">
            <v>Bank Sohar</v>
          </cell>
          <cell r="AL89" t="str">
            <v>Muscat</v>
          </cell>
          <cell r="AM89">
            <v>6049040000621620</v>
          </cell>
        </row>
        <row r="90">
          <cell r="B90">
            <v>1947</v>
          </cell>
          <cell r="C90" t="str">
            <v>Yones Salim Mohameed Al Darei</v>
          </cell>
          <cell r="D90" t="str">
            <v>Casual Labour</v>
          </cell>
          <cell r="E90">
            <v>39642</v>
          </cell>
          <cell r="F90">
            <v>0.625</v>
          </cell>
          <cell r="G90">
            <v>1</v>
          </cell>
          <cell r="H90">
            <v>120</v>
          </cell>
          <cell r="I90">
            <v>25</v>
          </cell>
          <cell r="J90">
            <v>20</v>
          </cell>
          <cell r="K90">
            <v>30</v>
          </cell>
          <cell r="L90">
            <v>8</v>
          </cell>
          <cell r="M90">
            <v>0</v>
          </cell>
          <cell r="N90">
            <v>4</v>
          </cell>
          <cell r="O90">
            <v>0</v>
          </cell>
          <cell r="P90">
            <v>0</v>
          </cell>
          <cell r="Q90">
            <v>0</v>
          </cell>
          <cell r="R90">
            <v>4</v>
          </cell>
          <cell r="S90">
            <v>16</v>
          </cell>
          <cell r="T90">
            <v>3.3333333333333335</v>
          </cell>
          <cell r="U90">
            <v>2.6666666666666665</v>
          </cell>
          <cell r="V90">
            <v>4</v>
          </cell>
          <cell r="W90">
            <v>5</v>
          </cell>
          <cell r="X90">
            <v>0</v>
          </cell>
          <cell r="AC90">
            <v>31</v>
          </cell>
          <cell r="AF90">
            <v>0</v>
          </cell>
          <cell r="AG90">
            <v>31</v>
          </cell>
          <cell r="AK90" t="str">
            <v>Bank Muscat</v>
          </cell>
          <cell r="AL90" t="str">
            <v>Adam</v>
          </cell>
          <cell r="AM90" t="str">
            <v>129-23160089015</v>
          </cell>
        </row>
        <row r="91">
          <cell r="B91">
            <v>1948</v>
          </cell>
          <cell r="C91" t="str">
            <v>Mahfood Hameid  Mohameed Al Darei</v>
          </cell>
          <cell r="D91" t="str">
            <v>Casual Labour</v>
          </cell>
          <cell r="E91">
            <v>39642</v>
          </cell>
          <cell r="F91">
            <v>0.625</v>
          </cell>
          <cell r="G91">
            <v>1</v>
          </cell>
          <cell r="H91">
            <v>120</v>
          </cell>
          <cell r="I91">
            <v>25</v>
          </cell>
          <cell r="J91">
            <v>20</v>
          </cell>
          <cell r="K91">
            <v>30</v>
          </cell>
          <cell r="L91">
            <v>10</v>
          </cell>
          <cell r="M91">
            <v>0</v>
          </cell>
          <cell r="N91">
            <v>4</v>
          </cell>
          <cell r="O91">
            <v>0</v>
          </cell>
          <cell r="P91">
            <v>0</v>
          </cell>
          <cell r="Q91">
            <v>0</v>
          </cell>
          <cell r="R91">
            <v>4</v>
          </cell>
          <cell r="S91">
            <v>16</v>
          </cell>
          <cell r="T91">
            <v>3.3333333333333335</v>
          </cell>
          <cell r="U91">
            <v>2.6666666666666665</v>
          </cell>
          <cell r="V91">
            <v>4</v>
          </cell>
          <cell r="W91">
            <v>6.25</v>
          </cell>
          <cell r="X91">
            <v>0</v>
          </cell>
          <cell r="AC91">
            <v>32.25</v>
          </cell>
          <cell r="AF91">
            <v>0</v>
          </cell>
          <cell r="AG91">
            <v>32.25</v>
          </cell>
          <cell r="AK91" t="str">
            <v>Oman International bank</v>
          </cell>
          <cell r="AL91" t="str">
            <v>Adam</v>
          </cell>
          <cell r="AM91">
            <v>281052372001</v>
          </cell>
        </row>
        <row r="92">
          <cell r="B92">
            <v>1951</v>
          </cell>
          <cell r="C92" t="str">
            <v>Saif Harib Mohameed Al Kalbani</v>
          </cell>
          <cell r="D92" t="str">
            <v>Casual Labour</v>
          </cell>
          <cell r="E92">
            <v>39645</v>
          </cell>
          <cell r="F92">
            <v>0.625</v>
          </cell>
          <cell r="G92">
            <v>1</v>
          </cell>
          <cell r="H92">
            <v>120</v>
          </cell>
          <cell r="I92">
            <v>25</v>
          </cell>
          <cell r="J92">
            <v>20</v>
          </cell>
          <cell r="K92">
            <v>30</v>
          </cell>
          <cell r="L92">
            <v>66</v>
          </cell>
          <cell r="M92">
            <v>12</v>
          </cell>
          <cell r="N92">
            <v>13</v>
          </cell>
          <cell r="O92">
            <v>0</v>
          </cell>
          <cell r="P92">
            <v>0</v>
          </cell>
          <cell r="Q92">
            <v>0</v>
          </cell>
          <cell r="R92">
            <v>13</v>
          </cell>
          <cell r="S92">
            <v>52</v>
          </cell>
          <cell r="T92">
            <v>10.833333333333334</v>
          </cell>
          <cell r="U92">
            <v>8.6666666666666661</v>
          </cell>
          <cell r="V92">
            <v>13</v>
          </cell>
          <cell r="W92">
            <v>41.25</v>
          </cell>
          <cell r="X92">
            <v>12</v>
          </cell>
          <cell r="AC92">
            <v>137.75</v>
          </cell>
          <cell r="AF92">
            <v>0</v>
          </cell>
          <cell r="AG92">
            <v>137.75</v>
          </cell>
          <cell r="AK92" t="str">
            <v>Bank Muscat</v>
          </cell>
          <cell r="AL92" t="str">
            <v>Ibri</v>
          </cell>
          <cell r="AM92">
            <v>28825190084017</v>
          </cell>
        </row>
        <row r="93">
          <cell r="B93">
            <v>1952</v>
          </cell>
          <cell r="C93" t="str">
            <v>Nasser Ambar Dabi Al Zeidi</v>
          </cell>
          <cell r="D93" t="str">
            <v>Casual Labour</v>
          </cell>
          <cell r="E93">
            <v>39645</v>
          </cell>
          <cell r="F93">
            <v>0.625</v>
          </cell>
          <cell r="G93">
            <v>1</v>
          </cell>
          <cell r="H93">
            <v>120</v>
          </cell>
          <cell r="I93">
            <v>25</v>
          </cell>
          <cell r="J93">
            <v>20</v>
          </cell>
          <cell r="K93">
            <v>30</v>
          </cell>
          <cell r="L93">
            <v>80</v>
          </cell>
          <cell r="M93">
            <v>24</v>
          </cell>
          <cell r="N93">
            <v>16</v>
          </cell>
          <cell r="O93">
            <v>0</v>
          </cell>
          <cell r="P93">
            <v>0</v>
          </cell>
          <cell r="Q93">
            <v>0</v>
          </cell>
          <cell r="R93">
            <v>16</v>
          </cell>
          <cell r="S93">
            <v>64</v>
          </cell>
          <cell r="T93">
            <v>13.333333333333334</v>
          </cell>
          <cell r="U93">
            <v>10.666666666666666</v>
          </cell>
          <cell r="V93">
            <v>16</v>
          </cell>
          <cell r="W93">
            <v>50</v>
          </cell>
          <cell r="X93">
            <v>24</v>
          </cell>
          <cell r="AC93">
            <v>178</v>
          </cell>
          <cell r="AF93">
            <v>0</v>
          </cell>
          <cell r="AG93">
            <v>178</v>
          </cell>
          <cell r="AK93" t="str">
            <v>Oman International bank</v>
          </cell>
          <cell r="AL93" t="str">
            <v>Dhank</v>
          </cell>
          <cell r="AM93" t="str">
            <v>26-063685-20</v>
          </cell>
        </row>
        <row r="94">
          <cell r="B94">
            <v>1953</v>
          </cell>
          <cell r="C94" t="str">
            <v xml:space="preserve">Abdullah Ambar Dabi Al Zeidi </v>
          </cell>
          <cell r="D94" t="str">
            <v>Casual Labour</v>
          </cell>
          <cell r="E94">
            <v>39645</v>
          </cell>
          <cell r="F94">
            <v>0.625</v>
          </cell>
          <cell r="G94">
            <v>1</v>
          </cell>
          <cell r="H94">
            <v>120</v>
          </cell>
          <cell r="I94">
            <v>25</v>
          </cell>
          <cell r="J94">
            <v>20</v>
          </cell>
          <cell r="K94">
            <v>30</v>
          </cell>
          <cell r="L94">
            <v>92</v>
          </cell>
          <cell r="M94">
            <v>24</v>
          </cell>
          <cell r="N94">
            <v>16</v>
          </cell>
          <cell r="O94">
            <v>0</v>
          </cell>
          <cell r="P94">
            <v>0</v>
          </cell>
          <cell r="Q94">
            <v>0</v>
          </cell>
          <cell r="R94">
            <v>16</v>
          </cell>
          <cell r="S94">
            <v>64</v>
          </cell>
          <cell r="T94">
            <v>13.333333333333334</v>
          </cell>
          <cell r="U94">
            <v>10.666666666666666</v>
          </cell>
          <cell r="V94">
            <v>16</v>
          </cell>
          <cell r="W94">
            <v>57.5</v>
          </cell>
          <cell r="X94">
            <v>24</v>
          </cell>
          <cell r="AC94">
            <v>185.5</v>
          </cell>
          <cell r="AF94">
            <v>0</v>
          </cell>
          <cell r="AG94">
            <v>185.5</v>
          </cell>
          <cell r="AK94" t="str">
            <v>Oman International bank</v>
          </cell>
          <cell r="AL94" t="str">
            <v>Dhank</v>
          </cell>
          <cell r="AM94" t="str">
            <v>263669-20</v>
          </cell>
        </row>
        <row r="95">
          <cell r="B95">
            <v>1954</v>
          </cell>
          <cell r="C95" t="str">
            <v>Yaqoob Nasser Mohamed Alrawahi</v>
          </cell>
          <cell r="D95" t="str">
            <v>Casual Labour</v>
          </cell>
          <cell r="E95">
            <v>39647</v>
          </cell>
          <cell r="F95">
            <v>0.625</v>
          </cell>
          <cell r="G95">
            <v>1</v>
          </cell>
          <cell r="H95">
            <v>120</v>
          </cell>
          <cell r="I95">
            <v>25</v>
          </cell>
          <cell r="J95">
            <v>20</v>
          </cell>
          <cell r="K95">
            <v>30</v>
          </cell>
          <cell r="L95">
            <v>80</v>
          </cell>
          <cell r="M95">
            <v>24</v>
          </cell>
          <cell r="N95">
            <v>14</v>
          </cell>
          <cell r="O95">
            <v>0</v>
          </cell>
          <cell r="P95">
            <v>0</v>
          </cell>
          <cell r="Q95">
            <v>0</v>
          </cell>
          <cell r="R95">
            <v>14</v>
          </cell>
          <cell r="S95">
            <v>56</v>
          </cell>
          <cell r="T95">
            <v>11.666666666666668</v>
          </cell>
          <cell r="U95">
            <v>9.3333333333333321</v>
          </cell>
          <cell r="V95">
            <v>14</v>
          </cell>
          <cell r="W95">
            <v>50</v>
          </cell>
          <cell r="X95">
            <v>24</v>
          </cell>
          <cell r="AC95">
            <v>165</v>
          </cell>
          <cell r="AF95">
            <v>0</v>
          </cell>
          <cell r="AG95">
            <v>165</v>
          </cell>
          <cell r="AK95" t="str">
            <v>Bank Muscat</v>
          </cell>
          <cell r="AL95" t="str">
            <v>Samayel</v>
          </cell>
          <cell r="AM95">
            <v>122155350084018</v>
          </cell>
        </row>
        <row r="96">
          <cell r="B96">
            <v>1955</v>
          </cell>
          <cell r="C96" t="str">
            <v>Ahamed Salim Ahamed Al Shabani</v>
          </cell>
          <cell r="D96" t="str">
            <v>Casual Labour</v>
          </cell>
          <cell r="E96">
            <v>39647</v>
          </cell>
          <cell r="F96">
            <v>0.625</v>
          </cell>
          <cell r="G96">
            <v>1</v>
          </cell>
          <cell r="H96">
            <v>120</v>
          </cell>
          <cell r="I96">
            <v>25</v>
          </cell>
          <cell r="J96">
            <v>20</v>
          </cell>
          <cell r="K96">
            <v>30</v>
          </cell>
          <cell r="L96">
            <v>76</v>
          </cell>
          <cell r="M96">
            <v>24</v>
          </cell>
          <cell r="N96">
            <v>14</v>
          </cell>
          <cell r="O96">
            <v>0</v>
          </cell>
          <cell r="P96">
            <v>0</v>
          </cell>
          <cell r="Q96">
            <v>0</v>
          </cell>
          <cell r="R96">
            <v>14</v>
          </cell>
          <cell r="S96">
            <v>56</v>
          </cell>
          <cell r="T96">
            <v>11.666666666666668</v>
          </cell>
          <cell r="U96">
            <v>9.3333333333333321</v>
          </cell>
          <cell r="V96">
            <v>14</v>
          </cell>
          <cell r="W96">
            <v>47.5</v>
          </cell>
          <cell r="X96">
            <v>24</v>
          </cell>
          <cell r="AC96">
            <v>162.5</v>
          </cell>
          <cell r="AF96">
            <v>0</v>
          </cell>
          <cell r="AG96">
            <v>162.5</v>
          </cell>
          <cell r="AK96" t="str">
            <v>Bank Muscat</v>
          </cell>
          <cell r="AL96" t="str">
            <v>Adam</v>
          </cell>
          <cell r="AM96">
            <v>129280250084018</v>
          </cell>
        </row>
        <row r="97">
          <cell r="B97">
            <v>1956</v>
          </cell>
          <cell r="C97" t="str">
            <v>Ahamed Mohamed Nasser Al Shaibani</v>
          </cell>
          <cell r="D97" t="str">
            <v>Casual Labour</v>
          </cell>
          <cell r="E97">
            <v>39647</v>
          </cell>
          <cell r="F97">
            <v>0.625</v>
          </cell>
          <cell r="G97">
            <v>1</v>
          </cell>
          <cell r="H97">
            <v>120</v>
          </cell>
          <cell r="I97">
            <v>25</v>
          </cell>
          <cell r="J97">
            <v>20</v>
          </cell>
          <cell r="K97">
            <v>30</v>
          </cell>
          <cell r="L97">
            <v>64</v>
          </cell>
          <cell r="M97">
            <v>24</v>
          </cell>
          <cell r="N97">
            <v>14</v>
          </cell>
          <cell r="O97">
            <v>0</v>
          </cell>
          <cell r="P97">
            <v>0</v>
          </cell>
          <cell r="Q97">
            <v>0</v>
          </cell>
          <cell r="R97">
            <v>14</v>
          </cell>
          <cell r="S97">
            <v>56</v>
          </cell>
          <cell r="T97">
            <v>11.666666666666668</v>
          </cell>
          <cell r="U97">
            <v>9.3333333333333321</v>
          </cell>
          <cell r="V97">
            <v>14</v>
          </cell>
          <cell r="W97">
            <v>40</v>
          </cell>
          <cell r="X97">
            <v>24</v>
          </cell>
          <cell r="AC97">
            <v>155</v>
          </cell>
          <cell r="AF97">
            <v>0</v>
          </cell>
          <cell r="AG97">
            <v>155</v>
          </cell>
          <cell r="AK97" t="str">
            <v>Bank Muscat</v>
          </cell>
          <cell r="AL97" t="str">
            <v>Adam</v>
          </cell>
          <cell r="AM97">
            <v>128177970084015</v>
          </cell>
        </row>
        <row r="98">
          <cell r="B98">
            <v>1957</v>
          </cell>
          <cell r="C98" t="str">
            <v>Mohamed Jaber Mohamed Al Shabani</v>
          </cell>
          <cell r="D98" t="str">
            <v>Casual Labour</v>
          </cell>
          <cell r="E98">
            <v>39647</v>
          </cell>
          <cell r="F98">
            <v>0.625</v>
          </cell>
          <cell r="G98">
            <v>1</v>
          </cell>
          <cell r="H98">
            <v>120</v>
          </cell>
          <cell r="I98">
            <v>25</v>
          </cell>
          <cell r="J98">
            <v>20</v>
          </cell>
          <cell r="K98">
            <v>30</v>
          </cell>
          <cell r="L98">
            <v>80</v>
          </cell>
          <cell r="M98">
            <v>24</v>
          </cell>
          <cell r="N98">
            <v>14</v>
          </cell>
          <cell r="O98">
            <v>0</v>
          </cell>
          <cell r="P98">
            <v>0</v>
          </cell>
          <cell r="Q98">
            <v>0</v>
          </cell>
          <cell r="R98">
            <v>14</v>
          </cell>
          <cell r="S98">
            <v>56</v>
          </cell>
          <cell r="T98">
            <v>11.666666666666668</v>
          </cell>
          <cell r="U98">
            <v>9.3333333333333321</v>
          </cell>
          <cell r="V98">
            <v>14</v>
          </cell>
          <cell r="W98">
            <v>50</v>
          </cell>
          <cell r="X98">
            <v>24</v>
          </cell>
          <cell r="AC98">
            <v>165</v>
          </cell>
          <cell r="AF98">
            <v>0</v>
          </cell>
          <cell r="AG98">
            <v>165</v>
          </cell>
          <cell r="AK98" t="str">
            <v>Bank Muscat</v>
          </cell>
          <cell r="AL98" t="str">
            <v>Adam</v>
          </cell>
          <cell r="AM98">
            <v>2829583</v>
          </cell>
        </row>
        <row r="99">
          <cell r="B99">
            <v>1958</v>
          </cell>
          <cell r="C99" t="str">
            <v>Bader Bati Suliman Al Hadhrmi</v>
          </cell>
          <cell r="D99" t="str">
            <v>Casual Labour</v>
          </cell>
          <cell r="E99">
            <v>39647</v>
          </cell>
          <cell r="F99">
            <v>0.625</v>
          </cell>
          <cell r="G99">
            <v>1</v>
          </cell>
          <cell r="H99">
            <v>120</v>
          </cell>
          <cell r="I99">
            <v>25</v>
          </cell>
          <cell r="J99">
            <v>20</v>
          </cell>
          <cell r="K99">
            <v>30</v>
          </cell>
          <cell r="L99">
            <v>76</v>
          </cell>
          <cell r="M99">
            <v>24</v>
          </cell>
          <cell r="N99">
            <v>14</v>
          </cell>
          <cell r="O99">
            <v>0</v>
          </cell>
          <cell r="P99">
            <v>0</v>
          </cell>
          <cell r="Q99">
            <v>0</v>
          </cell>
          <cell r="R99">
            <v>14</v>
          </cell>
          <cell r="S99">
            <v>56</v>
          </cell>
          <cell r="T99">
            <v>11.666666666666668</v>
          </cell>
          <cell r="U99">
            <v>9.3333333333333321</v>
          </cell>
          <cell r="V99">
            <v>14</v>
          </cell>
          <cell r="W99">
            <v>47.5</v>
          </cell>
          <cell r="X99">
            <v>24</v>
          </cell>
          <cell r="AC99">
            <v>162.5</v>
          </cell>
          <cell r="AF99">
            <v>0</v>
          </cell>
          <cell r="AG99">
            <v>162.5</v>
          </cell>
          <cell r="AK99" t="str">
            <v>Bank Muscat</v>
          </cell>
          <cell r="AL99" t="str">
            <v>Manah</v>
          </cell>
          <cell r="AM99">
            <v>16106130084015</v>
          </cell>
        </row>
        <row r="100">
          <cell r="B100">
            <v>1959</v>
          </cell>
          <cell r="C100" t="str">
            <v>Anas Moosa  Jaziah  Al Ballushi</v>
          </cell>
          <cell r="D100" t="str">
            <v>Casual Labour</v>
          </cell>
          <cell r="E100">
            <v>39647</v>
          </cell>
          <cell r="F100">
            <v>0.625</v>
          </cell>
          <cell r="G100">
            <v>1</v>
          </cell>
          <cell r="H100">
            <v>120</v>
          </cell>
          <cell r="I100">
            <v>25</v>
          </cell>
          <cell r="J100">
            <v>20</v>
          </cell>
          <cell r="K100">
            <v>30</v>
          </cell>
          <cell r="L100">
            <v>60</v>
          </cell>
          <cell r="M100">
            <v>24</v>
          </cell>
          <cell r="N100">
            <v>14</v>
          </cell>
          <cell r="O100">
            <v>0</v>
          </cell>
          <cell r="P100">
            <v>0</v>
          </cell>
          <cell r="Q100">
            <v>0</v>
          </cell>
          <cell r="R100">
            <v>14</v>
          </cell>
          <cell r="S100">
            <v>56</v>
          </cell>
          <cell r="T100">
            <v>11.666666666666668</v>
          </cell>
          <cell r="U100">
            <v>9.3333333333333321</v>
          </cell>
          <cell r="V100">
            <v>14</v>
          </cell>
          <cell r="W100">
            <v>37.5</v>
          </cell>
          <cell r="X100">
            <v>24</v>
          </cell>
          <cell r="AC100">
            <v>152.5</v>
          </cell>
          <cell r="AF100">
            <v>0</v>
          </cell>
          <cell r="AG100">
            <v>152.5</v>
          </cell>
          <cell r="AK100" t="str">
            <v>Bank Muscat</v>
          </cell>
          <cell r="AL100" t="str">
            <v>Saeeb</v>
          </cell>
          <cell r="AM100">
            <v>34869700084010</v>
          </cell>
        </row>
        <row r="101">
          <cell r="B101">
            <v>1960</v>
          </cell>
          <cell r="C101" t="str">
            <v>Essa  Moosa  Jaziyah Al Ballushi</v>
          </cell>
          <cell r="D101" t="str">
            <v>Casual Labour</v>
          </cell>
          <cell r="E101">
            <v>39647</v>
          </cell>
          <cell r="F101">
            <v>0.625</v>
          </cell>
          <cell r="G101">
            <v>1</v>
          </cell>
          <cell r="H101">
            <v>120</v>
          </cell>
          <cell r="I101">
            <v>25</v>
          </cell>
          <cell r="J101">
            <v>20</v>
          </cell>
          <cell r="K101">
            <v>30</v>
          </cell>
          <cell r="L101">
            <v>52</v>
          </cell>
          <cell r="M101">
            <v>24</v>
          </cell>
          <cell r="N101">
            <v>14</v>
          </cell>
          <cell r="O101">
            <v>0</v>
          </cell>
          <cell r="P101">
            <v>0</v>
          </cell>
          <cell r="Q101">
            <v>0</v>
          </cell>
          <cell r="R101">
            <v>14</v>
          </cell>
          <cell r="S101">
            <v>56</v>
          </cell>
          <cell r="T101">
            <v>11.666666666666668</v>
          </cell>
          <cell r="U101">
            <v>9.3333333333333321</v>
          </cell>
          <cell r="V101">
            <v>14</v>
          </cell>
          <cell r="W101">
            <v>32.5</v>
          </cell>
          <cell r="X101">
            <v>24</v>
          </cell>
          <cell r="AC101">
            <v>147.5</v>
          </cell>
          <cell r="AF101">
            <v>0</v>
          </cell>
          <cell r="AG101">
            <v>147.5</v>
          </cell>
          <cell r="AK101" t="str">
            <v>Oman International bank</v>
          </cell>
          <cell r="AL101" t="str">
            <v>Ruwi</v>
          </cell>
          <cell r="AM101">
            <v>122431020</v>
          </cell>
        </row>
        <row r="102">
          <cell r="B102">
            <v>1961</v>
          </cell>
          <cell r="C102" t="str">
            <v>Abdul Rahim  Saif Alsaba   Al Hinai</v>
          </cell>
          <cell r="D102" t="str">
            <v>Casual Labour</v>
          </cell>
          <cell r="E102">
            <v>39648</v>
          </cell>
          <cell r="F102">
            <v>0.625</v>
          </cell>
          <cell r="G102">
            <v>1</v>
          </cell>
          <cell r="H102">
            <v>120</v>
          </cell>
          <cell r="I102">
            <v>25</v>
          </cell>
          <cell r="J102">
            <v>20</v>
          </cell>
          <cell r="K102">
            <v>30</v>
          </cell>
          <cell r="L102">
            <v>62</v>
          </cell>
          <cell r="M102">
            <v>24</v>
          </cell>
          <cell r="N102">
            <v>13</v>
          </cell>
          <cell r="O102">
            <v>0</v>
          </cell>
          <cell r="P102">
            <v>0</v>
          </cell>
          <cell r="Q102">
            <v>0</v>
          </cell>
          <cell r="R102">
            <v>13</v>
          </cell>
          <cell r="S102">
            <v>52</v>
          </cell>
          <cell r="T102">
            <v>10.833333333333334</v>
          </cell>
          <cell r="U102">
            <v>8.6666666666666661</v>
          </cell>
          <cell r="V102">
            <v>13</v>
          </cell>
          <cell r="W102">
            <v>38.75</v>
          </cell>
          <cell r="X102">
            <v>24</v>
          </cell>
          <cell r="AC102">
            <v>147.25</v>
          </cell>
          <cell r="AF102">
            <v>0</v>
          </cell>
          <cell r="AG102">
            <v>147.25</v>
          </cell>
          <cell r="AK102" t="str">
            <v>Bank Muscat</v>
          </cell>
          <cell r="AL102" t="str">
            <v>Bahla</v>
          </cell>
          <cell r="AM102">
            <v>62220540084015</v>
          </cell>
        </row>
        <row r="103">
          <cell r="B103">
            <v>1962</v>
          </cell>
          <cell r="C103" t="str">
            <v>Ibrahim  Mohamed Alsaba  Al Hinai</v>
          </cell>
          <cell r="D103" t="str">
            <v>Casual Labour</v>
          </cell>
          <cell r="E103">
            <v>39648</v>
          </cell>
          <cell r="F103">
            <v>0.625</v>
          </cell>
          <cell r="G103">
            <v>1</v>
          </cell>
          <cell r="H103">
            <v>120</v>
          </cell>
          <cell r="I103">
            <v>25</v>
          </cell>
          <cell r="J103">
            <v>20</v>
          </cell>
          <cell r="K103">
            <v>30</v>
          </cell>
          <cell r="L103">
            <v>58</v>
          </cell>
          <cell r="M103">
            <v>24</v>
          </cell>
          <cell r="N103">
            <v>13</v>
          </cell>
          <cell r="O103">
            <v>0</v>
          </cell>
          <cell r="P103">
            <v>0</v>
          </cell>
          <cell r="Q103">
            <v>0</v>
          </cell>
          <cell r="R103">
            <v>13</v>
          </cell>
          <cell r="S103">
            <v>52</v>
          </cell>
          <cell r="T103">
            <v>10.833333333333334</v>
          </cell>
          <cell r="U103">
            <v>8.6666666666666661</v>
          </cell>
          <cell r="V103">
            <v>13</v>
          </cell>
          <cell r="W103">
            <v>36.25</v>
          </cell>
          <cell r="X103">
            <v>24</v>
          </cell>
          <cell r="AC103">
            <v>144.75</v>
          </cell>
          <cell r="AF103">
            <v>0</v>
          </cell>
          <cell r="AG103">
            <v>144.75</v>
          </cell>
          <cell r="AK103" t="str">
            <v>Bank Muscat</v>
          </cell>
          <cell r="AL103" t="str">
            <v>Bahla</v>
          </cell>
          <cell r="AM103">
            <v>118284170084014</v>
          </cell>
        </row>
        <row r="104">
          <cell r="B104">
            <v>1963</v>
          </cell>
          <cell r="C104" t="str">
            <v>Farid  Suliyam Said  Al Hashmi</v>
          </cell>
          <cell r="D104" t="str">
            <v>Casual Labour</v>
          </cell>
          <cell r="E104">
            <v>39648</v>
          </cell>
          <cell r="F104">
            <v>0.625</v>
          </cell>
          <cell r="G104">
            <v>1</v>
          </cell>
          <cell r="H104">
            <v>120</v>
          </cell>
          <cell r="I104">
            <v>25</v>
          </cell>
          <cell r="J104">
            <v>20</v>
          </cell>
          <cell r="K104">
            <v>30</v>
          </cell>
          <cell r="L104">
            <v>70</v>
          </cell>
          <cell r="M104">
            <v>24</v>
          </cell>
          <cell r="N104">
            <v>13</v>
          </cell>
          <cell r="O104">
            <v>0</v>
          </cell>
          <cell r="P104">
            <v>0</v>
          </cell>
          <cell r="Q104">
            <v>0</v>
          </cell>
          <cell r="R104">
            <v>13</v>
          </cell>
          <cell r="S104">
            <v>52</v>
          </cell>
          <cell r="T104">
            <v>10.833333333333334</v>
          </cell>
          <cell r="U104">
            <v>8.6666666666666661</v>
          </cell>
          <cell r="V104">
            <v>13</v>
          </cell>
          <cell r="W104">
            <v>43.75</v>
          </cell>
          <cell r="X104">
            <v>24</v>
          </cell>
          <cell r="AC104">
            <v>152.25</v>
          </cell>
          <cell r="AF104">
            <v>0</v>
          </cell>
          <cell r="AG104">
            <v>152.25</v>
          </cell>
          <cell r="AK104" t="str">
            <v>Bank Muscat</v>
          </cell>
          <cell r="AL104" t="str">
            <v>Adam</v>
          </cell>
          <cell r="AM104">
            <v>129249300084010</v>
          </cell>
        </row>
        <row r="105">
          <cell r="B105">
            <v>1964</v>
          </cell>
          <cell r="C105" t="str">
            <v>Maher Hamed Obaid Al Asmi</v>
          </cell>
          <cell r="D105" t="str">
            <v>Casual Labour</v>
          </cell>
          <cell r="E105">
            <v>39648</v>
          </cell>
          <cell r="F105">
            <v>0.625</v>
          </cell>
          <cell r="G105">
            <v>1</v>
          </cell>
          <cell r="H105">
            <v>120</v>
          </cell>
          <cell r="I105">
            <v>25</v>
          </cell>
          <cell r="J105">
            <v>20</v>
          </cell>
          <cell r="K105">
            <v>30</v>
          </cell>
          <cell r="L105">
            <v>14</v>
          </cell>
          <cell r="M105">
            <v>0</v>
          </cell>
          <cell r="N105">
            <v>7</v>
          </cell>
          <cell r="O105">
            <v>0</v>
          </cell>
          <cell r="P105">
            <v>0</v>
          </cell>
          <cell r="Q105">
            <v>0</v>
          </cell>
          <cell r="R105">
            <v>7</v>
          </cell>
          <cell r="S105">
            <v>28</v>
          </cell>
          <cell r="T105">
            <v>5.8333333333333339</v>
          </cell>
          <cell r="U105">
            <v>4.6666666666666661</v>
          </cell>
          <cell r="V105">
            <v>7</v>
          </cell>
          <cell r="W105">
            <v>8.75</v>
          </cell>
          <cell r="X105">
            <v>0</v>
          </cell>
          <cell r="AC105">
            <v>54.25</v>
          </cell>
          <cell r="AF105">
            <v>0</v>
          </cell>
          <cell r="AG105">
            <v>54.25</v>
          </cell>
          <cell r="AK105" t="str">
            <v>Bank Muscat</v>
          </cell>
          <cell r="AL105" t="str">
            <v>Adam</v>
          </cell>
          <cell r="AM105">
            <v>133195370084017</v>
          </cell>
        </row>
        <row r="106">
          <cell r="B106">
            <v>1965</v>
          </cell>
          <cell r="C106" t="str">
            <v>Imad Mohamed Said Al Shikali</v>
          </cell>
          <cell r="D106" t="str">
            <v>Casual Labour</v>
          </cell>
          <cell r="E106">
            <v>39648</v>
          </cell>
          <cell r="F106">
            <v>0.625</v>
          </cell>
          <cell r="G106">
            <v>1</v>
          </cell>
          <cell r="H106">
            <v>120</v>
          </cell>
          <cell r="I106">
            <v>25</v>
          </cell>
          <cell r="J106">
            <v>20</v>
          </cell>
          <cell r="K106">
            <v>30</v>
          </cell>
          <cell r="L106">
            <v>70</v>
          </cell>
          <cell r="M106">
            <v>24</v>
          </cell>
          <cell r="N106">
            <v>13</v>
          </cell>
          <cell r="O106">
            <v>0</v>
          </cell>
          <cell r="P106">
            <v>0</v>
          </cell>
          <cell r="Q106">
            <v>0</v>
          </cell>
          <cell r="R106">
            <v>13</v>
          </cell>
          <cell r="S106">
            <v>52</v>
          </cell>
          <cell r="T106">
            <v>10.833333333333334</v>
          </cell>
          <cell r="U106">
            <v>8.6666666666666661</v>
          </cell>
          <cell r="V106">
            <v>13</v>
          </cell>
          <cell r="W106">
            <v>43.75</v>
          </cell>
          <cell r="X106">
            <v>24</v>
          </cell>
          <cell r="AC106">
            <v>152.25</v>
          </cell>
          <cell r="AF106">
            <v>0</v>
          </cell>
          <cell r="AG106">
            <v>152.25</v>
          </cell>
          <cell r="AK106" t="str">
            <v>Bank Muscat</v>
          </cell>
          <cell r="AL106" t="str">
            <v>Adam</v>
          </cell>
          <cell r="AM106">
            <v>129249460084011</v>
          </cell>
        </row>
        <row r="107">
          <cell r="B107">
            <v>1967</v>
          </cell>
          <cell r="C107" t="str">
            <v>Fahad  Hamed  Ali  Al Sultani</v>
          </cell>
          <cell r="D107" t="str">
            <v>Casual Labour</v>
          </cell>
          <cell r="E107">
            <v>39648</v>
          </cell>
          <cell r="F107">
            <v>0.625</v>
          </cell>
          <cell r="G107">
            <v>1</v>
          </cell>
          <cell r="H107">
            <v>120</v>
          </cell>
          <cell r="I107">
            <v>25</v>
          </cell>
          <cell r="J107">
            <v>20</v>
          </cell>
          <cell r="K107">
            <v>30</v>
          </cell>
          <cell r="L107">
            <v>43</v>
          </cell>
          <cell r="M107">
            <v>12</v>
          </cell>
          <cell r="N107">
            <v>11</v>
          </cell>
          <cell r="O107">
            <v>0</v>
          </cell>
          <cell r="P107">
            <v>0</v>
          </cell>
          <cell r="Q107">
            <v>2</v>
          </cell>
          <cell r="R107">
            <v>11</v>
          </cell>
          <cell r="S107">
            <v>44</v>
          </cell>
          <cell r="T107">
            <v>9.1666666666666679</v>
          </cell>
          <cell r="U107">
            <v>7.333333333333333</v>
          </cell>
          <cell r="V107">
            <v>11</v>
          </cell>
          <cell r="W107">
            <v>26.875</v>
          </cell>
          <cell r="X107">
            <v>12</v>
          </cell>
          <cell r="AC107">
            <v>110.375</v>
          </cell>
          <cell r="AF107">
            <v>0</v>
          </cell>
          <cell r="AG107">
            <v>110.375</v>
          </cell>
          <cell r="AK107" t="str">
            <v>Bank Muscat</v>
          </cell>
          <cell r="AL107" t="str">
            <v>Adam</v>
          </cell>
          <cell r="AM107">
            <v>129249470084010</v>
          </cell>
        </row>
        <row r="108">
          <cell r="B108">
            <v>1968</v>
          </cell>
          <cell r="C108" t="str">
            <v>Khalid  Mohameed Ali  Al Saidi</v>
          </cell>
          <cell r="D108" t="str">
            <v>Casual Labour</v>
          </cell>
          <cell r="E108">
            <v>39648</v>
          </cell>
          <cell r="F108">
            <v>0.625</v>
          </cell>
          <cell r="G108">
            <v>1</v>
          </cell>
          <cell r="H108">
            <v>120</v>
          </cell>
          <cell r="I108">
            <v>25</v>
          </cell>
          <cell r="J108">
            <v>20</v>
          </cell>
          <cell r="K108">
            <v>30</v>
          </cell>
          <cell r="L108">
            <v>66</v>
          </cell>
          <cell r="M108">
            <v>24</v>
          </cell>
          <cell r="N108">
            <v>13</v>
          </cell>
          <cell r="O108">
            <v>0</v>
          </cell>
          <cell r="P108">
            <v>0</v>
          </cell>
          <cell r="Q108">
            <v>0</v>
          </cell>
          <cell r="R108">
            <v>13</v>
          </cell>
          <cell r="S108">
            <v>52</v>
          </cell>
          <cell r="T108">
            <v>10.833333333333334</v>
          </cell>
          <cell r="U108">
            <v>8.6666666666666661</v>
          </cell>
          <cell r="V108">
            <v>13</v>
          </cell>
          <cell r="W108">
            <v>41.25</v>
          </cell>
          <cell r="X108">
            <v>24</v>
          </cell>
          <cell r="AC108">
            <v>149.75</v>
          </cell>
          <cell r="AF108">
            <v>0</v>
          </cell>
          <cell r="AG108">
            <v>149.75</v>
          </cell>
          <cell r="AK108" t="str">
            <v>Bank Muscat</v>
          </cell>
          <cell r="AL108" t="str">
            <v>Ibri</v>
          </cell>
          <cell r="AM108">
            <v>169120530084018</v>
          </cell>
        </row>
        <row r="109">
          <cell r="B109">
            <v>1969</v>
          </cell>
          <cell r="C109" t="str">
            <v>Abdulah Rashid Sultan Al Sultani</v>
          </cell>
          <cell r="D109" t="str">
            <v>Casual Labour</v>
          </cell>
          <cell r="E109">
            <v>39648</v>
          </cell>
          <cell r="F109">
            <v>0.625</v>
          </cell>
          <cell r="G109">
            <v>1</v>
          </cell>
          <cell r="H109">
            <v>120</v>
          </cell>
          <cell r="I109">
            <v>25</v>
          </cell>
          <cell r="J109">
            <v>20</v>
          </cell>
          <cell r="K109">
            <v>30</v>
          </cell>
          <cell r="L109">
            <v>42</v>
          </cell>
          <cell r="M109">
            <v>12</v>
          </cell>
          <cell r="N109">
            <v>11</v>
          </cell>
          <cell r="O109">
            <v>0</v>
          </cell>
          <cell r="P109">
            <v>0</v>
          </cell>
          <cell r="Q109">
            <v>2</v>
          </cell>
          <cell r="R109">
            <v>11</v>
          </cell>
          <cell r="S109">
            <v>44</v>
          </cell>
          <cell r="T109">
            <v>9.1666666666666679</v>
          </cell>
          <cell r="U109">
            <v>7.333333333333333</v>
          </cell>
          <cell r="V109">
            <v>11</v>
          </cell>
          <cell r="W109">
            <v>26.25</v>
          </cell>
          <cell r="X109">
            <v>12</v>
          </cell>
          <cell r="AC109">
            <v>109.75</v>
          </cell>
          <cell r="AF109">
            <v>0</v>
          </cell>
          <cell r="AG109">
            <v>109.75</v>
          </cell>
          <cell r="AK109" t="str">
            <v>Bank Muscat</v>
          </cell>
          <cell r="AL109" t="str">
            <v>Adam</v>
          </cell>
          <cell r="AM109">
            <v>129249460084011</v>
          </cell>
        </row>
        <row r="110">
          <cell r="B110">
            <v>1970</v>
          </cell>
          <cell r="C110" t="str">
            <v>Nasser Sulaiman Al Shibani</v>
          </cell>
          <cell r="D110" t="str">
            <v>Casual Labour</v>
          </cell>
          <cell r="E110">
            <v>39648</v>
          </cell>
          <cell r="F110">
            <v>0.625</v>
          </cell>
          <cell r="G110">
            <v>1</v>
          </cell>
          <cell r="H110">
            <v>120</v>
          </cell>
          <cell r="I110">
            <v>25</v>
          </cell>
          <cell r="J110">
            <v>20</v>
          </cell>
          <cell r="K110">
            <v>30</v>
          </cell>
          <cell r="L110">
            <v>49</v>
          </cell>
          <cell r="M110">
            <v>24</v>
          </cell>
          <cell r="N110">
            <v>13</v>
          </cell>
          <cell r="O110">
            <v>0</v>
          </cell>
          <cell r="P110">
            <v>0</v>
          </cell>
          <cell r="Q110">
            <v>0</v>
          </cell>
          <cell r="R110">
            <v>13</v>
          </cell>
          <cell r="S110">
            <v>52</v>
          </cell>
          <cell r="T110">
            <v>10.833333333333334</v>
          </cell>
          <cell r="U110">
            <v>8.6666666666666661</v>
          </cell>
          <cell r="V110">
            <v>13</v>
          </cell>
          <cell r="W110">
            <v>30.625</v>
          </cell>
          <cell r="X110">
            <v>24</v>
          </cell>
          <cell r="AC110">
            <v>139.125</v>
          </cell>
          <cell r="AF110">
            <v>0</v>
          </cell>
          <cell r="AG110">
            <v>139.125</v>
          </cell>
          <cell r="AK110" t="str">
            <v>Bank Muscat</v>
          </cell>
          <cell r="AL110" t="str">
            <v>Adam</v>
          </cell>
          <cell r="AM110">
            <v>118131070084011</v>
          </cell>
        </row>
        <row r="111">
          <cell r="B111">
            <v>1971</v>
          </cell>
          <cell r="C111" t="str">
            <v>Suhail Salim Said Al Hinai</v>
          </cell>
          <cell r="D111" t="str">
            <v>Casual Labour</v>
          </cell>
          <cell r="E111">
            <v>39653</v>
          </cell>
          <cell r="F111">
            <v>0.625</v>
          </cell>
          <cell r="G111">
            <v>1</v>
          </cell>
          <cell r="H111">
            <v>120</v>
          </cell>
          <cell r="I111">
            <v>25</v>
          </cell>
          <cell r="J111">
            <v>20</v>
          </cell>
          <cell r="K111">
            <v>30</v>
          </cell>
          <cell r="L111">
            <v>48</v>
          </cell>
          <cell r="M111">
            <v>24</v>
          </cell>
          <cell r="N111">
            <v>8</v>
          </cell>
          <cell r="O111">
            <v>0</v>
          </cell>
          <cell r="P111">
            <v>0</v>
          </cell>
          <cell r="Q111">
            <v>0</v>
          </cell>
          <cell r="R111">
            <v>8</v>
          </cell>
          <cell r="S111">
            <v>32</v>
          </cell>
          <cell r="T111">
            <v>6.666666666666667</v>
          </cell>
          <cell r="U111">
            <v>5.333333333333333</v>
          </cell>
          <cell r="V111">
            <v>8</v>
          </cell>
          <cell r="W111">
            <v>30</v>
          </cell>
          <cell r="X111">
            <v>24</v>
          </cell>
          <cell r="AC111">
            <v>106</v>
          </cell>
          <cell r="AF111">
            <v>0</v>
          </cell>
          <cell r="AG111">
            <v>106</v>
          </cell>
          <cell r="AK111" t="str">
            <v>Bank Muscat</v>
          </cell>
          <cell r="AL111" t="str">
            <v>Bahla</v>
          </cell>
          <cell r="AM111" t="str">
            <v>0062-22493-0084-013</v>
          </cell>
        </row>
        <row r="112">
          <cell r="B112">
            <v>1972</v>
          </cell>
          <cell r="C112" t="str">
            <v>Salim Said Salim Al Kindi</v>
          </cell>
          <cell r="D112" t="str">
            <v>Casual Labour</v>
          </cell>
          <cell r="E112">
            <v>39653</v>
          </cell>
          <cell r="F112">
            <v>0.625</v>
          </cell>
          <cell r="G112">
            <v>1</v>
          </cell>
          <cell r="H112">
            <v>120</v>
          </cell>
          <cell r="I112">
            <v>25</v>
          </cell>
          <cell r="J112">
            <v>20</v>
          </cell>
          <cell r="K112">
            <v>30</v>
          </cell>
          <cell r="L112">
            <v>32</v>
          </cell>
          <cell r="M112">
            <v>24</v>
          </cell>
          <cell r="N112">
            <v>8</v>
          </cell>
          <cell r="O112">
            <v>0</v>
          </cell>
          <cell r="P112">
            <v>0</v>
          </cell>
          <cell r="Q112">
            <v>0</v>
          </cell>
          <cell r="R112">
            <v>8</v>
          </cell>
          <cell r="S112">
            <v>32</v>
          </cell>
          <cell r="T112">
            <v>6.666666666666667</v>
          </cell>
          <cell r="U112">
            <v>5.333333333333333</v>
          </cell>
          <cell r="V112">
            <v>8</v>
          </cell>
          <cell r="W112">
            <v>20</v>
          </cell>
          <cell r="X112">
            <v>24</v>
          </cell>
          <cell r="AC112">
            <v>96</v>
          </cell>
          <cell r="AF112">
            <v>0</v>
          </cell>
          <cell r="AG112">
            <v>96</v>
          </cell>
          <cell r="AK112" t="str">
            <v>Oman International bank</v>
          </cell>
          <cell r="AL112" t="str">
            <v>Nizwa</v>
          </cell>
          <cell r="AM112" t="str">
            <v>20-402095-29-01</v>
          </cell>
        </row>
        <row r="113">
          <cell r="B113">
            <v>1973</v>
          </cell>
          <cell r="C113" t="str">
            <v>Mohammed Awadh Mubarak Al Ghafri</v>
          </cell>
          <cell r="D113" t="str">
            <v>Casual Labour</v>
          </cell>
          <cell r="E113">
            <v>39653</v>
          </cell>
          <cell r="F113">
            <v>0.625</v>
          </cell>
          <cell r="G113">
            <v>1</v>
          </cell>
          <cell r="H113">
            <v>120</v>
          </cell>
          <cell r="I113">
            <v>25</v>
          </cell>
          <cell r="J113">
            <v>20</v>
          </cell>
          <cell r="K113">
            <v>30</v>
          </cell>
          <cell r="L113">
            <v>40</v>
          </cell>
          <cell r="M113">
            <v>24</v>
          </cell>
          <cell r="N113">
            <v>8</v>
          </cell>
          <cell r="O113">
            <v>0</v>
          </cell>
          <cell r="P113">
            <v>0</v>
          </cell>
          <cell r="Q113">
            <v>0</v>
          </cell>
          <cell r="R113">
            <v>8</v>
          </cell>
          <cell r="S113">
            <v>32</v>
          </cell>
          <cell r="T113">
            <v>6.666666666666667</v>
          </cell>
          <cell r="U113">
            <v>5.333333333333333</v>
          </cell>
          <cell r="V113">
            <v>8</v>
          </cell>
          <cell r="W113">
            <v>25</v>
          </cell>
          <cell r="X113">
            <v>24</v>
          </cell>
          <cell r="AC113">
            <v>101</v>
          </cell>
          <cell r="AF113">
            <v>0</v>
          </cell>
          <cell r="AG113">
            <v>101</v>
          </cell>
          <cell r="AK113" t="str">
            <v>Bank Muscat</v>
          </cell>
          <cell r="AL113" t="str">
            <v>Ibri/Jubail</v>
          </cell>
          <cell r="AM113">
            <v>11821753</v>
          </cell>
        </row>
        <row r="114">
          <cell r="B114">
            <v>1974</v>
          </cell>
          <cell r="C114" t="str">
            <v>Ahmed Harith Mohammed Al Hadidi</v>
          </cell>
          <cell r="D114" t="str">
            <v>Casual Labour</v>
          </cell>
          <cell r="E114">
            <v>39653</v>
          </cell>
          <cell r="F114">
            <v>0.625</v>
          </cell>
          <cell r="G114">
            <v>1</v>
          </cell>
          <cell r="H114">
            <v>120</v>
          </cell>
          <cell r="I114">
            <v>25</v>
          </cell>
          <cell r="J114">
            <v>20</v>
          </cell>
          <cell r="K114">
            <v>30</v>
          </cell>
          <cell r="L114">
            <v>40</v>
          </cell>
          <cell r="M114">
            <v>24</v>
          </cell>
          <cell r="N114">
            <v>8</v>
          </cell>
          <cell r="O114">
            <v>0</v>
          </cell>
          <cell r="P114">
            <v>0</v>
          </cell>
          <cell r="Q114">
            <v>0</v>
          </cell>
          <cell r="R114">
            <v>8</v>
          </cell>
          <cell r="S114">
            <v>32</v>
          </cell>
          <cell r="T114">
            <v>6.666666666666667</v>
          </cell>
          <cell r="U114">
            <v>5.333333333333333</v>
          </cell>
          <cell r="V114">
            <v>8</v>
          </cell>
          <cell r="W114">
            <v>25</v>
          </cell>
          <cell r="X114">
            <v>24</v>
          </cell>
          <cell r="AC114">
            <v>101</v>
          </cell>
          <cell r="AF114">
            <v>0</v>
          </cell>
          <cell r="AG114">
            <v>101</v>
          </cell>
          <cell r="AK114" t="str">
            <v>Bank Muscat</v>
          </cell>
          <cell r="AL114" t="str">
            <v>Nizwa/Farq</v>
          </cell>
          <cell r="AM114" t="str">
            <v>133-161070084-014</v>
          </cell>
        </row>
        <row r="115">
          <cell r="B115">
            <v>1975</v>
          </cell>
          <cell r="C115" t="str">
            <v>Mohammed Khamis Obaid Al Abri</v>
          </cell>
          <cell r="D115" t="str">
            <v>Casual Labour</v>
          </cell>
          <cell r="E115">
            <v>39653</v>
          </cell>
          <cell r="F115">
            <v>0.625</v>
          </cell>
          <cell r="G115">
            <v>1</v>
          </cell>
          <cell r="H115">
            <v>120</v>
          </cell>
          <cell r="I115">
            <v>25</v>
          </cell>
          <cell r="J115">
            <v>20</v>
          </cell>
          <cell r="K115">
            <v>30</v>
          </cell>
          <cell r="L115">
            <v>36</v>
          </cell>
          <cell r="M115">
            <v>24</v>
          </cell>
          <cell r="N115">
            <v>8</v>
          </cell>
          <cell r="O115">
            <v>0</v>
          </cell>
          <cell r="P115">
            <v>0</v>
          </cell>
          <cell r="Q115">
            <v>0</v>
          </cell>
          <cell r="R115">
            <v>8</v>
          </cell>
          <cell r="S115">
            <v>32</v>
          </cell>
          <cell r="T115">
            <v>6.666666666666667</v>
          </cell>
          <cell r="U115">
            <v>5.333333333333333</v>
          </cell>
          <cell r="V115">
            <v>8</v>
          </cell>
          <cell r="W115">
            <v>22.5</v>
          </cell>
          <cell r="X115">
            <v>24</v>
          </cell>
          <cell r="AC115">
            <v>98.5</v>
          </cell>
          <cell r="AF115">
            <v>0</v>
          </cell>
          <cell r="AG115">
            <v>98.5</v>
          </cell>
          <cell r="AK115" t="str">
            <v>Bank Muscat</v>
          </cell>
          <cell r="AL115" t="str">
            <v>Ibri/Murtafah</v>
          </cell>
          <cell r="AM115" t="str">
            <v>0169-10733-0084-015</v>
          </cell>
        </row>
        <row r="116">
          <cell r="B116">
            <v>1976</v>
          </cell>
          <cell r="C116" t="str">
            <v>Talal Salim Manin Al Rashdi</v>
          </cell>
          <cell r="D116" t="str">
            <v>Casual Labour</v>
          </cell>
          <cell r="E116">
            <v>39653</v>
          </cell>
          <cell r="F116">
            <v>0.625</v>
          </cell>
          <cell r="G116">
            <v>1</v>
          </cell>
          <cell r="H116">
            <v>120</v>
          </cell>
          <cell r="I116">
            <v>25</v>
          </cell>
          <cell r="J116">
            <v>20</v>
          </cell>
          <cell r="K116">
            <v>30</v>
          </cell>
          <cell r="L116">
            <v>44</v>
          </cell>
          <cell r="M116">
            <v>24</v>
          </cell>
          <cell r="N116">
            <v>8</v>
          </cell>
          <cell r="O116">
            <v>0</v>
          </cell>
          <cell r="P116">
            <v>0</v>
          </cell>
          <cell r="Q116">
            <v>0</v>
          </cell>
          <cell r="R116">
            <v>8</v>
          </cell>
          <cell r="S116">
            <v>32</v>
          </cell>
          <cell r="T116">
            <v>6.666666666666667</v>
          </cell>
          <cell r="U116">
            <v>5.333333333333333</v>
          </cell>
          <cell r="V116">
            <v>8</v>
          </cell>
          <cell r="W116">
            <v>27.5</v>
          </cell>
          <cell r="X116">
            <v>24</v>
          </cell>
          <cell r="AC116">
            <v>103.5</v>
          </cell>
          <cell r="AF116">
            <v>0</v>
          </cell>
          <cell r="AG116">
            <v>103.5</v>
          </cell>
          <cell r="AK116" t="str">
            <v>Bank Muscat</v>
          </cell>
          <cell r="AL116" t="str">
            <v>Nizwa/Farq</v>
          </cell>
          <cell r="AM116">
            <v>4918671</v>
          </cell>
        </row>
        <row r="117">
          <cell r="B117">
            <v>1977</v>
          </cell>
          <cell r="C117" t="str">
            <v>Fahad Salim Mas'oud Al Jabri</v>
          </cell>
          <cell r="D117" t="str">
            <v>Casual Labour</v>
          </cell>
          <cell r="E117">
            <v>39648</v>
          </cell>
          <cell r="F117">
            <v>0.625</v>
          </cell>
          <cell r="G117">
            <v>1</v>
          </cell>
          <cell r="H117">
            <v>120</v>
          </cell>
          <cell r="I117">
            <v>25</v>
          </cell>
          <cell r="J117">
            <v>20</v>
          </cell>
          <cell r="K117">
            <v>30</v>
          </cell>
          <cell r="L117">
            <v>42</v>
          </cell>
          <cell r="M117">
            <v>12</v>
          </cell>
          <cell r="N117">
            <v>9</v>
          </cell>
          <cell r="O117">
            <v>4</v>
          </cell>
          <cell r="P117">
            <v>0</v>
          </cell>
          <cell r="Q117">
            <v>0</v>
          </cell>
          <cell r="R117">
            <v>13</v>
          </cell>
          <cell r="S117">
            <v>52</v>
          </cell>
          <cell r="T117">
            <v>10.833333333333334</v>
          </cell>
          <cell r="U117">
            <v>8.6666666666666661</v>
          </cell>
          <cell r="V117">
            <v>9</v>
          </cell>
          <cell r="W117">
            <v>26.25</v>
          </cell>
          <cell r="X117">
            <v>12</v>
          </cell>
          <cell r="AC117">
            <v>118.75</v>
          </cell>
          <cell r="AF117">
            <v>0</v>
          </cell>
          <cell r="AG117">
            <v>118.75</v>
          </cell>
          <cell r="AK117" t="str">
            <v>Bank Muscat</v>
          </cell>
          <cell r="AL117" t="str">
            <v>Ghala 59</v>
          </cell>
          <cell r="AM117">
            <v>5973373008401</v>
          </cell>
        </row>
        <row r="118">
          <cell r="B118">
            <v>1978</v>
          </cell>
          <cell r="C118" t="str">
            <v>Hamed Humaid Hamed Al Shaibani</v>
          </cell>
          <cell r="D118" t="str">
            <v>Casual Labour</v>
          </cell>
          <cell r="E118">
            <v>39654</v>
          </cell>
          <cell r="F118">
            <v>0.625</v>
          </cell>
          <cell r="G118">
            <v>1</v>
          </cell>
          <cell r="H118">
            <v>120</v>
          </cell>
          <cell r="I118">
            <v>25</v>
          </cell>
          <cell r="J118">
            <v>20</v>
          </cell>
          <cell r="K118">
            <v>30</v>
          </cell>
          <cell r="L118">
            <v>24</v>
          </cell>
          <cell r="M118">
            <v>12</v>
          </cell>
          <cell r="N118">
            <v>7</v>
          </cell>
          <cell r="O118">
            <v>0</v>
          </cell>
          <cell r="P118">
            <v>0</v>
          </cell>
          <cell r="Q118">
            <v>0</v>
          </cell>
          <cell r="R118">
            <v>7</v>
          </cell>
          <cell r="S118">
            <v>28</v>
          </cell>
          <cell r="T118">
            <v>5.8333333333333339</v>
          </cell>
          <cell r="U118">
            <v>4.6666666666666661</v>
          </cell>
          <cell r="V118">
            <v>7</v>
          </cell>
          <cell r="W118">
            <v>15</v>
          </cell>
          <cell r="X118">
            <v>12</v>
          </cell>
          <cell r="AC118">
            <v>72.5</v>
          </cell>
          <cell r="AF118">
            <v>0</v>
          </cell>
          <cell r="AG118">
            <v>72.5</v>
          </cell>
          <cell r="AK118" t="str">
            <v>Bank Muscat</v>
          </cell>
          <cell r="AL118" t="str">
            <v>Adam</v>
          </cell>
          <cell r="AM118" t="str">
            <v>129-249480084-019</v>
          </cell>
        </row>
        <row r="119">
          <cell r="B119">
            <v>1979</v>
          </cell>
          <cell r="C119" t="str">
            <v>Hamed Mubark Salam Al Yaqoobi</v>
          </cell>
          <cell r="D119" t="str">
            <v>Casual Labour</v>
          </cell>
          <cell r="E119">
            <v>39655</v>
          </cell>
          <cell r="F119">
            <v>0.625</v>
          </cell>
          <cell r="G119">
            <v>1</v>
          </cell>
          <cell r="H119">
            <v>120</v>
          </cell>
          <cell r="I119">
            <v>25</v>
          </cell>
          <cell r="J119">
            <v>20</v>
          </cell>
          <cell r="K119">
            <v>30</v>
          </cell>
          <cell r="L119">
            <v>28</v>
          </cell>
          <cell r="M119">
            <v>12</v>
          </cell>
          <cell r="N119">
            <v>6</v>
          </cell>
          <cell r="O119">
            <v>0</v>
          </cell>
          <cell r="P119">
            <v>0</v>
          </cell>
          <cell r="Q119">
            <v>0</v>
          </cell>
          <cell r="R119">
            <v>6</v>
          </cell>
          <cell r="S119">
            <v>24</v>
          </cell>
          <cell r="T119">
            <v>5</v>
          </cell>
          <cell r="U119">
            <v>4</v>
          </cell>
          <cell r="V119">
            <v>6</v>
          </cell>
          <cell r="W119">
            <v>17.5</v>
          </cell>
          <cell r="X119">
            <v>12</v>
          </cell>
          <cell r="AC119">
            <v>68.5</v>
          </cell>
          <cell r="AF119">
            <v>0</v>
          </cell>
          <cell r="AG119">
            <v>68.5</v>
          </cell>
          <cell r="AK119" t="str">
            <v>Bank Muscat</v>
          </cell>
          <cell r="AL119" t="str">
            <v>Ibri/Jubail</v>
          </cell>
          <cell r="AM119">
            <v>118286090084011</v>
          </cell>
        </row>
        <row r="120">
          <cell r="B120">
            <v>1980</v>
          </cell>
          <cell r="C120" t="str">
            <v>Ali Shoon Musallam Al Khaldi</v>
          </cell>
          <cell r="D120" t="str">
            <v>Casual Heavy Duty Driver</v>
          </cell>
          <cell r="E120">
            <v>39657</v>
          </cell>
          <cell r="F120">
            <v>0.9375</v>
          </cell>
          <cell r="G120">
            <v>1.5</v>
          </cell>
          <cell r="H120">
            <v>180</v>
          </cell>
          <cell r="I120">
            <v>40</v>
          </cell>
          <cell r="J120">
            <v>30</v>
          </cell>
          <cell r="K120">
            <v>45</v>
          </cell>
          <cell r="L120">
            <v>20</v>
          </cell>
          <cell r="M120">
            <v>12</v>
          </cell>
          <cell r="N120">
            <v>4</v>
          </cell>
          <cell r="O120">
            <v>0</v>
          </cell>
          <cell r="P120">
            <v>0</v>
          </cell>
          <cell r="Q120">
            <v>0</v>
          </cell>
          <cell r="R120">
            <v>4</v>
          </cell>
          <cell r="S120">
            <v>24</v>
          </cell>
          <cell r="T120">
            <v>5.333333333333333</v>
          </cell>
          <cell r="U120">
            <v>4</v>
          </cell>
          <cell r="V120">
            <v>6</v>
          </cell>
          <cell r="W120">
            <v>18.75</v>
          </cell>
          <cell r="X120">
            <v>18</v>
          </cell>
          <cell r="AC120">
            <v>76.083333333333329</v>
          </cell>
          <cell r="AF120">
            <v>0</v>
          </cell>
          <cell r="AG120">
            <v>76.083333333333329</v>
          </cell>
          <cell r="AK120" t="str">
            <v xml:space="preserve">No </v>
          </cell>
          <cell r="AL120" t="str">
            <v>No</v>
          </cell>
          <cell r="AM120" t="str">
            <v>No</v>
          </cell>
        </row>
        <row r="121">
          <cell r="B121">
            <v>1981</v>
          </cell>
          <cell r="C121" t="str">
            <v>Khalid Juma Khalfan Al Mahhrezi</v>
          </cell>
          <cell r="D121" t="str">
            <v>Casual Labour</v>
          </cell>
          <cell r="E121">
            <v>39657</v>
          </cell>
          <cell r="F121">
            <v>0.625</v>
          </cell>
          <cell r="G121">
            <v>1</v>
          </cell>
          <cell r="H121">
            <v>120</v>
          </cell>
          <cell r="I121">
            <v>25</v>
          </cell>
          <cell r="J121">
            <v>20</v>
          </cell>
          <cell r="K121">
            <v>30</v>
          </cell>
          <cell r="L121">
            <v>24</v>
          </cell>
          <cell r="M121">
            <v>12</v>
          </cell>
          <cell r="N121">
            <v>4</v>
          </cell>
          <cell r="O121">
            <v>0</v>
          </cell>
          <cell r="P121">
            <v>0</v>
          </cell>
          <cell r="Q121">
            <v>0</v>
          </cell>
          <cell r="R121">
            <v>4</v>
          </cell>
          <cell r="S121">
            <v>16</v>
          </cell>
          <cell r="T121">
            <v>3.3333333333333335</v>
          </cell>
          <cell r="U121">
            <v>2.6666666666666665</v>
          </cell>
          <cell r="V121">
            <v>4</v>
          </cell>
          <cell r="W121">
            <v>15</v>
          </cell>
          <cell r="X121">
            <v>12</v>
          </cell>
          <cell r="AC121">
            <v>53</v>
          </cell>
          <cell r="AF121">
            <v>0</v>
          </cell>
          <cell r="AG121">
            <v>53</v>
          </cell>
          <cell r="AK121" t="str">
            <v xml:space="preserve">No </v>
          </cell>
          <cell r="AL121" t="str">
            <v>No</v>
          </cell>
          <cell r="AM121" t="str">
            <v>No</v>
          </cell>
        </row>
        <row r="122">
          <cell r="B122">
            <v>1982</v>
          </cell>
          <cell r="C122" t="str">
            <v>Ali Rashid Ali Al Harrasi</v>
          </cell>
          <cell r="D122" t="str">
            <v>Casual Labour</v>
          </cell>
          <cell r="E122">
            <v>39658</v>
          </cell>
          <cell r="F122">
            <v>0.625</v>
          </cell>
          <cell r="G122">
            <v>1</v>
          </cell>
          <cell r="H122">
            <v>120</v>
          </cell>
          <cell r="I122">
            <v>25</v>
          </cell>
          <cell r="J122">
            <v>20</v>
          </cell>
          <cell r="K122">
            <v>30</v>
          </cell>
          <cell r="L122">
            <v>12</v>
          </cell>
          <cell r="M122">
            <v>12</v>
          </cell>
          <cell r="N122">
            <v>2</v>
          </cell>
          <cell r="O122">
            <v>0</v>
          </cell>
          <cell r="P122">
            <v>0</v>
          </cell>
          <cell r="Q122">
            <v>0</v>
          </cell>
          <cell r="R122">
            <v>2</v>
          </cell>
          <cell r="S122">
            <v>8</v>
          </cell>
          <cell r="T122">
            <v>1.6666666666666667</v>
          </cell>
          <cell r="U122">
            <v>1.3333333333333333</v>
          </cell>
          <cell r="V122">
            <v>2</v>
          </cell>
          <cell r="W122">
            <v>7.5</v>
          </cell>
          <cell r="X122">
            <v>12</v>
          </cell>
          <cell r="AC122">
            <v>32.5</v>
          </cell>
          <cell r="AF122">
            <v>0</v>
          </cell>
          <cell r="AG122">
            <v>32.5</v>
          </cell>
          <cell r="AK122" t="str">
            <v>Bank Muscat</v>
          </cell>
          <cell r="AL122" t="str">
            <v>Nizwa/Souq</v>
          </cell>
          <cell r="AM122" t="str">
            <v>128-162150084-013</v>
          </cell>
        </row>
        <row r="123">
          <cell r="B123">
            <v>1983</v>
          </cell>
          <cell r="C123" t="str">
            <v>Khalid Adim Salim Al Suleimani</v>
          </cell>
          <cell r="D123" t="str">
            <v>Casual Labour</v>
          </cell>
          <cell r="E123">
            <v>39658</v>
          </cell>
          <cell r="F123">
            <v>0.625</v>
          </cell>
          <cell r="G123">
            <v>1</v>
          </cell>
          <cell r="H123">
            <v>120</v>
          </cell>
          <cell r="I123">
            <v>25</v>
          </cell>
          <cell r="J123">
            <v>20</v>
          </cell>
          <cell r="K123">
            <v>30</v>
          </cell>
          <cell r="L123">
            <v>8</v>
          </cell>
          <cell r="M123">
            <v>12</v>
          </cell>
          <cell r="N123">
            <v>2</v>
          </cell>
          <cell r="O123">
            <v>0</v>
          </cell>
          <cell r="P123">
            <v>0</v>
          </cell>
          <cell r="Q123">
            <v>0</v>
          </cell>
          <cell r="R123">
            <v>2</v>
          </cell>
          <cell r="S123">
            <v>8</v>
          </cell>
          <cell r="T123">
            <v>1.6666666666666667</v>
          </cell>
          <cell r="U123">
            <v>1.3333333333333333</v>
          </cell>
          <cell r="V123">
            <v>2</v>
          </cell>
          <cell r="W123">
            <v>5</v>
          </cell>
          <cell r="X123">
            <v>12</v>
          </cell>
          <cell r="AC123">
            <v>30</v>
          </cell>
          <cell r="AF123">
            <v>0</v>
          </cell>
          <cell r="AG123">
            <v>30</v>
          </cell>
          <cell r="AK123" t="str">
            <v>Bank Muscat</v>
          </cell>
          <cell r="AL123" t="str">
            <v>Ibri/Souq</v>
          </cell>
          <cell r="AM123" t="str">
            <v>0121-15884-0084-015</v>
          </cell>
        </row>
        <row r="124">
          <cell r="B124">
            <v>1984</v>
          </cell>
          <cell r="C124" t="str">
            <v>Ali Said Ali Al Khaldi</v>
          </cell>
          <cell r="D124" t="str">
            <v>Casual Labour</v>
          </cell>
          <cell r="E124">
            <v>39658</v>
          </cell>
          <cell r="F124">
            <v>0.625</v>
          </cell>
          <cell r="G124">
            <v>1</v>
          </cell>
          <cell r="H124">
            <v>120</v>
          </cell>
          <cell r="I124">
            <v>25</v>
          </cell>
          <cell r="J124">
            <v>20</v>
          </cell>
          <cell r="K124">
            <v>30</v>
          </cell>
          <cell r="L124">
            <v>12</v>
          </cell>
          <cell r="M124">
            <v>12</v>
          </cell>
          <cell r="N124">
            <v>2</v>
          </cell>
          <cell r="O124">
            <v>0</v>
          </cell>
          <cell r="P124">
            <v>0</v>
          </cell>
          <cell r="Q124">
            <v>0</v>
          </cell>
          <cell r="R124">
            <v>2</v>
          </cell>
          <cell r="S124">
            <v>8</v>
          </cell>
          <cell r="T124">
            <v>1.6666666666666667</v>
          </cell>
          <cell r="U124">
            <v>1.3333333333333333</v>
          </cell>
          <cell r="V124">
            <v>2</v>
          </cell>
          <cell r="W124">
            <v>7.5</v>
          </cell>
          <cell r="X124">
            <v>12</v>
          </cell>
          <cell r="AC124">
            <v>32.5</v>
          </cell>
          <cell r="AF124">
            <v>0</v>
          </cell>
          <cell r="AG124">
            <v>32.5</v>
          </cell>
          <cell r="AK124" t="str">
            <v>Bank Muscat</v>
          </cell>
          <cell r="AL124" t="str">
            <v>Al Muwaleh</v>
          </cell>
          <cell r="AM124" t="str">
            <v>0145-15848-0084-019</v>
          </cell>
        </row>
        <row r="125">
          <cell r="B125">
            <v>1985</v>
          </cell>
          <cell r="C125" t="str">
            <v>Mohammed Ali Amur Al Sawafi</v>
          </cell>
          <cell r="D125" t="str">
            <v>Casual Labour</v>
          </cell>
          <cell r="E125">
            <v>39658</v>
          </cell>
          <cell r="F125">
            <v>0.625</v>
          </cell>
          <cell r="G125">
            <v>1</v>
          </cell>
          <cell r="H125">
            <v>120</v>
          </cell>
          <cell r="I125">
            <v>25</v>
          </cell>
          <cell r="J125">
            <v>20</v>
          </cell>
          <cell r="K125">
            <v>30</v>
          </cell>
          <cell r="L125">
            <v>12</v>
          </cell>
          <cell r="M125">
            <v>12</v>
          </cell>
          <cell r="N125">
            <v>2</v>
          </cell>
          <cell r="O125">
            <v>0</v>
          </cell>
          <cell r="P125">
            <v>0</v>
          </cell>
          <cell r="Q125">
            <v>0</v>
          </cell>
          <cell r="R125">
            <v>2</v>
          </cell>
          <cell r="S125">
            <v>8</v>
          </cell>
          <cell r="T125">
            <v>1.6666666666666667</v>
          </cell>
          <cell r="U125">
            <v>1.3333333333333333</v>
          </cell>
          <cell r="V125">
            <v>2</v>
          </cell>
          <cell r="W125">
            <v>7.5</v>
          </cell>
          <cell r="X125">
            <v>12</v>
          </cell>
          <cell r="AC125">
            <v>32.5</v>
          </cell>
          <cell r="AF125">
            <v>0</v>
          </cell>
          <cell r="AG125">
            <v>32.5</v>
          </cell>
          <cell r="AK125" t="str">
            <v>Bank Muscat</v>
          </cell>
          <cell r="AL125" t="str">
            <v>Set Santer</v>
          </cell>
          <cell r="AM125" t="str">
            <v>0151-18588-0084-016</v>
          </cell>
        </row>
        <row r="127">
          <cell r="S127">
            <v>8247</v>
          </cell>
          <cell r="T127">
            <v>1715.6666666666665</v>
          </cell>
          <cell r="U127">
            <v>1374.4999999999995</v>
          </cell>
          <cell r="V127">
            <v>2032.8333333333335</v>
          </cell>
          <cell r="W127">
            <v>6250.46875</v>
          </cell>
          <cell r="X127">
            <v>1968</v>
          </cell>
          <cell r="Y127">
            <v>28</v>
          </cell>
          <cell r="Z127">
            <v>5.8333333333333339</v>
          </cell>
          <cell r="AA127">
            <v>4.6666666666666661</v>
          </cell>
          <cell r="AB127">
            <v>50.177</v>
          </cell>
          <cell r="AC127">
            <v>21677.145749999996</v>
          </cell>
          <cell r="AD127">
            <v>0</v>
          </cell>
          <cell r="AE127">
            <v>20</v>
          </cell>
          <cell r="AF127">
            <v>20</v>
          </cell>
          <cell r="AG127">
            <v>21657.145749999996</v>
          </cell>
        </row>
        <row r="682">
          <cell r="B682" t="str">
            <v>Do Not Insert any row after this Row # 735</v>
          </cell>
        </row>
      </sheetData>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slip"/>
      <sheetName val="sEPTEMBER"/>
      <sheetName val="Time Sheet"/>
      <sheetName val="Bank (2)"/>
      <sheetName val="Bank Trs"/>
    </sheetNames>
    <sheetDataSet>
      <sheetData sheetId="0"/>
      <sheetData sheetId="1"/>
      <sheetData sheetId="2">
        <row r="5">
          <cell r="B5">
            <v>1787</v>
          </cell>
          <cell r="C5" t="str">
            <v>Salim Marzooq Abdulah Al Darai</v>
          </cell>
          <cell r="D5">
            <v>39609</v>
          </cell>
          <cell r="E5">
            <v>39694</v>
          </cell>
          <cell r="F5">
            <v>2</v>
          </cell>
          <cell r="G5">
            <v>0</v>
          </cell>
          <cell r="H5">
            <v>0</v>
          </cell>
          <cell r="I5">
            <v>0</v>
          </cell>
          <cell r="J5" t="str">
            <v>x</v>
          </cell>
          <cell r="K5" t="str">
            <v>x</v>
          </cell>
          <cell r="L5" t="str">
            <v>x</v>
          </cell>
          <cell r="M5" t="str">
            <v>x</v>
          </cell>
          <cell r="N5" t="str">
            <v>x</v>
          </cell>
          <cell r="O5" t="str">
            <v>x</v>
          </cell>
          <cell r="P5" t="str">
            <v>x</v>
          </cell>
          <cell r="Q5" t="str">
            <v>x</v>
          </cell>
          <cell r="R5" t="str">
            <v>x</v>
          </cell>
          <cell r="S5" t="str">
            <v>x</v>
          </cell>
          <cell r="T5" t="str">
            <v>x</v>
          </cell>
          <cell r="U5" t="str">
            <v>x</v>
          </cell>
          <cell r="V5" t="str">
            <v>x</v>
          </cell>
          <cell r="W5" t="str">
            <v>x</v>
          </cell>
          <cell r="X5" t="str">
            <v>x</v>
          </cell>
          <cell r="Y5" t="str">
            <v>x</v>
          </cell>
          <cell r="Z5" t="str">
            <v>x</v>
          </cell>
          <cell r="AA5" t="str">
            <v>x</v>
          </cell>
          <cell r="AB5" t="str">
            <v>x</v>
          </cell>
          <cell r="AC5" t="str">
            <v>x</v>
          </cell>
          <cell r="AD5" t="str">
            <v>x</v>
          </cell>
          <cell r="AE5" t="str">
            <v>x</v>
          </cell>
          <cell r="AF5" t="str">
            <v>x</v>
          </cell>
          <cell r="AG5" t="str">
            <v>x</v>
          </cell>
          <cell r="AH5" t="str">
            <v>x</v>
          </cell>
          <cell r="AI5" t="str">
            <v>x</v>
          </cell>
          <cell r="AJ5" t="str">
            <v>x</v>
          </cell>
          <cell r="AK5">
            <v>7</v>
          </cell>
          <cell r="AL5">
            <v>4</v>
          </cell>
          <cell r="AM5">
            <v>0</v>
          </cell>
          <cell r="AN5">
            <v>0</v>
          </cell>
          <cell r="AO5">
            <v>2</v>
          </cell>
          <cell r="AP5">
            <v>0</v>
          </cell>
          <cell r="AQ5">
            <v>0</v>
          </cell>
          <cell r="AR5">
            <v>4</v>
          </cell>
          <cell r="AS5" t="str">
            <v>Casual Labour</v>
          </cell>
          <cell r="AV5">
            <v>120</v>
          </cell>
          <cell r="AW5">
            <v>25</v>
          </cell>
          <cell r="AX5">
            <v>30</v>
          </cell>
          <cell r="AY5">
            <v>20</v>
          </cell>
          <cell r="AZ5">
            <v>0.625</v>
          </cell>
        </row>
        <row r="6">
          <cell r="B6">
            <v>1792</v>
          </cell>
          <cell r="C6" t="str">
            <v>Juma Ali Salim Al Ghafri</v>
          </cell>
          <cell r="D6">
            <v>39609</v>
          </cell>
          <cell r="E6">
            <v>39694</v>
          </cell>
          <cell r="F6">
            <v>2</v>
          </cell>
          <cell r="G6">
            <v>0</v>
          </cell>
          <cell r="H6">
            <v>0</v>
          </cell>
          <cell r="I6">
            <v>0</v>
          </cell>
          <cell r="J6">
            <v>0</v>
          </cell>
          <cell r="K6">
            <v>0</v>
          </cell>
          <cell r="L6">
            <v>0</v>
          </cell>
          <cell r="M6" t="str">
            <v>x</v>
          </cell>
          <cell r="N6" t="str">
            <v>x</v>
          </cell>
          <cell r="O6" t="str">
            <v>x</v>
          </cell>
          <cell r="P6" t="str">
            <v>x</v>
          </cell>
          <cell r="Q6" t="str">
            <v>x</v>
          </cell>
          <cell r="R6" t="str">
            <v>x</v>
          </cell>
          <cell r="S6" t="str">
            <v>x</v>
          </cell>
          <cell r="T6" t="str">
            <v>x</v>
          </cell>
          <cell r="U6" t="str">
            <v>x</v>
          </cell>
          <cell r="V6" t="str">
            <v>x</v>
          </cell>
          <cell r="W6" t="str">
            <v>x</v>
          </cell>
          <cell r="X6" t="str">
            <v>x</v>
          </cell>
          <cell r="Y6" t="str">
            <v>x</v>
          </cell>
          <cell r="Z6" t="str">
            <v>x</v>
          </cell>
          <cell r="AA6" t="str">
            <v>x</v>
          </cell>
          <cell r="AB6" t="str">
            <v>x</v>
          </cell>
          <cell r="AC6" t="str">
            <v>x</v>
          </cell>
          <cell r="AD6" t="str">
            <v>x</v>
          </cell>
          <cell r="AE6" t="str">
            <v>x</v>
          </cell>
          <cell r="AF6" t="str">
            <v>x</v>
          </cell>
          <cell r="AG6" t="str">
            <v>x</v>
          </cell>
          <cell r="AH6" t="str">
            <v>x</v>
          </cell>
          <cell r="AI6" t="str">
            <v>x</v>
          </cell>
          <cell r="AJ6" t="str">
            <v>x</v>
          </cell>
          <cell r="AK6">
            <v>7</v>
          </cell>
          <cell r="AL6">
            <v>7</v>
          </cell>
          <cell r="AM6">
            <v>0</v>
          </cell>
          <cell r="AN6">
            <v>0</v>
          </cell>
          <cell r="AO6">
            <v>2</v>
          </cell>
          <cell r="AP6">
            <v>0</v>
          </cell>
          <cell r="AQ6">
            <v>0</v>
          </cell>
          <cell r="AR6">
            <v>7</v>
          </cell>
          <cell r="AS6" t="str">
            <v>Casual Labour</v>
          </cell>
          <cell r="AV6">
            <v>120</v>
          </cell>
          <cell r="AW6">
            <v>25</v>
          </cell>
          <cell r="AX6">
            <v>30</v>
          </cell>
          <cell r="AY6">
            <v>20</v>
          </cell>
          <cell r="AZ6">
            <v>0.625</v>
          </cell>
        </row>
        <row r="7">
          <cell r="B7">
            <v>1822</v>
          </cell>
          <cell r="C7" t="str">
            <v>Abdullah Rashid Hassan Al Hinai</v>
          </cell>
          <cell r="D7">
            <v>39615</v>
          </cell>
          <cell r="E7">
            <v>39700</v>
          </cell>
          <cell r="F7" t="str">
            <v>L</v>
          </cell>
          <cell r="G7" t="str">
            <v>L</v>
          </cell>
          <cell r="H7" t="str">
            <v>L</v>
          </cell>
          <cell r="I7" t="str">
            <v>L</v>
          </cell>
          <cell r="J7" t="str">
            <v>L</v>
          </cell>
          <cell r="K7">
            <v>0</v>
          </cell>
          <cell r="L7">
            <v>0</v>
          </cell>
          <cell r="M7">
            <v>0</v>
          </cell>
          <cell r="N7">
            <v>0</v>
          </cell>
          <cell r="O7">
            <v>0</v>
          </cell>
          <cell r="P7">
            <v>0</v>
          </cell>
          <cell r="Q7" t="str">
            <v>A</v>
          </cell>
          <cell r="R7" t="str">
            <v>A</v>
          </cell>
          <cell r="S7" t="str">
            <v>A</v>
          </cell>
          <cell r="T7" t="str">
            <v>A</v>
          </cell>
          <cell r="U7" t="str">
            <v>A</v>
          </cell>
          <cell r="V7" t="str">
            <v>A</v>
          </cell>
          <cell r="W7" t="str">
            <v>A</v>
          </cell>
          <cell r="X7" t="str">
            <v>A</v>
          </cell>
          <cell r="Y7">
            <v>0</v>
          </cell>
          <cell r="Z7">
            <v>0</v>
          </cell>
          <cell r="AA7">
            <v>0</v>
          </cell>
          <cell r="AB7">
            <v>0</v>
          </cell>
          <cell r="AC7">
            <v>0</v>
          </cell>
          <cell r="AD7">
            <v>0</v>
          </cell>
          <cell r="AE7">
            <v>0</v>
          </cell>
          <cell r="AF7">
            <v>0</v>
          </cell>
          <cell r="AG7">
            <v>0</v>
          </cell>
          <cell r="AH7">
            <v>0</v>
          </cell>
          <cell r="AI7" t="str">
            <v>L</v>
          </cell>
          <cell r="AJ7" t="str">
            <v>x</v>
          </cell>
          <cell r="AK7" t="str">
            <v>x</v>
          </cell>
          <cell r="AL7">
            <v>16</v>
          </cell>
          <cell r="AM7">
            <v>0</v>
          </cell>
          <cell r="AN7">
            <v>6</v>
          </cell>
          <cell r="AO7">
            <v>0</v>
          </cell>
          <cell r="AP7">
            <v>0</v>
          </cell>
          <cell r="AQ7">
            <v>0</v>
          </cell>
          <cell r="AR7">
            <v>16</v>
          </cell>
          <cell r="AS7" t="str">
            <v>Casual Light Duty Driver</v>
          </cell>
          <cell r="AV7">
            <v>150</v>
          </cell>
          <cell r="AW7">
            <v>30</v>
          </cell>
          <cell r="AX7">
            <v>40</v>
          </cell>
          <cell r="AY7">
            <v>25</v>
          </cell>
          <cell r="AZ7">
            <v>0.78125</v>
          </cell>
        </row>
        <row r="8">
          <cell r="B8">
            <v>1847</v>
          </cell>
          <cell r="C8" t="str">
            <v>Said Hamed Rashid Al Shidhani</v>
          </cell>
          <cell r="D8">
            <v>39621</v>
          </cell>
          <cell r="E8">
            <v>39706</v>
          </cell>
          <cell r="F8">
            <v>0</v>
          </cell>
          <cell r="G8" t="str">
            <v>A</v>
          </cell>
          <cell r="H8">
            <v>0</v>
          </cell>
          <cell r="I8">
            <v>0</v>
          </cell>
          <cell r="J8" t="str">
            <v>L</v>
          </cell>
          <cell r="K8" t="str">
            <v>L</v>
          </cell>
          <cell r="L8" t="str">
            <v>L</v>
          </cell>
          <cell r="M8" t="str">
            <v>L</v>
          </cell>
          <cell r="N8" t="str">
            <v>L</v>
          </cell>
          <cell r="O8" t="str">
            <v>L</v>
          </cell>
          <cell r="P8" t="str">
            <v>L</v>
          </cell>
          <cell r="Q8" t="str">
            <v>A</v>
          </cell>
          <cell r="R8">
            <v>0</v>
          </cell>
          <cell r="S8">
            <v>0</v>
          </cell>
          <cell r="T8">
            <v>0</v>
          </cell>
          <cell r="U8">
            <v>0</v>
          </cell>
          <cell r="V8" t="str">
            <v>A</v>
          </cell>
          <cell r="W8">
            <v>0</v>
          </cell>
          <cell r="X8">
            <v>0</v>
          </cell>
          <cell r="Y8">
            <v>0</v>
          </cell>
          <cell r="Z8">
            <v>0</v>
          </cell>
          <cell r="AA8">
            <v>0</v>
          </cell>
          <cell r="AB8" t="str">
            <v>x</v>
          </cell>
          <cell r="AC8" t="str">
            <v>x</v>
          </cell>
          <cell r="AD8" t="str">
            <v>x</v>
          </cell>
          <cell r="AE8" t="str">
            <v>x</v>
          </cell>
          <cell r="AF8" t="str">
            <v>x</v>
          </cell>
          <cell r="AG8" t="str">
            <v>x</v>
          </cell>
          <cell r="AH8" t="str">
            <v>x</v>
          </cell>
          <cell r="AI8" t="str">
            <v>x</v>
          </cell>
          <cell r="AJ8" t="str">
            <v>x</v>
          </cell>
          <cell r="AK8" t="str">
            <v>x</v>
          </cell>
          <cell r="AL8">
            <v>12</v>
          </cell>
          <cell r="AM8">
            <v>0</v>
          </cell>
          <cell r="AN8">
            <v>7</v>
          </cell>
          <cell r="AO8">
            <v>0</v>
          </cell>
          <cell r="AP8">
            <v>0</v>
          </cell>
          <cell r="AQ8">
            <v>0</v>
          </cell>
          <cell r="AR8">
            <v>12</v>
          </cell>
          <cell r="AS8" t="str">
            <v>Casual Labour</v>
          </cell>
          <cell r="AU8" t="str">
            <v>June salary not paid</v>
          </cell>
          <cell r="AV8">
            <v>120</v>
          </cell>
          <cell r="AW8">
            <v>25</v>
          </cell>
          <cell r="AX8">
            <v>30</v>
          </cell>
          <cell r="AY8">
            <v>20</v>
          </cell>
          <cell r="AZ8">
            <v>0.625</v>
          </cell>
        </row>
        <row r="9">
          <cell r="B9">
            <v>1849</v>
          </cell>
          <cell r="C9" t="str">
            <v>Yaqoub Ahmed Hamood Al Mahrouqi</v>
          </cell>
          <cell r="D9">
            <v>39626</v>
          </cell>
          <cell r="E9">
            <v>39711</v>
          </cell>
          <cell r="F9">
            <v>5</v>
          </cell>
          <cell r="G9">
            <v>0</v>
          </cell>
          <cell r="H9">
            <v>0</v>
          </cell>
          <cell r="I9">
            <v>0</v>
          </cell>
          <cell r="J9">
            <v>0</v>
          </cell>
          <cell r="K9">
            <v>0</v>
          </cell>
          <cell r="L9">
            <v>0</v>
          </cell>
          <cell r="M9">
            <v>0</v>
          </cell>
          <cell r="N9">
            <v>0</v>
          </cell>
          <cell r="O9">
            <v>2</v>
          </cell>
          <cell r="P9">
            <v>0</v>
          </cell>
          <cell r="Q9">
            <v>0</v>
          </cell>
          <cell r="R9">
            <v>0</v>
          </cell>
          <cell r="S9">
            <v>0</v>
          </cell>
          <cell r="T9">
            <v>0</v>
          </cell>
          <cell r="U9">
            <v>0</v>
          </cell>
          <cell r="V9">
            <v>0</v>
          </cell>
          <cell r="W9">
            <v>0</v>
          </cell>
          <cell r="X9">
            <v>0</v>
          </cell>
          <cell r="Y9">
            <v>0</v>
          </cell>
          <cell r="Z9">
            <v>0</v>
          </cell>
          <cell r="AA9" t="str">
            <v>x</v>
          </cell>
          <cell r="AB9" t="str">
            <v>x</v>
          </cell>
          <cell r="AC9" t="str">
            <v>x</v>
          </cell>
          <cell r="AD9" t="str">
            <v>x</v>
          </cell>
          <cell r="AE9" t="str">
            <v>x</v>
          </cell>
          <cell r="AF9" t="str">
            <v>x</v>
          </cell>
          <cell r="AG9" t="str">
            <v>x</v>
          </cell>
          <cell r="AH9" t="str">
            <v>x</v>
          </cell>
          <cell r="AI9" t="str">
            <v>x</v>
          </cell>
          <cell r="AJ9" t="str">
            <v>x</v>
          </cell>
          <cell r="AK9" t="str">
            <v>x</v>
          </cell>
          <cell r="AL9">
            <v>21</v>
          </cell>
          <cell r="AM9">
            <v>0</v>
          </cell>
          <cell r="AN9">
            <v>0</v>
          </cell>
          <cell r="AO9">
            <v>7</v>
          </cell>
          <cell r="AP9">
            <v>0</v>
          </cell>
          <cell r="AQ9">
            <v>0</v>
          </cell>
          <cell r="AR9">
            <v>21</v>
          </cell>
          <cell r="AS9" t="str">
            <v>Casual Labour</v>
          </cell>
          <cell r="AV9">
            <v>120</v>
          </cell>
          <cell r="AW9">
            <v>25</v>
          </cell>
          <cell r="AX9">
            <v>30</v>
          </cell>
          <cell r="AY9">
            <v>20</v>
          </cell>
          <cell r="AZ9">
            <v>0.625</v>
          </cell>
        </row>
        <row r="10">
          <cell r="B10">
            <v>1851</v>
          </cell>
          <cell r="C10" t="str">
            <v>Ahmed Hamood Saif Al Hina'i</v>
          </cell>
          <cell r="D10">
            <v>39626</v>
          </cell>
          <cell r="E10">
            <v>39711</v>
          </cell>
          <cell r="F10">
            <v>13.5</v>
          </cell>
          <cell r="G10">
            <v>16</v>
          </cell>
          <cell r="H10">
            <v>1.5</v>
          </cell>
          <cell r="I10">
            <v>3</v>
          </cell>
          <cell r="J10">
            <v>4</v>
          </cell>
          <cell r="K10">
            <v>11</v>
          </cell>
          <cell r="L10">
            <v>5</v>
          </cell>
          <cell r="M10">
            <v>3</v>
          </cell>
          <cell r="N10">
            <v>5</v>
          </cell>
          <cell r="O10">
            <v>3</v>
          </cell>
          <cell r="P10">
            <v>3</v>
          </cell>
          <cell r="Q10">
            <v>0</v>
          </cell>
          <cell r="R10" t="str">
            <v>L</v>
          </cell>
          <cell r="S10" t="str">
            <v>L</v>
          </cell>
          <cell r="T10" t="str">
            <v>L</v>
          </cell>
          <cell r="U10" t="str">
            <v>L</v>
          </cell>
          <cell r="V10" t="str">
            <v>L</v>
          </cell>
          <cell r="W10" t="str">
            <v>L</v>
          </cell>
          <cell r="X10" t="str">
            <v>L</v>
          </cell>
          <cell r="Y10">
            <v>0</v>
          </cell>
          <cell r="Z10">
            <v>0</v>
          </cell>
          <cell r="AA10" t="str">
            <v>x</v>
          </cell>
          <cell r="AB10" t="str">
            <v>x</v>
          </cell>
          <cell r="AC10" t="str">
            <v>x</v>
          </cell>
          <cell r="AD10" t="str">
            <v>x</v>
          </cell>
          <cell r="AE10" t="str">
            <v>x</v>
          </cell>
          <cell r="AF10" t="str">
            <v>x</v>
          </cell>
          <cell r="AG10" t="str">
            <v>x</v>
          </cell>
          <cell r="AH10" t="str">
            <v>x</v>
          </cell>
          <cell r="AI10" t="str">
            <v>x</v>
          </cell>
          <cell r="AJ10" t="str">
            <v>x</v>
          </cell>
          <cell r="AK10" t="str">
            <v>x</v>
          </cell>
          <cell r="AL10">
            <v>14</v>
          </cell>
          <cell r="AM10">
            <v>0</v>
          </cell>
          <cell r="AN10">
            <v>7</v>
          </cell>
          <cell r="AO10">
            <v>68</v>
          </cell>
          <cell r="AP10">
            <v>0</v>
          </cell>
          <cell r="AQ10">
            <v>0</v>
          </cell>
          <cell r="AR10">
            <v>14</v>
          </cell>
          <cell r="AS10" t="str">
            <v>Casual Labour</v>
          </cell>
          <cell r="AU10" t="str">
            <v>He come back from normal shift before one day on 8th August'2008</v>
          </cell>
          <cell r="AV10">
            <v>120</v>
          </cell>
          <cell r="AW10">
            <v>25</v>
          </cell>
          <cell r="AX10">
            <v>30</v>
          </cell>
          <cell r="AY10">
            <v>20</v>
          </cell>
          <cell r="AZ10">
            <v>0.625</v>
          </cell>
        </row>
        <row r="11">
          <cell r="B11">
            <v>1858</v>
          </cell>
          <cell r="C11" t="str">
            <v>Younis Said Ali Al Amri</v>
          </cell>
          <cell r="D11">
            <v>39631</v>
          </cell>
          <cell r="E11">
            <v>39716</v>
          </cell>
          <cell r="F11">
            <v>5</v>
          </cell>
          <cell r="G11">
            <v>4</v>
          </cell>
          <cell r="H11">
            <v>0</v>
          </cell>
          <cell r="I11">
            <v>2</v>
          </cell>
          <cell r="J11">
            <v>0</v>
          </cell>
          <cell r="K11">
            <v>4</v>
          </cell>
          <cell r="L11">
            <v>0</v>
          </cell>
          <cell r="M11">
            <v>0</v>
          </cell>
          <cell r="N11">
            <v>0</v>
          </cell>
          <cell r="O11">
            <v>0</v>
          </cell>
          <cell r="P11">
            <v>2</v>
          </cell>
          <cell r="Q11">
            <v>5</v>
          </cell>
          <cell r="R11">
            <v>4</v>
          </cell>
          <cell r="S11">
            <v>4</v>
          </cell>
          <cell r="T11">
            <v>5</v>
          </cell>
          <cell r="U11">
            <v>5</v>
          </cell>
          <cell r="V11">
            <v>5</v>
          </cell>
          <cell r="W11">
            <v>0</v>
          </cell>
          <cell r="X11">
            <v>0</v>
          </cell>
          <cell r="Y11">
            <v>7</v>
          </cell>
          <cell r="Z11">
            <v>9</v>
          </cell>
          <cell r="AA11">
            <v>7</v>
          </cell>
          <cell r="AB11">
            <v>7</v>
          </cell>
          <cell r="AC11">
            <v>7</v>
          </cell>
          <cell r="AD11">
            <v>7</v>
          </cell>
          <cell r="AE11">
            <v>7</v>
          </cell>
          <cell r="AF11">
            <v>7</v>
          </cell>
          <cell r="AG11" t="str">
            <v>x</v>
          </cell>
          <cell r="AH11" t="str">
            <v>x</v>
          </cell>
          <cell r="AI11" t="str">
            <v>x</v>
          </cell>
          <cell r="AJ11" t="str">
            <v>x</v>
          </cell>
          <cell r="AK11" t="str">
            <v>x</v>
          </cell>
          <cell r="AL11">
            <v>27</v>
          </cell>
          <cell r="AM11">
            <v>0</v>
          </cell>
          <cell r="AN11">
            <v>0</v>
          </cell>
          <cell r="AO11">
            <v>103</v>
          </cell>
          <cell r="AP11">
            <v>0</v>
          </cell>
          <cell r="AQ11">
            <v>0</v>
          </cell>
          <cell r="AR11">
            <v>27</v>
          </cell>
          <cell r="AS11" t="str">
            <v>Casual Labour</v>
          </cell>
          <cell r="AV11">
            <v>120</v>
          </cell>
          <cell r="AW11">
            <v>25</v>
          </cell>
          <cell r="AX11">
            <v>30</v>
          </cell>
          <cell r="AY11">
            <v>20</v>
          </cell>
          <cell r="AZ11">
            <v>0.625</v>
          </cell>
        </row>
        <row r="12">
          <cell r="B12">
            <v>1870</v>
          </cell>
          <cell r="C12" t="str">
            <v>Hossain Suwaidan Bakheit Al Shukaili</v>
          </cell>
          <cell r="D12">
            <v>39634</v>
          </cell>
          <cell r="E12">
            <v>5</v>
          </cell>
          <cell r="F12">
            <v>5</v>
          </cell>
          <cell r="G12">
            <v>0</v>
          </cell>
          <cell r="H12" t="str">
            <v>A</v>
          </cell>
          <cell r="I12">
            <v>0</v>
          </cell>
          <cell r="J12">
            <v>0</v>
          </cell>
          <cell r="K12" t="str">
            <v>L</v>
          </cell>
          <cell r="L12" t="str">
            <v>L</v>
          </cell>
          <cell r="M12" t="str">
            <v>L</v>
          </cell>
          <cell r="N12" t="str">
            <v>L</v>
          </cell>
          <cell r="O12" t="str">
            <v>L</v>
          </cell>
          <cell r="P12" t="str">
            <v>L</v>
          </cell>
          <cell r="Q12" t="str">
            <v>L</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t="str">
            <v>X</v>
          </cell>
          <cell r="AJ12" t="str">
            <v>x</v>
          </cell>
          <cell r="AK12" t="str">
            <v>x</v>
          </cell>
          <cell r="AL12">
            <v>21</v>
          </cell>
          <cell r="AM12">
            <v>0</v>
          </cell>
          <cell r="AN12">
            <v>7</v>
          </cell>
          <cell r="AO12">
            <v>5</v>
          </cell>
          <cell r="AP12">
            <v>0</v>
          </cell>
          <cell r="AQ12">
            <v>0</v>
          </cell>
          <cell r="AR12">
            <v>21</v>
          </cell>
          <cell r="AS12" t="str">
            <v>Casual Labour</v>
          </cell>
          <cell r="AV12">
            <v>120</v>
          </cell>
          <cell r="AW12">
            <v>25</v>
          </cell>
          <cell r="AX12">
            <v>30</v>
          </cell>
          <cell r="AY12">
            <v>20</v>
          </cell>
          <cell r="AZ12">
            <v>0.625</v>
          </cell>
        </row>
        <row r="13">
          <cell r="B13">
            <v>1871</v>
          </cell>
          <cell r="C13" t="str">
            <v>Khamis Sulaiyam Salim Al Mamari</v>
          </cell>
          <cell r="D13">
            <v>39634</v>
          </cell>
          <cell r="E13">
            <v>39719</v>
          </cell>
          <cell r="F13">
            <v>2</v>
          </cell>
          <cell r="G13">
            <v>0</v>
          </cell>
          <cell r="H13">
            <v>0</v>
          </cell>
          <cell r="I13">
            <v>0</v>
          </cell>
          <cell r="J13">
            <v>0</v>
          </cell>
          <cell r="K13">
            <v>0</v>
          </cell>
          <cell r="L13">
            <v>0</v>
          </cell>
          <cell r="M13">
            <v>0</v>
          </cell>
          <cell r="N13">
            <v>0</v>
          </cell>
          <cell r="O13">
            <v>0</v>
          </cell>
          <cell r="P13">
            <v>0</v>
          </cell>
          <cell r="Q13">
            <v>0</v>
          </cell>
          <cell r="R13">
            <v>0</v>
          </cell>
          <cell r="S13" t="str">
            <v>L</v>
          </cell>
          <cell r="T13" t="str">
            <v>L</v>
          </cell>
          <cell r="U13" t="str">
            <v>L</v>
          </cell>
          <cell r="V13" t="str">
            <v>L</v>
          </cell>
          <cell r="W13" t="str">
            <v>L</v>
          </cell>
          <cell r="X13" t="str">
            <v>L</v>
          </cell>
          <cell r="Y13" t="str">
            <v>L</v>
          </cell>
          <cell r="Z13" t="str">
            <v>A</v>
          </cell>
          <cell r="AA13" t="str">
            <v>A</v>
          </cell>
          <cell r="AB13" t="str">
            <v>A</v>
          </cell>
          <cell r="AC13" t="str">
            <v>A</v>
          </cell>
          <cell r="AD13" t="str">
            <v>A</v>
          </cell>
          <cell r="AE13" t="str">
            <v>A</v>
          </cell>
          <cell r="AF13">
            <v>0</v>
          </cell>
          <cell r="AG13">
            <v>0</v>
          </cell>
          <cell r="AH13">
            <v>0</v>
          </cell>
          <cell r="AI13" t="str">
            <v>X</v>
          </cell>
          <cell r="AJ13" t="str">
            <v>x</v>
          </cell>
          <cell r="AK13" t="str">
            <v>x</v>
          </cell>
          <cell r="AL13">
            <v>16</v>
          </cell>
          <cell r="AM13">
            <v>0</v>
          </cell>
          <cell r="AN13">
            <v>7</v>
          </cell>
          <cell r="AO13">
            <v>2</v>
          </cell>
          <cell r="AP13">
            <v>0</v>
          </cell>
          <cell r="AQ13">
            <v>0</v>
          </cell>
          <cell r="AR13">
            <v>16</v>
          </cell>
          <cell r="AS13" t="str">
            <v>Casual Heavy Duty Driver</v>
          </cell>
          <cell r="AU13" t="str">
            <v>In time sheet he is as light duty driver he sing heave duty driver need to owed last month salary.</v>
          </cell>
          <cell r="AV13">
            <v>180</v>
          </cell>
          <cell r="AW13">
            <v>40</v>
          </cell>
          <cell r="AX13">
            <v>45</v>
          </cell>
          <cell r="AY13">
            <v>30</v>
          </cell>
          <cell r="AZ13">
            <v>0.9375</v>
          </cell>
        </row>
        <row r="14">
          <cell r="B14">
            <v>1873</v>
          </cell>
          <cell r="C14" t="str">
            <v>Masoud Nasser Mohammed Al Busaidi</v>
          </cell>
          <cell r="D14">
            <v>39634</v>
          </cell>
          <cell r="E14">
            <v>39719</v>
          </cell>
          <cell r="F14">
            <v>2</v>
          </cell>
          <cell r="G14">
            <v>0</v>
          </cell>
          <cell r="H14">
            <v>0</v>
          </cell>
          <cell r="I14">
            <v>4</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t="str">
            <v>L</v>
          </cell>
          <cell r="AJ14" t="str">
            <v>x</v>
          </cell>
          <cell r="AK14" t="str">
            <v>x</v>
          </cell>
          <cell r="AL14">
            <v>29</v>
          </cell>
          <cell r="AM14">
            <v>0</v>
          </cell>
          <cell r="AN14">
            <v>1</v>
          </cell>
          <cell r="AO14">
            <v>6</v>
          </cell>
          <cell r="AP14">
            <v>0</v>
          </cell>
          <cell r="AQ14">
            <v>0</v>
          </cell>
          <cell r="AR14">
            <v>29</v>
          </cell>
          <cell r="AS14" t="str">
            <v>Casual Labour</v>
          </cell>
          <cell r="AV14">
            <v>120</v>
          </cell>
          <cell r="AW14">
            <v>25</v>
          </cell>
          <cell r="AX14">
            <v>30</v>
          </cell>
          <cell r="AY14">
            <v>20</v>
          </cell>
          <cell r="AZ14">
            <v>0.625</v>
          </cell>
        </row>
        <row r="15">
          <cell r="B15">
            <v>1874</v>
          </cell>
          <cell r="C15" t="str">
            <v>Said Nasser Mohammed Al Busaidi</v>
          </cell>
          <cell r="D15">
            <v>39634</v>
          </cell>
          <cell r="E15">
            <v>39719</v>
          </cell>
          <cell r="F15">
            <v>2</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t="str">
            <v>L</v>
          </cell>
          <cell r="AJ15" t="str">
            <v>x</v>
          </cell>
          <cell r="AK15" t="str">
            <v>x</v>
          </cell>
          <cell r="AL15">
            <v>29</v>
          </cell>
          <cell r="AM15">
            <v>0</v>
          </cell>
          <cell r="AN15">
            <v>1</v>
          </cell>
          <cell r="AO15">
            <v>2</v>
          </cell>
          <cell r="AP15">
            <v>0</v>
          </cell>
          <cell r="AQ15">
            <v>0</v>
          </cell>
          <cell r="AR15">
            <v>29</v>
          </cell>
          <cell r="AS15" t="str">
            <v>Casual Labour</v>
          </cell>
          <cell r="AV15">
            <v>120</v>
          </cell>
          <cell r="AW15">
            <v>25</v>
          </cell>
          <cell r="AX15">
            <v>30</v>
          </cell>
          <cell r="AY15">
            <v>20</v>
          </cell>
          <cell r="AZ15">
            <v>0.625</v>
          </cell>
        </row>
        <row r="16">
          <cell r="B16">
            <v>1875</v>
          </cell>
          <cell r="C16" t="str">
            <v>Saif Nasser Mohammed Al Busaidi</v>
          </cell>
          <cell r="D16">
            <v>39634</v>
          </cell>
          <cell r="E16">
            <v>39719</v>
          </cell>
          <cell r="F16">
            <v>2</v>
          </cell>
          <cell r="G16" t="str">
            <v>A</v>
          </cell>
          <cell r="H16" t="str">
            <v>A</v>
          </cell>
          <cell r="I16" t="str">
            <v>A</v>
          </cell>
          <cell r="J16" t="str">
            <v>A</v>
          </cell>
          <cell r="K16">
            <v>0</v>
          </cell>
          <cell r="L16">
            <v>0</v>
          </cell>
          <cell r="M16">
            <v>0</v>
          </cell>
          <cell r="N16">
            <v>0</v>
          </cell>
          <cell r="O16">
            <v>0</v>
          </cell>
          <cell r="P16">
            <v>0</v>
          </cell>
          <cell r="Q16">
            <v>0</v>
          </cell>
          <cell r="R16">
            <v>0</v>
          </cell>
          <cell r="S16">
            <v>0</v>
          </cell>
          <cell r="T16">
            <v>0</v>
          </cell>
          <cell r="U16">
            <v>0</v>
          </cell>
          <cell r="V16">
            <v>0</v>
          </cell>
          <cell r="W16">
            <v>0</v>
          </cell>
          <cell r="X16" t="str">
            <v>x</v>
          </cell>
          <cell r="Y16" t="str">
            <v>x</v>
          </cell>
          <cell r="Z16" t="str">
            <v>x</v>
          </cell>
          <cell r="AA16" t="str">
            <v>x</v>
          </cell>
          <cell r="AB16" t="str">
            <v>x</v>
          </cell>
          <cell r="AC16" t="str">
            <v>x</v>
          </cell>
          <cell r="AD16" t="str">
            <v>x</v>
          </cell>
          <cell r="AE16" t="str">
            <v>x</v>
          </cell>
          <cell r="AF16" t="str">
            <v>x</v>
          </cell>
          <cell r="AG16" t="str">
            <v>x</v>
          </cell>
          <cell r="AH16" t="str">
            <v>x</v>
          </cell>
          <cell r="AI16" t="str">
            <v>x</v>
          </cell>
          <cell r="AJ16" t="str">
            <v>x</v>
          </cell>
          <cell r="AK16" t="str">
            <v>x</v>
          </cell>
          <cell r="AL16">
            <v>14</v>
          </cell>
          <cell r="AM16">
            <v>0</v>
          </cell>
          <cell r="AN16">
            <v>0</v>
          </cell>
          <cell r="AO16">
            <v>2</v>
          </cell>
          <cell r="AP16">
            <v>0</v>
          </cell>
          <cell r="AQ16">
            <v>0</v>
          </cell>
          <cell r="AR16">
            <v>14</v>
          </cell>
          <cell r="AS16" t="str">
            <v>Casual Labour</v>
          </cell>
          <cell r="AV16">
            <v>120</v>
          </cell>
          <cell r="AW16">
            <v>25</v>
          </cell>
          <cell r="AX16">
            <v>30</v>
          </cell>
          <cell r="AY16">
            <v>20</v>
          </cell>
          <cell r="AZ16">
            <v>0.625</v>
          </cell>
        </row>
        <row r="17">
          <cell r="B17">
            <v>1877</v>
          </cell>
          <cell r="C17" t="str">
            <v>Aadil Rashid Habib Al Daghari</v>
          </cell>
          <cell r="D17">
            <v>39634</v>
          </cell>
          <cell r="E17">
            <v>39719</v>
          </cell>
          <cell r="F17">
            <v>5</v>
          </cell>
          <cell r="G17">
            <v>0</v>
          </cell>
          <cell r="H17">
            <v>0</v>
          </cell>
          <cell r="I17">
            <v>0</v>
          </cell>
          <cell r="J17">
            <v>0</v>
          </cell>
          <cell r="K17">
            <v>0</v>
          </cell>
          <cell r="L17">
            <v>0</v>
          </cell>
          <cell r="M17">
            <v>0</v>
          </cell>
          <cell r="N17">
            <v>0</v>
          </cell>
          <cell r="O17">
            <v>0</v>
          </cell>
          <cell r="P17">
            <v>0</v>
          </cell>
          <cell r="Q17">
            <v>0</v>
          </cell>
          <cell r="R17" t="str">
            <v>L</v>
          </cell>
          <cell r="S17" t="str">
            <v>L</v>
          </cell>
          <cell r="T17" t="str">
            <v>L</v>
          </cell>
          <cell r="U17" t="str">
            <v>L</v>
          </cell>
          <cell r="V17" t="str">
            <v>L</v>
          </cell>
          <cell r="W17" t="str">
            <v>L</v>
          </cell>
          <cell r="X17" t="str">
            <v>L</v>
          </cell>
          <cell r="Y17">
            <v>0</v>
          </cell>
          <cell r="Z17">
            <v>0</v>
          </cell>
          <cell r="AA17">
            <v>0</v>
          </cell>
          <cell r="AB17">
            <v>0</v>
          </cell>
          <cell r="AC17">
            <v>0</v>
          </cell>
          <cell r="AD17">
            <v>0</v>
          </cell>
          <cell r="AE17">
            <v>0</v>
          </cell>
          <cell r="AF17">
            <v>0</v>
          </cell>
          <cell r="AG17">
            <v>0</v>
          </cell>
          <cell r="AH17">
            <v>0</v>
          </cell>
          <cell r="AI17" t="str">
            <v>X</v>
          </cell>
          <cell r="AJ17" t="str">
            <v>x</v>
          </cell>
          <cell r="AK17" t="str">
            <v>x</v>
          </cell>
          <cell r="AL17">
            <v>22</v>
          </cell>
          <cell r="AM17">
            <v>0</v>
          </cell>
          <cell r="AN17">
            <v>7</v>
          </cell>
          <cell r="AO17">
            <v>5</v>
          </cell>
          <cell r="AP17">
            <v>0</v>
          </cell>
          <cell r="AQ17">
            <v>0</v>
          </cell>
          <cell r="AR17">
            <v>22</v>
          </cell>
          <cell r="AS17" t="str">
            <v>Casual Labour</v>
          </cell>
          <cell r="AV17">
            <v>120</v>
          </cell>
          <cell r="AW17">
            <v>25</v>
          </cell>
          <cell r="AX17">
            <v>30</v>
          </cell>
          <cell r="AY17">
            <v>20</v>
          </cell>
          <cell r="AZ17">
            <v>0.625</v>
          </cell>
        </row>
        <row r="18">
          <cell r="B18">
            <v>1895</v>
          </cell>
          <cell r="C18" t="str">
            <v>Sultan Khalifa Khalaf Al Riyami</v>
          </cell>
          <cell r="D18">
            <v>39637</v>
          </cell>
          <cell r="E18">
            <v>39722</v>
          </cell>
          <cell r="F18">
            <v>6</v>
          </cell>
          <cell r="G18">
            <v>0</v>
          </cell>
          <cell r="H18">
            <v>0</v>
          </cell>
          <cell r="I18">
            <v>0</v>
          </cell>
          <cell r="J18">
            <v>0</v>
          </cell>
          <cell r="K18">
            <v>0</v>
          </cell>
          <cell r="L18">
            <v>0</v>
          </cell>
          <cell r="M18">
            <v>0</v>
          </cell>
          <cell r="N18">
            <v>0</v>
          </cell>
          <cell r="O18">
            <v>0</v>
          </cell>
          <cell r="P18">
            <v>0</v>
          </cell>
          <cell r="Q18">
            <v>0</v>
          </cell>
          <cell r="R18" t="str">
            <v>L</v>
          </cell>
          <cell r="S18" t="str">
            <v>L</v>
          </cell>
          <cell r="T18" t="str">
            <v>L</v>
          </cell>
          <cell r="U18" t="str">
            <v>L</v>
          </cell>
          <cell r="V18" t="str">
            <v>L</v>
          </cell>
          <cell r="W18" t="str">
            <v>L</v>
          </cell>
          <cell r="X18" t="str">
            <v>L</v>
          </cell>
          <cell r="Y18" t="str">
            <v>A</v>
          </cell>
          <cell r="Z18" t="str">
            <v>A</v>
          </cell>
          <cell r="AA18" t="str">
            <v>A</v>
          </cell>
          <cell r="AB18" t="str">
            <v>A</v>
          </cell>
          <cell r="AC18" t="str">
            <v>A</v>
          </cell>
          <cell r="AD18" t="str">
            <v>A</v>
          </cell>
          <cell r="AE18" t="str">
            <v>A</v>
          </cell>
          <cell r="AF18" t="str">
            <v>A</v>
          </cell>
          <cell r="AG18" t="str">
            <v>A</v>
          </cell>
          <cell r="AH18" t="str">
            <v>A</v>
          </cell>
          <cell r="AI18" t="str">
            <v>A</v>
          </cell>
          <cell r="AJ18" t="str">
            <v>x</v>
          </cell>
          <cell r="AK18" t="str">
            <v>x</v>
          </cell>
          <cell r="AL18">
            <v>12</v>
          </cell>
          <cell r="AM18">
            <v>0</v>
          </cell>
          <cell r="AN18">
            <v>7</v>
          </cell>
          <cell r="AO18">
            <v>6</v>
          </cell>
          <cell r="AP18">
            <v>0</v>
          </cell>
          <cell r="AQ18">
            <v>0</v>
          </cell>
          <cell r="AR18">
            <v>12</v>
          </cell>
          <cell r="AS18" t="str">
            <v>Casual Labour</v>
          </cell>
          <cell r="AV18">
            <v>120</v>
          </cell>
          <cell r="AW18">
            <v>25</v>
          </cell>
          <cell r="AX18">
            <v>30</v>
          </cell>
          <cell r="AY18">
            <v>20</v>
          </cell>
          <cell r="AZ18">
            <v>0.625</v>
          </cell>
        </row>
        <row r="19">
          <cell r="B19">
            <v>1900</v>
          </cell>
          <cell r="C19" t="str">
            <v>Samir Abdullah Thani Humaid Al Mahrouqi</v>
          </cell>
          <cell r="D19">
            <v>39637</v>
          </cell>
          <cell r="E19">
            <v>39722</v>
          </cell>
          <cell r="F19">
            <v>8</v>
          </cell>
          <cell r="G19">
            <v>0</v>
          </cell>
          <cell r="H19">
            <v>0</v>
          </cell>
          <cell r="I19">
            <v>4</v>
          </cell>
          <cell r="J19">
            <v>0</v>
          </cell>
          <cell r="K19">
            <v>0</v>
          </cell>
          <cell r="L19">
            <v>0</v>
          </cell>
          <cell r="M19">
            <v>0</v>
          </cell>
          <cell r="N19">
            <v>0</v>
          </cell>
          <cell r="O19">
            <v>0</v>
          </cell>
          <cell r="P19">
            <v>0</v>
          </cell>
          <cell r="Q19">
            <v>0</v>
          </cell>
          <cell r="R19" t="str">
            <v>L</v>
          </cell>
          <cell r="S19" t="str">
            <v>L</v>
          </cell>
          <cell r="T19" t="str">
            <v>L</v>
          </cell>
          <cell r="U19" t="str">
            <v>L</v>
          </cell>
          <cell r="V19" t="str">
            <v>L</v>
          </cell>
          <cell r="W19" t="str">
            <v>L</v>
          </cell>
          <cell r="X19" t="str">
            <v>L</v>
          </cell>
          <cell r="Y19">
            <v>0</v>
          </cell>
          <cell r="Z19">
            <v>0</v>
          </cell>
          <cell r="AA19">
            <v>0</v>
          </cell>
          <cell r="AB19">
            <v>0</v>
          </cell>
          <cell r="AC19">
            <v>0</v>
          </cell>
          <cell r="AD19">
            <v>0</v>
          </cell>
          <cell r="AE19">
            <v>0</v>
          </cell>
          <cell r="AF19">
            <v>7.5</v>
          </cell>
          <cell r="AG19">
            <v>7</v>
          </cell>
          <cell r="AH19">
            <v>0</v>
          </cell>
          <cell r="AI19" t="str">
            <v>L</v>
          </cell>
          <cell r="AJ19" t="str">
            <v>x</v>
          </cell>
          <cell r="AK19" t="str">
            <v>x</v>
          </cell>
          <cell r="AL19">
            <v>22</v>
          </cell>
          <cell r="AM19">
            <v>0</v>
          </cell>
          <cell r="AN19">
            <v>8</v>
          </cell>
          <cell r="AO19">
            <v>26.5</v>
          </cell>
          <cell r="AP19">
            <v>0</v>
          </cell>
          <cell r="AQ19">
            <v>0</v>
          </cell>
          <cell r="AR19">
            <v>22</v>
          </cell>
          <cell r="AS19" t="str">
            <v>Casual Labour</v>
          </cell>
          <cell r="AV19">
            <v>120</v>
          </cell>
          <cell r="AW19">
            <v>25</v>
          </cell>
          <cell r="AX19">
            <v>30</v>
          </cell>
          <cell r="AY19">
            <v>20</v>
          </cell>
          <cell r="AZ19">
            <v>0.625</v>
          </cell>
        </row>
        <row r="20">
          <cell r="B20">
            <v>1905</v>
          </cell>
          <cell r="C20" t="str">
            <v>Shabib Saif Issa Al Jassasi</v>
          </cell>
          <cell r="D20">
            <v>39637</v>
          </cell>
          <cell r="E20">
            <v>39722</v>
          </cell>
          <cell r="F20">
            <v>2</v>
          </cell>
          <cell r="G20">
            <v>0</v>
          </cell>
          <cell r="H20">
            <v>0</v>
          </cell>
          <cell r="I20">
            <v>4</v>
          </cell>
          <cell r="J20">
            <v>0</v>
          </cell>
          <cell r="K20" t="str">
            <v>L</v>
          </cell>
          <cell r="L20" t="str">
            <v>L</v>
          </cell>
          <cell r="M20" t="str">
            <v>L</v>
          </cell>
          <cell r="N20" t="str">
            <v>L</v>
          </cell>
          <cell r="O20" t="str">
            <v>L</v>
          </cell>
          <cell r="P20" t="str">
            <v>L</v>
          </cell>
          <cell r="Q20" t="str">
            <v>L</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t="str">
            <v>L</v>
          </cell>
          <cell r="AJ20" t="str">
            <v>x</v>
          </cell>
          <cell r="AK20" t="str">
            <v>x</v>
          </cell>
          <cell r="AL20">
            <v>22</v>
          </cell>
          <cell r="AM20">
            <v>0</v>
          </cell>
          <cell r="AN20">
            <v>8</v>
          </cell>
          <cell r="AO20">
            <v>6</v>
          </cell>
          <cell r="AP20">
            <v>0</v>
          </cell>
          <cell r="AQ20">
            <v>0</v>
          </cell>
          <cell r="AR20">
            <v>22</v>
          </cell>
          <cell r="AS20" t="str">
            <v>Casual Labour</v>
          </cell>
          <cell r="AV20">
            <v>120</v>
          </cell>
          <cell r="AW20">
            <v>25</v>
          </cell>
          <cell r="AX20">
            <v>30</v>
          </cell>
          <cell r="AY20">
            <v>20</v>
          </cell>
          <cell r="AZ20">
            <v>0.625</v>
          </cell>
        </row>
        <row r="21">
          <cell r="B21">
            <v>1907</v>
          </cell>
          <cell r="C21" t="str">
            <v>Ahmed Salim Mohammed Al Hina'i</v>
          </cell>
          <cell r="D21">
            <v>39637</v>
          </cell>
          <cell r="E21">
            <v>39722</v>
          </cell>
          <cell r="F21">
            <v>2</v>
          </cell>
          <cell r="G21">
            <v>0</v>
          </cell>
          <cell r="H21">
            <v>0</v>
          </cell>
          <cell r="I21">
            <v>0</v>
          </cell>
          <cell r="J21">
            <v>0</v>
          </cell>
          <cell r="K21">
            <v>0</v>
          </cell>
          <cell r="L21">
            <v>0</v>
          </cell>
          <cell r="M21" t="str">
            <v>x</v>
          </cell>
          <cell r="N21" t="str">
            <v>x</v>
          </cell>
          <cell r="O21" t="str">
            <v>x</v>
          </cell>
          <cell r="P21" t="str">
            <v>x</v>
          </cell>
          <cell r="Q21" t="str">
            <v>x</v>
          </cell>
          <cell r="R21" t="str">
            <v>x</v>
          </cell>
          <cell r="S21" t="str">
            <v>x</v>
          </cell>
          <cell r="T21" t="str">
            <v>x</v>
          </cell>
          <cell r="U21" t="str">
            <v>x</v>
          </cell>
          <cell r="V21" t="str">
            <v>x</v>
          </cell>
          <cell r="W21" t="str">
            <v>x</v>
          </cell>
          <cell r="X21" t="str">
            <v>x</v>
          </cell>
          <cell r="Y21" t="str">
            <v>x</v>
          </cell>
          <cell r="Z21" t="str">
            <v>x</v>
          </cell>
          <cell r="AA21" t="str">
            <v>x</v>
          </cell>
          <cell r="AB21" t="str">
            <v>x</v>
          </cell>
          <cell r="AC21" t="str">
            <v>x</v>
          </cell>
          <cell r="AD21" t="str">
            <v>x</v>
          </cell>
          <cell r="AE21" t="str">
            <v>x</v>
          </cell>
          <cell r="AF21" t="str">
            <v>x</v>
          </cell>
          <cell r="AG21" t="str">
            <v>x</v>
          </cell>
          <cell r="AH21" t="str">
            <v>x</v>
          </cell>
          <cell r="AI21" t="str">
            <v>x</v>
          </cell>
          <cell r="AJ21" t="str">
            <v>x</v>
          </cell>
          <cell r="AK21" t="str">
            <v>x</v>
          </cell>
          <cell r="AL21">
            <v>7</v>
          </cell>
          <cell r="AM21">
            <v>0</v>
          </cell>
          <cell r="AN21">
            <v>0</v>
          </cell>
          <cell r="AO21">
            <v>2</v>
          </cell>
          <cell r="AP21">
            <v>0</v>
          </cell>
          <cell r="AQ21">
            <v>0</v>
          </cell>
          <cell r="AR21">
            <v>7</v>
          </cell>
          <cell r="AS21" t="str">
            <v>Casual Labour</v>
          </cell>
          <cell r="AV21">
            <v>120</v>
          </cell>
          <cell r="AW21">
            <v>25</v>
          </cell>
          <cell r="AX21">
            <v>30</v>
          </cell>
          <cell r="AY21">
            <v>20</v>
          </cell>
          <cell r="AZ21">
            <v>0.625</v>
          </cell>
        </row>
        <row r="22">
          <cell r="B22">
            <v>1908</v>
          </cell>
          <cell r="C22" t="str">
            <v>Khalifa Mas'oud Rashid Al Sa'idi</v>
          </cell>
          <cell r="D22">
            <v>39637</v>
          </cell>
          <cell r="E22">
            <v>39722</v>
          </cell>
          <cell r="F22" t="str">
            <v>L</v>
          </cell>
          <cell r="G22" t="str">
            <v>L</v>
          </cell>
          <cell r="H22" t="str">
            <v>L</v>
          </cell>
          <cell r="I22" t="str">
            <v>L</v>
          </cell>
          <cell r="J22" t="str">
            <v>L</v>
          </cell>
          <cell r="K22">
            <v>0</v>
          </cell>
          <cell r="L22">
            <v>0</v>
          </cell>
          <cell r="M22">
            <v>0</v>
          </cell>
          <cell r="N22">
            <v>0</v>
          </cell>
          <cell r="O22">
            <v>0</v>
          </cell>
          <cell r="P22" t="str">
            <v>x</v>
          </cell>
          <cell r="Q22" t="str">
            <v>x</v>
          </cell>
          <cell r="R22" t="str">
            <v>x</v>
          </cell>
          <cell r="S22" t="str">
            <v>x</v>
          </cell>
          <cell r="T22" t="str">
            <v>x</v>
          </cell>
          <cell r="U22" t="str">
            <v>x</v>
          </cell>
          <cell r="V22" t="str">
            <v>x</v>
          </cell>
          <cell r="W22" t="str">
            <v>x</v>
          </cell>
          <cell r="X22" t="str">
            <v>x</v>
          </cell>
          <cell r="Y22" t="str">
            <v>x</v>
          </cell>
          <cell r="Z22" t="str">
            <v>x</v>
          </cell>
          <cell r="AA22" t="str">
            <v>x</v>
          </cell>
          <cell r="AB22" t="str">
            <v>x</v>
          </cell>
          <cell r="AC22" t="str">
            <v>x</v>
          </cell>
          <cell r="AD22" t="str">
            <v>x</v>
          </cell>
          <cell r="AE22" t="str">
            <v>x</v>
          </cell>
          <cell r="AF22" t="str">
            <v>x</v>
          </cell>
          <cell r="AG22" t="str">
            <v>x</v>
          </cell>
          <cell r="AH22" t="str">
            <v>x</v>
          </cell>
          <cell r="AI22" t="str">
            <v>x</v>
          </cell>
          <cell r="AJ22" t="str">
            <v>x</v>
          </cell>
          <cell r="AK22" t="str">
            <v>x</v>
          </cell>
          <cell r="AL22">
            <v>5</v>
          </cell>
          <cell r="AM22">
            <v>0</v>
          </cell>
          <cell r="AN22">
            <v>5</v>
          </cell>
          <cell r="AO22">
            <v>0</v>
          </cell>
          <cell r="AP22">
            <v>0</v>
          </cell>
          <cell r="AQ22">
            <v>0</v>
          </cell>
          <cell r="AR22">
            <v>5</v>
          </cell>
          <cell r="AS22" t="str">
            <v>Casual Labour</v>
          </cell>
          <cell r="AV22">
            <v>120</v>
          </cell>
          <cell r="AW22">
            <v>25</v>
          </cell>
          <cell r="AX22">
            <v>30</v>
          </cell>
          <cell r="AY22">
            <v>20</v>
          </cell>
          <cell r="AZ22">
            <v>0.625</v>
          </cell>
        </row>
        <row r="23">
          <cell r="B23">
            <v>1913</v>
          </cell>
          <cell r="C23" t="str">
            <v>Khalid Ali Masoud Al Raqmidhi</v>
          </cell>
          <cell r="D23">
            <v>39638</v>
          </cell>
          <cell r="E23">
            <v>39723</v>
          </cell>
          <cell r="F23">
            <v>7</v>
          </cell>
          <cell r="G23">
            <v>4</v>
          </cell>
          <cell r="H23">
            <v>0</v>
          </cell>
          <cell r="I23">
            <v>2</v>
          </cell>
          <cell r="J23">
            <v>4</v>
          </cell>
          <cell r="K23">
            <v>0</v>
          </cell>
          <cell r="L23">
            <v>0</v>
          </cell>
          <cell r="M23">
            <v>0</v>
          </cell>
          <cell r="N23">
            <v>0</v>
          </cell>
          <cell r="O23">
            <v>0</v>
          </cell>
          <cell r="P23">
            <v>2</v>
          </cell>
          <cell r="Q23">
            <v>5</v>
          </cell>
          <cell r="R23">
            <v>4</v>
          </cell>
          <cell r="S23">
            <v>4</v>
          </cell>
          <cell r="T23">
            <v>5</v>
          </cell>
          <cell r="U23">
            <v>5</v>
          </cell>
          <cell r="V23">
            <v>5</v>
          </cell>
          <cell r="W23">
            <v>0</v>
          </cell>
          <cell r="X23">
            <v>0</v>
          </cell>
          <cell r="Y23" t="str">
            <v>L</v>
          </cell>
          <cell r="Z23" t="str">
            <v>L</v>
          </cell>
          <cell r="AA23" t="str">
            <v>L</v>
          </cell>
          <cell r="AB23" t="str">
            <v>L</v>
          </cell>
          <cell r="AC23" t="str">
            <v>L</v>
          </cell>
          <cell r="AD23" t="str">
            <v>L</v>
          </cell>
          <cell r="AE23" t="str">
            <v>L</v>
          </cell>
          <cell r="AF23">
            <v>8</v>
          </cell>
          <cell r="AG23">
            <v>0</v>
          </cell>
          <cell r="AH23">
            <v>0</v>
          </cell>
          <cell r="AI23" t="str">
            <v>L</v>
          </cell>
          <cell r="AJ23" t="str">
            <v>x</v>
          </cell>
          <cell r="AK23" t="str">
            <v>x</v>
          </cell>
          <cell r="AL23">
            <v>22</v>
          </cell>
          <cell r="AM23">
            <v>0</v>
          </cell>
          <cell r="AN23">
            <v>8</v>
          </cell>
          <cell r="AO23">
            <v>55</v>
          </cell>
          <cell r="AP23">
            <v>0</v>
          </cell>
          <cell r="AQ23">
            <v>0</v>
          </cell>
          <cell r="AR23">
            <v>22</v>
          </cell>
          <cell r="AS23" t="str">
            <v>Casual Labour</v>
          </cell>
          <cell r="AV23">
            <v>120</v>
          </cell>
          <cell r="AW23">
            <v>25</v>
          </cell>
          <cell r="AX23">
            <v>30</v>
          </cell>
          <cell r="AY23">
            <v>20</v>
          </cell>
          <cell r="AZ23">
            <v>0.625</v>
          </cell>
        </row>
        <row r="24">
          <cell r="B24">
            <v>1915</v>
          </cell>
          <cell r="C24" t="str">
            <v>Abdullah Sultan Said Al Hashmi</v>
          </cell>
          <cell r="D24">
            <v>39638</v>
          </cell>
          <cell r="E24">
            <v>39723</v>
          </cell>
          <cell r="F24">
            <v>2</v>
          </cell>
          <cell r="G24">
            <v>0</v>
          </cell>
          <cell r="H24">
            <v>0</v>
          </cell>
          <cell r="I24">
            <v>0</v>
          </cell>
          <cell r="J24">
            <v>0</v>
          </cell>
          <cell r="K24">
            <v>0</v>
          </cell>
          <cell r="L24">
            <v>0</v>
          </cell>
          <cell r="M24">
            <v>0</v>
          </cell>
          <cell r="N24">
            <v>0</v>
          </cell>
          <cell r="O24">
            <v>0</v>
          </cell>
          <cell r="P24">
            <v>0</v>
          </cell>
          <cell r="Q24">
            <v>0</v>
          </cell>
          <cell r="R24" t="str">
            <v>L</v>
          </cell>
          <cell r="S24" t="str">
            <v>L</v>
          </cell>
          <cell r="T24" t="str">
            <v>L</v>
          </cell>
          <cell r="U24" t="str">
            <v>L</v>
          </cell>
          <cell r="V24" t="str">
            <v>L</v>
          </cell>
          <cell r="W24" t="str">
            <v>L</v>
          </cell>
          <cell r="X24" t="str">
            <v>L</v>
          </cell>
          <cell r="Y24">
            <v>0</v>
          </cell>
          <cell r="Z24">
            <v>0</v>
          </cell>
          <cell r="AA24">
            <v>0</v>
          </cell>
          <cell r="AB24">
            <v>0</v>
          </cell>
          <cell r="AC24">
            <v>0</v>
          </cell>
          <cell r="AD24">
            <v>0</v>
          </cell>
          <cell r="AE24">
            <v>0</v>
          </cell>
          <cell r="AF24">
            <v>0</v>
          </cell>
          <cell r="AG24">
            <v>0</v>
          </cell>
          <cell r="AH24">
            <v>0</v>
          </cell>
          <cell r="AI24" t="str">
            <v>L</v>
          </cell>
          <cell r="AJ24" t="str">
            <v>x</v>
          </cell>
          <cell r="AK24" t="str">
            <v>x</v>
          </cell>
          <cell r="AL24">
            <v>22</v>
          </cell>
          <cell r="AM24">
            <v>0</v>
          </cell>
          <cell r="AN24">
            <v>8</v>
          </cell>
          <cell r="AO24">
            <v>2</v>
          </cell>
          <cell r="AP24">
            <v>0</v>
          </cell>
          <cell r="AQ24">
            <v>0</v>
          </cell>
          <cell r="AR24">
            <v>22</v>
          </cell>
          <cell r="AS24" t="str">
            <v>Casual Labour</v>
          </cell>
          <cell r="AV24">
            <v>120</v>
          </cell>
          <cell r="AW24">
            <v>25</v>
          </cell>
          <cell r="AX24">
            <v>30</v>
          </cell>
          <cell r="AY24">
            <v>20</v>
          </cell>
          <cell r="AZ24">
            <v>0.625</v>
          </cell>
        </row>
        <row r="25">
          <cell r="B25">
            <v>1945</v>
          </cell>
          <cell r="C25" t="str">
            <v xml:space="preserve"> Musalam Suliman Said Al Hinai</v>
          </cell>
          <cell r="D25">
            <v>39641</v>
          </cell>
          <cell r="E25">
            <v>39726</v>
          </cell>
          <cell r="F25">
            <v>2</v>
          </cell>
          <cell r="G25">
            <v>0</v>
          </cell>
          <cell r="H25">
            <v>0</v>
          </cell>
          <cell r="I25">
            <v>0</v>
          </cell>
          <cell r="J25">
            <v>0</v>
          </cell>
          <cell r="K25" t="str">
            <v>x</v>
          </cell>
          <cell r="L25" t="str">
            <v>x</v>
          </cell>
          <cell r="M25" t="str">
            <v>x</v>
          </cell>
          <cell r="N25" t="str">
            <v>x</v>
          </cell>
          <cell r="O25" t="str">
            <v>x</v>
          </cell>
          <cell r="P25" t="str">
            <v>x</v>
          </cell>
          <cell r="Q25" t="str">
            <v>x</v>
          </cell>
          <cell r="R25" t="str">
            <v>x</v>
          </cell>
          <cell r="S25" t="str">
            <v>x</v>
          </cell>
          <cell r="T25" t="str">
            <v>x</v>
          </cell>
          <cell r="U25" t="str">
            <v>x</v>
          </cell>
          <cell r="V25" t="str">
            <v>x</v>
          </cell>
          <cell r="W25" t="str">
            <v>x</v>
          </cell>
          <cell r="X25" t="str">
            <v>x</v>
          </cell>
          <cell r="Y25" t="str">
            <v>x</v>
          </cell>
          <cell r="Z25" t="str">
            <v>x</v>
          </cell>
          <cell r="AA25" t="str">
            <v>x</v>
          </cell>
          <cell r="AB25" t="str">
            <v>x</v>
          </cell>
          <cell r="AC25" t="str">
            <v>x</v>
          </cell>
          <cell r="AD25" t="str">
            <v>x</v>
          </cell>
          <cell r="AE25" t="str">
            <v>x</v>
          </cell>
          <cell r="AF25" t="str">
            <v>x</v>
          </cell>
          <cell r="AG25" t="str">
            <v>x</v>
          </cell>
          <cell r="AH25" t="str">
            <v>x</v>
          </cell>
          <cell r="AI25" t="str">
            <v>x</v>
          </cell>
          <cell r="AJ25" t="str">
            <v>x</v>
          </cell>
          <cell r="AK25" t="str">
            <v>x</v>
          </cell>
          <cell r="AL25">
            <v>5</v>
          </cell>
          <cell r="AM25">
            <v>0</v>
          </cell>
          <cell r="AN25">
            <v>0</v>
          </cell>
          <cell r="AO25">
            <v>2</v>
          </cell>
          <cell r="AP25">
            <v>0</v>
          </cell>
          <cell r="AQ25">
            <v>0</v>
          </cell>
          <cell r="AR25">
            <v>5</v>
          </cell>
          <cell r="AS25" t="str">
            <v>Casual Light Duty Driver</v>
          </cell>
          <cell r="AV25">
            <v>150</v>
          </cell>
          <cell r="AW25">
            <v>30</v>
          </cell>
          <cell r="AX25">
            <v>40</v>
          </cell>
          <cell r="AY25">
            <v>25</v>
          </cell>
          <cell r="AZ25">
            <v>0.78125</v>
          </cell>
        </row>
        <row r="26">
          <cell r="B26">
            <v>1952</v>
          </cell>
          <cell r="C26" t="str">
            <v>Nasser Ambar Dabi Al Zeidi</v>
          </cell>
          <cell r="D26">
            <v>39645</v>
          </cell>
          <cell r="E26">
            <v>39730</v>
          </cell>
          <cell r="F26">
            <v>2</v>
          </cell>
          <cell r="G26">
            <v>0</v>
          </cell>
          <cell r="H26">
            <v>0</v>
          </cell>
          <cell r="I26">
            <v>4</v>
          </cell>
          <cell r="J26">
            <v>0</v>
          </cell>
          <cell r="K26">
            <v>0</v>
          </cell>
          <cell r="L26">
            <v>0</v>
          </cell>
          <cell r="M26">
            <v>0</v>
          </cell>
          <cell r="N26">
            <v>0</v>
          </cell>
          <cell r="O26" t="str">
            <v>A</v>
          </cell>
          <cell r="P26" t="str">
            <v>A</v>
          </cell>
          <cell r="Q26" t="str">
            <v>A</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t="str">
            <v>L</v>
          </cell>
          <cell r="AG26" t="str">
            <v>L</v>
          </cell>
          <cell r="AH26" t="str">
            <v>L</v>
          </cell>
          <cell r="AI26" t="str">
            <v>L</v>
          </cell>
          <cell r="AJ26" t="str">
            <v>x</v>
          </cell>
          <cell r="AK26" t="str">
            <v>x</v>
          </cell>
          <cell r="AL26">
            <v>23</v>
          </cell>
          <cell r="AM26">
            <v>0</v>
          </cell>
          <cell r="AN26">
            <v>4</v>
          </cell>
          <cell r="AO26">
            <v>6</v>
          </cell>
          <cell r="AP26">
            <v>0</v>
          </cell>
          <cell r="AQ26">
            <v>0</v>
          </cell>
          <cell r="AR26">
            <v>23</v>
          </cell>
          <cell r="AS26" t="str">
            <v>Casual Labour</v>
          </cell>
          <cell r="AV26">
            <v>120</v>
          </cell>
          <cell r="AW26">
            <v>25</v>
          </cell>
          <cell r="AX26">
            <v>30</v>
          </cell>
          <cell r="AY26">
            <v>20</v>
          </cell>
          <cell r="AZ26">
            <v>0.625</v>
          </cell>
        </row>
        <row r="27">
          <cell r="B27">
            <v>1953</v>
          </cell>
          <cell r="C27" t="str">
            <v xml:space="preserve">Abdullah Ambar Dabi Al Zeidi </v>
          </cell>
          <cell r="D27">
            <v>39645</v>
          </cell>
          <cell r="E27">
            <v>39730</v>
          </cell>
          <cell r="F27">
            <v>8</v>
          </cell>
          <cell r="G27">
            <v>0</v>
          </cell>
          <cell r="H27">
            <v>0</v>
          </cell>
          <cell r="I27">
            <v>4</v>
          </cell>
          <cell r="J27">
            <v>0</v>
          </cell>
          <cell r="K27">
            <v>0</v>
          </cell>
          <cell r="L27">
            <v>0</v>
          </cell>
          <cell r="M27">
            <v>0</v>
          </cell>
          <cell r="N27">
            <v>0</v>
          </cell>
          <cell r="O27" t="str">
            <v>A</v>
          </cell>
          <cell r="P27" t="str">
            <v>A</v>
          </cell>
          <cell r="Q27" t="str">
            <v>A</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t="str">
            <v>L</v>
          </cell>
          <cell r="AG27" t="str">
            <v>L</v>
          </cell>
          <cell r="AH27" t="str">
            <v>L</v>
          </cell>
          <cell r="AI27" t="str">
            <v>L</v>
          </cell>
          <cell r="AJ27" t="str">
            <v>x</v>
          </cell>
          <cell r="AK27" t="str">
            <v>x</v>
          </cell>
          <cell r="AL27">
            <v>23</v>
          </cell>
          <cell r="AM27">
            <v>0</v>
          </cell>
          <cell r="AN27">
            <v>4</v>
          </cell>
          <cell r="AO27">
            <v>12</v>
          </cell>
          <cell r="AP27">
            <v>0</v>
          </cell>
          <cell r="AQ27">
            <v>0</v>
          </cell>
          <cell r="AR27">
            <v>23</v>
          </cell>
          <cell r="AS27" t="str">
            <v>Casual Labour</v>
          </cell>
          <cell r="AV27">
            <v>120</v>
          </cell>
          <cell r="AW27">
            <v>25</v>
          </cell>
          <cell r="AX27">
            <v>30</v>
          </cell>
          <cell r="AY27">
            <v>20</v>
          </cell>
          <cell r="AZ27">
            <v>0.625</v>
          </cell>
        </row>
        <row r="28">
          <cell r="B28">
            <v>1954</v>
          </cell>
          <cell r="C28" t="str">
            <v>Yaqoob Nasser Mohamed Alrawahi</v>
          </cell>
          <cell r="D28">
            <v>39647</v>
          </cell>
          <cell r="E28">
            <v>39732</v>
          </cell>
          <cell r="F28">
            <v>8</v>
          </cell>
          <cell r="G28">
            <v>0</v>
          </cell>
          <cell r="H28">
            <v>0</v>
          </cell>
          <cell r="I28">
            <v>4</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t="str">
            <v>L</v>
          </cell>
          <cell r="Z28" t="str">
            <v>L</v>
          </cell>
          <cell r="AA28" t="str">
            <v>L</v>
          </cell>
          <cell r="AB28" t="str">
            <v>L</v>
          </cell>
          <cell r="AC28" t="str">
            <v>L</v>
          </cell>
          <cell r="AD28" t="str">
            <v>L</v>
          </cell>
          <cell r="AE28" t="str">
            <v>L</v>
          </cell>
          <cell r="AF28" t="str">
            <v>A</v>
          </cell>
          <cell r="AG28" t="str">
            <v>A</v>
          </cell>
          <cell r="AH28" t="str">
            <v>A</v>
          </cell>
          <cell r="AI28" t="str">
            <v>A</v>
          </cell>
          <cell r="AJ28" t="str">
            <v>x</v>
          </cell>
          <cell r="AK28" t="str">
            <v>x</v>
          </cell>
          <cell r="AL28">
            <v>19</v>
          </cell>
          <cell r="AM28">
            <v>0</v>
          </cell>
          <cell r="AN28">
            <v>7</v>
          </cell>
          <cell r="AO28">
            <v>12</v>
          </cell>
          <cell r="AP28">
            <v>0</v>
          </cell>
          <cell r="AQ28">
            <v>0</v>
          </cell>
          <cell r="AR28">
            <v>19</v>
          </cell>
          <cell r="AS28" t="str">
            <v>Casual Labour</v>
          </cell>
          <cell r="AV28">
            <v>120</v>
          </cell>
          <cell r="AW28">
            <v>25</v>
          </cell>
          <cell r="AX28">
            <v>30</v>
          </cell>
          <cell r="AY28">
            <v>20</v>
          </cell>
          <cell r="AZ28">
            <v>0.625</v>
          </cell>
        </row>
        <row r="29">
          <cell r="B29">
            <v>1958</v>
          </cell>
          <cell r="C29" t="str">
            <v>Bader Bati Suliman Al Hadhrmi</v>
          </cell>
          <cell r="D29">
            <v>39647</v>
          </cell>
          <cell r="E29">
            <v>39732</v>
          </cell>
          <cell r="F29">
            <v>2</v>
          </cell>
          <cell r="G29">
            <v>0</v>
          </cell>
          <cell r="H29">
            <v>0</v>
          </cell>
          <cell r="I29">
            <v>0</v>
          </cell>
          <cell r="J29" t="str">
            <v>x</v>
          </cell>
          <cell r="K29" t="str">
            <v>x</v>
          </cell>
          <cell r="L29" t="str">
            <v>x</v>
          </cell>
          <cell r="M29" t="str">
            <v>x</v>
          </cell>
          <cell r="N29" t="str">
            <v>x</v>
          </cell>
          <cell r="O29" t="str">
            <v>x</v>
          </cell>
          <cell r="P29" t="str">
            <v>x</v>
          </cell>
          <cell r="Q29" t="str">
            <v>x</v>
          </cell>
          <cell r="R29" t="str">
            <v>x</v>
          </cell>
          <cell r="S29" t="str">
            <v>x</v>
          </cell>
          <cell r="T29" t="str">
            <v>x</v>
          </cell>
          <cell r="U29" t="str">
            <v>x</v>
          </cell>
          <cell r="V29" t="str">
            <v>x</v>
          </cell>
          <cell r="W29" t="str">
            <v>x</v>
          </cell>
          <cell r="X29" t="str">
            <v>x</v>
          </cell>
          <cell r="Y29" t="str">
            <v>x</v>
          </cell>
          <cell r="Z29" t="str">
            <v>x</v>
          </cell>
          <cell r="AA29" t="str">
            <v>x</v>
          </cell>
          <cell r="AB29" t="str">
            <v>x</v>
          </cell>
          <cell r="AC29" t="str">
            <v>x</v>
          </cell>
          <cell r="AD29" t="str">
            <v>x</v>
          </cell>
          <cell r="AE29" t="str">
            <v>x</v>
          </cell>
          <cell r="AF29" t="str">
            <v>x</v>
          </cell>
          <cell r="AG29" t="str">
            <v>x</v>
          </cell>
          <cell r="AH29" t="str">
            <v>x</v>
          </cell>
          <cell r="AI29" t="str">
            <v>x</v>
          </cell>
          <cell r="AJ29" t="str">
            <v>x</v>
          </cell>
          <cell r="AK29" t="str">
            <v>x</v>
          </cell>
          <cell r="AL29">
            <v>4</v>
          </cell>
          <cell r="AM29">
            <v>0</v>
          </cell>
          <cell r="AN29">
            <v>0</v>
          </cell>
          <cell r="AO29">
            <v>2</v>
          </cell>
          <cell r="AP29">
            <v>0</v>
          </cell>
          <cell r="AQ29">
            <v>0</v>
          </cell>
          <cell r="AR29">
            <v>4</v>
          </cell>
          <cell r="AS29" t="str">
            <v>Casual Labour</v>
          </cell>
          <cell r="AV29">
            <v>120</v>
          </cell>
          <cell r="AW29">
            <v>25</v>
          </cell>
          <cell r="AX29">
            <v>30</v>
          </cell>
          <cell r="AY29">
            <v>20</v>
          </cell>
          <cell r="AZ29">
            <v>0.625</v>
          </cell>
        </row>
        <row r="30">
          <cell r="B30">
            <v>1963</v>
          </cell>
          <cell r="C30" t="str">
            <v>Farid  Suliyam Said  Al Hashmi</v>
          </cell>
          <cell r="D30">
            <v>39648</v>
          </cell>
          <cell r="E30">
            <v>39733</v>
          </cell>
          <cell r="F30">
            <v>2</v>
          </cell>
          <cell r="G30">
            <v>7</v>
          </cell>
          <cell r="H30">
            <v>6</v>
          </cell>
          <cell r="I30">
            <v>7</v>
          </cell>
          <cell r="J30">
            <v>0</v>
          </cell>
          <cell r="K30">
            <v>0</v>
          </cell>
          <cell r="L30">
            <v>0</v>
          </cell>
          <cell r="M30">
            <v>0</v>
          </cell>
          <cell r="N30">
            <v>0</v>
          </cell>
          <cell r="O30">
            <v>7</v>
          </cell>
          <cell r="P30">
            <v>7</v>
          </cell>
          <cell r="Q30">
            <v>7</v>
          </cell>
          <cell r="R30">
            <v>7</v>
          </cell>
          <cell r="S30">
            <v>7</v>
          </cell>
          <cell r="T30">
            <v>0</v>
          </cell>
          <cell r="U30">
            <v>0</v>
          </cell>
          <cell r="V30">
            <v>0</v>
          </cell>
          <cell r="W30">
            <v>0</v>
          </cell>
          <cell r="X30">
            <v>7</v>
          </cell>
          <cell r="Y30">
            <v>0</v>
          </cell>
          <cell r="Z30">
            <v>0</v>
          </cell>
          <cell r="AA30">
            <v>0</v>
          </cell>
          <cell r="AB30">
            <v>0</v>
          </cell>
          <cell r="AC30">
            <v>0</v>
          </cell>
          <cell r="AD30">
            <v>0</v>
          </cell>
          <cell r="AE30">
            <v>0</v>
          </cell>
          <cell r="AF30" t="str">
            <v>L</v>
          </cell>
          <cell r="AG30" t="str">
            <v>L</v>
          </cell>
          <cell r="AH30" t="str">
            <v>L</v>
          </cell>
          <cell r="AI30" t="str">
            <v>L</v>
          </cell>
          <cell r="AJ30" t="str">
            <v>x</v>
          </cell>
          <cell r="AK30" t="str">
            <v>x</v>
          </cell>
          <cell r="AL30">
            <v>26</v>
          </cell>
          <cell r="AM30">
            <v>0</v>
          </cell>
          <cell r="AN30">
            <v>4</v>
          </cell>
          <cell r="AO30">
            <v>64</v>
          </cell>
          <cell r="AP30">
            <v>0</v>
          </cell>
          <cell r="AQ30">
            <v>0</v>
          </cell>
          <cell r="AR30">
            <v>26</v>
          </cell>
          <cell r="AS30" t="str">
            <v>Casual Labour</v>
          </cell>
          <cell r="AV30">
            <v>120</v>
          </cell>
          <cell r="AW30">
            <v>25</v>
          </cell>
          <cell r="AX30">
            <v>30</v>
          </cell>
          <cell r="AY30">
            <v>20</v>
          </cell>
          <cell r="AZ30">
            <v>0.625</v>
          </cell>
        </row>
        <row r="31">
          <cell r="B31">
            <v>1965</v>
          </cell>
          <cell r="C31" t="str">
            <v>Imad Mohamed Said Al Shikali</v>
          </cell>
          <cell r="D31">
            <v>39648</v>
          </cell>
          <cell r="E31">
            <v>39733</v>
          </cell>
          <cell r="F31">
            <v>2</v>
          </cell>
          <cell r="G31">
            <v>0</v>
          </cell>
          <cell r="H31">
            <v>6</v>
          </cell>
          <cell r="I31">
            <v>6</v>
          </cell>
          <cell r="J31">
            <v>0</v>
          </cell>
          <cell r="K31">
            <v>0</v>
          </cell>
          <cell r="L31">
            <v>0</v>
          </cell>
          <cell r="M31">
            <v>0</v>
          </cell>
          <cell r="N31">
            <v>0</v>
          </cell>
          <cell r="O31">
            <v>0</v>
          </cell>
          <cell r="P31">
            <v>7</v>
          </cell>
          <cell r="Q31">
            <v>0</v>
          </cell>
          <cell r="R31">
            <v>7</v>
          </cell>
          <cell r="S31">
            <v>7</v>
          </cell>
          <cell r="T31">
            <v>7</v>
          </cell>
          <cell r="U31">
            <v>7</v>
          </cell>
          <cell r="V31">
            <v>0</v>
          </cell>
          <cell r="W31">
            <v>7</v>
          </cell>
          <cell r="X31">
            <v>0</v>
          </cell>
          <cell r="Y31">
            <v>7</v>
          </cell>
          <cell r="Z31">
            <v>0</v>
          </cell>
          <cell r="AA31">
            <v>7</v>
          </cell>
          <cell r="AB31">
            <v>7</v>
          </cell>
          <cell r="AC31">
            <v>0</v>
          </cell>
          <cell r="AD31">
            <v>0</v>
          </cell>
          <cell r="AE31">
            <v>0</v>
          </cell>
          <cell r="AF31">
            <v>7.5</v>
          </cell>
          <cell r="AG31">
            <v>7</v>
          </cell>
          <cell r="AH31">
            <v>0</v>
          </cell>
          <cell r="AI31" t="str">
            <v>L</v>
          </cell>
          <cell r="AJ31" t="str">
            <v>x</v>
          </cell>
          <cell r="AK31" t="str">
            <v>x</v>
          </cell>
          <cell r="AL31">
            <v>29</v>
          </cell>
          <cell r="AM31">
            <v>0</v>
          </cell>
          <cell r="AN31">
            <v>1</v>
          </cell>
          <cell r="AO31">
            <v>91.5</v>
          </cell>
          <cell r="AP31">
            <v>0</v>
          </cell>
          <cell r="AQ31">
            <v>0</v>
          </cell>
          <cell r="AR31">
            <v>29</v>
          </cell>
          <cell r="AS31" t="str">
            <v>Casual Labour</v>
          </cell>
          <cell r="AV31">
            <v>120</v>
          </cell>
          <cell r="AW31">
            <v>25</v>
          </cell>
          <cell r="AX31">
            <v>30</v>
          </cell>
          <cell r="AY31">
            <v>20</v>
          </cell>
          <cell r="AZ31">
            <v>0.625</v>
          </cell>
        </row>
        <row r="32">
          <cell r="B32">
            <v>1968</v>
          </cell>
          <cell r="C32" t="str">
            <v>Khalid  Mohameed Ali  Al Saidi</v>
          </cell>
          <cell r="D32">
            <v>39648</v>
          </cell>
          <cell r="E32">
            <v>39733</v>
          </cell>
          <cell r="F32" t="str">
            <v>L</v>
          </cell>
          <cell r="G32" t="str">
            <v>L</v>
          </cell>
          <cell r="H32" t="str">
            <v>L</v>
          </cell>
          <cell r="I32" t="str">
            <v>L</v>
          </cell>
          <cell r="J32" t="str">
            <v>L</v>
          </cell>
          <cell r="K32">
            <v>0</v>
          </cell>
          <cell r="L32">
            <v>0</v>
          </cell>
          <cell r="M32">
            <v>0</v>
          </cell>
          <cell r="N32">
            <v>0</v>
          </cell>
          <cell r="O32">
            <v>0</v>
          </cell>
          <cell r="P32" t="str">
            <v>x</v>
          </cell>
          <cell r="Q32" t="str">
            <v>x</v>
          </cell>
          <cell r="R32" t="str">
            <v>x</v>
          </cell>
          <cell r="S32" t="str">
            <v>x</v>
          </cell>
          <cell r="T32" t="str">
            <v>x</v>
          </cell>
          <cell r="U32" t="str">
            <v>x</v>
          </cell>
          <cell r="V32" t="str">
            <v>x</v>
          </cell>
          <cell r="W32" t="str">
            <v>x</v>
          </cell>
          <cell r="X32" t="str">
            <v>x</v>
          </cell>
          <cell r="Y32" t="str">
            <v>x</v>
          </cell>
          <cell r="Z32" t="str">
            <v>x</v>
          </cell>
          <cell r="AA32" t="str">
            <v>x</v>
          </cell>
          <cell r="AB32" t="str">
            <v>x</v>
          </cell>
          <cell r="AC32" t="str">
            <v>x</v>
          </cell>
          <cell r="AD32" t="str">
            <v>x</v>
          </cell>
          <cell r="AE32" t="str">
            <v>x</v>
          </cell>
          <cell r="AF32" t="str">
            <v>x</v>
          </cell>
          <cell r="AG32" t="str">
            <v>x</v>
          </cell>
          <cell r="AH32" t="str">
            <v>x</v>
          </cell>
          <cell r="AI32" t="str">
            <v>x</v>
          </cell>
          <cell r="AJ32" t="str">
            <v>x</v>
          </cell>
          <cell r="AK32" t="str">
            <v>x</v>
          </cell>
          <cell r="AL32">
            <v>5</v>
          </cell>
          <cell r="AM32">
            <v>0</v>
          </cell>
          <cell r="AN32">
            <v>5</v>
          </cell>
          <cell r="AO32">
            <v>0</v>
          </cell>
          <cell r="AP32">
            <v>0</v>
          </cell>
          <cell r="AQ32">
            <v>0</v>
          </cell>
          <cell r="AR32">
            <v>5</v>
          </cell>
          <cell r="AS32" t="str">
            <v>Casual Labour</v>
          </cell>
          <cell r="AV32">
            <v>120</v>
          </cell>
          <cell r="AW32">
            <v>25</v>
          </cell>
          <cell r="AX32">
            <v>30</v>
          </cell>
          <cell r="AY32">
            <v>20</v>
          </cell>
          <cell r="AZ32">
            <v>0.625</v>
          </cell>
        </row>
        <row r="33">
          <cell r="B33">
            <v>1970</v>
          </cell>
          <cell r="C33" t="str">
            <v>Nasser Sulaiman Al Shibani</v>
          </cell>
          <cell r="D33">
            <v>39648</v>
          </cell>
          <cell r="E33">
            <v>39733</v>
          </cell>
          <cell r="F33">
            <v>2</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t="str">
            <v>L</v>
          </cell>
          <cell r="X33" t="str">
            <v>L</v>
          </cell>
          <cell r="Y33" t="str">
            <v>L</v>
          </cell>
          <cell r="Z33" t="str">
            <v>L</v>
          </cell>
          <cell r="AA33" t="str">
            <v>L</v>
          </cell>
          <cell r="AB33" t="str">
            <v>L</v>
          </cell>
          <cell r="AC33" t="str">
            <v>L</v>
          </cell>
          <cell r="AD33" t="str">
            <v>A</v>
          </cell>
          <cell r="AE33" t="str">
            <v>A</v>
          </cell>
          <cell r="AF33" t="str">
            <v>A</v>
          </cell>
          <cell r="AG33" t="str">
            <v>A</v>
          </cell>
          <cell r="AH33" t="str">
            <v>A</v>
          </cell>
          <cell r="AI33" t="str">
            <v>A</v>
          </cell>
          <cell r="AJ33" t="str">
            <v>x</v>
          </cell>
          <cell r="AK33" t="str">
            <v>x</v>
          </cell>
          <cell r="AL33">
            <v>17</v>
          </cell>
          <cell r="AM33">
            <v>0</v>
          </cell>
          <cell r="AN33">
            <v>7</v>
          </cell>
          <cell r="AO33">
            <v>2</v>
          </cell>
          <cell r="AP33">
            <v>0</v>
          </cell>
          <cell r="AQ33">
            <v>0</v>
          </cell>
          <cell r="AR33">
            <v>17</v>
          </cell>
          <cell r="AS33" t="str">
            <v>Casual Labour</v>
          </cell>
          <cell r="AU33" t="str">
            <v>Pay 4 days on June'08</v>
          </cell>
          <cell r="AV33">
            <v>120</v>
          </cell>
          <cell r="AW33">
            <v>25</v>
          </cell>
          <cell r="AX33">
            <v>30</v>
          </cell>
          <cell r="AY33">
            <v>20</v>
          </cell>
          <cell r="AZ33">
            <v>0.625</v>
          </cell>
        </row>
        <row r="34">
          <cell r="B34">
            <v>1971</v>
          </cell>
          <cell r="C34" t="str">
            <v>Suhail Salim Said Al Hinai</v>
          </cell>
          <cell r="D34">
            <v>39653</v>
          </cell>
          <cell r="E34">
            <v>39738</v>
          </cell>
          <cell r="F34">
            <v>7</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t="str">
            <v>L</v>
          </cell>
          <cell r="AJ34" t="str">
            <v>x</v>
          </cell>
          <cell r="AK34" t="str">
            <v>x</v>
          </cell>
          <cell r="AL34">
            <v>29</v>
          </cell>
          <cell r="AM34">
            <v>0</v>
          </cell>
          <cell r="AN34">
            <v>1</v>
          </cell>
          <cell r="AO34">
            <v>7</v>
          </cell>
          <cell r="AP34">
            <v>0</v>
          </cell>
          <cell r="AQ34">
            <v>0</v>
          </cell>
          <cell r="AR34">
            <v>29</v>
          </cell>
          <cell r="AS34" t="str">
            <v>Casual Labour</v>
          </cell>
          <cell r="AV34">
            <v>120</v>
          </cell>
          <cell r="AW34">
            <v>25</v>
          </cell>
          <cell r="AX34">
            <v>30</v>
          </cell>
          <cell r="AY34">
            <v>20</v>
          </cell>
          <cell r="AZ34">
            <v>0.625</v>
          </cell>
        </row>
        <row r="35">
          <cell r="B35">
            <v>1973</v>
          </cell>
          <cell r="C35" t="str">
            <v>Mohammed Awad Mubarak Al Ghafri</v>
          </cell>
          <cell r="D35">
            <v>39653</v>
          </cell>
          <cell r="E35">
            <v>39738</v>
          </cell>
          <cell r="F35">
            <v>6</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t="str">
            <v>x</v>
          </cell>
          <cell r="AG35" t="str">
            <v>x</v>
          </cell>
          <cell r="AH35" t="str">
            <v>x</v>
          </cell>
          <cell r="AI35" t="str">
            <v>x</v>
          </cell>
          <cell r="AJ35" t="str">
            <v>x</v>
          </cell>
          <cell r="AK35" t="str">
            <v>x</v>
          </cell>
          <cell r="AL35">
            <v>26</v>
          </cell>
          <cell r="AM35">
            <v>0</v>
          </cell>
          <cell r="AN35">
            <v>0</v>
          </cell>
          <cell r="AO35">
            <v>6</v>
          </cell>
          <cell r="AP35">
            <v>0</v>
          </cell>
          <cell r="AQ35">
            <v>0</v>
          </cell>
          <cell r="AR35">
            <v>26</v>
          </cell>
          <cell r="AS35" t="str">
            <v>Casual Labour</v>
          </cell>
          <cell r="AV35">
            <v>120</v>
          </cell>
          <cell r="AW35">
            <v>25</v>
          </cell>
          <cell r="AX35">
            <v>30</v>
          </cell>
          <cell r="AY35">
            <v>20</v>
          </cell>
          <cell r="AZ35">
            <v>0.625</v>
          </cell>
        </row>
        <row r="36">
          <cell r="B36">
            <v>1975</v>
          </cell>
          <cell r="C36" t="str">
            <v>Mohammed Khamis Obaid Al Abri</v>
          </cell>
          <cell r="D36">
            <v>39653</v>
          </cell>
          <cell r="E36">
            <v>39738</v>
          </cell>
          <cell r="F36" t="str">
            <v>L</v>
          </cell>
          <cell r="G36" t="str">
            <v>L</v>
          </cell>
          <cell r="H36" t="str">
            <v>L</v>
          </cell>
          <cell r="I36" t="str">
            <v>L</v>
          </cell>
          <cell r="J36" t="str">
            <v>L</v>
          </cell>
          <cell r="K36" t="str">
            <v>A</v>
          </cell>
          <cell r="L36" t="str">
            <v>A</v>
          </cell>
          <cell r="M36" t="str">
            <v>A</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t="str">
            <v>x</v>
          </cell>
          <cell r="AG36" t="str">
            <v>x</v>
          </cell>
          <cell r="AH36" t="str">
            <v>x</v>
          </cell>
          <cell r="AI36" t="str">
            <v>x</v>
          </cell>
          <cell r="AJ36" t="str">
            <v>x</v>
          </cell>
          <cell r="AK36" t="str">
            <v>x</v>
          </cell>
          <cell r="AL36">
            <v>18</v>
          </cell>
          <cell r="AM36">
            <v>0</v>
          </cell>
          <cell r="AN36">
            <v>5</v>
          </cell>
          <cell r="AO36">
            <v>0</v>
          </cell>
          <cell r="AP36">
            <v>0</v>
          </cell>
          <cell r="AQ36">
            <v>0</v>
          </cell>
          <cell r="AR36">
            <v>18</v>
          </cell>
          <cell r="AS36" t="str">
            <v>Casual Labour</v>
          </cell>
          <cell r="AV36">
            <v>120</v>
          </cell>
          <cell r="AW36">
            <v>25</v>
          </cell>
          <cell r="AX36">
            <v>30</v>
          </cell>
          <cell r="AY36">
            <v>20</v>
          </cell>
          <cell r="AZ36">
            <v>0.625</v>
          </cell>
        </row>
        <row r="37">
          <cell r="B37">
            <v>1977</v>
          </cell>
          <cell r="C37" t="str">
            <v>Fahad Salim Mas'oud Al Jabri</v>
          </cell>
          <cell r="D37">
            <v>39648</v>
          </cell>
          <cell r="E37">
            <v>39733</v>
          </cell>
          <cell r="F37">
            <v>6</v>
          </cell>
          <cell r="G37">
            <v>0</v>
          </cell>
          <cell r="H37">
            <v>0</v>
          </cell>
          <cell r="I37">
            <v>0</v>
          </cell>
          <cell r="J37">
            <v>0</v>
          </cell>
          <cell r="K37">
            <v>0</v>
          </cell>
          <cell r="L37" t="str">
            <v>A</v>
          </cell>
          <cell r="M37" t="str">
            <v>A</v>
          </cell>
          <cell r="N37" t="str">
            <v>A</v>
          </cell>
          <cell r="O37" t="str">
            <v>A</v>
          </cell>
          <cell r="P37" t="str">
            <v>A</v>
          </cell>
          <cell r="Q37" t="str">
            <v>A</v>
          </cell>
          <cell r="R37" t="str">
            <v>A</v>
          </cell>
          <cell r="S37" t="str">
            <v>A</v>
          </cell>
          <cell r="T37" t="str">
            <v>A</v>
          </cell>
          <cell r="U37" t="str">
            <v>A</v>
          </cell>
          <cell r="V37" t="str">
            <v>A</v>
          </cell>
          <cell r="W37" t="str">
            <v>A</v>
          </cell>
          <cell r="X37" t="str">
            <v>A</v>
          </cell>
          <cell r="Y37">
            <v>0</v>
          </cell>
          <cell r="Z37">
            <v>0</v>
          </cell>
          <cell r="AA37">
            <v>0</v>
          </cell>
          <cell r="AB37">
            <v>0</v>
          </cell>
          <cell r="AC37">
            <v>0</v>
          </cell>
          <cell r="AD37">
            <v>0</v>
          </cell>
          <cell r="AE37">
            <v>0</v>
          </cell>
          <cell r="AF37">
            <v>0</v>
          </cell>
          <cell r="AG37">
            <v>0</v>
          </cell>
          <cell r="AH37">
            <v>0</v>
          </cell>
          <cell r="AI37" t="str">
            <v>A</v>
          </cell>
          <cell r="AJ37" t="str">
            <v>x</v>
          </cell>
          <cell r="AK37" t="str">
            <v>x</v>
          </cell>
          <cell r="AL37">
            <v>16</v>
          </cell>
          <cell r="AM37">
            <v>0</v>
          </cell>
          <cell r="AN37">
            <v>0</v>
          </cell>
          <cell r="AO37">
            <v>6</v>
          </cell>
          <cell r="AP37">
            <v>0</v>
          </cell>
          <cell r="AQ37">
            <v>0</v>
          </cell>
          <cell r="AR37">
            <v>16</v>
          </cell>
          <cell r="AS37" t="str">
            <v>Casual Labour</v>
          </cell>
          <cell r="AV37">
            <v>120</v>
          </cell>
          <cell r="AW37">
            <v>25</v>
          </cell>
          <cell r="AX37">
            <v>30</v>
          </cell>
          <cell r="AY37">
            <v>20</v>
          </cell>
          <cell r="AZ37">
            <v>0.625</v>
          </cell>
        </row>
        <row r="38">
          <cell r="B38">
            <v>1979</v>
          </cell>
          <cell r="C38" t="str">
            <v>Hamed Mubark Salam Al Yaqoobi</v>
          </cell>
          <cell r="D38">
            <v>39655</v>
          </cell>
          <cell r="E38">
            <v>39740</v>
          </cell>
          <cell r="F38" t="str">
            <v>L</v>
          </cell>
          <cell r="G38" t="str">
            <v>L</v>
          </cell>
          <cell r="H38" t="str">
            <v>L</v>
          </cell>
          <cell r="I38" t="str">
            <v>L</v>
          </cell>
          <cell r="J38" t="str">
            <v>L</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7</v>
          </cell>
          <cell r="Z38">
            <v>0</v>
          </cell>
          <cell r="AA38">
            <v>0</v>
          </cell>
          <cell r="AB38">
            <v>0</v>
          </cell>
          <cell r="AC38">
            <v>0</v>
          </cell>
          <cell r="AD38">
            <v>0</v>
          </cell>
          <cell r="AE38">
            <v>0</v>
          </cell>
          <cell r="AF38">
            <v>0</v>
          </cell>
          <cell r="AG38">
            <v>0</v>
          </cell>
          <cell r="AH38">
            <v>0</v>
          </cell>
          <cell r="AI38" t="str">
            <v>L</v>
          </cell>
          <cell r="AJ38" t="str">
            <v>x</v>
          </cell>
          <cell r="AK38" t="str">
            <v>x</v>
          </cell>
          <cell r="AL38">
            <v>24</v>
          </cell>
          <cell r="AM38">
            <v>0</v>
          </cell>
          <cell r="AN38">
            <v>6</v>
          </cell>
          <cell r="AO38">
            <v>7</v>
          </cell>
          <cell r="AP38">
            <v>0</v>
          </cell>
          <cell r="AQ38">
            <v>0</v>
          </cell>
          <cell r="AR38">
            <v>24</v>
          </cell>
          <cell r="AS38" t="str">
            <v>Casual Labour</v>
          </cell>
          <cell r="AV38">
            <v>120</v>
          </cell>
          <cell r="AW38">
            <v>25</v>
          </cell>
          <cell r="AX38">
            <v>30</v>
          </cell>
          <cell r="AY38">
            <v>20</v>
          </cell>
          <cell r="AZ38">
            <v>0.625</v>
          </cell>
        </row>
        <row r="39">
          <cell r="B39">
            <v>1980</v>
          </cell>
          <cell r="C39" t="str">
            <v>Ali Shoon Musallam Al Khaldi</v>
          </cell>
          <cell r="D39">
            <v>39657</v>
          </cell>
          <cell r="E39">
            <v>39742</v>
          </cell>
          <cell r="F39">
            <v>7</v>
          </cell>
          <cell r="G39">
            <v>0</v>
          </cell>
          <cell r="H39">
            <v>0</v>
          </cell>
          <cell r="I39">
            <v>2</v>
          </cell>
          <cell r="J39">
            <v>4</v>
          </cell>
          <cell r="K39">
            <v>0</v>
          </cell>
          <cell r="L39">
            <v>0</v>
          </cell>
          <cell r="M39">
            <v>0</v>
          </cell>
          <cell r="N39">
            <v>0</v>
          </cell>
          <cell r="O39">
            <v>2</v>
          </cell>
          <cell r="P39">
            <v>2</v>
          </cell>
          <cell r="Q39">
            <v>5</v>
          </cell>
          <cell r="R39">
            <v>4</v>
          </cell>
          <cell r="S39">
            <v>4</v>
          </cell>
          <cell r="T39">
            <v>5</v>
          </cell>
          <cell r="U39">
            <v>5</v>
          </cell>
          <cell r="V39">
            <v>5</v>
          </cell>
          <cell r="W39">
            <v>0</v>
          </cell>
          <cell r="X39">
            <v>0</v>
          </cell>
          <cell r="Y39" t="str">
            <v>L</v>
          </cell>
          <cell r="Z39" t="str">
            <v>L</v>
          </cell>
          <cell r="AA39" t="str">
            <v>L</v>
          </cell>
          <cell r="AB39" t="str">
            <v>L</v>
          </cell>
          <cell r="AC39" t="str">
            <v>L</v>
          </cell>
          <cell r="AD39" t="str">
            <v>L</v>
          </cell>
          <cell r="AE39" t="str">
            <v>L</v>
          </cell>
          <cell r="AF39">
            <v>8</v>
          </cell>
          <cell r="AG39">
            <v>0</v>
          </cell>
          <cell r="AH39">
            <v>0</v>
          </cell>
          <cell r="AI39" t="str">
            <v>L</v>
          </cell>
          <cell r="AJ39" t="str">
            <v>x</v>
          </cell>
          <cell r="AK39" t="str">
            <v>x</v>
          </cell>
          <cell r="AL39">
            <v>22</v>
          </cell>
          <cell r="AM39">
            <v>0</v>
          </cell>
          <cell r="AN39">
            <v>8</v>
          </cell>
          <cell r="AO39">
            <v>53</v>
          </cell>
          <cell r="AP39">
            <v>0</v>
          </cell>
          <cell r="AQ39">
            <v>0</v>
          </cell>
          <cell r="AR39">
            <v>22</v>
          </cell>
          <cell r="AS39" t="str">
            <v>Casual Heavy Duty Driver</v>
          </cell>
          <cell r="AV39">
            <v>180</v>
          </cell>
          <cell r="AW39">
            <v>40</v>
          </cell>
          <cell r="AX39">
            <v>45</v>
          </cell>
          <cell r="AY39">
            <v>30</v>
          </cell>
          <cell r="AZ39">
            <v>0.9375</v>
          </cell>
        </row>
        <row r="40">
          <cell r="B40">
            <v>1981</v>
          </cell>
          <cell r="C40" t="str">
            <v>Khalid Juma Khalfan Al Mahhrezi</v>
          </cell>
          <cell r="D40">
            <v>39657</v>
          </cell>
          <cell r="E40">
            <v>39742</v>
          </cell>
          <cell r="F40">
            <v>2</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t="str">
            <v>L</v>
          </cell>
          <cell r="Z40" t="str">
            <v>L</v>
          </cell>
          <cell r="AA40" t="str">
            <v>L</v>
          </cell>
          <cell r="AB40" t="str">
            <v>L</v>
          </cell>
          <cell r="AC40" t="str">
            <v>L</v>
          </cell>
          <cell r="AD40" t="str">
            <v>L</v>
          </cell>
          <cell r="AE40" t="str">
            <v>L</v>
          </cell>
          <cell r="AF40" t="str">
            <v>A</v>
          </cell>
          <cell r="AG40" t="str">
            <v>A</v>
          </cell>
          <cell r="AH40" t="str">
            <v>A</v>
          </cell>
          <cell r="AI40" t="str">
            <v>A</v>
          </cell>
          <cell r="AJ40" t="str">
            <v>x</v>
          </cell>
          <cell r="AK40" t="str">
            <v>x</v>
          </cell>
          <cell r="AL40">
            <v>19</v>
          </cell>
          <cell r="AM40">
            <v>0</v>
          </cell>
          <cell r="AN40">
            <v>7</v>
          </cell>
          <cell r="AO40">
            <v>2</v>
          </cell>
          <cell r="AP40">
            <v>0</v>
          </cell>
          <cell r="AQ40">
            <v>0</v>
          </cell>
          <cell r="AR40">
            <v>19</v>
          </cell>
          <cell r="AS40" t="str">
            <v>Casual Labour</v>
          </cell>
          <cell r="AV40">
            <v>120</v>
          </cell>
          <cell r="AW40">
            <v>25</v>
          </cell>
          <cell r="AX40">
            <v>30</v>
          </cell>
          <cell r="AY40">
            <v>20</v>
          </cell>
          <cell r="AZ40">
            <v>0.625</v>
          </cell>
        </row>
        <row r="41">
          <cell r="B41">
            <v>1984</v>
          </cell>
          <cell r="C41" t="str">
            <v>Ali Said Ali Al Khaldi</v>
          </cell>
          <cell r="D41">
            <v>39658</v>
          </cell>
          <cell r="E41">
            <v>39743</v>
          </cell>
          <cell r="F41">
            <v>2</v>
          </cell>
          <cell r="G41">
            <v>0</v>
          </cell>
          <cell r="H41">
            <v>0</v>
          </cell>
          <cell r="I41" t="str">
            <v>L</v>
          </cell>
          <cell r="J41" t="str">
            <v>L</v>
          </cell>
          <cell r="K41" t="str">
            <v>L</v>
          </cell>
          <cell r="L41" t="str">
            <v>L</v>
          </cell>
          <cell r="M41" t="str">
            <v>L</v>
          </cell>
          <cell r="N41" t="str">
            <v>L</v>
          </cell>
          <cell r="O41" t="str">
            <v>L</v>
          </cell>
          <cell r="P41" t="str">
            <v>A</v>
          </cell>
          <cell r="Q41" t="str">
            <v>A</v>
          </cell>
          <cell r="R41">
            <v>0</v>
          </cell>
          <cell r="S41">
            <v>0</v>
          </cell>
          <cell r="T41">
            <v>0</v>
          </cell>
          <cell r="U41">
            <v>0</v>
          </cell>
          <cell r="V41">
            <v>0</v>
          </cell>
          <cell r="W41">
            <v>0</v>
          </cell>
          <cell r="X41">
            <v>0</v>
          </cell>
          <cell r="Y41">
            <v>0</v>
          </cell>
          <cell r="Z41" t="str">
            <v>A</v>
          </cell>
          <cell r="AA41" t="str">
            <v>A</v>
          </cell>
          <cell r="AB41">
            <v>0</v>
          </cell>
          <cell r="AC41">
            <v>0</v>
          </cell>
          <cell r="AD41">
            <v>0</v>
          </cell>
          <cell r="AE41">
            <v>0</v>
          </cell>
          <cell r="AF41">
            <v>0</v>
          </cell>
          <cell r="AG41">
            <v>0</v>
          </cell>
          <cell r="AH41">
            <v>0</v>
          </cell>
          <cell r="AI41" t="str">
            <v>L</v>
          </cell>
          <cell r="AJ41" t="str">
            <v>x</v>
          </cell>
          <cell r="AK41" t="str">
            <v>x</v>
          </cell>
          <cell r="AL41">
            <v>18</v>
          </cell>
          <cell r="AM41">
            <v>0</v>
          </cell>
          <cell r="AN41">
            <v>8</v>
          </cell>
          <cell r="AO41">
            <v>2</v>
          </cell>
          <cell r="AP41">
            <v>0</v>
          </cell>
          <cell r="AQ41">
            <v>0</v>
          </cell>
          <cell r="AR41">
            <v>18</v>
          </cell>
          <cell r="AS41" t="str">
            <v>Casual Labour</v>
          </cell>
          <cell r="AV41">
            <v>120</v>
          </cell>
          <cell r="AW41">
            <v>25</v>
          </cell>
          <cell r="AX41">
            <v>30</v>
          </cell>
          <cell r="AY41">
            <v>20</v>
          </cell>
          <cell r="AZ41">
            <v>0.625</v>
          </cell>
        </row>
        <row r="42">
          <cell r="B42">
            <v>1996</v>
          </cell>
          <cell r="C42" t="str">
            <v>Yahya Musabah Ghanim Al Ghafri</v>
          </cell>
          <cell r="D42">
            <v>39662</v>
          </cell>
          <cell r="E42">
            <v>39747</v>
          </cell>
          <cell r="F42">
            <v>2</v>
          </cell>
          <cell r="G42">
            <v>0</v>
          </cell>
          <cell r="H42">
            <v>0</v>
          </cell>
          <cell r="I42">
            <v>0</v>
          </cell>
          <cell r="J42">
            <v>0</v>
          </cell>
          <cell r="K42">
            <v>0</v>
          </cell>
          <cell r="L42">
            <v>0</v>
          </cell>
          <cell r="M42">
            <v>0</v>
          </cell>
          <cell r="N42">
            <v>0</v>
          </cell>
          <cell r="O42">
            <v>0</v>
          </cell>
          <cell r="P42">
            <v>0</v>
          </cell>
          <cell r="Q42">
            <v>0</v>
          </cell>
          <cell r="R42" t="str">
            <v>x</v>
          </cell>
          <cell r="S42" t="str">
            <v>x</v>
          </cell>
          <cell r="T42" t="str">
            <v>x</v>
          </cell>
          <cell r="U42" t="str">
            <v>x</v>
          </cell>
          <cell r="V42" t="str">
            <v>x</v>
          </cell>
          <cell r="W42" t="str">
            <v>x</v>
          </cell>
          <cell r="X42" t="str">
            <v>x</v>
          </cell>
          <cell r="Y42" t="str">
            <v>x</v>
          </cell>
          <cell r="Z42" t="str">
            <v>x</v>
          </cell>
          <cell r="AA42" t="str">
            <v>x</v>
          </cell>
          <cell r="AB42" t="str">
            <v>x</v>
          </cell>
          <cell r="AC42" t="str">
            <v>x</v>
          </cell>
          <cell r="AD42" t="str">
            <v>x</v>
          </cell>
          <cell r="AE42" t="str">
            <v>x</v>
          </cell>
          <cell r="AF42" t="str">
            <v>x</v>
          </cell>
          <cell r="AG42" t="str">
            <v>x</v>
          </cell>
          <cell r="AH42" t="str">
            <v>x</v>
          </cell>
          <cell r="AI42" t="str">
            <v>x</v>
          </cell>
          <cell r="AJ42" t="str">
            <v>x</v>
          </cell>
          <cell r="AK42" t="str">
            <v>x</v>
          </cell>
          <cell r="AL42">
            <v>12</v>
          </cell>
          <cell r="AM42">
            <v>0</v>
          </cell>
          <cell r="AN42">
            <v>0</v>
          </cell>
          <cell r="AO42">
            <v>2</v>
          </cell>
          <cell r="AP42">
            <v>0</v>
          </cell>
          <cell r="AQ42">
            <v>0</v>
          </cell>
          <cell r="AR42">
            <v>12</v>
          </cell>
          <cell r="AS42" t="str">
            <v>Casual Labour</v>
          </cell>
          <cell r="AV42">
            <v>120</v>
          </cell>
          <cell r="AW42">
            <v>25</v>
          </cell>
          <cell r="AX42">
            <v>30</v>
          </cell>
          <cell r="AY42">
            <v>20</v>
          </cell>
          <cell r="AZ42">
            <v>0.625</v>
          </cell>
        </row>
        <row r="43">
          <cell r="B43">
            <v>1997</v>
          </cell>
          <cell r="C43" t="str">
            <v>Ali Jamil Salim Al Yaqoubi</v>
          </cell>
          <cell r="D43">
            <v>39662</v>
          </cell>
          <cell r="E43">
            <v>39747</v>
          </cell>
          <cell r="F43" t="str">
            <v>L</v>
          </cell>
          <cell r="G43" t="str">
            <v>L</v>
          </cell>
          <cell r="H43" t="str">
            <v>L</v>
          </cell>
          <cell r="I43" t="str">
            <v>L</v>
          </cell>
          <cell r="J43" t="str">
            <v>L</v>
          </cell>
          <cell r="K43" t="str">
            <v>A</v>
          </cell>
          <cell r="L43" t="str">
            <v>A</v>
          </cell>
          <cell r="M43" t="str">
            <v>A</v>
          </cell>
          <cell r="N43" t="str">
            <v>A</v>
          </cell>
          <cell r="O43" t="str">
            <v>A</v>
          </cell>
          <cell r="P43" t="str">
            <v>A</v>
          </cell>
          <cell r="Q43" t="str">
            <v>A</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t="str">
            <v>x</v>
          </cell>
          <cell r="AG43" t="str">
            <v>x</v>
          </cell>
          <cell r="AH43" t="str">
            <v>x</v>
          </cell>
          <cell r="AI43" t="str">
            <v>x</v>
          </cell>
          <cell r="AJ43" t="str">
            <v>x</v>
          </cell>
          <cell r="AK43" t="str">
            <v>x</v>
          </cell>
          <cell r="AL43">
            <v>14</v>
          </cell>
          <cell r="AM43">
            <v>0</v>
          </cell>
          <cell r="AN43">
            <v>5</v>
          </cell>
          <cell r="AO43">
            <v>0</v>
          </cell>
          <cell r="AP43">
            <v>0</v>
          </cell>
          <cell r="AQ43">
            <v>0</v>
          </cell>
          <cell r="AR43">
            <v>14</v>
          </cell>
          <cell r="AS43" t="str">
            <v>Casual Labour</v>
          </cell>
          <cell r="AV43">
            <v>120</v>
          </cell>
          <cell r="AW43">
            <v>25</v>
          </cell>
          <cell r="AX43">
            <v>30</v>
          </cell>
          <cell r="AY43">
            <v>20</v>
          </cell>
          <cell r="AZ43">
            <v>0.625</v>
          </cell>
        </row>
        <row r="44">
          <cell r="B44">
            <v>2000</v>
          </cell>
          <cell r="C44" t="str">
            <v>Khalid Saloom Said Al Ghafri</v>
          </cell>
          <cell r="D44">
            <v>39662</v>
          </cell>
          <cell r="E44">
            <v>39747</v>
          </cell>
          <cell r="F44" t="str">
            <v>L</v>
          </cell>
          <cell r="G44" t="str">
            <v>L</v>
          </cell>
          <cell r="H44" t="str">
            <v>L</v>
          </cell>
          <cell r="I44" t="str">
            <v>L</v>
          </cell>
          <cell r="J44" t="str">
            <v>L</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t="str">
            <v>L</v>
          </cell>
          <cell r="AJ44" t="str">
            <v>x</v>
          </cell>
          <cell r="AK44" t="str">
            <v>x</v>
          </cell>
          <cell r="AL44">
            <v>24</v>
          </cell>
          <cell r="AM44">
            <v>0</v>
          </cell>
          <cell r="AN44">
            <v>6</v>
          </cell>
          <cell r="AO44">
            <v>0</v>
          </cell>
          <cell r="AP44">
            <v>0</v>
          </cell>
          <cell r="AQ44">
            <v>0</v>
          </cell>
          <cell r="AR44">
            <v>24</v>
          </cell>
          <cell r="AS44" t="str">
            <v>Casual Labour</v>
          </cell>
          <cell r="AV44">
            <v>120</v>
          </cell>
          <cell r="AW44">
            <v>25</v>
          </cell>
          <cell r="AX44">
            <v>30</v>
          </cell>
          <cell r="AY44">
            <v>20</v>
          </cell>
          <cell r="AZ44">
            <v>0.625</v>
          </cell>
        </row>
        <row r="45">
          <cell r="B45">
            <v>2001</v>
          </cell>
          <cell r="C45" t="str">
            <v>Hamed Nasser Mohammed Al Ghafri</v>
          </cell>
          <cell r="D45">
            <v>39662</v>
          </cell>
          <cell r="E45">
            <v>39747</v>
          </cell>
          <cell r="F45" t="str">
            <v>L</v>
          </cell>
          <cell r="G45" t="str">
            <v>L</v>
          </cell>
          <cell r="H45" t="str">
            <v>L</v>
          </cell>
          <cell r="I45" t="str">
            <v>L</v>
          </cell>
          <cell r="J45" t="str">
            <v>L</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t="str">
            <v>L</v>
          </cell>
          <cell r="AJ45" t="str">
            <v>x</v>
          </cell>
          <cell r="AK45" t="str">
            <v>x</v>
          </cell>
          <cell r="AL45">
            <v>24</v>
          </cell>
          <cell r="AM45">
            <v>0</v>
          </cell>
          <cell r="AN45">
            <v>6</v>
          </cell>
          <cell r="AO45">
            <v>0</v>
          </cell>
          <cell r="AP45">
            <v>0</v>
          </cell>
          <cell r="AQ45">
            <v>0</v>
          </cell>
          <cell r="AR45">
            <v>24</v>
          </cell>
          <cell r="AS45" t="str">
            <v>Casual Labour</v>
          </cell>
          <cell r="AV45">
            <v>120</v>
          </cell>
          <cell r="AW45">
            <v>25</v>
          </cell>
          <cell r="AX45">
            <v>30</v>
          </cell>
          <cell r="AY45">
            <v>20</v>
          </cell>
          <cell r="AZ45">
            <v>0.625</v>
          </cell>
        </row>
        <row r="46">
          <cell r="B46">
            <v>2002</v>
          </cell>
          <cell r="C46" t="str">
            <v>Mustafah Dhuhai Ruwaid Al Busaidi</v>
          </cell>
          <cell r="D46">
            <v>39662</v>
          </cell>
          <cell r="E46">
            <v>39747</v>
          </cell>
          <cell r="F46">
            <v>2</v>
          </cell>
          <cell r="G46">
            <v>0</v>
          </cell>
          <cell r="H46">
            <v>0</v>
          </cell>
          <cell r="I46">
            <v>0</v>
          </cell>
          <cell r="J46">
            <v>0</v>
          </cell>
          <cell r="K46" t="str">
            <v>L</v>
          </cell>
          <cell r="L46" t="str">
            <v>L</v>
          </cell>
          <cell r="M46" t="str">
            <v>L</v>
          </cell>
          <cell r="N46" t="str">
            <v>L</v>
          </cell>
          <cell r="O46" t="str">
            <v>L</v>
          </cell>
          <cell r="P46" t="str">
            <v>L</v>
          </cell>
          <cell r="Q46" t="str">
            <v>L</v>
          </cell>
          <cell r="R46">
            <v>0</v>
          </cell>
          <cell r="S46">
            <v>7</v>
          </cell>
          <cell r="T46">
            <v>7</v>
          </cell>
          <cell r="U46">
            <v>0</v>
          </cell>
          <cell r="V46">
            <v>0</v>
          </cell>
          <cell r="W46">
            <v>6</v>
          </cell>
          <cell r="X46">
            <v>7</v>
          </cell>
          <cell r="Y46">
            <v>7</v>
          </cell>
          <cell r="Z46">
            <v>9</v>
          </cell>
          <cell r="AA46">
            <v>7</v>
          </cell>
          <cell r="AB46">
            <v>7</v>
          </cell>
          <cell r="AC46">
            <v>7</v>
          </cell>
          <cell r="AD46">
            <v>7</v>
          </cell>
          <cell r="AE46">
            <v>7</v>
          </cell>
          <cell r="AF46">
            <v>7.5</v>
          </cell>
          <cell r="AG46">
            <v>0</v>
          </cell>
          <cell r="AH46">
            <v>0</v>
          </cell>
          <cell r="AI46" t="str">
            <v>L</v>
          </cell>
          <cell r="AJ46" t="str">
            <v>x</v>
          </cell>
          <cell r="AK46" t="str">
            <v>x</v>
          </cell>
          <cell r="AL46">
            <v>22</v>
          </cell>
          <cell r="AM46">
            <v>0</v>
          </cell>
          <cell r="AN46">
            <v>8</v>
          </cell>
          <cell r="AO46">
            <v>87.5</v>
          </cell>
          <cell r="AP46">
            <v>0</v>
          </cell>
          <cell r="AQ46">
            <v>0</v>
          </cell>
          <cell r="AR46">
            <v>22</v>
          </cell>
          <cell r="AS46" t="str">
            <v>Casual Labour</v>
          </cell>
          <cell r="AV46">
            <v>120</v>
          </cell>
          <cell r="AW46">
            <v>25</v>
          </cell>
          <cell r="AX46">
            <v>30</v>
          </cell>
          <cell r="AY46">
            <v>20</v>
          </cell>
          <cell r="AZ46">
            <v>0.625</v>
          </cell>
        </row>
        <row r="47">
          <cell r="B47">
            <v>2004</v>
          </cell>
          <cell r="C47" t="str">
            <v>AbdulMalik Abdullah Said Al Ghassani</v>
          </cell>
          <cell r="D47">
            <v>39664</v>
          </cell>
          <cell r="E47">
            <v>39749</v>
          </cell>
          <cell r="F47">
            <v>6</v>
          </cell>
          <cell r="G47">
            <v>4</v>
          </cell>
          <cell r="H47">
            <v>0</v>
          </cell>
          <cell r="I47">
            <v>2</v>
          </cell>
          <cell r="J47">
            <v>0</v>
          </cell>
          <cell r="K47" t="str">
            <v>L</v>
          </cell>
          <cell r="L47" t="str">
            <v>L</v>
          </cell>
          <cell r="M47" t="str">
            <v>L</v>
          </cell>
          <cell r="N47" t="str">
            <v>L</v>
          </cell>
          <cell r="O47" t="str">
            <v>L</v>
          </cell>
          <cell r="P47" t="str">
            <v>L</v>
          </cell>
          <cell r="Q47" t="str">
            <v>L</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t="str">
            <v>L</v>
          </cell>
          <cell r="AJ47" t="str">
            <v>x</v>
          </cell>
          <cell r="AK47" t="str">
            <v>x</v>
          </cell>
          <cell r="AL47">
            <v>22</v>
          </cell>
          <cell r="AM47">
            <v>0</v>
          </cell>
          <cell r="AN47">
            <v>8</v>
          </cell>
          <cell r="AO47">
            <v>12</v>
          </cell>
          <cell r="AP47">
            <v>0</v>
          </cell>
          <cell r="AQ47">
            <v>0</v>
          </cell>
          <cell r="AR47">
            <v>22</v>
          </cell>
          <cell r="AS47" t="str">
            <v>Casual Labour</v>
          </cell>
          <cell r="AV47">
            <v>120</v>
          </cell>
          <cell r="AW47">
            <v>25</v>
          </cell>
          <cell r="AX47">
            <v>30</v>
          </cell>
          <cell r="AY47">
            <v>20</v>
          </cell>
          <cell r="AZ47">
            <v>0.625</v>
          </cell>
        </row>
        <row r="48">
          <cell r="B48">
            <v>2005</v>
          </cell>
          <cell r="C48" t="str">
            <v>Hussein  Ali Salim Al Kalbani</v>
          </cell>
          <cell r="D48">
            <v>39666</v>
          </cell>
          <cell r="E48">
            <v>39751</v>
          </cell>
          <cell r="F48">
            <v>6</v>
          </cell>
          <cell r="G48">
            <v>4</v>
          </cell>
          <cell r="H48">
            <v>0</v>
          </cell>
          <cell r="I48">
            <v>2</v>
          </cell>
          <cell r="J48">
            <v>0</v>
          </cell>
          <cell r="K48">
            <v>0</v>
          </cell>
          <cell r="L48">
            <v>0</v>
          </cell>
          <cell r="M48">
            <v>0</v>
          </cell>
          <cell r="N48">
            <v>0</v>
          </cell>
          <cell r="O48">
            <v>0</v>
          </cell>
          <cell r="P48">
            <v>0</v>
          </cell>
          <cell r="Q48">
            <v>0</v>
          </cell>
          <cell r="R48">
            <v>7</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t="str">
            <v>L</v>
          </cell>
          <cell r="AJ48" t="str">
            <v>x</v>
          </cell>
          <cell r="AK48" t="str">
            <v>x</v>
          </cell>
          <cell r="AL48">
            <v>29</v>
          </cell>
          <cell r="AM48">
            <v>0</v>
          </cell>
          <cell r="AN48">
            <v>1</v>
          </cell>
          <cell r="AO48">
            <v>19</v>
          </cell>
          <cell r="AP48">
            <v>0</v>
          </cell>
          <cell r="AQ48">
            <v>0</v>
          </cell>
          <cell r="AR48">
            <v>29</v>
          </cell>
          <cell r="AS48" t="str">
            <v>Casual Labour</v>
          </cell>
          <cell r="AV48">
            <v>120</v>
          </cell>
          <cell r="AW48">
            <v>25</v>
          </cell>
          <cell r="AX48">
            <v>30</v>
          </cell>
          <cell r="AY48">
            <v>20</v>
          </cell>
          <cell r="AZ48">
            <v>0.625</v>
          </cell>
        </row>
        <row r="49">
          <cell r="B49">
            <v>2006</v>
          </cell>
          <cell r="C49" t="str">
            <v>Khamis Saif Khamis Al Hinai</v>
          </cell>
          <cell r="D49">
            <v>39666</v>
          </cell>
          <cell r="E49">
            <v>39751</v>
          </cell>
          <cell r="F49">
            <v>2</v>
          </cell>
          <cell r="G49">
            <v>0</v>
          </cell>
          <cell r="H49">
            <v>0</v>
          </cell>
          <cell r="I49">
            <v>0</v>
          </cell>
          <cell r="J49">
            <v>0</v>
          </cell>
          <cell r="K49">
            <v>0</v>
          </cell>
          <cell r="L49" t="str">
            <v>L</v>
          </cell>
          <cell r="M49" t="str">
            <v>L</v>
          </cell>
          <cell r="N49" t="str">
            <v>L</v>
          </cell>
          <cell r="O49" t="str">
            <v>L</v>
          </cell>
          <cell r="P49" t="str">
            <v>L</v>
          </cell>
          <cell r="Q49" t="str">
            <v>L</v>
          </cell>
          <cell r="R49" t="str">
            <v>L</v>
          </cell>
          <cell r="S49" t="str">
            <v>A</v>
          </cell>
          <cell r="T49" t="str">
            <v>A</v>
          </cell>
          <cell r="U49" t="str">
            <v>A</v>
          </cell>
          <cell r="V49" t="str">
            <v>A</v>
          </cell>
          <cell r="W49" t="str">
            <v>A</v>
          </cell>
          <cell r="X49" t="str">
            <v>A</v>
          </cell>
          <cell r="Y49">
            <v>0</v>
          </cell>
          <cell r="Z49">
            <v>0</v>
          </cell>
          <cell r="AA49">
            <v>0</v>
          </cell>
          <cell r="AB49">
            <v>0</v>
          </cell>
          <cell r="AC49">
            <v>0</v>
          </cell>
          <cell r="AD49">
            <v>0</v>
          </cell>
          <cell r="AE49">
            <v>0</v>
          </cell>
          <cell r="AF49">
            <v>0</v>
          </cell>
          <cell r="AG49">
            <v>0</v>
          </cell>
          <cell r="AH49">
            <v>0</v>
          </cell>
          <cell r="AI49" t="str">
            <v>L</v>
          </cell>
          <cell r="AJ49" t="str">
            <v>x</v>
          </cell>
          <cell r="AK49" t="str">
            <v>x</v>
          </cell>
          <cell r="AL49">
            <v>16</v>
          </cell>
          <cell r="AM49">
            <v>0</v>
          </cell>
          <cell r="AN49">
            <v>8</v>
          </cell>
          <cell r="AO49">
            <v>2</v>
          </cell>
          <cell r="AP49">
            <v>0</v>
          </cell>
          <cell r="AQ49">
            <v>0</v>
          </cell>
          <cell r="AR49">
            <v>16</v>
          </cell>
          <cell r="AS49" t="str">
            <v>Casual Light Duty Driver</v>
          </cell>
          <cell r="AV49">
            <v>150</v>
          </cell>
          <cell r="AW49">
            <v>30</v>
          </cell>
          <cell r="AX49">
            <v>40</v>
          </cell>
          <cell r="AY49">
            <v>25</v>
          </cell>
          <cell r="AZ49">
            <v>0.78125</v>
          </cell>
        </row>
        <row r="50">
          <cell r="B50">
            <v>2007</v>
          </cell>
          <cell r="C50" t="str">
            <v>Ghaddeer Said Salim Al Kalbani</v>
          </cell>
          <cell r="D50">
            <v>39666</v>
          </cell>
          <cell r="E50">
            <v>39751</v>
          </cell>
          <cell r="F50">
            <v>2</v>
          </cell>
          <cell r="G50">
            <v>0</v>
          </cell>
          <cell r="H50">
            <v>0</v>
          </cell>
          <cell r="I50">
            <v>4</v>
          </cell>
          <cell r="J50">
            <v>0</v>
          </cell>
          <cell r="K50">
            <v>0</v>
          </cell>
          <cell r="L50" t="str">
            <v>L</v>
          </cell>
          <cell r="M50" t="str">
            <v>L</v>
          </cell>
          <cell r="N50" t="str">
            <v>L</v>
          </cell>
          <cell r="O50" t="str">
            <v>L</v>
          </cell>
          <cell r="P50" t="str">
            <v>L</v>
          </cell>
          <cell r="Q50" t="str">
            <v>L</v>
          </cell>
          <cell r="R50" t="str">
            <v>L</v>
          </cell>
          <cell r="S50">
            <v>0</v>
          </cell>
          <cell r="T50">
            <v>0</v>
          </cell>
          <cell r="U50">
            <v>0</v>
          </cell>
          <cell r="V50">
            <v>0</v>
          </cell>
          <cell r="W50">
            <v>0</v>
          </cell>
          <cell r="X50">
            <v>0</v>
          </cell>
          <cell r="Y50">
            <v>0</v>
          </cell>
          <cell r="Z50">
            <v>0</v>
          </cell>
          <cell r="AA50">
            <v>0</v>
          </cell>
          <cell r="AB50">
            <v>0</v>
          </cell>
          <cell r="AC50">
            <v>0</v>
          </cell>
          <cell r="AD50">
            <v>0</v>
          </cell>
          <cell r="AE50" t="str">
            <v>S</v>
          </cell>
          <cell r="AF50" t="str">
            <v>A</v>
          </cell>
          <cell r="AG50" t="str">
            <v>A</v>
          </cell>
          <cell r="AH50" t="str">
            <v>A</v>
          </cell>
          <cell r="AI50" t="str">
            <v>A</v>
          </cell>
          <cell r="AJ50" t="str">
            <v>x</v>
          </cell>
          <cell r="AK50" t="str">
            <v>x</v>
          </cell>
          <cell r="AL50">
            <v>18</v>
          </cell>
          <cell r="AM50">
            <v>0</v>
          </cell>
          <cell r="AN50">
            <v>7</v>
          </cell>
          <cell r="AO50">
            <v>6</v>
          </cell>
          <cell r="AP50">
            <v>0</v>
          </cell>
          <cell r="AQ50">
            <v>0</v>
          </cell>
          <cell r="AR50">
            <v>18</v>
          </cell>
          <cell r="AS50" t="str">
            <v>Casual Labour</v>
          </cell>
          <cell r="AV50">
            <v>120</v>
          </cell>
          <cell r="AW50">
            <v>25</v>
          </cell>
          <cell r="AX50">
            <v>30</v>
          </cell>
          <cell r="AY50">
            <v>20</v>
          </cell>
          <cell r="AZ50">
            <v>0.625</v>
          </cell>
        </row>
        <row r="51">
          <cell r="B51">
            <v>2008</v>
          </cell>
          <cell r="C51" t="str">
            <v>Nasser Rashid Hassan Al Hinai</v>
          </cell>
          <cell r="D51">
            <v>39667</v>
          </cell>
          <cell r="E51">
            <v>39752</v>
          </cell>
          <cell r="F51">
            <v>2</v>
          </cell>
          <cell r="G51">
            <v>0</v>
          </cell>
          <cell r="H51">
            <v>0</v>
          </cell>
          <cell r="I51">
            <v>0</v>
          </cell>
          <cell r="J51">
            <v>0</v>
          </cell>
          <cell r="K51" t="str">
            <v>L</v>
          </cell>
          <cell r="L51" t="str">
            <v>L</v>
          </cell>
          <cell r="M51" t="str">
            <v>L</v>
          </cell>
          <cell r="N51" t="str">
            <v>L</v>
          </cell>
          <cell r="O51" t="str">
            <v>L</v>
          </cell>
          <cell r="P51" t="str">
            <v>L</v>
          </cell>
          <cell r="Q51" t="str">
            <v>L</v>
          </cell>
          <cell r="R51" t="str">
            <v>A</v>
          </cell>
          <cell r="S51" t="str">
            <v>A</v>
          </cell>
          <cell r="T51" t="str">
            <v>A</v>
          </cell>
          <cell r="U51" t="str">
            <v>A</v>
          </cell>
          <cell r="V51" t="str">
            <v>A</v>
          </cell>
          <cell r="W51" t="str">
            <v>A</v>
          </cell>
          <cell r="X51" t="str">
            <v>A</v>
          </cell>
          <cell r="Y51">
            <v>0</v>
          </cell>
          <cell r="Z51">
            <v>0</v>
          </cell>
          <cell r="AA51">
            <v>0</v>
          </cell>
          <cell r="AB51">
            <v>0</v>
          </cell>
          <cell r="AC51">
            <v>0</v>
          </cell>
          <cell r="AD51">
            <v>0</v>
          </cell>
          <cell r="AE51">
            <v>0</v>
          </cell>
          <cell r="AF51">
            <v>0</v>
          </cell>
          <cell r="AG51">
            <v>0</v>
          </cell>
          <cell r="AH51">
            <v>0</v>
          </cell>
          <cell r="AI51" t="str">
            <v>L</v>
          </cell>
          <cell r="AJ51" t="str">
            <v>x</v>
          </cell>
          <cell r="AK51" t="str">
            <v>x</v>
          </cell>
          <cell r="AL51">
            <v>15</v>
          </cell>
          <cell r="AM51">
            <v>0</v>
          </cell>
          <cell r="AN51">
            <v>8</v>
          </cell>
          <cell r="AO51">
            <v>2</v>
          </cell>
          <cell r="AP51">
            <v>0</v>
          </cell>
          <cell r="AQ51">
            <v>0</v>
          </cell>
          <cell r="AR51">
            <v>15</v>
          </cell>
          <cell r="AS51" t="str">
            <v>Casual Labour</v>
          </cell>
          <cell r="AV51">
            <v>120</v>
          </cell>
          <cell r="AW51">
            <v>25</v>
          </cell>
          <cell r="AX51">
            <v>30</v>
          </cell>
          <cell r="AY51">
            <v>20</v>
          </cell>
          <cell r="AZ51">
            <v>0.625</v>
          </cell>
        </row>
        <row r="52">
          <cell r="B52">
            <v>2015</v>
          </cell>
          <cell r="C52" t="str">
            <v>Abdulah Hamed Khalfan Al Rabaani</v>
          </cell>
          <cell r="D52">
            <v>39668</v>
          </cell>
          <cell r="E52">
            <v>39758</v>
          </cell>
          <cell r="F52">
            <v>2</v>
          </cell>
          <cell r="G52">
            <v>0</v>
          </cell>
          <cell r="H52">
            <v>0</v>
          </cell>
          <cell r="I52">
            <v>0</v>
          </cell>
          <cell r="J52">
            <v>0</v>
          </cell>
          <cell r="K52" t="str">
            <v>A</v>
          </cell>
          <cell r="L52" t="str">
            <v>L</v>
          </cell>
          <cell r="M52" t="str">
            <v>L</v>
          </cell>
          <cell r="N52" t="str">
            <v>L</v>
          </cell>
          <cell r="O52" t="str">
            <v>L</v>
          </cell>
          <cell r="P52" t="str">
            <v>L</v>
          </cell>
          <cell r="Q52" t="str">
            <v>L</v>
          </cell>
          <cell r="R52" t="str">
            <v>L</v>
          </cell>
          <cell r="S52">
            <v>0</v>
          </cell>
          <cell r="T52">
            <v>0</v>
          </cell>
          <cell r="U52">
            <v>0</v>
          </cell>
          <cell r="V52">
            <v>0</v>
          </cell>
          <cell r="W52">
            <v>0</v>
          </cell>
          <cell r="X52">
            <v>0</v>
          </cell>
          <cell r="Y52">
            <v>0</v>
          </cell>
          <cell r="Z52">
            <v>0</v>
          </cell>
          <cell r="AA52" t="str">
            <v>A</v>
          </cell>
          <cell r="AB52" t="str">
            <v>A</v>
          </cell>
          <cell r="AC52" t="str">
            <v>A</v>
          </cell>
          <cell r="AD52" t="str">
            <v>A</v>
          </cell>
          <cell r="AE52">
            <v>6</v>
          </cell>
          <cell r="AF52">
            <v>8</v>
          </cell>
          <cell r="AG52">
            <v>5</v>
          </cell>
          <cell r="AH52">
            <v>0</v>
          </cell>
          <cell r="AI52" t="str">
            <v>L</v>
          </cell>
          <cell r="AJ52" t="str">
            <v>x</v>
          </cell>
          <cell r="AK52" t="str">
            <v>x</v>
          </cell>
          <cell r="AL52">
            <v>17</v>
          </cell>
          <cell r="AM52">
            <v>0</v>
          </cell>
          <cell r="AN52">
            <v>8</v>
          </cell>
          <cell r="AO52">
            <v>21</v>
          </cell>
          <cell r="AP52">
            <v>0</v>
          </cell>
          <cell r="AQ52">
            <v>0</v>
          </cell>
          <cell r="AR52">
            <v>17</v>
          </cell>
          <cell r="AS52" t="str">
            <v>Casual Heavy Duty Driver</v>
          </cell>
          <cell r="AV52">
            <v>180</v>
          </cell>
          <cell r="AW52">
            <v>40</v>
          </cell>
          <cell r="AX52">
            <v>45</v>
          </cell>
          <cell r="AY52">
            <v>30</v>
          </cell>
          <cell r="AZ52">
            <v>0.9375</v>
          </cell>
        </row>
        <row r="53">
          <cell r="B53">
            <v>2016</v>
          </cell>
          <cell r="C53" t="str">
            <v>Musalam Salim Dhawi Al Ghafri</v>
          </cell>
          <cell r="D53">
            <v>39669</v>
          </cell>
          <cell r="E53">
            <v>39759</v>
          </cell>
          <cell r="F53">
            <v>2</v>
          </cell>
          <cell r="G53">
            <v>0</v>
          </cell>
          <cell r="H53">
            <v>0</v>
          </cell>
          <cell r="I53">
            <v>0</v>
          </cell>
          <cell r="J53">
            <v>0</v>
          </cell>
          <cell r="K53" t="str">
            <v>A</v>
          </cell>
          <cell r="L53" t="str">
            <v>L</v>
          </cell>
          <cell r="M53" t="str">
            <v>L</v>
          </cell>
          <cell r="N53" t="str">
            <v>L</v>
          </cell>
          <cell r="O53" t="str">
            <v>L</v>
          </cell>
          <cell r="P53" t="str">
            <v>L</v>
          </cell>
          <cell r="Q53" t="str">
            <v>L</v>
          </cell>
          <cell r="R53" t="str">
            <v>L</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t="str">
            <v>L</v>
          </cell>
          <cell r="AJ53" t="str">
            <v>x</v>
          </cell>
          <cell r="AK53" t="str">
            <v>x</v>
          </cell>
          <cell r="AL53">
            <v>21</v>
          </cell>
          <cell r="AM53">
            <v>0</v>
          </cell>
          <cell r="AN53">
            <v>8</v>
          </cell>
          <cell r="AO53">
            <v>2</v>
          </cell>
          <cell r="AP53">
            <v>0</v>
          </cell>
          <cell r="AQ53">
            <v>0</v>
          </cell>
          <cell r="AR53">
            <v>21</v>
          </cell>
          <cell r="AS53" t="str">
            <v>Casual Labour</v>
          </cell>
          <cell r="AV53">
            <v>120</v>
          </cell>
          <cell r="AW53">
            <v>25</v>
          </cell>
          <cell r="AX53">
            <v>30</v>
          </cell>
          <cell r="AY53">
            <v>20</v>
          </cell>
          <cell r="AZ53">
            <v>0.625</v>
          </cell>
        </row>
        <row r="54">
          <cell r="B54">
            <v>2017</v>
          </cell>
          <cell r="C54" t="str">
            <v>Yasir Khalifah Ghanim Al Ghafri</v>
          </cell>
          <cell r="D54">
            <v>39669</v>
          </cell>
          <cell r="E54">
            <v>39759</v>
          </cell>
          <cell r="F54">
            <v>2</v>
          </cell>
          <cell r="G54">
            <v>0</v>
          </cell>
          <cell r="H54">
            <v>0</v>
          </cell>
          <cell r="I54" t="str">
            <v>L</v>
          </cell>
          <cell r="J54" t="str">
            <v>L</v>
          </cell>
          <cell r="K54" t="str">
            <v>L</v>
          </cell>
          <cell r="L54" t="str">
            <v>L</v>
          </cell>
          <cell r="M54" t="str">
            <v>L</v>
          </cell>
          <cell r="N54" t="str">
            <v>L</v>
          </cell>
          <cell r="O54" t="str">
            <v>L</v>
          </cell>
          <cell r="P54" t="str">
            <v>L</v>
          </cell>
          <cell r="Q54" t="str">
            <v>L</v>
          </cell>
          <cell r="R54" t="str">
            <v>L</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t="str">
            <v>L</v>
          </cell>
          <cell r="AJ54" t="str">
            <v>x</v>
          </cell>
          <cell r="AK54" t="str">
            <v>x</v>
          </cell>
          <cell r="AL54">
            <v>19</v>
          </cell>
          <cell r="AM54">
            <v>0</v>
          </cell>
          <cell r="AN54">
            <v>11</v>
          </cell>
          <cell r="AO54">
            <v>2</v>
          </cell>
          <cell r="AP54">
            <v>0</v>
          </cell>
          <cell r="AQ54">
            <v>0</v>
          </cell>
          <cell r="AR54">
            <v>19</v>
          </cell>
          <cell r="AS54" t="str">
            <v>Casual Light Duty Driver</v>
          </cell>
          <cell r="AU54" t="str">
            <v>Don't send salary is new employee</v>
          </cell>
          <cell r="AV54">
            <v>150</v>
          </cell>
          <cell r="AW54">
            <v>30</v>
          </cell>
          <cell r="AX54">
            <v>40</v>
          </cell>
          <cell r="AY54">
            <v>25</v>
          </cell>
          <cell r="AZ54">
            <v>0.78125</v>
          </cell>
        </row>
        <row r="55">
          <cell r="B55">
            <v>2018</v>
          </cell>
          <cell r="C55" t="str">
            <v>Toufiq Salim Ghanim Al Ouyahi</v>
          </cell>
          <cell r="D55">
            <v>39669</v>
          </cell>
          <cell r="E55">
            <v>39759</v>
          </cell>
          <cell r="F55">
            <v>2</v>
          </cell>
          <cell r="G55" t="str">
            <v>L</v>
          </cell>
          <cell r="H55" t="str">
            <v>L</v>
          </cell>
          <cell r="I55" t="str">
            <v>L</v>
          </cell>
          <cell r="J55" t="str">
            <v>L</v>
          </cell>
          <cell r="K55" t="str">
            <v>L</v>
          </cell>
          <cell r="L55" t="str">
            <v>L</v>
          </cell>
          <cell r="M55" t="str">
            <v>L</v>
          </cell>
          <cell r="N55" t="str">
            <v>L</v>
          </cell>
          <cell r="O55" t="str">
            <v>L</v>
          </cell>
          <cell r="P55" t="str">
            <v>L</v>
          </cell>
          <cell r="Q55" t="str">
            <v>L</v>
          </cell>
          <cell r="R55" t="str">
            <v>L</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t="str">
            <v>L</v>
          </cell>
          <cell r="AJ55" t="str">
            <v>x</v>
          </cell>
          <cell r="AK55" t="str">
            <v>x</v>
          </cell>
          <cell r="AL55">
            <v>17</v>
          </cell>
          <cell r="AM55">
            <v>0</v>
          </cell>
          <cell r="AN55">
            <v>13</v>
          </cell>
          <cell r="AO55">
            <v>2</v>
          </cell>
          <cell r="AP55">
            <v>0</v>
          </cell>
          <cell r="AQ55">
            <v>0</v>
          </cell>
          <cell r="AR55">
            <v>17</v>
          </cell>
          <cell r="AS55" t="str">
            <v>Casual Light Duty Driver</v>
          </cell>
          <cell r="AU55" t="str">
            <v>Don't send salary is new employee</v>
          </cell>
          <cell r="AV55">
            <v>150</v>
          </cell>
          <cell r="AW55">
            <v>30</v>
          </cell>
          <cell r="AX55">
            <v>40</v>
          </cell>
          <cell r="AY55">
            <v>25</v>
          </cell>
          <cell r="AZ55">
            <v>0.78125</v>
          </cell>
        </row>
        <row r="56">
          <cell r="B56">
            <v>2020</v>
          </cell>
          <cell r="C56" t="str">
            <v>Mohamee Zaid Haliid Al Nassri</v>
          </cell>
          <cell r="D56">
            <v>39669</v>
          </cell>
          <cell r="E56">
            <v>39759</v>
          </cell>
          <cell r="F56">
            <v>2</v>
          </cell>
          <cell r="G56">
            <v>0</v>
          </cell>
          <cell r="H56">
            <v>0</v>
          </cell>
          <cell r="I56">
            <v>0</v>
          </cell>
          <cell r="J56">
            <v>0</v>
          </cell>
          <cell r="K56">
            <v>0</v>
          </cell>
          <cell r="L56">
            <v>0</v>
          </cell>
          <cell r="M56">
            <v>0</v>
          </cell>
          <cell r="N56">
            <v>0</v>
          </cell>
          <cell r="O56">
            <v>0</v>
          </cell>
          <cell r="P56">
            <v>0</v>
          </cell>
          <cell r="Q56">
            <v>0</v>
          </cell>
          <cell r="R56" t="str">
            <v>L</v>
          </cell>
          <cell r="S56" t="str">
            <v>L</v>
          </cell>
          <cell r="T56" t="str">
            <v>L</v>
          </cell>
          <cell r="U56" t="str">
            <v>L</v>
          </cell>
          <cell r="V56" t="str">
            <v>L</v>
          </cell>
          <cell r="W56" t="str">
            <v>L</v>
          </cell>
          <cell r="X56" t="str">
            <v>L</v>
          </cell>
          <cell r="Y56">
            <v>0</v>
          </cell>
          <cell r="Z56">
            <v>0</v>
          </cell>
          <cell r="AA56">
            <v>0</v>
          </cell>
          <cell r="AB56">
            <v>0</v>
          </cell>
          <cell r="AC56">
            <v>0</v>
          </cell>
          <cell r="AD56">
            <v>0</v>
          </cell>
          <cell r="AE56">
            <v>0</v>
          </cell>
          <cell r="AF56">
            <v>0</v>
          </cell>
          <cell r="AG56">
            <v>0</v>
          </cell>
          <cell r="AH56">
            <v>0</v>
          </cell>
          <cell r="AI56" t="str">
            <v>L</v>
          </cell>
          <cell r="AJ56" t="str">
            <v>x</v>
          </cell>
          <cell r="AK56" t="str">
            <v>x</v>
          </cell>
          <cell r="AL56">
            <v>22</v>
          </cell>
          <cell r="AM56">
            <v>0</v>
          </cell>
          <cell r="AN56">
            <v>8</v>
          </cell>
          <cell r="AO56">
            <v>2</v>
          </cell>
          <cell r="AP56">
            <v>0</v>
          </cell>
          <cell r="AQ56">
            <v>0</v>
          </cell>
          <cell r="AR56">
            <v>22</v>
          </cell>
          <cell r="AS56" t="str">
            <v>Casual Labour</v>
          </cell>
          <cell r="AU56" t="str">
            <v>Pay 2 days on July'08</v>
          </cell>
          <cell r="AV56">
            <v>120</v>
          </cell>
          <cell r="AW56">
            <v>25</v>
          </cell>
          <cell r="AX56">
            <v>30</v>
          </cell>
          <cell r="AY56">
            <v>20</v>
          </cell>
          <cell r="AZ56">
            <v>0.625</v>
          </cell>
        </row>
        <row r="57">
          <cell r="B57">
            <v>2021</v>
          </cell>
          <cell r="C57" t="str">
            <v>Mohameed  Rashid Said Al Ghafri</v>
          </cell>
          <cell r="D57">
            <v>39669</v>
          </cell>
          <cell r="E57">
            <v>39759</v>
          </cell>
          <cell r="F57">
            <v>2</v>
          </cell>
          <cell r="G57">
            <v>0</v>
          </cell>
          <cell r="H57">
            <v>3</v>
          </cell>
          <cell r="I57">
            <v>0</v>
          </cell>
          <cell r="J57">
            <v>0</v>
          </cell>
          <cell r="K57" t="str">
            <v>L</v>
          </cell>
          <cell r="L57" t="str">
            <v>L</v>
          </cell>
          <cell r="M57" t="str">
            <v>L</v>
          </cell>
          <cell r="N57" t="str">
            <v>L</v>
          </cell>
          <cell r="O57" t="str">
            <v>L</v>
          </cell>
          <cell r="P57" t="str">
            <v>L</v>
          </cell>
          <cell r="Q57" t="str">
            <v>L</v>
          </cell>
          <cell r="R57" t="str">
            <v>A</v>
          </cell>
          <cell r="S57">
            <v>4</v>
          </cell>
          <cell r="T57">
            <v>5</v>
          </cell>
          <cell r="U57">
            <v>5</v>
          </cell>
          <cell r="V57">
            <v>5</v>
          </cell>
          <cell r="W57">
            <v>0</v>
          </cell>
          <cell r="X57">
            <v>0</v>
          </cell>
          <cell r="Y57">
            <v>0</v>
          </cell>
          <cell r="Z57">
            <v>0</v>
          </cell>
          <cell r="AA57">
            <v>0</v>
          </cell>
          <cell r="AB57">
            <v>0</v>
          </cell>
          <cell r="AC57">
            <v>0</v>
          </cell>
          <cell r="AD57">
            <v>0</v>
          </cell>
          <cell r="AE57">
            <v>0</v>
          </cell>
          <cell r="AF57">
            <v>0</v>
          </cell>
          <cell r="AG57">
            <v>4</v>
          </cell>
          <cell r="AH57">
            <v>0</v>
          </cell>
          <cell r="AI57" t="str">
            <v>L</v>
          </cell>
          <cell r="AJ57" t="str">
            <v>x</v>
          </cell>
          <cell r="AK57" t="str">
            <v>x</v>
          </cell>
          <cell r="AL57">
            <v>21</v>
          </cell>
          <cell r="AM57">
            <v>0</v>
          </cell>
          <cell r="AN57">
            <v>8</v>
          </cell>
          <cell r="AO57">
            <v>28</v>
          </cell>
          <cell r="AP57">
            <v>0</v>
          </cell>
          <cell r="AQ57">
            <v>0</v>
          </cell>
          <cell r="AR57">
            <v>21</v>
          </cell>
          <cell r="AS57" t="str">
            <v>Casual Labour</v>
          </cell>
          <cell r="AV57">
            <v>120</v>
          </cell>
          <cell r="AW57">
            <v>25</v>
          </cell>
          <cell r="AX57">
            <v>30</v>
          </cell>
          <cell r="AY57">
            <v>20</v>
          </cell>
          <cell r="AZ57">
            <v>0.625</v>
          </cell>
        </row>
        <row r="58">
          <cell r="B58">
            <v>2026</v>
          </cell>
          <cell r="C58" t="str">
            <v>Jamal Mohameed Suliman  Al Khasabi</v>
          </cell>
          <cell r="D58">
            <v>39670</v>
          </cell>
          <cell r="E58">
            <v>39760</v>
          </cell>
          <cell r="F58">
            <v>2</v>
          </cell>
          <cell r="G58">
            <v>0</v>
          </cell>
          <cell r="H58">
            <v>0</v>
          </cell>
          <cell r="I58">
            <v>0</v>
          </cell>
          <cell r="J58">
            <v>0</v>
          </cell>
          <cell r="K58" t="str">
            <v>L</v>
          </cell>
          <cell r="L58" t="str">
            <v>L</v>
          </cell>
          <cell r="M58" t="str">
            <v>L</v>
          </cell>
          <cell r="N58" t="str">
            <v>L</v>
          </cell>
          <cell r="O58" t="str">
            <v>L</v>
          </cell>
          <cell r="P58" t="str">
            <v>L</v>
          </cell>
          <cell r="Q58" t="str">
            <v>L</v>
          </cell>
          <cell r="R58">
            <v>0</v>
          </cell>
          <cell r="S58">
            <v>7</v>
          </cell>
          <cell r="T58">
            <v>0</v>
          </cell>
          <cell r="U58" t="str">
            <v>x</v>
          </cell>
          <cell r="V58" t="str">
            <v>x</v>
          </cell>
          <cell r="W58" t="str">
            <v>x</v>
          </cell>
          <cell r="X58" t="str">
            <v>x</v>
          </cell>
          <cell r="Y58" t="str">
            <v>x</v>
          </cell>
          <cell r="Z58" t="str">
            <v>x</v>
          </cell>
          <cell r="AA58" t="str">
            <v>x</v>
          </cell>
          <cell r="AB58" t="str">
            <v>x</v>
          </cell>
          <cell r="AC58" t="str">
            <v>x</v>
          </cell>
          <cell r="AD58" t="str">
            <v>x</v>
          </cell>
          <cell r="AE58" t="str">
            <v>x</v>
          </cell>
          <cell r="AF58" t="str">
            <v>x</v>
          </cell>
          <cell r="AG58" t="str">
            <v>x</v>
          </cell>
          <cell r="AH58" t="str">
            <v>x</v>
          </cell>
          <cell r="AI58" t="str">
            <v>x</v>
          </cell>
          <cell r="AJ58" t="str">
            <v>x</v>
          </cell>
          <cell r="AK58" t="str">
            <v>x</v>
          </cell>
          <cell r="AL58">
            <v>8</v>
          </cell>
          <cell r="AM58">
            <v>0</v>
          </cell>
          <cell r="AN58">
            <v>7</v>
          </cell>
          <cell r="AO58">
            <v>9</v>
          </cell>
          <cell r="AP58">
            <v>0</v>
          </cell>
          <cell r="AQ58">
            <v>0</v>
          </cell>
          <cell r="AR58">
            <v>8</v>
          </cell>
          <cell r="AS58" t="str">
            <v>Casual Labour</v>
          </cell>
          <cell r="AV58">
            <v>120</v>
          </cell>
          <cell r="AW58">
            <v>25</v>
          </cell>
          <cell r="AX58">
            <v>30</v>
          </cell>
          <cell r="AY58">
            <v>20</v>
          </cell>
          <cell r="AZ58">
            <v>0.625</v>
          </cell>
        </row>
        <row r="59">
          <cell r="B59">
            <v>2032</v>
          </cell>
          <cell r="C59" t="str">
            <v>Waleed Khamis Badih Al Busaidi</v>
          </cell>
          <cell r="D59">
            <v>39670</v>
          </cell>
          <cell r="E59">
            <v>39760</v>
          </cell>
          <cell r="F59">
            <v>2</v>
          </cell>
          <cell r="G59">
            <v>0</v>
          </cell>
          <cell r="H59">
            <v>0</v>
          </cell>
          <cell r="I59">
            <v>0</v>
          </cell>
          <cell r="J59">
            <v>0</v>
          </cell>
          <cell r="K59" t="str">
            <v>L</v>
          </cell>
          <cell r="L59" t="str">
            <v>L</v>
          </cell>
          <cell r="M59" t="str">
            <v>L</v>
          </cell>
          <cell r="N59" t="str">
            <v>L</v>
          </cell>
          <cell r="O59" t="str">
            <v>L</v>
          </cell>
          <cell r="P59" t="str">
            <v>L</v>
          </cell>
          <cell r="Q59" t="str">
            <v>L</v>
          </cell>
          <cell r="R59">
            <v>0</v>
          </cell>
          <cell r="S59">
            <v>7</v>
          </cell>
          <cell r="T59">
            <v>7</v>
          </cell>
          <cell r="U59">
            <v>0</v>
          </cell>
          <cell r="V59">
            <v>0</v>
          </cell>
          <cell r="W59">
            <v>6</v>
          </cell>
          <cell r="X59">
            <v>7</v>
          </cell>
          <cell r="Y59">
            <v>7</v>
          </cell>
          <cell r="Z59">
            <v>9</v>
          </cell>
          <cell r="AA59">
            <v>7</v>
          </cell>
          <cell r="AB59">
            <v>7</v>
          </cell>
          <cell r="AC59">
            <v>7</v>
          </cell>
          <cell r="AD59">
            <v>7</v>
          </cell>
          <cell r="AE59">
            <v>7</v>
          </cell>
          <cell r="AF59">
            <v>7.5</v>
          </cell>
          <cell r="AG59">
            <v>7</v>
          </cell>
          <cell r="AH59">
            <v>0</v>
          </cell>
          <cell r="AI59" t="str">
            <v>L</v>
          </cell>
          <cell r="AJ59" t="str">
            <v>x</v>
          </cell>
          <cell r="AK59" t="str">
            <v>x</v>
          </cell>
          <cell r="AL59">
            <v>22</v>
          </cell>
          <cell r="AM59">
            <v>0</v>
          </cell>
          <cell r="AN59">
            <v>8</v>
          </cell>
          <cell r="AO59">
            <v>94.5</v>
          </cell>
          <cell r="AP59">
            <v>0</v>
          </cell>
          <cell r="AQ59">
            <v>0</v>
          </cell>
          <cell r="AR59">
            <v>22</v>
          </cell>
          <cell r="AS59" t="str">
            <v>Casual Labour</v>
          </cell>
          <cell r="AV59">
            <v>120</v>
          </cell>
          <cell r="AW59">
            <v>25</v>
          </cell>
          <cell r="AX59">
            <v>30</v>
          </cell>
          <cell r="AY59">
            <v>20</v>
          </cell>
          <cell r="AZ59">
            <v>0.625</v>
          </cell>
        </row>
        <row r="60">
          <cell r="B60">
            <v>2036</v>
          </cell>
          <cell r="C60" t="str">
            <v>Musaa Bati Ziyad Al Ghafri</v>
          </cell>
          <cell r="D60">
            <v>39670</v>
          </cell>
          <cell r="E60">
            <v>39760</v>
          </cell>
          <cell r="F60">
            <v>2</v>
          </cell>
          <cell r="G60">
            <v>0</v>
          </cell>
          <cell r="H60">
            <v>0</v>
          </cell>
          <cell r="I60">
            <v>0</v>
          </cell>
          <cell r="J60">
            <v>0</v>
          </cell>
          <cell r="K60" t="str">
            <v>A</v>
          </cell>
          <cell r="L60" t="str">
            <v>A</v>
          </cell>
          <cell r="M60" t="str">
            <v>A</v>
          </cell>
          <cell r="N60" t="str">
            <v>A</v>
          </cell>
          <cell r="O60" t="str">
            <v>A</v>
          </cell>
          <cell r="P60" t="str">
            <v>A</v>
          </cell>
          <cell r="Q60" t="str">
            <v>A</v>
          </cell>
          <cell r="R60" t="str">
            <v>A</v>
          </cell>
          <cell r="S60" t="str">
            <v>A</v>
          </cell>
          <cell r="T60" t="str">
            <v>A</v>
          </cell>
          <cell r="U60" t="str">
            <v>A</v>
          </cell>
          <cell r="V60" t="str">
            <v>A</v>
          </cell>
          <cell r="W60" t="str">
            <v>A</v>
          </cell>
          <cell r="X60" t="str">
            <v>A</v>
          </cell>
          <cell r="Y60" t="str">
            <v>A</v>
          </cell>
          <cell r="Z60" t="str">
            <v>A</v>
          </cell>
          <cell r="AA60" t="str">
            <v>A</v>
          </cell>
          <cell r="AB60" t="str">
            <v>A</v>
          </cell>
          <cell r="AC60" t="str">
            <v>A</v>
          </cell>
          <cell r="AD60" t="str">
            <v>A</v>
          </cell>
          <cell r="AE60" t="str">
            <v>A</v>
          </cell>
          <cell r="AF60" t="str">
            <v>A</v>
          </cell>
          <cell r="AG60" t="str">
            <v>A</v>
          </cell>
          <cell r="AH60" t="str">
            <v>A</v>
          </cell>
          <cell r="AI60" t="str">
            <v>A</v>
          </cell>
          <cell r="AJ60" t="str">
            <v>x</v>
          </cell>
          <cell r="AK60" t="str">
            <v>x</v>
          </cell>
          <cell r="AL60">
            <v>5</v>
          </cell>
          <cell r="AM60">
            <v>0</v>
          </cell>
          <cell r="AN60">
            <v>0</v>
          </cell>
          <cell r="AO60">
            <v>2</v>
          </cell>
          <cell r="AP60">
            <v>0</v>
          </cell>
          <cell r="AQ60">
            <v>0</v>
          </cell>
          <cell r="AR60">
            <v>5</v>
          </cell>
          <cell r="AS60" t="str">
            <v>Casual Labour</v>
          </cell>
          <cell r="AV60">
            <v>120</v>
          </cell>
          <cell r="AW60">
            <v>25</v>
          </cell>
          <cell r="AX60">
            <v>30</v>
          </cell>
          <cell r="AY60">
            <v>20</v>
          </cell>
          <cell r="AZ60">
            <v>0.625</v>
          </cell>
        </row>
        <row r="61">
          <cell r="B61">
            <v>2037</v>
          </cell>
          <cell r="C61" t="str">
            <v>Ahamed Khamis Hamood Al Ghafri</v>
          </cell>
          <cell r="D61">
            <v>39670</v>
          </cell>
          <cell r="E61">
            <v>39760</v>
          </cell>
          <cell r="F61">
            <v>2</v>
          </cell>
          <cell r="G61">
            <v>0</v>
          </cell>
          <cell r="H61">
            <v>0</v>
          </cell>
          <cell r="I61">
            <v>0</v>
          </cell>
          <cell r="J61">
            <v>0</v>
          </cell>
          <cell r="K61">
            <v>0</v>
          </cell>
          <cell r="L61">
            <v>0</v>
          </cell>
          <cell r="M61">
            <v>0</v>
          </cell>
          <cell r="N61">
            <v>0</v>
          </cell>
          <cell r="O61">
            <v>0</v>
          </cell>
          <cell r="P61">
            <v>0</v>
          </cell>
          <cell r="Q61">
            <v>0</v>
          </cell>
          <cell r="R61" t="str">
            <v>x</v>
          </cell>
          <cell r="S61" t="str">
            <v>x</v>
          </cell>
          <cell r="T61" t="str">
            <v>x</v>
          </cell>
          <cell r="U61" t="str">
            <v>x</v>
          </cell>
          <cell r="V61" t="str">
            <v>x</v>
          </cell>
          <cell r="W61" t="str">
            <v>x</v>
          </cell>
          <cell r="X61" t="str">
            <v>x</v>
          </cell>
          <cell r="Y61" t="str">
            <v>x</v>
          </cell>
          <cell r="Z61" t="str">
            <v>x</v>
          </cell>
          <cell r="AA61" t="str">
            <v>x</v>
          </cell>
          <cell r="AB61" t="str">
            <v>x</v>
          </cell>
          <cell r="AC61" t="str">
            <v>x</v>
          </cell>
          <cell r="AD61" t="str">
            <v>x</v>
          </cell>
          <cell r="AE61" t="str">
            <v>x</v>
          </cell>
          <cell r="AF61" t="str">
            <v>x</v>
          </cell>
          <cell r="AG61" t="str">
            <v>x</v>
          </cell>
          <cell r="AH61" t="str">
            <v>x</v>
          </cell>
          <cell r="AI61" t="str">
            <v>x</v>
          </cell>
          <cell r="AJ61" t="str">
            <v>x</v>
          </cell>
          <cell r="AK61" t="str">
            <v>x</v>
          </cell>
          <cell r="AL61">
            <v>12</v>
          </cell>
          <cell r="AM61">
            <v>0</v>
          </cell>
          <cell r="AN61">
            <v>0</v>
          </cell>
          <cell r="AO61">
            <v>2</v>
          </cell>
          <cell r="AP61">
            <v>0</v>
          </cell>
          <cell r="AQ61">
            <v>0</v>
          </cell>
          <cell r="AR61">
            <v>12</v>
          </cell>
          <cell r="AS61" t="str">
            <v>Casual Labour</v>
          </cell>
          <cell r="AV61">
            <v>120</v>
          </cell>
          <cell r="AW61">
            <v>25</v>
          </cell>
          <cell r="AX61">
            <v>30</v>
          </cell>
          <cell r="AY61">
            <v>20</v>
          </cell>
          <cell r="AZ61">
            <v>0.625</v>
          </cell>
        </row>
        <row r="62">
          <cell r="B62">
            <v>2039</v>
          </cell>
          <cell r="C62" t="str">
            <v>Mosa Marhoon salim Al Ghafri</v>
          </cell>
          <cell r="D62">
            <v>39671</v>
          </cell>
          <cell r="E62">
            <v>39761</v>
          </cell>
          <cell r="F62">
            <v>6</v>
          </cell>
          <cell r="G62">
            <v>0</v>
          </cell>
          <cell r="H62">
            <v>0</v>
          </cell>
          <cell r="I62">
            <v>0</v>
          </cell>
          <cell r="J62">
            <v>0</v>
          </cell>
          <cell r="K62">
            <v>0</v>
          </cell>
          <cell r="L62">
            <v>0</v>
          </cell>
          <cell r="M62">
            <v>0</v>
          </cell>
          <cell r="N62">
            <v>0</v>
          </cell>
          <cell r="O62">
            <v>0</v>
          </cell>
          <cell r="P62">
            <v>0</v>
          </cell>
          <cell r="Q62">
            <v>0</v>
          </cell>
          <cell r="R62" t="str">
            <v>L</v>
          </cell>
          <cell r="S62" t="str">
            <v>L</v>
          </cell>
          <cell r="T62" t="str">
            <v>L</v>
          </cell>
          <cell r="U62" t="str">
            <v>L</v>
          </cell>
          <cell r="V62" t="str">
            <v>L</v>
          </cell>
          <cell r="W62" t="str">
            <v>L</v>
          </cell>
          <cell r="X62" t="str">
            <v>L</v>
          </cell>
          <cell r="Y62">
            <v>0</v>
          </cell>
          <cell r="Z62">
            <v>0</v>
          </cell>
          <cell r="AA62">
            <v>0</v>
          </cell>
          <cell r="AB62">
            <v>0</v>
          </cell>
          <cell r="AC62">
            <v>0</v>
          </cell>
          <cell r="AD62">
            <v>0</v>
          </cell>
          <cell r="AE62">
            <v>0</v>
          </cell>
          <cell r="AF62">
            <v>0</v>
          </cell>
          <cell r="AG62">
            <v>0</v>
          </cell>
          <cell r="AH62">
            <v>0</v>
          </cell>
          <cell r="AI62" t="str">
            <v>L</v>
          </cell>
          <cell r="AJ62" t="str">
            <v>x</v>
          </cell>
          <cell r="AK62" t="str">
            <v>x</v>
          </cell>
          <cell r="AL62">
            <v>22</v>
          </cell>
          <cell r="AM62">
            <v>0</v>
          </cell>
          <cell r="AN62">
            <v>8</v>
          </cell>
          <cell r="AO62">
            <v>6</v>
          </cell>
          <cell r="AP62">
            <v>0</v>
          </cell>
          <cell r="AQ62">
            <v>0</v>
          </cell>
          <cell r="AR62">
            <v>22</v>
          </cell>
          <cell r="AS62" t="str">
            <v>Casual Labour</v>
          </cell>
          <cell r="AV62">
            <v>120</v>
          </cell>
          <cell r="AW62">
            <v>25</v>
          </cell>
          <cell r="AX62">
            <v>30</v>
          </cell>
          <cell r="AY62">
            <v>20</v>
          </cell>
          <cell r="AZ62">
            <v>0.625</v>
          </cell>
        </row>
        <row r="63">
          <cell r="B63">
            <v>2045</v>
          </cell>
          <cell r="C63" t="str">
            <v>Salim Hamed Salem Al khayari</v>
          </cell>
          <cell r="D63">
            <v>39676</v>
          </cell>
          <cell r="E63">
            <v>39765</v>
          </cell>
          <cell r="F63">
            <v>2</v>
          </cell>
          <cell r="G63">
            <v>0</v>
          </cell>
          <cell r="H63">
            <v>6</v>
          </cell>
          <cell r="I63">
            <v>8</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t="str">
            <v>L</v>
          </cell>
          <cell r="Z63" t="str">
            <v>L</v>
          </cell>
          <cell r="AA63" t="str">
            <v>L</v>
          </cell>
          <cell r="AB63" t="str">
            <v>L</v>
          </cell>
          <cell r="AC63" t="str">
            <v>L</v>
          </cell>
          <cell r="AD63" t="str">
            <v>L</v>
          </cell>
          <cell r="AE63" t="str">
            <v>L</v>
          </cell>
          <cell r="AF63" t="str">
            <v>A</v>
          </cell>
          <cell r="AG63" t="str">
            <v>A</v>
          </cell>
          <cell r="AH63" t="str">
            <v>A</v>
          </cell>
          <cell r="AI63" t="str">
            <v>A</v>
          </cell>
          <cell r="AJ63" t="str">
            <v>x</v>
          </cell>
          <cell r="AK63" t="str">
            <v>x</v>
          </cell>
          <cell r="AL63">
            <v>19</v>
          </cell>
          <cell r="AM63">
            <v>0</v>
          </cell>
          <cell r="AN63">
            <v>7</v>
          </cell>
          <cell r="AO63">
            <v>16</v>
          </cell>
          <cell r="AP63">
            <v>0</v>
          </cell>
          <cell r="AQ63">
            <v>0</v>
          </cell>
          <cell r="AR63">
            <v>19</v>
          </cell>
          <cell r="AS63" t="str">
            <v>Casual Labour</v>
          </cell>
          <cell r="AV63">
            <v>120</v>
          </cell>
          <cell r="AW63">
            <v>25</v>
          </cell>
          <cell r="AX63">
            <v>30</v>
          </cell>
          <cell r="AY63">
            <v>20</v>
          </cell>
          <cell r="AZ63">
            <v>0.625</v>
          </cell>
        </row>
        <row r="64">
          <cell r="B64">
            <v>2046</v>
          </cell>
          <cell r="C64" t="str">
            <v>Khalid Jamil Salim Al Yaqoubi</v>
          </cell>
          <cell r="D64">
            <v>39676</v>
          </cell>
          <cell r="E64">
            <v>39766</v>
          </cell>
          <cell r="F64">
            <v>2</v>
          </cell>
          <cell r="G64">
            <v>0</v>
          </cell>
          <cell r="H64">
            <v>0</v>
          </cell>
          <cell r="I64">
            <v>0</v>
          </cell>
          <cell r="J64">
            <v>0</v>
          </cell>
          <cell r="K64">
            <v>0</v>
          </cell>
          <cell r="L64">
            <v>0</v>
          </cell>
          <cell r="M64">
            <v>0</v>
          </cell>
          <cell r="N64">
            <v>0</v>
          </cell>
          <cell r="O64">
            <v>0</v>
          </cell>
          <cell r="P64">
            <v>0</v>
          </cell>
          <cell r="Q64">
            <v>0</v>
          </cell>
          <cell r="R64" t="str">
            <v>L</v>
          </cell>
          <cell r="S64" t="str">
            <v>L</v>
          </cell>
          <cell r="T64" t="str">
            <v>L</v>
          </cell>
          <cell r="U64" t="str">
            <v>L</v>
          </cell>
          <cell r="V64" t="str">
            <v>L</v>
          </cell>
          <cell r="W64" t="str">
            <v>L</v>
          </cell>
          <cell r="X64" t="str">
            <v>L</v>
          </cell>
          <cell r="Y64" t="str">
            <v>A</v>
          </cell>
          <cell r="Z64" t="str">
            <v>A</v>
          </cell>
          <cell r="AA64" t="str">
            <v>A</v>
          </cell>
          <cell r="AB64" t="str">
            <v>A</v>
          </cell>
          <cell r="AC64" t="str">
            <v>A</v>
          </cell>
          <cell r="AD64" t="str">
            <v>A</v>
          </cell>
          <cell r="AE64" t="str">
            <v>A</v>
          </cell>
          <cell r="AF64" t="str">
            <v>x</v>
          </cell>
          <cell r="AG64" t="str">
            <v>x</v>
          </cell>
          <cell r="AH64" t="str">
            <v>x</v>
          </cell>
          <cell r="AI64" t="str">
            <v>x</v>
          </cell>
          <cell r="AJ64" t="str">
            <v>x</v>
          </cell>
          <cell r="AK64" t="str">
            <v>x</v>
          </cell>
          <cell r="AL64">
            <v>12</v>
          </cell>
          <cell r="AM64">
            <v>0</v>
          </cell>
          <cell r="AN64">
            <v>7</v>
          </cell>
          <cell r="AO64">
            <v>2</v>
          </cell>
          <cell r="AP64">
            <v>0</v>
          </cell>
          <cell r="AQ64">
            <v>0</v>
          </cell>
          <cell r="AR64">
            <v>12</v>
          </cell>
          <cell r="AS64" t="str">
            <v>Casual Labour</v>
          </cell>
          <cell r="AV64">
            <v>120</v>
          </cell>
          <cell r="AW64">
            <v>25</v>
          </cell>
          <cell r="AX64">
            <v>30</v>
          </cell>
          <cell r="AY64">
            <v>20</v>
          </cell>
          <cell r="AZ64">
            <v>0.625</v>
          </cell>
        </row>
        <row r="65">
          <cell r="B65">
            <v>2050</v>
          </cell>
          <cell r="C65" t="str">
            <v>Abdull Aziz Hilal Al Nadabi</v>
          </cell>
          <cell r="D65">
            <v>39676</v>
          </cell>
          <cell r="E65">
            <v>39770</v>
          </cell>
          <cell r="F65">
            <v>2</v>
          </cell>
          <cell r="G65">
            <v>7</v>
          </cell>
          <cell r="H65">
            <v>6</v>
          </cell>
          <cell r="I65">
            <v>7</v>
          </cell>
          <cell r="J65">
            <v>0</v>
          </cell>
          <cell r="K65">
            <v>0</v>
          </cell>
          <cell r="L65">
            <v>0</v>
          </cell>
          <cell r="M65">
            <v>0</v>
          </cell>
          <cell r="N65">
            <v>0</v>
          </cell>
          <cell r="O65">
            <v>0</v>
          </cell>
          <cell r="P65">
            <v>0</v>
          </cell>
          <cell r="Q65">
            <v>0</v>
          </cell>
          <cell r="R65" t="str">
            <v>L</v>
          </cell>
          <cell r="S65" t="str">
            <v>L</v>
          </cell>
          <cell r="T65" t="str">
            <v>L</v>
          </cell>
          <cell r="U65" t="str">
            <v>L</v>
          </cell>
          <cell r="V65" t="str">
            <v>L</v>
          </cell>
          <cell r="W65" t="str">
            <v>L</v>
          </cell>
          <cell r="X65" t="str">
            <v>L</v>
          </cell>
          <cell r="Y65">
            <v>0</v>
          </cell>
          <cell r="Z65">
            <v>0</v>
          </cell>
          <cell r="AA65">
            <v>0</v>
          </cell>
          <cell r="AB65">
            <v>0</v>
          </cell>
          <cell r="AC65">
            <v>0</v>
          </cell>
          <cell r="AD65">
            <v>0</v>
          </cell>
          <cell r="AE65" t="str">
            <v>A</v>
          </cell>
          <cell r="AF65" t="str">
            <v>A</v>
          </cell>
          <cell r="AG65" t="str">
            <v>A</v>
          </cell>
          <cell r="AH65" t="str">
            <v>A</v>
          </cell>
          <cell r="AI65" t="str">
            <v>A</v>
          </cell>
          <cell r="AJ65" t="str">
            <v>x</v>
          </cell>
          <cell r="AK65" t="str">
            <v>x</v>
          </cell>
          <cell r="AL65">
            <v>18</v>
          </cell>
          <cell r="AM65">
            <v>0</v>
          </cell>
          <cell r="AN65">
            <v>7</v>
          </cell>
          <cell r="AO65">
            <v>22</v>
          </cell>
          <cell r="AP65">
            <v>0</v>
          </cell>
          <cell r="AQ65">
            <v>0</v>
          </cell>
          <cell r="AR65">
            <v>18</v>
          </cell>
          <cell r="AS65" t="str">
            <v>Casual Labour</v>
          </cell>
          <cell r="AV65">
            <v>120</v>
          </cell>
          <cell r="AW65">
            <v>25</v>
          </cell>
          <cell r="AX65">
            <v>30</v>
          </cell>
          <cell r="AY65">
            <v>20</v>
          </cell>
          <cell r="AZ65">
            <v>0.625</v>
          </cell>
        </row>
        <row r="66">
          <cell r="B66">
            <v>2060</v>
          </cell>
          <cell r="C66" t="str">
            <v>Adil Sulaiman Abdullah</v>
          </cell>
          <cell r="D66">
            <v>39678</v>
          </cell>
          <cell r="E66">
            <v>39780</v>
          </cell>
          <cell r="F66">
            <v>2</v>
          </cell>
          <cell r="G66">
            <v>0</v>
          </cell>
          <cell r="H66">
            <v>0</v>
          </cell>
          <cell r="I66">
            <v>4</v>
          </cell>
          <cell r="J66">
            <v>0</v>
          </cell>
          <cell r="K66">
            <v>0</v>
          </cell>
          <cell r="L66">
            <v>0</v>
          </cell>
          <cell r="M66">
            <v>0</v>
          </cell>
          <cell r="N66">
            <v>0</v>
          </cell>
          <cell r="O66">
            <v>0</v>
          </cell>
          <cell r="P66">
            <v>0</v>
          </cell>
          <cell r="Q66">
            <v>7</v>
          </cell>
          <cell r="R66">
            <v>0</v>
          </cell>
          <cell r="S66">
            <v>0</v>
          </cell>
          <cell r="T66">
            <v>0</v>
          </cell>
          <cell r="U66">
            <v>7</v>
          </cell>
          <cell r="V66">
            <v>0</v>
          </cell>
          <cell r="W66">
            <v>0</v>
          </cell>
          <cell r="X66">
            <v>0</v>
          </cell>
          <cell r="Y66" t="str">
            <v>L</v>
          </cell>
          <cell r="Z66" t="str">
            <v>L</v>
          </cell>
          <cell r="AA66" t="str">
            <v>L</v>
          </cell>
          <cell r="AB66" t="str">
            <v>L</v>
          </cell>
          <cell r="AC66" t="str">
            <v>L</v>
          </cell>
          <cell r="AD66" t="str">
            <v>L</v>
          </cell>
          <cell r="AE66" t="str">
            <v>L</v>
          </cell>
          <cell r="AF66">
            <v>7.5</v>
          </cell>
          <cell r="AG66">
            <v>0</v>
          </cell>
          <cell r="AH66">
            <v>0</v>
          </cell>
          <cell r="AI66" t="str">
            <v>L</v>
          </cell>
          <cell r="AJ66" t="str">
            <v>x</v>
          </cell>
          <cell r="AK66" t="str">
            <v>x</v>
          </cell>
          <cell r="AL66">
            <v>22</v>
          </cell>
          <cell r="AM66">
            <v>0</v>
          </cell>
          <cell r="AN66">
            <v>8</v>
          </cell>
          <cell r="AO66">
            <v>27.5</v>
          </cell>
          <cell r="AP66">
            <v>0</v>
          </cell>
          <cell r="AQ66">
            <v>0</v>
          </cell>
          <cell r="AR66">
            <v>22</v>
          </cell>
          <cell r="AS66" t="str">
            <v>Casual Labour</v>
          </cell>
          <cell r="AV66">
            <v>120</v>
          </cell>
          <cell r="AW66">
            <v>25</v>
          </cell>
          <cell r="AX66">
            <v>30</v>
          </cell>
          <cell r="AY66">
            <v>20</v>
          </cell>
          <cell r="AZ66">
            <v>0.625</v>
          </cell>
        </row>
        <row r="67">
          <cell r="B67">
            <v>2068</v>
          </cell>
          <cell r="C67" t="str">
            <v>Mazein Mohamed Harith Al Fahdi</v>
          </cell>
          <cell r="D67">
            <v>39679</v>
          </cell>
          <cell r="E67">
            <v>39764</v>
          </cell>
          <cell r="F67">
            <v>2</v>
          </cell>
          <cell r="G67">
            <v>0</v>
          </cell>
          <cell r="H67">
            <v>0</v>
          </cell>
          <cell r="I67">
            <v>0</v>
          </cell>
          <cell r="J67">
            <v>0</v>
          </cell>
          <cell r="K67">
            <v>0</v>
          </cell>
          <cell r="L67">
            <v>0</v>
          </cell>
          <cell r="M67">
            <v>0</v>
          </cell>
          <cell r="N67">
            <v>6</v>
          </cell>
          <cell r="O67">
            <v>7</v>
          </cell>
          <cell r="P67">
            <v>7</v>
          </cell>
          <cell r="Q67">
            <v>0</v>
          </cell>
          <cell r="R67">
            <v>7</v>
          </cell>
          <cell r="S67">
            <v>0</v>
          </cell>
          <cell r="T67">
            <v>0</v>
          </cell>
          <cell r="U67">
            <v>0</v>
          </cell>
          <cell r="V67">
            <v>0</v>
          </cell>
          <cell r="W67">
            <v>0</v>
          </cell>
          <cell r="X67">
            <v>0</v>
          </cell>
          <cell r="Y67" t="str">
            <v>L</v>
          </cell>
          <cell r="Z67" t="str">
            <v>L</v>
          </cell>
          <cell r="AA67" t="str">
            <v>L</v>
          </cell>
          <cell r="AB67" t="str">
            <v>L</v>
          </cell>
          <cell r="AC67" t="str">
            <v>L</v>
          </cell>
          <cell r="AD67" t="str">
            <v>L</v>
          </cell>
          <cell r="AE67" t="str">
            <v>L</v>
          </cell>
          <cell r="AF67">
            <v>0</v>
          </cell>
          <cell r="AG67">
            <v>0</v>
          </cell>
          <cell r="AH67">
            <v>0</v>
          </cell>
          <cell r="AI67" t="str">
            <v>L</v>
          </cell>
          <cell r="AJ67" t="str">
            <v>x</v>
          </cell>
          <cell r="AK67" t="str">
            <v>x</v>
          </cell>
          <cell r="AL67">
            <v>22</v>
          </cell>
          <cell r="AM67">
            <v>0</v>
          </cell>
          <cell r="AN67">
            <v>8</v>
          </cell>
          <cell r="AO67">
            <v>29</v>
          </cell>
          <cell r="AP67">
            <v>0</v>
          </cell>
          <cell r="AQ67">
            <v>0</v>
          </cell>
          <cell r="AR67">
            <v>22</v>
          </cell>
          <cell r="AS67" t="str">
            <v>Casual Labour</v>
          </cell>
          <cell r="AV67">
            <v>120</v>
          </cell>
          <cell r="AW67">
            <v>25</v>
          </cell>
          <cell r="AX67">
            <v>30</v>
          </cell>
          <cell r="AY67">
            <v>20</v>
          </cell>
          <cell r="AZ67">
            <v>0.625</v>
          </cell>
        </row>
        <row r="68">
          <cell r="B68">
            <v>2069</v>
          </cell>
          <cell r="C68" t="str">
            <v>Sami Salim Harith  Al Fahdi</v>
          </cell>
          <cell r="D68">
            <v>39679</v>
          </cell>
          <cell r="E68">
            <v>39764</v>
          </cell>
          <cell r="F68">
            <v>2</v>
          </cell>
          <cell r="G68">
            <v>0</v>
          </cell>
          <cell r="H68">
            <v>0</v>
          </cell>
          <cell r="I68">
            <v>0</v>
          </cell>
          <cell r="J68">
            <v>0</v>
          </cell>
          <cell r="K68">
            <v>0</v>
          </cell>
          <cell r="L68">
            <v>0</v>
          </cell>
          <cell r="M68">
            <v>0</v>
          </cell>
          <cell r="N68">
            <v>0</v>
          </cell>
          <cell r="O68">
            <v>0</v>
          </cell>
          <cell r="P68" t="str">
            <v>x</v>
          </cell>
          <cell r="Q68" t="str">
            <v>x</v>
          </cell>
          <cell r="R68" t="str">
            <v>x</v>
          </cell>
          <cell r="S68" t="str">
            <v>x</v>
          </cell>
          <cell r="T68" t="str">
            <v>x</v>
          </cell>
          <cell r="U68" t="str">
            <v>x</v>
          </cell>
          <cell r="V68" t="str">
            <v>x</v>
          </cell>
          <cell r="W68" t="str">
            <v>x</v>
          </cell>
          <cell r="X68" t="str">
            <v>x</v>
          </cell>
          <cell r="Y68" t="str">
            <v>x</v>
          </cell>
          <cell r="Z68" t="str">
            <v>x</v>
          </cell>
          <cell r="AA68" t="str">
            <v>x</v>
          </cell>
          <cell r="AB68" t="str">
            <v>x</v>
          </cell>
          <cell r="AC68" t="str">
            <v>x</v>
          </cell>
          <cell r="AD68" t="str">
            <v>x</v>
          </cell>
          <cell r="AE68" t="str">
            <v>x</v>
          </cell>
          <cell r="AF68" t="str">
            <v>x</v>
          </cell>
          <cell r="AG68" t="str">
            <v>x</v>
          </cell>
          <cell r="AH68" t="str">
            <v>x</v>
          </cell>
          <cell r="AI68" t="str">
            <v>x</v>
          </cell>
          <cell r="AJ68" t="str">
            <v>x</v>
          </cell>
          <cell r="AK68" t="str">
            <v>x</v>
          </cell>
          <cell r="AL68">
            <v>10</v>
          </cell>
          <cell r="AM68">
            <v>0</v>
          </cell>
          <cell r="AN68">
            <v>0</v>
          </cell>
          <cell r="AO68">
            <v>2</v>
          </cell>
          <cell r="AP68">
            <v>0</v>
          </cell>
          <cell r="AQ68">
            <v>0</v>
          </cell>
          <cell r="AR68">
            <v>10</v>
          </cell>
          <cell r="AS68" t="str">
            <v>Casual Labour</v>
          </cell>
          <cell r="AV68">
            <v>120</v>
          </cell>
          <cell r="AW68">
            <v>25</v>
          </cell>
          <cell r="AX68">
            <v>30</v>
          </cell>
          <cell r="AY68">
            <v>20</v>
          </cell>
          <cell r="AZ68">
            <v>0.625</v>
          </cell>
        </row>
        <row r="69">
          <cell r="B69">
            <v>2071</v>
          </cell>
          <cell r="C69" t="str">
            <v>Rashid Abdullah Suliman Al  Ruzaiqi</v>
          </cell>
          <cell r="D69">
            <v>39682</v>
          </cell>
          <cell r="E69">
            <v>39767</v>
          </cell>
          <cell r="F69">
            <v>2</v>
          </cell>
          <cell r="G69">
            <v>0</v>
          </cell>
          <cell r="H69">
            <v>0</v>
          </cell>
          <cell r="I69">
            <v>0</v>
          </cell>
          <cell r="J69">
            <v>0</v>
          </cell>
          <cell r="K69">
            <v>0</v>
          </cell>
          <cell r="L69">
            <v>0</v>
          </cell>
          <cell r="M69">
            <v>0</v>
          </cell>
          <cell r="N69">
            <v>6</v>
          </cell>
          <cell r="O69">
            <v>7</v>
          </cell>
          <cell r="P69">
            <v>7</v>
          </cell>
          <cell r="Q69">
            <v>7</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10</v>
          </cell>
          <cell r="AJ69" t="str">
            <v>x</v>
          </cell>
          <cell r="AK69" t="str">
            <v>x</v>
          </cell>
          <cell r="AL69">
            <v>30</v>
          </cell>
          <cell r="AM69">
            <v>0</v>
          </cell>
          <cell r="AN69">
            <v>0</v>
          </cell>
          <cell r="AO69">
            <v>39</v>
          </cell>
          <cell r="AP69">
            <v>0</v>
          </cell>
          <cell r="AQ69">
            <v>0</v>
          </cell>
          <cell r="AR69">
            <v>30</v>
          </cell>
          <cell r="AS69" t="str">
            <v>Casual Labour</v>
          </cell>
          <cell r="AV69">
            <v>120</v>
          </cell>
          <cell r="AW69">
            <v>25</v>
          </cell>
          <cell r="AX69">
            <v>30</v>
          </cell>
          <cell r="AY69">
            <v>20</v>
          </cell>
          <cell r="AZ69">
            <v>0.625</v>
          </cell>
        </row>
        <row r="70">
          <cell r="B70">
            <v>2072</v>
          </cell>
          <cell r="C70" t="str">
            <v>Ahamed Nasser Ahamed Al Shibani</v>
          </cell>
          <cell r="D70">
            <v>39682</v>
          </cell>
          <cell r="E70">
            <v>39767</v>
          </cell>
          <cell r="F70" t="str">
            <v>A</v>
          </cell>
          <cell r="G70">
            <v>7</v>
          </cell>
          <cell r="H70">
            <v>6</v>
          </cell>
          <cell r="I70">
            <v>4</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t="str">
            <v>L</v>
          </cell>
          <cell r="Z70" t="str">
            <v>L</v>
          </cell>
          <cell r="AA70" t="str">
            <v>L</v>
          </cell>
          <cell r="AB70" t="str">
            <v>L</v>
          </cell>
          <cell r="AC70" t="str">
            <v>L</v>
          </cell>
          <cell r="AD70" t="str">
            <v>L</v>
          </cell>
          <cell r="AE70" t="str">
            <v>L</v>
          </cell>
          <cell r="AF70" t="str">
            <v>A</v>
          </cell>
          <cell r="AG70" t="str">
            <v>A</v>
          </cell>
          <cell r="AH70" t="str">
            <v>A</v>
          </cell>
          <cell r="AI70" t="str">
            <v>A</v>
          </cell>
          <cell r="AJ70" t="str">
            <v>x</v>
          </cell>
          <cell r="AK70" t="str">
            <v>x</v>
          </cell>
          <cell r="AL70">
            <v>18</v>
          </cell>
          <cell r="AM70">
            <v>0</v>
          </cell>
          <cell r="AN70">
            <v>7</v>
          </cell>
          <cell r="AO70">
            <v>17</v>
          </cell>
          <cell r="AP70">
            <v>0</v>
          </cell>
          <cell r="AQ70">
            <v>0</v>
          </cell>
          <cell r="AR70">
            <v>18</v>
          </cell>
          <cell r="AS70" t="str">
            <v>Casual Labour</v>
          </cell>
          <cell r="AV70">
            <v>120</v>
          </cell>
          <cell r="AW70">
            <v>25</v>
          </cell>
          <cell r="AX70">
            <v>30</v>
          </cell>
          <cell r="AY70">
            <v>20</v>
          </cell>
          <cell r="AZ70">
            <v>0.625</v>
          </cell>
        </row>
        <row r="71">
          <cell r="B71">
            <v>2073</v>
          </cell>
          <cell r="C71" t="str">
            <v>Mohameed  Salim  Ahmaed  Alshabani</v>
          </cell>
          <cell r="D71">
            <v>39682</v>
          </cell>
          <cell r="E71">
            <v>39767</v>
          </cell>
          <cell r="F71" t="str">
            <v>A</v>
          </cell>
          <cell r="G71">
            <v>0</v>
          </cell>
          <cell r="H71">
            <v>6</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t="str">
            <v>L</v>
          </cell>
          <cell r="Z71" t="str">
            <v>L</v>
          </cell>
          <cell r="AA71" t="str">
            <v>L</v>
          </cell>
          <cell r="AB71" t="str">
            <v>L</v>
          </cell>
          <cell r="AC71" t="str">
            <v>L</v>
          </cell>
          <cell r="AD71" t="str">
            <v>L</v>
          </cell>
          <cell r="AE71" t="str">
            <v>L</v>
          </cell>
          <cell r="AF71" t="str">
            <v>A</v>
          </cell>
          <cell r="AG71" t="str">
            <v>A</v>
          </cell>
          <cell r="AH71" t="str">
            <v>A</v>
          </cell>
          <cell r="AI71" t="str">
            <v>A</v>
          </cell>
          <cell r="AJ71" t="str">
            <v>x</v>
          </cell>
          <cell r="AK71" t="str">
            <v>x</v>
          </cell>
          <cell r="AL71">
            <v>18</v>
          </cell>
          <cell r="AM71">
            <v>0</v>
          </cell>
          <cell r="AN71">
            <v>7</v>
          </cell>
          <cell r="AO71">
            <v>6</v>
          </cell>
          <cell r="AP71">
            <v>0</v>
          </cell>
          <cell r="AQ71">
            <v>0</v>
          </cell>
          <cell r="AR71">
            <v>18</v>
          </cell>
          <cell r="AS71" t="str">
            <v>Casual Labour</v>
          </cell>
          <cell r="AV71">
            <v>120</v>
          </cell>
          <cell r="AW71">
            <v>25</v>
          </cell>
          <cell r="AX71">
            <v>30</v>
          </cell>
          <cell r="AY71">
            <v>20</v>
          </cell>
          <cell r="AZ71">
            <v>0.625</v>
          </cell>
        </row>
        <row r="72">
          <cell r="B72">
            <v>2074</v>
          </cell>
          <cell r="C72" t="str">
            <v>Ibrahim  Nasser Ahamed  Al Shaibani</v>
          </cell>
          <cell r="D72">
            <v>39682</v>
          </cell>
          <cell r="E72">
            <v>39767</v>
          </cell>
          <cell r="F72" t="str">
            <v>A</v>
          </cell>
          <cell r="G72">
            <v>0</v>
          </cell>
          <cell r="H72">
            <v>0</v>
          </cell>
          <cell r="I72">
            <v>4</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t="str">
            <v>L</v>
          </cell>
          <cell r="Z72" t="str">
            <v>L</v>
          </cell>
          <cell r="AA72" t="str">
            <v>L</v>
          </cell>
          <cell r="AB72" t="str">
            <v>L</v>
          </cell>
          <cell r="AC72" t="str">
            <v>L</v>
          </cell>
          <cell r="AD72" t="str">
            <v>L</v>
          </cell>
          <cell r="AE72" t="str">
            <v>L</v>
          </cell>
          <cell r="AF72" t="str">
            <v>A</v>
          </cell>
          <cell r="AG72" t="str">
            <v>A</v>
          </cell>
          <cell r="AH72" t="str">
            <v>A</v>
          </cell>
          <cell r="AI72" t="str">
            <v>A</v>
          </cell>
          <cell r="AJ72" t="str">
            <v>x</v>
          </cell>
          <cell r="AK72" t="str">
            <v>x</v>
          </cell>
          <cell r="AL72">
            <v>18</v>
          </cell>
          <cell r="AM72">
            <v>0</v>
          </cell>
          <cell r="AN72">
            <v>7</v>
          </cell>
          <cell r="AO72">
            <v>4</v>
          </cell>
          <cell r="AP72">
            <v>0</v>
          </cell>
          <cell r="AQ72">
            <v>0</v>
          </cell>
          <cell r="AR72">
            <v>18</v>
          </cell>
          <cell r="AS72" t="str">
            <v>Casual Labour</v>
          </cell>
          <cell r="AV72">
            <v>120</v>
          </cell>
          <cell r="AW72">
            <v>25</v>
          </cell>
          <cell r="AX72">
            <v>30</v>
          </cell>
          <cell r="AY72">
            <v>20</v>
          </cell>
          <cell r="AZ72">
            <v>0.625</v>
          </cell>
        </row>
        <row r="73">
          <cell r="B73">
            <v>2075</v>
          </cell>
          <cell r="C73" t="str">
            <v>Sami Abdula Said Al Nassri</v>
          </cell>
          <cell r="D73">
            <v>39683</v>
          </cell>
          <cell r="E73">
            <v>39768</v>
          </cell>
          <cell r="F73">
            <v>2</v>
          </cell>
          <cell r="G73">
            <v>0</v>
          </cell>
          <cell r="H73">
            <v>0</v>
          </cell>
          <cell r="I73">
            <v>4</v>
          </cell>
          <cell r="J73">
            <v>0</v>
          </cell>
          <cell r="K73">
            <v>0</v>
          </cell>
          <cell r="L73">
            <v>0</v>
          </cell>
          <cell r="M73">
            <v>0</v>
          </cell>
          <cell r="N73">
            <v>0</v>
          </cell>
          <cell r="O73">
            <v>0</v>
          </cell>
          <cell r="P73">
            <v>0</v>
          </cell>
          <cell r="Q73">
            <v>0</v>
          </cell>
          <cell r="R73">
            <v>0</v>
          </cell>
          <cell r="S73">
            <v>0</v>
          </cell>
          <cell r="T73">
            <v>7</v>
          </cell>
          <cell r="U73">
            <v>0</v>
          </cell>
          <cell r="V73">
            <v>0</v>
          </cell>
          <cell r="W73">
            <v>0</v>
          </cell>
          <cell r="X73">
            <v>0</v>
          </cell>
          <cell r="Y73" t="str">
            <v>L</v>
          </cell>
          <cell r="Z73" t="str">
            <v>L</v>
          </cell>
          <cell r="AA73" t="str">
            <v>L</v>
          </cell>
          <cell r="AB73" t="str">
            <v>L</v>
          </cell>
          <cell r="AC73" t="str">
            <v>L</v>
          </cell>
          <cell r="AD73" t="str">
            <v>L</v>
          </cell>
          <cell r="AE73" t="str">
            <v>L</v>
          </cell>
          <cell r="AF73">
            <v>0</v>
          </cell>
          <cell r="AG73">
            <v>0</v>
          </cell>
          <cell r="AH73">
            <v>0</v>
          </cell>
          <cell r="AI73" t="str">
            <v>L</v>
          </cell>
          <cell r="AJ73" t="str">
            <v>x</v>
          </cell>
          <cell r="AK73" t="str">
            <v>x</v>
          </cell>
          <cell r="AL73">
            <v>22</v>
          </cell>
          <cell r="AM73">
            <v>0</v>
          </cell>
          <cell r="AN73">
            <v>8</v>
          </cell>
          <cell r="AO73">
            <v>13</v>
          </cell>
          <cell r="AP73">
            <v>0</v>
          </cell>
          <cell r="AQ73">
            <v>0</v>
          </cell>
          <cell r="AR73">
            <v>22</v>
          </cell>
          <cell r="AS73" t="str">
            <v>Casual Labour</v>
          </cell>
          <cell r="AV73">
            <v>120</v>
          </cell>
          <cell r="AW73">
            <v>25</v>
          </cell>
          <cell r="AX73">
            <v>30</v>
          </cell>
          <cell r="AY73">
            <v>20</v>
          </cell>
          <cell r="AZ73">
            <v>0.625</v>
          </cell>
        </row>
        <row r="74">
          <cell r="B74">
            <v>2076</v>
          </cell>
          <cell r="C74" t="str">
            <v>Hamed Saif  Fadhel  Al Subhi</v>
          </cell>
          <cell r="D74">
            <v>39683</v>
          </cell>
          <cell r="E74">
            <v>39768</v>
          </cell>
          <cell r="F74">
            <v>2</v>
          </cell>
          <cell r="G74">
            <v>0</v>
          </cell>
          <cell r="H74">
            <v>0</v>
          </cell>
          <cell r="I74">
            <v>4</v>
          </cell>
          <cell r="J74">
            <v>0</v>
          </cell>
          <cell r="K74">
            <v>0</v>
          </cell>
          <cell r="L74">
            <v>0</v>
          </cell>
          <cell r="M74">
            <v>0</v>
          </cell>
          <cell r="N74">
            <v>0</v>
          </cell>
          <cell r="O74">
            <v>0</v>
          </cell>
          <cell r="P74">
            <v>0</v>
          </cell>
          <cell r="Q74">
            <v>0</v>
          </cell>
          <cell r="R74">
            <v>0</v>
          </cell>
          <cell r="S74">
            <v>0</v>
          </cell>
          <cell r="T74">
            <v>5</v>
          </cell>
          <cell r="U74">
            <v>0</v>
          </cell>
          <cell r="V74">
            <v>0</v>
          </cell>
          <cell r="W74">
            <v>0</v>
          </cell>
          <cell r="X74">
            <v>0</v>
          </cell>
          <cell r="Y74" t="str">
            <v>L</v>
          </cell>
          <cell r="Z74" t="str">
            <v>L</v>
          </cell>
          <cell r="AA74" t="str">
            <v>L</v>
          </cell>
          <cell r="AB74" t="str">
            <v>L</v>
          </cell>
          <cell r="AC74" t="str">
            <v>L</v>
          </cell>
          <cell r="AD74" t="str">
            <v>L</v>
          </cell>
          <cell r="AE74" t="str">
            <v>L</v>
          </cell>
          <cell r="AF74" t="str">
            <v>A</v>
          </cell>
          <cell r="AG74" t="str">
            <v>A</v>
          </cell>
          <cell r="AH74" t="str">
            <v>A</v>
          </cell>
          <cell r="AI74" t="str">
            <v>A</v>
          </cell>
          <cell r="AJ74" t="str">
            <v>x</v>
          </cell>
          <cell r="AK74" t="str">
            <v>x</v>
          </cell>
          <cell r="AL74">
            <v>19</v>
          </cell>
          <cell r="AM74">
            <v>0</v>
          </cell>
          <cell r="AN74">
            <v>7</v>
          </cell>
          <cell r="AO74">
            <v>11</v>
          </cell>
          <cell r="AP74">
            <v>0</v>
          </cell>
          <cell r="AQ74">
            <v>0</v>
          </cell>
          <cell r="AR74">
            <v>19</v>
          </cell>
          <cell r="AS74" t="str">
            <v>Casual Labour</v>
          </cell>
          <cell r="AV74">
            <v>120</v>
          </cell>
          <cell r="AW74">
            <v>25</v>
          </cell>
          <cell r="AX74">
            <v>30</v>
          </cell>
          <cell r="AY74">
            <v>20</v>
          </cell>
          <cell r="AZ74">
            <v>0.625</v>
          </cell>
        </row>
        <row r="75">
          <cell r="B75">
            <v>2077</v>
          </cell>
          <cell r="C75" t="str">
            <v>Hautham Hamed Saif  Al Busaidi</v>
          </cell>
          <cell r="D75">
            <v>39683</v>
          </cell>
          <cell r="E75">
            <v>39768</v>
          </cell>
          <cell r="F75">
            <v>2</v>
          </cell>
          <cell r="G75">
            <v>0</v>
          </cell>
          <cell r="H75">
            <v>0</v>
          </cell>
          <cell r="I75">
            <v>4</v>
          </cell>
          <cell r="J75">
            <v>0</v>
          </cell>
          <cell r="K75">
            <v>0</v>
          </cell>
          <cell r="L75">
            <v>0</v>
          </cell>
          <cell r="M75">
            <v>0</v>
          </cell>
          <cell r="N75">
            <v>0</v>
          </cell>
          <cell r="O75">
            <v>0</v>
          </cell>
          <cell r="P75">
            <v>0</v>
          </cell>
          <cell r="Q75" t="str">
            <v>x</v>
          </cell>
          <cell r="R75" t="str">
            <v>x</v>
          </cell>
          <cell r="S75" t="str">
            <v>x</v>
          </cell>
          <cell r="T75" t="str">
            <v>x</v>
          </cell>
          <cell r="U75" t="str">
            <v>x</v>
          </cell>
          <cell r="V75" t="str">
            <v>x</v>
          </cell>
          <cell r="W75" t="str">
            <v>x</v>
          </cell>
          <cell r="X75" t="str">
            <v>x</v>
          </cell>
          <cell r="Y75" t="str">
            <v>x</v>
          </cell>
          <cell r="Z75" t="str">
            <v>x</v>
          </cell>
          <cell r="AA75" t="str">
            <v>x</v>
          </cell>
          <cell r="AB75" t="str">
            <v>x</v>
          </cell>
          <cell r="AC75" t="str">
            <v>x</v>
          </cell>
          <cell r="AD75" t="str">
            <v>x</v>
          </cell>
          <cell r="AE75" t="str">
            <v>x</v>
          </cell>
          <cell r="AF75" t="str">
            <v>x</v>
          </cell>
          <cell r="AG75" t="str">
            <v>x</v>
          </cell>
          <cell r="AH75" t="str">
            <v>x</v>
          </cell>
          <cell r="AI75" t="str">
            <v>x</v>
          </cell>
          <cell r="AJ75" t="str">
            <v>x</v>
          </cell>
          <cell r="AK75" t="str">
            <v>x</v>
          </cell>
          <cell r="AL75">
            <v>11</v>
          </cell>
          <cell r="AM75">
            <v>0</v>
          </cell>
          <cell r="AN75">
            <v>0</v>
          </cell>
          <cell r="AO75">
            <v>6</v>
          </cell>
          <cell r="AP75">
            <v>0</v>
          </cell>
          <cell r="AQ75">
            <v>0</v>
          </cell>
          <cell r="AR75">
            <v>11</v>
          </cell>
          <cell r="AS75" t="str">
            <v>Casual Labour</v>
          </cell>
          <cell r="AV75">
            <v>120</v>
          </cell>
          <cell r="AW75">
            <v>25</v>
          </cell>
          <cell r="AX75">
            <v>30</v>
          </cell>
          <cell r="AY75">
            <v>20</v>
          </cell>
          <cell r="AZ75">
            <v>0.625</v>
          </cell>
        </row>
        <row r="76">
          <cell r="B76">
            <v>2078</v>
          </cell>
          <cell r="C76" t="str">
            <v>Ayoob Ali Mohamed Al Rawahi</v>
          </cell>
          <cell r="D76">
            <v>39683</v>
          </cell>
          <cell r="E76">
            <v>39768</v>
          </cell>
          <cell r="F76">
            <v>2</v>
          </cell>
          <cell r="G76">
            <v>0</v>
          </cell>
          <cell r="H76">
            <v>0</v>
          </cell>
          <cell r="I76">
            <v>4</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t="str">
            <v>x</v>
          </cell>
          <cell r="Y76" t="str">
            <v>x</v>
          </cell>
          <cell r="Z76" t="str">
            <v>x</v>
          </cell>
          <cell r="AA76" t="str">
            <v>x</v>
          </cell>
          <cell r="AB76" t="str">
            <v>x</v>
          </cell>
          <cell r="AC76" t="str">
            <v>x</v>
          </cell>
          <cell r="AD76" t="str">
            <v>x</v>
          </cell>
          <cell r="AE76" t="str">
            <v>x</v>
          </cell>
          <cell r="AF76" t="str">
            <v>x</v>
          </cell>
          <cell r="AG76" t="str">
            <v>x</v>
          </cell>
          <cell r="AH76" t="str">
            <v>x</v>
          </cell>
          <cell r="AI76" t="str">
            <v>x</v>
          </cell>
          <cell r="AJ76" t="str">
            <v>x</v>
          </cell>
          <cell r="AK76" t="str">
            <v>x</v>
          </cell>
          <cell r="AL76">
            <v>18</v>
          </cell>
          <cell r="AM76">
            <v>0</v>
          </cell>
          <cell r="AN76">
            <v>0</v>
          </cell>
          <cell r="AO76">
            <v>6</v>
          </cell>
          <cell r="AP76">
            <v>0</v>
          </cell>
          <cell r="AQ76">
            <v>0</v>
          </cell>
          <cell r="AR76">
            <v>18</v>
          </cell>
          <cell r="AS76" t="str">
            <v>Casual Labour</v>
          </cell>
          <cell r="AV76">
            <v>120</v>
          </cell>
          <cell r="AW76">
            <v>25</v>
          </cell>
          <cell r="AX76">
            <v>30</v>
          </cell>
          <cell r="AY76">
            <v>20</v>
          </cell>
          <cell r="AZ76">
            <v>0.625</v>
          </cell>
        </row>
        <row r="77">
          <cell r="B77">
            <v>2079</v>
          </cell>
          <cell r="C77" t="str">
            <v xml:space="preserve">Haitham Nasser Mohammed  Al Rawahi </v>
          </cell>
          <cell r="D77">
            <v>39683</v>
          </cell>
          <cell r="E77">
            <v>39768</v>
          </cell>
          <cell r="F77">
            <v>2</v>
          </cell>
          <cell r="G77">
            <v>0</v>
          </cell>
          <cell r="H77">
            <v>3</v>
          </cell>
          <cell r="I77">
            <v>3</v>
          </cell>
          <cell r="J77">
            <v>4</v>
          </cell>
          <cell r="K77">
            <v>4</v>
          </cell>
          <cell r="L77">
            <v>0</v>
          </cell>
          <cell r="M77">
            <v>0</v>
          </cell>
          <cell r="N77">
            <v>0</v>
          </cell>
          <cell r="O77">
            <v>0</v>
          </cell>
          <cell r="P77">
            <v>0</v>
          </cell>
          <cell r="Q77">
            <v>0</v>
          </cell>
          <cell r="R77">
            <v>0</v>
          </cell>
          <cell r="S77">
            <v>0</v>
          </cell>
          <cell r="T77">
            <v>0</v>
          </cell>
          <cell r="U77">
            <v>0</v>
          </cell>
          <cell r="V77">
            <v>0</v>
          </cell>
          <cell r="W77">
            <v>0</v>
          </cell>
          <cell r="X77">
            <v>0</v>
          </cell>
          <cell r="Y77" t="str">
            <v>L</v>
          </cell>
          <cell r="Z77" t="str">
            <v>L</v>
          </cell>
          <cell r="AA77" t="str">
            <v>L</v>
          </cell>
          <cell r="AB77" t="str">
            <v>L</v>
          </cell>
          <cell r="AC77" t="str">
            <v>L</v>
          </cell>
          <cell r="AD77" t="str">
            <v>L</v>
          </cell>
          <cell r="AE77" t="str">
            <v>L</v>
          </cell>
          <cell r="AF77" t="str">
            <v>A</v>
          </cell>
          <cell r="AG77" t="str">
            <v>A</v>
          </cell>
          <cell r="AH77" t="str">
            <v>A</v>
          </cell>
          <cell r="AI77" t="str">
            <v>A</v>
          </cell>
          <cell r="AJ77" t="str">
            <v>x</v>
          </cell>
          <cell r="AK77" t="str">
            <v>x</v>
          </cell>
          <cell r="AL77">
            <v>19</v>
          </cell>
          <cell r="AM77">
            <v>0</v>
          </cell>
          <cell r="AN77">
            <v>7</v>
          </cell>
          <cell r="AO77">
            <v>16</v>
          </cell>
          <cell r="AP77">
            <v>0</v>
          </cell>
          <cell r="AQ77">
            <v>0</v>
          </cell>
          <cell r="AR77">
            <v>19</v>
          </cell>
          <cell r="AS77" t="str">
            <v>Casual Labour</v>
          </cell>
          <cell r="AV77">
            <v>120</v>
          </cell>
          <cell r="AW77">
            <v>25</v>
          </cell>
          <cell r="AX77">
            <v>30</v>
          </cell>
          <cell r="AY77">
            <v>20</v>
          </cell>
          <cell r="AZ77">
            <v>0.625</v>
          </cell>
        </row>
        <row r="78">
          <cell r="B78">
            <v>2080</v>
          </cell>
          <cell r="C78" t="str">
            <v>Salim Said Hamed Al Rawahi</v>
          </cell>
          <cell r="D78">
            <v>39683</v>
          </cell>
          <cell r="E78">
            <v>39768</v>
          </cell>
          <cell r="F78">
            <v>2</v>
          </cell>
          <cell r="G78">
            <v>0</v>
          </cell>
          <cell r="H78">
            <v>0</v>
          </cell>
          <cell r="I78">
            <v>4</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t="str">
            <v>x</v>
          </cell>
          <cell r="Y78" t="str">
            <v>x</v>
          </cell>
          <cell r="Z78" t="str">
            <v>x</v>
          </cell>
          <cell r="AA78" t="str">
            <v>x</v>
          </cell>
          <cell r="AB78" t="str">
            <v>x</v>
          </cell>
          <cell r="AC78" t="str">
            <v>x</v>
          </cell>
          <cell r="AD78" t="str">
            <v>x</v>
          </cell>
          <cell r="AE78" t="str">
            <v>x</v>
          </cell>
          <cell r="AF78" t="str">
            <v>x</v>
          </cell>
          <cell r="AG78" t="str">
            <v>x</v>
          </cell>
          <cell r="AH78" t="str">
            <v>x</v>
          </cell>
          <cell r="AI78" t="str">
            <v>x</v>
          </cell>
          <cell r="AJ78" t="str">
            <v>x</v>
          </cell>
          <cell r="AK78" t="str">
            <v>x</v>
          </cell>
          <cell r="AL78">
            <v>18</v>
          </cell>
          <cell r="AM78">
            <v>0</v>
          </cell>
          <cell r="AN78">
            <v>0</v>
          </cell>
          <cell r="AO78">
            <v>6</v>
          </cell>
          <cell r="AP78">
            <v>0</v>
          </cell>
          <cell r="AQ78">
            <v>0</v>
          </cell>
          <cell r="AR78">
            <v>18</v>
          </cell>
          <cell r="AS78" t="str">
            <v>Casual Labour</v>
          </cell>
          <cell r="AV78">
            <v>120</v>
          </cell>
          <cell r="AW78">
            <v>25</v>
          </cell>
          <cell r="AX78">
            <v>30</v>
          </cell>
          <cell r="AY78">
            <v>20</v>
          </cell>
          <cell r="AZ78">
            <v>0.625</v>
          </cell>
        </row>
        <row r="79">
          <cell r="B79">
            <v>2081</v>
          </cell>
          <cell r="C79" t="str">
            <v>Asad Abdulah Khalfan Al Asmi</v>
          </cell>
          <cell r="D79">
            <v>39683</v>
          </cell>
          <cell r="E79">
            <v>39768</v>
          </cell>
          <cell r="F79">
            <v>2</v>
          </cell>
          <cell r="G79">
            <v>0</v>
          </cell>
          <cell r="H79">
            <v>0</v>
          </cell>
          <cell r="I79">
            <v>4</v>
          </cell>
          <cell r="J79">
            <v>0</v>
          </cell>
          <cell r="K79">
            <v>0</v>
          </cell>
          <cell r="L79">
            <v>0</v>
          </cell>
          <cell r="M79">
            <v>0</v>
          </cell>
          <cell r="N79">
            <v>0</v>
          </cell>
          <cell r="O79">
            <v>0</v>
          </cell>
          <cell r="P79">
            <v>0</v>
          </cell>
          <cell r="Q79">
            <v>0</v>
          </cell>
          <cell r="R79">
            <v>7</v>
          </cell>
          <cell r="S79">
            <v>7</v>
          </cell>
          <cell r="T79">
            <v>7</v>
          </cell>
          <cell r="U79">
            <v>0</v>
          </cell>
          <cell r="V79">
            <v>6</v>
          </cell>
          <cell r="W79">
            <v>7</v>
          </cell>
          <cell r="X79">
            <v>0</v>
          </cell>
          <cell r="Y79" t="str">
            <v>L</v>
          </cell>
          <cell r="Z79" t="str">
            <v>L</v>
          </cell>
          <cell r="AA79" t="str">
            <v>L</v>
          </cell>
          <cell r="AB79" t="str">
            <v>L</v>
          </cell>
          <cell r="AC79" t="str">
            <v>L</v>
          </cell>
          <cell r="AD79" t="str">
            <v>L</v>
          </cell>
          <cell r="AE79" t="str">
            <v>L</v>
          </cell>
          <cell r="AF79" t="str">
            <v>A</v>
          </cell>
          <cell r="AG79" t="str">
            <v>A</v>
          </cell>
          <cell r="AH79" t="str">
            <v>A</v>
          </cell>
          <cell r="AI79" t="str">
            <v>A</v>
          </cell>
          <cell r="AJ79" t="str">
            <v>x</v>
          </cell>
          <cell r="AK79" t="str">
            <v>x</v>
          </cell>
          <cell r="AL79">
            <v>19</v>
          </cell>
          <cell r="AM79">
            <v>0</v>
          </cell>
          <cell r="AN79">
            <v>7</v>
          </cell>
          <cell r="AO79">
            <v>40</v>
          </cell>
          <cell r="AP79">
            <v>0</v>
          </cell>
          <cell r="AQ79">
            <v>0</v>
          </cell>
          <cell r="AR79">
            <v>19</v>
          </cell>
          <cell r="AS79" t="str">
            <v>Casual Labour</v>
          </cell>
          <cell r="AV79">
            <v>120</v>
          </cell>
          <cell r="AW79">
            <v>25</v>
          </cell>
          <cell r="AX79">
            <v>30</v>
          </cell>
          <cell r="AY79">
            <v>20</v>
          </cell>
          <cell r="AZ79">
            <v>0.625</v>
          </cell>
        </row>
        <row r="80">
          <cell r="B80">
            <v>2082</v>
          </cell>
          <cell r="C80" t="str">
            <v>Hanad Juma Obaid Al Na'imi</v>
          </cell>
          <cell r="D80">
            <v>39686</v>
          </cell>
          <cell r="E80">
            <v>39771</v>
          </cell>
          <cell r="F80">
            <v>2</v>
          </cell>
          <cell r="G80">
            <v>0</v>
          </cell>
          <cell r="H80">
            <v>0</v>
          </cell>
          <cell r="I80">
            <v>4</v>
          </cell>
          <cell r="J80">
            <v>0</v>
          </cell>
          <cell r="K80">
            <v>0</v>
          </cell>
          <cell r="L80">
            <v>0</v>
          </cell>
          <cell r="M80">
            <v>0</v>
          </cell>
          <cell r="N80">
            <v>0</v>
          </cell>
          <cell r="O80">
            <v>7</v>
          </cell>
          <cell r="P80">
            <v>7</v>
          </cell>
          <cell r="Q80">
            <v>7</v>
          </cell>
          <cell r="R80">
            <v>7</v>
          </cell>
          <cell r="S80">
            <v>7</v>
          </cell>
          <cell r="T80">
            <v>7</v>
          </cell>
          <cell r="U80">
            <v>7</v>
          </cell>
          <cell r="V80">
            <v>6</v>
          </cell>
          <cell r="W80">
            <v>7</v>
          </cell>
          <cell r="X80">
            <v>7</v>
          </cell>
          <cell r="Y80">
            <v>7</v>
          </cell>
          <cell r="Z80">
            <v>9</v>
          </cell>
          <cell r="AA80">
            <v>7</v>
          </cell>
          <cell r="AB80">
            <v>7</v>
          </cell>
          <cell r="AC80">
            <v>7</v>
          </cell>
          <cell r="AD80">
            <v>7</v>
          </cell>
          <cell r="AE80">
            <v>7</v>
          </cell>
          <cell r="AF80">
            <v>7.5</v>
          </cell>
          <cell r="AG80">
            <v>7</v>
          </cell>
          <cell r="AH80">
            <v>0</v>
          </cell>
          <cell r="AI80">
            <v>10</v>
          </cell>
          <cell r="AJ80" t="str">
            <v>x</v>
          </cell>
          <cell r="AK80" t="str">
            <v>x</v>
          </cell>
          <cell r="AL80">
            <v>30</v>
          </cell>
          <cell r="AM80">
            <v>0</v>
          </cell>
          <cell r="AN80">
            <v>0</v>
          </cell>
          <cell r="AO80">
            <v>150.5</v>
          </cell>
          <cell r="AP80">
            <v>0</v>
          </cell>
          <cell r="AQ80">
            <v>0</v>
          </cell>
          <cell r="AR80">
            <v>30</v>
          </cell>
          <cell r="AS80" t="str">
            <v>Casual Labour</v>
          </cell>
          <cell r="AV80">
            <v>120</v>
          </cell>
          <cell r="AW80">
            <v>25</v>
          </cell>
          <cell r="AX80">
            <v>30</v>
          </cell>
          <cell r="AY80">
            <v>20</v>
          </cell>
          <cell r="AZ80">
            <v>0.625</v>
          </cell>
        </row>
        <row r="81">
          <cell r="B81">
            <v>2083</v>
          </cell>
          <cell r="C81" t="str">
            <v>Sultan Ali Said Al Zeidi</v>
          </cell>
          <cell r="D81">
            <v>39686</v>
          </cell>
          <cell r="E81">
            <v>39771</v>
          </cell>
          <cell r="F81">
            <v>2</v>
          </cell>
          <cell r="G81">
            <v>0</v>
          </cell>
          <cell r="H81">
            <v>0</v>
          </cell>
          <cell r="I81">
            <v>4</v>
          </cell>
          <cell r="J81">
            <v>0</v>
          </cell>
          <cell r="K81">
            <v>0</v>
          </cell>
          <cell r="L81">
            <v>0</v>
          </cell>
          <cell r="M81">
            <v>0</v>
          </cell>
          <cell r="N81">
            <v>0</v>
          </cell>
          <cell r="O81">
            <v>0</v>
          </cell>
          <cell r="P81">
            <v>0</v>
          </cell>
          <cell r="Q81">
            <v>0</v>
          </cell>
          <cell r="R81">
            <v>7</v>
          </cell>
          <cell r="S81">
            <v>0</v>
          </cell>
          <cell r="T81">
            <v>0</v>
          </cell>
          <cell r="U81">
            <v>0</v>
          </cell>
          <cell r="V81">
            <v>0</v>
          </cell>
          <cell r="W81">
            <v>0</v>
          </cell>
          <cell r="X81">
            <v>0</v>
          </cell>
          <cell r="Y81">
            <v>0</v>
          </cell>
          <cell r="Z81">
            <v>0</v>
          </cell>
          <cell r="AA81">
            <v>0</v>
          </cell>
          <cell r="AB81">
            <v>0</v>
          </cell>
          <cell r="AC81">
            <v>0</v>
          </cell>
          <cell r="AD81">
            <v>0</v>
          </cell>
          <cell r="AE81">
            <v>0</v>
          </cell>
          <cell r="AF81" t="str">
            <v>L</v>
          </cell>
          <cell r="AG81" t="str">
            <v>L</v>
          </cell>
          <cell r="AH81" t="str">
            <v>L</v>
          </cell>
          <cell r="AI81" t="str">
            <v>L</v>
          </cell>
          <cell r="AJ81" t="str">
            <v>x</v>
          </cell>
          <cell r="AK81" t="str">
            <v>x</v>
          </cell>
          <cell r="AL81">
            <v>26</v>
          </cell>
          <cell r="AM81">
            <v>0</v>
          </cell>
          <cell r="AN81">
            <v>4</v>
          </cell>
          <cell r="AO81">
            <v>13</v>
          </cell>
          <cell r="AP81">
            <v>0</v>
          </cell>
          <cell r="AQ81">
            <v>0</v>
          </cell>
          <cell r="AR81">
            <v>26</v>
          </cell>
          <cell r="AS81" t="str">
            <v>Casual Labour</v>
          </cell>
          <cell r="AV81">
            <v>120</v>
          </cell>
          <cell r="AW81">
            <v>25</v>
          </cell>
          <cell r="AX81">
            <v>30</v>
          </cell>
          <cell r="AY81">
            <v>20</v>
          </cell>
          <cell r="AZ81">
            <v>0.625</v>
          </cell>
        </row>
        <row r="82">
          <cell r="B82">
            <v>2084</v>
          </cell>
          <cell r="C82" t="str">
            <v>Abdullah Sulaiyam Salim Al Jadidi</v>
          </cell>
          <cell r="D82">
            <v>39688</v>
          </cell>
          <cell r="E82">
            <v>39773</v>
          </cell>
          <cell r="F82">
            <v>2</v>
          </cell>
          <cell r="G82">
            <v>0</v>
          </cell>
          <cell r="H82">
            <v>0</v>
          </cell>
          <cell r="I82">
            <v>4</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t="str">
            <v>L</v>
          </cell>
          <cell r="AG82" t="str">
            <v>L</v>
          </cell>
          <cell r="AH82" t="str">
            <v>L</v>
          </cell>
          <cell r="AI82" t="str">
            <v>L</v>
          </cell>
          <cell r="AJ82" t="str">
            <v>x</v>
          </cell>
          <cell r="AK82" t="str">
            <v>x</v>
          </cell>
          <cell r="AL82">
            <v>26</v>
          </cell>
          <cell r="AM82">
            <v>0</v>
          </cell>
          <cell r="AN82">
            <v>4</v>
          </cell>
          <cell r="AO82">
            <v>6</v>
          </cell>
          <cell r="AP82">
            <v>0</v>
          </cell>
          <cell r="AQ82">
            <v>0</v>
          </cell>
          <cell r="AR82">
            <v>26</v>
          </cell>
          <cell r="AS82" t="str">
            <v>Casual Labour</v>
          </cell>
          <cell r="AV82">
            <v>120</v>
          </cell>
          <cell r="AW82">
            <v>25</v>
          </cell>
          <cell r="AX82">
            <v>30</v>
          </cell>
          <cell r="AY82">
            <v>20</v>
          </cell>
          <cell r="AZ82">
            <v>0.625</v>
          </cell>
        </row>
        <row r="83">
          <cell r="B83">
            <v>2085</v>
          </cell>
          <cell r="C83" t="str">
            <v>Mohammed Abdullah Yaqoot Al Ghafri</v>
          </cell>
          <cell r="D83">
            <v>39688</v>
          </cell>
          <cell r="E83">
            <v>39773</v>
          </cell>
          <cell r="F83">
            <v>2</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t="str">
            <v>L</v>
          </cell>
          <cell r="AG83" t="str">
            <v>L</v>
          </cell>
          <cell r="AH83" t="str">
            <v>L</v>
          </cell>
          <cell r="AI83" t="str">
            <v>L</v>
          </cell>
          <cell r="AJ83" t="str">
            <v>x</v>
          </cell>
          <cell r="AK83" t="str">
            <v>x</v>
          </cell>
          <cell r="AL83">
            <v>26</v>
          </cell>
          <cell r="AM83">
            <v>0</v>
          </cell>
          <cell r="AN83">
            <v>4</v>
          </cell>
          <cell r="AO83">
            <v>2</v>
          </cell>
          <cell r="AP83">
            <v>0</v>
          </cell>
          <cell r="AQ83">
            <v>0</v>
          </cell>
          <cell r="AR83">
            <v>26</v>
          </cell>
          <cell r="AS83" t="str">
            <v>Casual Labour</v>
          </cell>
          <cell r="AV83">
            <v>120</v>
          </cell>
          <cell r="AW83">
            <v>25</v>
          </cell>
          <cell r="AX83">
            <v>30</v>
          </cell>
          <cell r="AY83">
            <v>20</v>
          </cell>
          <cell r="AZ83">
            <v>0.625</v>
          </cell>
        </row>
        <row r="84">
          <cell r="B84">
            <v>2086</v>
          </cell>
          <cell r="C84" t="str">
            <v>Rashid Humaid Marhoon Al Jadidi</v>
          </cell>
          <cell r="D84">
            <v>39688</v>
          </cell>
          <cell r="E84">
            <v>39773</v>
          </cell>
          <cell r="F84">
            <v>6</v>
          </cell>
          <cell r="G84">
            <v>0</v>
          </cell>
          <cell r="H84">
            <v>0</v>
          </cell>
          <cell r="I84">
            <v>4</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t="str">
            <v>L</v>
          </cell>
          <cell r="AG84" t="str">
            <v>L</v>
          </cell>
          <cell r="AH84" t="str">
            <v>L</v>
          </cell>
          <cell r="AI84" t="str">
            <v>L</v>
          </cell>
          <cell r="AJ84" t="str">
            <v>x</v>
          </cell>
          <cell r="AK84" t="str">
            <v>x</v>
          </cell>
          <cell r="AL84">
            <v>26</v>
          </cell>
          <cell r="AM84">
            <v>0</v>
          </cell>
          <cell r="AN84">
            <v>4</v>
          </cell>
          <cell r="AO84">
            <v>10</v>
          </cell>
          <cell r="AP84">
            <v>0</v>
          </cell>
          <cell r="AQ84">
            <v>0</v>
          </cell>
          <cell r="AR84">
            <v>26</v>
          </cell>
          <cell r="AS84" t="str">
            <v>Casual Labour</v>
          </cell>
          <cell r="AV84">
            <v>120</v>
          </cell>
          <cell r="AW84">
            <v>25</v>
          </cell>
          <cell r="AX84">
            <v>30</v>
          </cell>
          <cell r="AY84">
            <v>20</v>
          </cell>
          <cell r="AZ84">
            <v>0.625</v>
          </cell>
        </row>
        <row r="85">
          <cell r="B85">
            <v>2087</v>
          </cell>
          <cell r="C85" t="str">
            <v>Fahad Humaid Khamis Hammad Al Hina'I</v>
          </cell>
          <cell r="D85">
            <v>39688</v>
          </cell>
          <cell r="E85">
            <v>39773</v>
          </cell>
          <cell r="F85">
            <v>2</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t="str">
            <v>L</v>
          </cell>
          <cell r="AG85" t="str">
            <v>L</v>
          </cell>
          <cell r="AH85" t="str">
            <v>L</v>
          </cell>
          <cell r="AI85" t="str">
            <v>L</v>
          </cell>
          <cell r="AJ85" t="str">
            <v>x</v>
          </cell>
          <cell r="AK85" t="str">
            <v>x</v>
          </cell>
          <cell r="AL85">
            <v>26</v>
          </cell>
          <cell r="AM85">
            <v>0</v>
          </cell>
          <cell r="AN85">
            <v>4</v>
          </cell>
          <cell r="AO85">
            <v>2</v>
          </cell>
          <cell r="AP85">
            <v>0</v>
          </cell>
          <cell r="AQ85">
            <v>0</v>
          </cell>
          <cell r="AR85">
            <v>26</v>
          </cell>
          <cell r="AS85" t="str">
            <v>Casual Labour</v>
          </cell>
          <cell r="AV85">
            <v>120</v>
          </cell>
          <cell r="AW85">
            <v>25</v>
          </cell>
          <cell r="AX85">
            <v>30</v>
          </cell>
          <cell r="AY85">
            <v>20</v>
          </cell>
          <cell r="AZ85">
            <v>0.625</v>
          </cell>
        </row>
        <row r="86">
          <cell r="B86">
            <v>2088</v>
          </cell>
          <cell r="C86" t="str">
            <v>Khalid Salim Mohammed Al Hina'i</v>
          </cell>
          <cell r="D86">
            <v>39688</v>
          </cell>
          <cell r="E86">
            <v>39773</v>
          </cell>
          <cell r="F86">
            <v>2</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t="str">
            <v>x</v>
          </cell>
          <cell r="AG86" t="str">
            <v>x</v>
          </cell>
          <cell r="AH86" t="str">
            <v>x</v>
          </cell>
          <cell r="AI86" t="str">
            <v>x</v>
          </cell>
          <cell r="AJ86" t="str">
            <v>x</v>
          </cell>
          <cell r="AK86" t="str">
            <v>x</v>
          </cell>
          <cell r="AL86">
            <v>26</v>
          </cell>
          <cell r="AM86">
            <v>0</v>
          </cell>
          <cell r="AN86">
            <v>0</v>
          </cell>
          <cell r="AO86">
            <v>2</v>
          </cell>
          <cell r="AP86">
            <v>0</v>
          </cell>
          <cell r="AQ86">
            <v>0</v>
          </cell>
          <cell r="AR86">
            <v>26</v>
          </cell>
          <cell r="AS86" t="str">
            <v>Casual Labour</v>
          </cell>
          <cell r="AV86">
            <v>120</v>
          </cell>
          <cell r="AW86">
            <v>25</v>
          </cell>
          <cell r="AX86">
            <v>30</v>
          </cell>
          <cell r="AY86">
            <v>20</v>
          </cell>
          <cell r="AZ86">
            <v>0.625</v>
          </cell>
        </row>
        <row r="87">
          <cell r="B87">
            <v>2089</v>
          </cell>
          <cell r="C87" t="str">
            <v>Abdul Rahman Salim Harith Al Fahdi</v>
          </cell>
          <cell r="D87">
            <v>39688</v>
          </cell>
          <cell r="E87">
            <v>39773</v>
          </cell>
          <cell r="F87">
            <v>2</v>
          </cell>
          <cell r="G87">
            <v>0</v>
          </cell>
          <cell r="H87">
            <v>0</v>
          </cell>
          <cell r="I87">
            <v>0</v>
          </cell>
          <cell r="J87">
            <v>0</v>
          </cell>
          <cell r="K87">
            <v>0</v>
          </cell>
          <cell r="L87">
            <v>0</v>
          </cell>
          <cell r="M87">
            <v>0</v>
          </cell>
          <cell r="N87">
            <v>6</v>
          </cell>
          <cell r="O87">
            <v>7</v>
          </cell>
          <cell r="P87">
            <v>7</v>
          </cell>
          <cell r="Q87">
            <v>7</v>
          </cell>
          <cell r="R87">
            <v>7</v>
          </cell>
          <cell r="S87">
            <v>0</v>
          </cell>
          <cell r="T87">
            <v>0</v>
          </cell>
          <cell r="U87">
            <v>0</v>
          </cell>
          <cell r="V87">
            <v>0</v>
          </cell>
          <cell r="W87">
            <v>0</v>
          </cell>
          <cell r="X87">
            <v>0</v>
          </cell>
          <cell r="Y87">
            <v>0</v>
          </cell>
          <cell r="Z87" t="str">
            <v>x</v>
          </cell>
          <cell r="AA87" t="str">
            <v>x</v>
          </cell>
          <cell r="AB87" t="str">
            <v>x</v>
          </cell>
          <cell r="AC87" t="str">
            <v>x</v>
          </cell>
          <cell r="AD87" t="str">
            <v>x</v>
          </cell>
          <cell r="AE87" t="str">
            <v>x</v>
          </cell>
          <cell r="AF87" t="str">
            <v>x</v>
          </cell>
          <cell r="AG87" t="str">
            <v>x</v>
          </cell>
          <cell r="AH87" t="str">
            <v>x</v>
          </cell>
          <cell r="AI87" t="str">
            <v>x</v>
          </cell>
          <cell r="AJ87" t="str">
            <v>x</v>
          </cell>
          <cell r="AK87" t="str">
            <v>x</v>
          </cell>
          <cell r="AL87">
            <v>20</v>
          </cell>
          <cell r="AM87">
            <v>0</v>
          </cell>
          <cell r="AN87">
            <v>0</v>
          </cell>
          <cell r="AO87">
            <v>36</v>
          </cell>
          <cell r="AP87">
            <v>0</v>
          </cell>
          <cell r="AQ87">
            <v>0</v>
          </cell>
          <cell r="AR87">
            <v>20</v>
          </cell>
          <cell r="AS87" t="str">
            <v>Casual Labour</v>
          </cell>
          <cell r="AV87">
            <v>120</v>
          </cell>
          <cell r="AW87">
            <v>25</v>
          </cell>
          <cell r="AX87">
            <v>30</v>
          </cell>
          <cell r="AY87">
            <v>20</v>
          </cell>
          <cell r="AZ87">
            <v>0.625</v>
          </cell>
        </row>
        <row r="88">
          <cell r="B88">
            <v>2090</v>
          </cell>
          <cell r="C88" t="str">
            <v>Badar Zayid Ali Al Hatmi</v>
          </cell>
          <cell r="D88">
            <v>39688</v>
          </cell>
          <cell r="E88">
            <v>39773</v>
          </cell>
          <cell r="F88">
            <v>2</v>
          </cell>
          <cell r="G88">
            <v>0</v>
          </cell>
          <cell r="H88">
            <v>0</v>
          </cell>
          <cell r="I88">
            <v>6</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t="str">
            <v>x</v>
          </cell>
          <cell r="AG88" t="str">
            <v>x</v>
          </cell>
          <cell r="AH88" t="str">
            <v>x</v>
          </cell>
          <cell r="AI88" t="str">
            <v>x</v>
          </cell>
          <cell r="AJ88" t="str">
            <v>x</v>
          </cell>
          <cell r="AK88" t="str">
            <v>x</v>
          </cell>
          <cell r="AL88">
            <v>26</v>
          </cell>
          <cell r="AM88">
            <v>0</v>
          </cell>
          <cell r="AN88">
            <v>0</v>
          </cell>
          <cell r="AO88">
            <v>8</v>
          </cell>
          <cell r="AP88">
            <v>0</v>
          </cell>
          <cell r="AQ88">
            <v>0</v>
          </cell>
          <cell r="AR88">
            <v>26</v>
          </cell>
          <cell r="AS88" t="str">
            <v>Casual Labour</v>
          </cell>
          <cell r="AV88">
            <v>120</v>
          </cell>
          <cell r="AW88">
            <v>25</v>
          </cell>
          <cell r="AX88">
            <v>30</v>
          </cell>
          <cell r="AY88">
            <v>20</v>
          </cell>
          <cell r="AZ88">
            <v>0.625</v>
          </cell>
        </row>
        <row r="89">
          <cell r="B89">
            <v>2091</v>
          </cell>
          <cell r="C89" t="str">
            <v>Majid Musabah Hamed Al Amri</v>
          </cell>
          <cell r="D89">
            <v>39688</v>
          </cell>
          <cell r="E89">
            <v>39773</v>
          </cell>
          <cell r="F89">
            <v>2</v>
          </cell>
          <cell r="G89">
            <v>0</v>
          </cell>
          <cell r="H89">
            <v>6</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t="str">
            <v>L</v>
          </cell>
          <cell r="AG89" t="str">
            <v>L</v>
          </cell>
          <cell r="AH89" t="str">
            <v>L</v>
          </cell>
          <cell r="AI89" t="str">
            <v>L</v>
          </cell>
          <cell r="AJ89" t="str">
            <v>x</v>
          </cell>
          <cell r="AK89" t="str">
            <v>x</v>
          </cell>
          <cell r="AL89">
            <v>26</v>
          </cell>
          <cell r="AM89">
            <v>0</v>
          </cell>
          <cell r="AN89">
            <v>4</v>
          </cell>
          <cell r="AO89">
            <v>8</v>
          </cell>
          <cell r="AP89">
            <v>0</v>
          </cell>
          <cell r="AQ89">
            <v>0</v>
          </cell>
          <cell r="AR89">
            <v>26</v>
          </cell>
          <cell r="AS89" t="str">
            <v>Casual Labour</v>
          </cell>
          <cell r="AV89">
            <v>120</v>
          </cell>
          <cell r="AW89">
            <v>25</v>
          </cell>
          <cell r="AX89">
            <v>30</v>
          </cell>
          <cell r="AY89">
            <v>20</v>
          </cell>
          <cell r="AZ89">
            <v>0.625</v>
          </cell>
        </row>
        <row r="90">
          <cell r="B90">
            <v>2094</v>
          </cell>
          <cell r="C90" t="str">
            <v>Hamood Said Adeem Al Riyami</v>
          </cell>
          <cell r="D90">
            <v>39688</v>
          </cell>
          <cell r="E90">
            <v>39773</v>
          </cell>
          <cell r="F90">
            <v>2</v>
          </cell>
          <cell r="G90">
            <v>0</v>
          </cell>
          <cell r="H90">
            <v>0</v>
          </cell>
          <cell r="I90">
            <v>6</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t="str">
            <v>L</v>
          </cell>
          <cell r="AG90" t="str">
            <v>L</v>
          </cell>
          <cell r="AH90" t="str">
            <v>L</v>
          </cell>
          <cell r="AI90" t="str">
            <v>L</v>
          </cell>
          <cell r="AJ90" t="str">
            <v>x</v>
          </cell>
          <cell r="AK90" t="str">
            <v>x</v>
          </cell>
          <cell r="AL90">
            <v>26</v>
          </cell>
          <cell r="AM90">
            <v>0</v>
          </cell>
          <cell r="AN90">
            <v>4</v>
          </cell>
          <cell r="AO90">
            <v>8</v>
          </cell>
          <cell r="AP90">
            <v>0</v>
          </cell>
          <cell r="AQ90">
            <v>0</v>
          </cell>
          <cell r="AR90">
            <v>26</v>
          </cell>
          <cell r="AS90" t="str">
            <v>Casual Labour</v>
          </cell>
          <cell r="AV90">
            <v>120</v>
          </cell>
          <cell r="AW90">
            <v>25</v>
          </cell>
          <cell r="AX90">
            <v>30</v>
          </cell>
          <cell r="AY90">
            <v>20</v>
          </cell>
          <cell r="AZ90">
            <v>0.625</v>
          </cell>
        </row>
        <row r="91">
          <cell r="B91">
            <v>2095</v>
          </cell>
          <cell r="C91" t="str">
            <v>AbdulaAziz Awadh Khamis Al Naaimi</v>
          </cell>
          <cell r="D91">
            <v>39690</v>
          </cell>
          <cell r="E91">
            <v>39775</v>
          </cell>
          <cell r="F91">
            <v>2</v>
          </cell>
          <cell r="G91">
            <v>0</v>
          </cell>
          <cell r="H91">
            <v>0</v>
          </cell>
          <cell r="I91">
            <v>0</v>
          </cell>
          <cell r="J91">
            <v>0</v>
          </cell>
          <cell r="K91" t="str">
            <v>A</v>
          </cell>
          <cell r="L91" t="str">
            <v>A</v>
          </cell>
          <cell r="M91" t="str">
            <v>A</v>
          </cell>
          <cell r="N91">
            <v>0</v>
          </cell>
          <cell r="O91">
            <v>0</v>
          </cell>
          <cell r="P91">
            <v>0</v>
          </cell>
          <cell r="Q91">
            <v>0</v>
          </cell>
          <cell r="R91">
            <v>0</v>
          </cell>
          <cell r="S91">
            <v>7</v>
          </cell>
          <cell r="T91">
            <v>0</v>
          </cell>
          <cell r="U91">
            <v>0</v>
          </cell>
          <cell r="V91">
            <v>0</v>
          </cell>
          <cell r="W91">
            <v>0</v>
          </cell>
          <cell r="X91">
            <v>0</v>
          </cell>
          <cell r="Y91">
            <v>0</v>
          </cell>
          <cell r="Z91">
            <v>9</v>
          </cell>
          <cell r="AA91">
            <v>0</v>
          </cell>
          <cell r="AB91">
            <v>0</v>
          </cell>
          <cell r="AC91">
            <v>0</v>
          </cell>
          <cell r="AD91">
            <v>0</v>
          </cell>
          <cell r="AE91">
            <v>0</v>
          </cell>
          <cell r="AF91" t="str">
            <v>L</v>
          </cell>
          <cell r="AG91" t="str">
            <v>L</v>
          </cell>
          <cell r="AH91" t="str">
            <v>L</v>
          </cell>
          <cell r="AI91" t="str">
            <v>L</v>
          </cell>
          <cell r="AJ91" t="str">
            <v>x</v>
          </cell>
          <cell r="AK91" t="str">
            <v>x</v>
          </cell>
          <cell r="AL91">
            <v>23</v>
          </cell>
          <cell r="AM91">
            <v>0</v>
          </cell>
          <cell r="AN91">
            <v>4</v>
          </cell>
          <cell r="AO91">
            <v>18</v>
          </cell>
          <cell r="AP91">
            <v>0</v>
          </cell>
          <cell r="AQ91">
            <v>0</v>
          </cell>
          <cell r="AR91">
            <v>23</v>
          </cell>
          <cell r="AS91" t="str">
            <v>Casual Labour</v>
          </cell>
          <cell r="AV91">
            <v>120</v>
          </cell>
          <cell r="AW91">
            <v>25</v>
          </cell>
          <cell r="AX91">
            <v>30</v>
          </cell>
          <cell r="AY91">
            <v>20</v>
          </cell>
          <cell r="AZ91">
            <v>0.625</v>
          </cell>
        </row>
        <row r="92">
          <cell r="B92">
            <v>2096</v>
          </cell>
          <cell r="C92" t="str">
            <v>Fahad Salim Said Al Mamari</v>
          </cell>
          <cell r="D92">
            <v>39690</v>
          </cell>
          <cell r="E92">
            <v>39775</v>
          </cell>
          <cell r="F92">
            <v>2</v>
          </cell>
          <cell r="G92">
            <v>0</v>
          </cell>
          <cell r="H92">
            <v>0</v>
          </cell>
          <cell r="I92" t="str">
            <v>X</v>
          </cell>
          <cell r="J92" t="str">
            <v>X</v>
          </cell>
          <cell r="K92" t="str">
            <v>X</v>
          </cell>
          <cell r="L92" t="str">
            <v>X</v>
          </cell>
          <cell r="M92" t="str">
            <v>X</v>
          </cell>
          <cell r="N92" t="str">
            <v>X</v>
          </cell>
          <cell r="O92" t="str">
            <v>X</v>
          </cell>
          <cell r="P92" t="str">
            <v>X</v>
          </cell>
          <cell r="Q92" t="str">
            <v>X</v>
          </cell>
          <cell r="R92" t="str">
            <v>X</v>
          </cell>
          <cell r="S92" t="str">
            <v>X</v>
          </cell>
          <cell r="T92" t="str">
            <v>X</v>
          </cell>
          <cell r="U92" t="str">
            <v>X</v>
          </cell>
          <cell r="V92" t="str">
            <v>X</v>
          </cell>
          <cell r="W92" t="str">
            <v>X</v>
          </cell>
          <cell r="X92" t="str">
            <v>X</v>
          </cell>
          <cell r="Y92" t="str">
            <v>X</v>
          </cell>
          <cell r="Z92" t="str">
            <v>X</v>
          </cell>
          <cell r="AA92" t="str">
            <v>X</v>
          </cell>
          <cell r="AB92" t="str">
            <v>X</v>
          </cell>
          <cell r="AC92" t="str">
            <v>X</v>
          </cell>
          <cell r="AD92" t="str">
            <v>X</v>
          </cell>
          <cell r="AE92" t="str">
            <v>X</v>
          </cell>
          <cell r="AF92" t="str">
            <v>X</v>
          </cell>
          <cell r="AG92" t="str">
            <v>X</v>
          </cell>
          <cell r="AH92" t="str">
            <v>X</v>
          </cell>
          <cell r="AI92" t="str">
            <v>X</v>
          </cell>
          <cell r="AJ92" t="str">
            <v>x</v>
          </cell>
          <cell r="AK92" t="str">
            <v>x</v>
          </cell>
          <cell r="AL92">
            <v>3</v>
          </cell>
          <cell r="AM92">
            <v>0</v>
          </cell>
          <cell r="AN92">
            <v>0</v>
          </cell>
          <cell r="AO92">
            <v>2</v>
          </cell>
          <cell r="AP92">
            <v>0</v>
          </cell>
          <cell r="AQ92">
            <v>0</v>
          </cell>
          <cell r="AR92">
            <v>3</v>
          </cell>
          <cell r="AS92" t="str">
            <v>Casual Labour</v>
          </cell>
          <cell r="AV92">
            <v>120</v>
          </cell>
          <cell r="AW92">
            <v>25</v>
          </cell>
          <cell r="AX92">
            <v>30</v>
          </cell>
          <cell r="AY92">
            <v>20</v>
          </cell>
          <cell r="AZ92">
            <v>0.625</v>
          </cell>
        </row>
        <row r="93">
          <cell r="B93">
            <v>2097</v>
          </cell>
          <cell r="C93" t="str">
            <v>Ali Saed Salim Al Naimi</v>
          </cell>
          <cell r="D93">
            <v>39694</v>
          </cell>
          <cell r="E93">
            <v>39779</v>
          </cell>
          <cell r="F93" t="str">
            <v>A</v>
          </cell>
          <cell r="G93" t="str">
            <v>A</v>
          </cell>
          <cell r="H93">
            <v>0</v>
          </cell>
          <cell r="I93">
            <v>6</v>
          </cell>
          <cell r="J93">
            <v>0</v>
          </cell>
          <cell r="K93">
            <v>0</v>
          </cell>
          <cell r="L93">
            <v>0</v>
          </cell>
          <cell r="M93">
            <v>0</v>
          </cell>
          <cell r="N93" t="str">
            <v>A</v>
          </cell>
          <cell r="O93" t="str">
            <v>A</v>
          </cell>
          <cell r="P93" t="str">
            <v>A</v>
          </cell>
          <cell r="Q93" t="str">
            <v>A</v>
          </cell>
          <cell r="R93">
            <v>7</v>
          </cell>
          <cell r="S93">
            <v>7</v>
          </cell>
          <cell r="T93">
            <v>7</v>
          </cell>
          <cell r="U93">
            <v>7</v>
          </cell>
          <cell r="V93">
            <v>6</v>
          </cell>
          <cell r="W93">
            <v>7</v>
          </cell>
          <cell r="X93">
            <v>7</v>
          </cell>
          <cell r="Y93">
            <v>7</v>
          </cell>
          <cell r="Z93">
            <v>9</v>
          </cell>
          <cell r="AA93">
            <v>7</v>
          </cell>
          <cell r="AB93">
            <v>7</v>
          </cell>
          <cell r="AC93">
            <v>7</v>
          </cell>
          <cell r="AD93">
            <v>7</v>
          </cell>
          <cell r="AE93">
            <v>7</v>
          </cell>
          <cell r="AF93">
            <v>7.5</v>
          </cell>
          <cell r="AG93">
            <v>7</v>
          </cell>
          <cell r="AH93">
            <v>0</v>
          </cell>
          <cell r="AI93">
            <v>10</v>
          </cell>
          <cell r="AJ93" t="str">
            <v>X</v>
          </cell>
          <cell r="AL93">
            <v>24</v>
          </cell>
          <cell r="AM93">
            <v>0</v>
          </cell>
          <cell r="AN93">
            <v>0</v>
          </cell>
          <cell r="AO93">
            <v>129.5</v>
          </cell>
          <cell r="AP93">
            <v>0</v>
          </cell>
          <cell r="AQ93">
            <v>0</v>
          </cell>
          <cell r="AR93">
            <v>24</v>
          </cell>
          <cell r="AS93" t="str">
            <v>Casual Labour</v>
          </cell>
          <cell r="AV93">
            <v>120</v>
          </cell>
          <cell r="AW93">
            <v>25</v>
          </cell>
          <cell r="AX93">
            <v>30</v>
          </cell>
          <cell r="AY93">
            <v>20</v>
          </cell>
          <cell r="AZ93">
            <v>0.625</v>
          </cell>
        </row>
        <row r="94">
          <cell r="C94" t="str">
            <v>Hamed Ali Said Al Ayiyani</v>
          </cell>
          <cell r="D94">
            <v>39690</v>
          </cell>
          <cell r="E94">
            <v>39775</v>
          </cell>
          <cell r="F94">
            <v>2</v>
          </cell>
          <cell r="G94" t="str">
            <v>A</v>
          </cell>
          <cell r="H94" t="str">
            <v>A</v>
          </cell>
          <cell r="I94" t="str">
            <v>A</v>
          </cell>
          <cell r="J94" t="str">
            <v>A</v>
          </cell>
          <cell r="K94" t="str">
            <v>A</v>
          </cell>
          <cell r="L94" t="str">
            <v>A</v>
          </cell>
          <cell r="M94" t="str">
            <v>A</v>
          </cell>
          <cell r="N94" t="str">
            <v>A</v>
          </cell>
          <cell r="O94" t="str">
            <v>A</v>
          </cell>
          <cell r="P94" t="str">
            <v>A</v>
          </cell>
          <cell r="Q94" t="str">
            <v>A</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t="str">
            <v>L</v>
          </cell>
          <cell r="AJ94" t="str">
            <v>x</v>
          </cell>
          <cell r="AK94" t="str">
            <v>x</v>
          </cell>
          <cell r="AL94">
            <v>18</v>
          </cell>
          <cell r="AM94">
            <v>0</v>
          </cell>
          <cell r="AN94">
            <v>1</v>
          </cell>
          <cell r="AO94">
            <v>2</v>
          </cell>
          <cell r="AP94">
            <v>0</v>
          </cell>
          <cell r="AQ94">
            <v>0</v>
          </cell>
          <cell r="AR94">
            <v>18</v>
          </cell>
          <cell r="AS94" t="str">
            <v>Casual Labour</v>
          </cell>
          <cell r="AT94" t="str">
            <v>Quit &amp; No Information</v>
          </cell>
          <cell r="AV94">
            <v>120</v>
          </cell>
          <cell r="AW94">
            <v>25</v>
          </cell>
          <cell r="AX94">
            <v>30</v>
          </cell>
          <cell r="AY94">
            <v>20</v>
          </cell>
          <cell r="AZ94">
            <v>0.625</v>
          </cell>
        </row>
        <row r="95">
          <cell r="B95">
            <v>2099</v>
          </cell>
          <cell r="C95" t="str">
            <v>Musabah Ali Khamis Al Khatri</v>
          </cell>
          <cell r="D95">
            <v>39690</v>
          </cell>
          <cell r="E95">
            <v>39775</v>
          </cell>
          <cell r="F95">
            <v>2</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t="str">
            <v>L</v>
          </cell>
          <cell r="AG95" t="str">
            <v>L</v>
          </cell>
          <cell r="AH95" t="str">
            <v>L</v>
          </cell>
          <cell r="AI95" t="str">
            <v>L</v>
          </cell>
          <cell r="AJ95" t="str">
            <v>x</v>
          </cell>
          <cell r="AK95" t="str">
            <v>x</v>
          </cell>
          <cell r="AL95">
            <v>26</v>
          </cell>
          <cell r="AM95">
            <v>0</v>
          </cell>
          <cell r="AN95">
            <v>4</v>
          </cell>
          <cell r="AO95">
            <v>2</v>
          </cell>
          <cell r="AP95">
            <v>0</v>
          </cell>
          <cell r="AQ95">
            <v>0</v>
          </cell>
          <cell r="AR95">
            <v>26</v>
          </cell>
          <cell r="AS95" t="str">
            <v>Casual Labour</v>
          </cell>
          <cell r="AV95">
            <v>120</v>
          </cell>
          <cell r="AW95">
            <v>25</v>
          </cell>
          <cell r="AX95">
            <v>30</v>
          </cell>
          <cell r="AY95">
            <v>20</v>
          </cell>
          <cell r="AZ95">
            <v>0.625</v>
          </cell>
        </row>
        <row r="96">
          <cell r="B96">
            <v>2101</v>
          </cell>
          <cell r="C96" t="str">
            <v>Ali Said Salim Al Masmari</v>
          </cell>
          <cell r="D96">
            <v>39690</v>
          </cell>
          <cell r="E96">
            <v>39775</v>
          </cell>
          <cell r="F96">
            <v>2</v>
          </cell>
          <cell r="G96" t="str">
            <v>A</v>
          </cell>
          <cell r="H96" t="str">
            <v>A</v>
          </cell>
          <cell r="I96" t="str">
            <v>A</v>
          </cell>
          <cell r="J96" t="str">
            <v>A</v>
          </cell>
          <cell r="K96" t="str">
            <v>A</v>
          </cell>
          <cell r="L96" t="str">
            <v>A</v>
          </cell>
          <cell r="M96" t="str">
            <v>A</v>
          </cell>
          <cell r="N96" t="str">
            <v>A</v>
          </cell>
          <cell r="O96" t="str">
            <v>A</v>
          </cell>
          <cell r="P96" t="str">
            <v>A</v>
          </cell>
          <cell r="Q96" t="str">
            <v>A</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t="str">
            <v>L</v>
          </cell>
          <cell r="AJ96" t="str">
            <v>x</v>
          </cell>
          <cell r="AK96" t="str">
            <v>x</v>
          </cell>
          <cell r="AL96">
            <v>18</v>
          </cell>
          <cell r="AM96">
            <v>0</v>
          </cell>
          <cell r="AN96">
            <v>1</v>
          </cell>
          <cell r="AO96">
            <v>2</v>
          </cell>
          <cell r="AP96">
            <v>0</v>
          </cell>
          <cell r="AQ96">
            <v>0</v>
          </cell>
          <cell r="AR96">
            <v>18</v>
          </cell>
          <cell r="AS96" t="str">
            <v>Casual Labour</v>
          </cell>
          <cell r="AV96">
            <v>120</v>
          </cell>
          <cell r="AW96">
            <v>25</v>
          </cell>
          <cell r="AX96">
            <v>30</v>
          </cell>
          <cell r="AY96">
            <v>20</v>
          </cell>
          <cell r="AZ96">
            <v>0.625</v>
          </cell>
        </row>
        <row r="97">
          <cell r="C97" t="str">
            <v>Saif Mohammed Salim Al Kharusi</v>
          </cell>
          <cell r="D97">
            <v>39690</v>
          </cell>
          <cell r="E97">
            <v>39775</v>
          </cell>
          <cell r="F97">
            <v>2</v>
          </cell>
          <cell r="G97">
            <v>0</v>
          </cell>
          <cell r="H97">
            <v>0</v>
          </cell>
          <cell r="I97">
            <v>4</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t="str">
            <v>A</v>
          </cell>
          <cell r="AG97" t="str">
            <v>A</v>
          </cell>
          <cell r="AH97" t="str">
            <v>A</v>
          </cell>
          <cell r="AI97" t="str">
            <v>A</v>
          </cell>
          <cell r="AJ97" t="str">
            <v>x</v>
          </cell>
          <cell r="AK97" t="str">
            <v>x</v>
          </cell>
          <cell r="AL97">
            <v>26</v>
          </cell>
          <cell r="AM97">
            <v>0</v>
          </cell>
          <cell r="AN97">
            <v>0</v>
          </cell>
          <cell r="AO97">
            <v>6</v>
          </cell>
          <cell r="AP97">
            <v>0</v>
          </cell>
          <cell r="AQ97">
            <v>0</v>
          </cell>
          <cell r="AR97">
            <v>26</v>
          </cell>
          <cell r="AS97" t="str">
            <v>Casual Labour</v>
          </cell>
          <cell r="AT97" t="str">
            <v>Salary Not transferred check his status of working or not.</v>
          </cell>
          <cell r="AV97">
            <v>120</v>
          </cell>
          <cell r="AW97">
            <v>25</v>
          </cell>
          <cell r="AX97">
            <v>30</v>
          </cell>
          <cell r="AY97">
            <v>20</v>
          </cell>
          <cell r="AZ97">
            <v>0.625</v>
          </cell>
        </row>
        <row r="98">
          <cell r="B98">
            <v>2103</v>
          </cell>
          <cell r="C98" t="str">
            <v>Younis Hamdoon Rashid Al Mahrouqi</v>
          </cell>
          <cell r="D98">
            <v>39690</v>
          </cell>
          <cell r="E98">
            <v>39775</v>
          </cell>
          <cell r="F98">
            <v>2</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t="str">
            <v>L</v>
          </cell>
          <cell r="AJ98" t="str">
            <v>x</v>
          </cell>
          <cell r="AK98" t="str">
            <v>x</v>
          </cell>
          <cell r="AL98">
            <v>29</v>
          </cell>
          <cell r="AM98">
            <v>0</v>
          </cell>
          <cell r="AN98">
            <v>1</v>
          </cell>
          <cell r="AO98">
            <v>2</v>
          </cell>
          <cell r="AP98">
            <v>0</v>
          </cell>
          <cell r="AQ98">
            <v>0</v>
          </cell>
          <cell r="AR98">
            <v>29</v>
          </cell>
          <cell r="AS98" t="str">
            <v>Casual Labour</v>
          </cell>
          <cell r="AV98">
            <v>120</v>
          </cell>
          <cell r="AW98">
            <v>25</v>
          </cell>
          <cell r="AX98">
            <v>30</v>
          </cell>
          <cell r="AY98">
            <v>20</v>
          </cell>
          <cell r="AZ98">
            <v>0.625</v>
          </cell>
        </row>
        <row r="99">
          <cell r="B99">
            <v>2105</v>
          </cell>
          <cell r="C99" t="str">
            <v>Sultan Khalifa Salim Al Gharibi</v>
          </cell>
          <cell r="D99">
            <v>39690</v>
          </cell>
          <cell r="E99">
            <v>39775</v>
          </cell>
          <cell r="F99">
            <v>2</v>
          </cell>
          <cell r="G99">
            <v>0</v>
          </cell>
          <cell r="H99">
            <v>0</v>
          </cell>
          <cell r="I99">
            <v>0</v>
          </cell>
          <cell r="J99">
            <v>0</v>
          </cell>
          <cell r="K99">
            <v>0</v>
          </cell>
          <cell r="L99">
            <v>0</v>
          </cell>
          <cell r="M99">
            <v>0</v>
          </cell>
          <cell r="N99">
            <v>0</v>
          </cell>
          <cell r="O99">
            <v>7</v>
          </cell>
          <cell r="P99">
            <v>7</v>
          </cell>
          <cell r="Q99">
            <v>7</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t="str">
            <v>L</v>
          </cell>
          <cell r="AG99" t="str">
            <v>L</v>
          </cell>
          <cell r="AH99" t="str">
            <v>L</v>
          </cell>
          <cell r="AI99" t="str">
            <v>L</v>
          </cell>
          <cell r="AJ99" t="str">
            <v>x</v>
          </cell>
          <cell r="AK99" t="str">
            <v>x</v>
          </cell>
          <cell r="AL99">
            <v>26</v>
          </cell>
          <cell r="AM99">
            <v>0</v>
          </cell>
          <cell r="AN99">
            <v>4</v>
          </cell>
          <cell r="AO99">
            <v>23</v>
          </cell>
          <cell r="AP99">
            <v>0</v>
          </cell>
          <cell r="AQ99">
            <v>0</v>
          </cell>
          <cell r="AR99">
            <v>26</v>
          </cell>
          <cell r="AS99" t="str">
            <v>Casual Labour</v>
          </cell>
          <cell r="AV99">
            <v>120</v>
          </cell>
          <cell r="AW99">
            <v>25</v>
          </cell>
          <cell r="AX99">
            <v>30</v>
          </cell>
          <cell r="AY99">
            <v>20</v>
          </cell>
          <cell r="AZ99">
            <v>0.625</v>
          </cell>
        </row>
        <row r="100">
          <cell r="B100">
            <v>2106</v>
          </cell>
          <cell r="C100" t="str">
            <v>AbdulRahim Saif Al Saba Al Hina'I</v>
          </cell>
          <cell r="D100">
            <v>39690</v>
          </cell>
          <cell r="E100">
            <v>39775</v>
          </cell>
          <cell r="F100">
            <v>6</v>
          </cell>
          <cell r="G100">
            <v>0</v>
          </cell>
          <cell r="H100">
            <v>3</v>
          </cell>
          <cell r="I100">
            <v>7</v>
          </cell>
          <cell r="J100">
            <v>4</v>
          </cell>
          <cell r="K100">
            <v>0</v>
          </cell>
          <cell r="L100" t="str">
            <v>x</v>
          </cell>
          <cell r="M100" t="str">
            <v>x</v>
          </cell>
          <cell r="N100" t="str">
            <v>x</v>
          </cell>
          <cell r="O100" t="str">
            <v>x</v>
          </cell>
          <cell r="P100" t="str">
            <v>x</v>
          </cell>
          <cell r="Q100" t="str">
            <v>x</v>
          </cell>
          <cell r="R100" t="str">
            <v>x</v>
          </cell>
          <cell r="S100" t="str">
            <v>x</v>
          </cell>
          <cell r="T100" t="str">
            <v>x</v>
          </cell>
          <cell r="U100" t="str">
            <v>x</v>
          </cell>
          <cell r="V100" t="str">
            <v>x</v>
          </cell>
          <cell r="W100" t="str">
            <v>x</v>
          </cell>
          <cell r="X100" t="str">
            <v>x</v>
          </cell>
          <cell r="Y100" t="str">
            <v>x</v>
          </cell>
          <cell r="Z100" t="str">
            <v>x</v>
          </cell>
          <cell r="AA100" t="str">
            <v>x</v>
          </cell>
          <cell r="AB100" t="str">
            <v>x</v>
          </cell>
          <cell r="AC100" t="str">
            <v>x</v>
          </cell>
          <cell r="AD100" t="str">
            <v>x</v>
          </cell>
          <cell r="AE100" t="str">
            <v>x</v>
          </cell>
          <cell r="AF100" t="str">
            <v>x</v>
          </cell>
          <cell r="AG100" t="str">
            <v>x</v>
          </cell>
          <cell r="AH100" t="str">
            <v>x</v>
          </cell>
          <cell r="AI100" t="str">
            <v>x</v>
          </cell>
          <cell r="AJ100" t="str">
            <v>x</v>
          </cell>
          <cell r="AK100" t="str">
            <v>x</v>
          </cell>
          <cell r="AL100">
            <v>6</v>
          </cell>
          <cell r="AM100">
            <v>0</v>
          </cell>
          <cell r="AN100">
            <v>0</v>
          </cell>
          <cell r="AO100">
            <v>20</v>
          </cell>
          <cell r="AP100">
            <v>0</v>
          </cell>
          <cell r="AQ100">
            <v>0</v>
          </cell>
          <cell r="AR100">
            <v>6</v>
          </cell>
          <cell r="AS100" t="str">
            <v>Casual Labour</v>
          </cell>
          <cell r="AV100">
            <v>120</v>
          </cell>
          <cell r="AW100">
            <v>25</v>
          </cell>
          <cell r="AX100">
            <v>30</v>
          </cell>
          <cell r="AY100">
            <v>20</v>
          </cell>
          <cell r="AZ100">
            <v>0.625</v>
          </cell>
        </row>
        <row r="101">
          <cell r="B101">
            <v>2107</v>
          </cell>
          <cell r="C101" t="str">
            <v>Ismail Marzouq Abdullah Al Darai</v>
          </cell>
          <cell r="D101">
            <v>40058</v>
          </cell>
          <cell r="E101">
            <v>40143</v>
          </cell>
          <cell r="F101" t="str">
            <v>x</v>
          </cell>
          <cell r="G101">
            <v>0</v>
          </cell>
          <cell r="H101">
            <v>0</v>
          </cell>
          <cell r="I101">
            <v>0</v>
          </cell>
          <cell r="J101">
            <v>0</v>
          </cell>
          <cell r="K101">
            <v>0</v>
          </cell>
          <cell r="L101">
            <v>0</v>
          </cell>
          <cell r="M101">
            <v>0</v>
          </cell>
          <cell r="N101">
            <v>0</v>
          </cell>
          <cell r="O101" t="str">
            <v>x</v>
          </cell>
          <cell r="P101" t="str">
            <v>x</v>
          </cell>
          <cell r="Q101" t="str">
            <v>x</v>
          </cell>
          <cell r="R101" t="str">
            <v>x</v>
          </cell>
          <cell r="S101" t="str">
            <v>x</v>
          </cell>
          <cell r="T101" t="str">
            <v>x</v>
          </cell>
          <cell r="U101" t="str">
            <v>x</v>
          </cell>
          <cell r="V101" t="str">
            <v>x</v>
          </cell>
          <cell r="W101" t="str">
            <v>x</v>
          </cell>
          <cell r="X101" t="str">
            <v>x</v>
          </cell>
          <cell r="Y101" t="str">
            <v>x</v>
          </cell>
          <cell r="Z101" t="str">
            <v>x</v>
          </cell>
          <cell r="AA101" t="str">
            <v>x</v>
          </cell>
          <cell r="AB101" t="str">
            <v>x</v>
          </cell>
          <cell r="AC101" t="str">
            <v>x</v>
          </cell>
          <cell r="AD101" t="str">
            <v>x</v>
          </cell>
          <cell r="AE101" t="str">
            <v>x</v>
          </cell>
          <cell r="AF101" t="str">
            <v>x</v>
          </cell>
          <cell r="AG101" t="str">
            <v>x</v>
          </cell>
          <cell r="AH101" t="str">
            <v>x</v>
          </cell>
          <cell r="AI101" t="str">
            <v>x</v>
          </cell>
          <cell r="AJ101" t="str">
            <v>x</v>
          </cell>
          <cell r="AK101" t="str">
            <v>x</v>
          </cell>
          <cell r="AL101">
            <v>8</v>
          </cell>
          <cell r="AM101">
            <v>0</v>
          </cell>
          <cell r="AN101">
            <v>0</v>
          </cell>
          <cell r="AO101">
            <v>0</v>
          </cell>
          <cell r="AP101">
            <v>0</v>
          </cell>
          <cell r="AQ101">
            <v>0</v>
          </cell>
          <cell r="AR101">
            <v>8</v>
          </cell>
          <cell r="AS101" t="str">
            <v>Casual Labour</v>
          </cell>
          <cell r="AV101">
            <v>120</v>
          </cell>
          <cell r="AW101">
            <v>25</v>
          </cell>
          <cell r="AX101">
            <v>30</v>
          </cell>
          <cell r="AY101">
            <v>20</v>
          </cell>
          <cell r="AZ101">
            <v>0.625</v>
          </cell>
        </row>
        <row r="102">
          <cell r="B102">
            <v>2108</v>
          </cell>
          <cell r="C102" t="str">
            <v>Khalid Mohammed Said Al Yaqoubi</v>
          </cell>
          <cell r="D102">
            <v>39697</v>
          </cell>
          <cell r="E102">
            <v>39782</v>
          </cell>
          <cell r="F102" t="str">
            <v>x</v>
          </cell>
          <cell r="G102" t="str">
            <v>x</v>
          </cell>
          <cell r="H102" t="str">
            <v>x</v>
          </cell>
          <cell r="I102" t="str">
            <v>x</v>
          </cell>
          <cell r="J102" t="str">
            <v>x</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t="str">
            <v>L</v>
          </cell>
          <cell r="AJ102" t="str">
            <v>x</v>
          </cell>
          <cell r="AK102" t="str">
            <v>x</v>
          </cell>
          <cell r="AL102">
            <v>24</v>
          </cell>
          <cell r="AM102">
            <v>0</v>
          </cell>
          <cell r="AN102">
            <v>1</v>
          </cell>
          <cell r="AO102">
            <v>0</v>
          </cell>
          <cell r="AP102">
            <v>0</v>
          </cell>
          <cell r="AQ102">
            <v>0</v>
          </cell>
          <cell r="AR102">
            <v>24</v>
          </cell>
          <cell r="AS102" t="str">
            <v>Casual Labour</v>
          </cell>
          <cell r="AV102">
            <v>120</v>
          </cell>
          <cell r="AW102">
            <v>25</v>
          </cell>
          <cell r="AX102">
            <v>30</v>
          </cell>
          <cell r="AY102">
            <v>20</v>
          </cell>
          <cell r="AZ102">
            <v>0.625</v>
          </cell>
        </row>
        <row r="103">
          <cell r="B103">
            <v>2109</v>
          </cell>
          <cell r="C103" t="str">
            <v>Saqar Saif Sulaiman Al Rashdi</v>
          </cell>
          <cell r="D103">
            <v>39697</v>
          </cell>
          <cell r="E103">
            <v>39782</v>
          </cell>
          <cell r="F103" t="str">
            <v>x</v>
          </cell>
          <cell r="G103" t="str">
            <v>x</v>
          </cell>
          <cell r="H103" t="str">
            <v>x</v>
          </cell>
          <cell r="I103" t="str">
            <v>x</v>
          </cell>
          <cell r="J103" t="str">
            <v>x</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t="str">
            <v>L</v>
          </cell>
          <cell r="AJ103" t="str">
            <v>x</v>
          </cell>
          <cell r="AK103" t="str">
            <v>x</v>
          </cell>
          <cell r="AL103">
            <v>24</v>
          </cell>
          <cell r="AM103">
            <v>0</v>
          </cell>
          <cell r="AN103">
            <v>1</v>
          </cell>
          <cell r="AO103">
            <v>0</v>
          </cell>
          <cell r="AP103">
            <v>0</v>
          </cell>
          <cell r="AQ103">
            <v>0</v>
          </cell>
          <cell r="AR103">
            <v>24</v>
          </cell>
          <cell r="AS103" t="str">
            <v>Casual Labour</v>
          </cell>
          <cell r="AV103">
            <v>120</v>
          </cell>
          <cell r="AW103">
            <v>25</v>
          </cell>
          <cell r="AX103">
            <v>30</v>
          </cell>
          <cell r="AY103">
            <v>20</v>
          </cell>
          <cell r="AZ103">
            <v>0.625</v>
          </cell>
        </row>
        <row r="104">
          <cell r="B104">
            <v>2110</v>
          </cell>
          <cell r="C104" t="str">
            <v>Said Musabah Mohammed Al Ghafri</v>
          </cell>
          <cell r="D104">
            <v>39697</v>
          </cell>
          <cell r="E104">
            <v>39782</v>
          </cell>
          <cell r="F104" t="str">
            <v>x</v>
          </cell>
          <cell r="G104" t="str">
            <v>x</v>
          </cell>
          <cell r="H104" t="str">
            <v>x</v>
          </cell>
          <cell r="I104" t="str">
            <v>x</v>
          </cell>
          <cell r="J104" t="str">
            <v>x</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t="str">
            <v>L</v>
          </cell>
          <cell r="AJ104" t="str">
            <v>x</v>
          </cell>
          <cell r="AK104" t="str">
            <v>x</v>
          </cell>
          <cell r="AL104">
            <v>24</v>
          </cell>
          <cell r="AM104">
            <v>0</v>
          </cell>
          <cell r="AN104">
            <v>1</v>
          </cell>
          <cell r="AO104">
            <v>0</v>
          </cell>
          <cell r="AP104">
            <v>0</v>
          </cell>
          <cell r="AQ104">
            <v>0</v>
          </cell>
          <cell r="AR104">
            <v>24</v>
          </cell>
          <cell r="AS104" t="str">
            <v>Casual Labour</v>
          </cell>
          <cell r="AV104">
            <v>120</v>
          </cell>
          <cell r="AW104">
            <v>25</v>
          </cell>
          <cell r="AX104">
            <v>30</v>
          </cell>
          <cell r="AY104">
            <v>20</v>
          </cell>
          <cell r="AZ104">
            <v>0.625</v>
          </cell>
        </row>
        <row r="105">
          <cell r="B105">
            <v>2111</v>
          </cell>
          <cell r="C105" t="str">
            <v>Fahad Abdullah Ali Al Rawahi</v>
          </cell>
          <cell r="D105">
            <v>39697</v>
          </cell>
          <cell r="E105">
            <v>39782</v>
          </cell>
          <cell r="F105" t="str">
            <v>x</v>
          </cell>
          <cell r="G105" t="str">
            <v>x</v>
          </cell>
          <cell r="H105" t="str">
            <v>x</v>
          </cell>
          <cell r="I105" t="str">
            <v>x</v>
          </cell>
          <cell r="J105" t="str">
            <v>x</v>
          </cell>
          <cell r="K105">
            <v>0</v>
          </cell>
          <cell r="L105">
            <v>0</v>
          </cell>
          <cell r="M105">
            <v>0</v>
          </cell>
          <cell r="N105">
            <v>0</v>
          </cell>
          <cell r="O105">
            <v>0</v>
          </cell>
          <cell r="P105">
            <v>0</v>
          </cell>
          <cell r="Q105">
            <v>0</v>
          </cell>
          <cell r="R105">
            <v>0</v>
          </cell>
          <cell r="S105">
            <v>0</v>
          </cell>
          <cell r="T105">
            <v>0</v>
          </cell>
          <cell r="U105">
            <v>0</v>
          </cell>
          <cell r="V105">
            <v>0</v>
          </cell>
          <cell r="W105">
            <v>0</v>
          </cell>
          <cell r="X105" t="str">
            <v>x</v>
          </cell>
          <cell r="Y105" t="str">
            <v>x</v>
          </cell>
          <cell r="Z105" t="str">
            <v>x</v>
          </cell>
          <cell r="AA105" t="str">
            <v>x</v>
          </cell>
          <cell r="AB105" t="str">
            <v>x</v>
          </cell>
          <cell r="AC105" t="str">
            <v>x</v>
          </cell>
          <cell r="AD105" t="str">
            <v>x</v>
          </cell>
          <cell r="AE105" t="str">
            <v>x</v>
          </cell>
          <cell r="AF105" t="str">
            <v>x</v>
          </cell>
          <cell r="AG105" t="str">
            <v>x</v>
          </cell>
          <cell r="AH105" t="str">
            <v>x</v>
          </cell>
          <cell r="AI105" t="str">
            <v>x</v>
          </cell>
          <cell r="AJ105" t="str">
            <v>x</v>
          </cell>
          <cell r="AK105" t="str">
            <v>x</v>
          </cell>
          <cell r="AL105">
            <v>13</v>
          </cell>
          <cell r="AM105">
            <v>0</v>
          </cell>
          <cell r="AN105">
            <v>0</v>
          </cell>
          <cell r="AO105">
            <v>0</v>
          </cell>
          <cell r="AP105">
            <v>0</v>
          </cell>
          <cell r="AQ105">
            <v>0</v>
          </cell>
          <cell r="AR105">
            <v>13</v>
          </cell>
          <cell r="AS105" t="str">
            <v>Casual Labour</v>
          </cell>
          <cell r="AV105">
            <v>120</v>
          </cell>
          <cell r="AW105">
            <v>25</v>
          </cell>
          <cell r="AX105">
            <v>30</v>
          </cell>
          <cell r="AY105">
            <v>20</v>
          </cell>
          <cell r="AZ105">
            <v>0.625</v>
          </cell>
        </row>
        <row r="106">
          <cell r="B106">
            <v>2112</v>
          </cell>
          <cell r="C106" t="str">
            <v>Salim Humaid Saif Al Saidi</v>
          </cell>
          <cell r="D106">
            <v>39697</v>
          </cell>
          <cell r="E106">
            <v>39782</v>
          </cell>
          <cell r="F106" t="str">
            <v>x</v>
          </cell>
          <cell r="G106" t="str">
            <v>x</v>
          </cell>
          <cell r="H106" t="str">
            <v>x</v>
          </cell>
          <cell r="I106" t="str">
            <v>x</v>
          </cell>
          <cell r="J106" t="str">
            <v>x</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t="str">
            <v>A</v>
          </cell>
          <cell r="AF106" t="str">
            <v>A</v>
          </cell>
          <cell r="AG106" t="str">
            <v>A</v>
          </cell>
          <cell r="AH106" t="str">
            <v>A</v>
          </cell>
          <cell r="AI106" t="str">
            <v>A</v>
          </cell>
          <cell r="AJ106" t="str">
            <v>x</v>
          </cell>
          <cell r="AK106" t="str">
            <v>x</v>
          </cell>
          <cell r="AL106">
            <v>20</v>
          </cell>
          <cell r="AM106">
            <v>0</v>
          </cell>
          <cell r="AN106">
            <v>0</v>
          </cell>
          <cell r="AO106">
            <v>0</v>
          </cell>
          <cell r="AP106">
            <v>0</v>
          </cell>
          <cell r="AQ106">
            <v>0</v>
          </cell>
          <cell r="AR106">
            <v>20</v>
          </cell>
          <cell r="AS106" t="str">
            <v>Casual Labour</v>
          </cell>
          <cell r="AV106">
            <v>120</v>
          </cell>
          <cell r="AW106">
            <v>25</v>
          </cell>
          <cell r="AX106">
            <v>30</v>
          </cell>
          <cell r="AY106">
            <v>20</v>
          </cell>
          <cell r="AZ106">
            <v>0.625</v>
          </cell>
        </row>
        <row r="107">
          <cell r="B107">
            <v>2113</v>
          </cell>
          <cell r="C107" t="str">
            <v>Mohammed Saleh Khalfan Al Kalbani</v>
          </cell>
          <cell r="D107">
            <v>39697</v>
          </cell>
          <cell r="E107">
            <v>39782</v>
          </cell>
          <cell r="F107" t="str">
            <v>x</v>
          </cell>
          <cell r="G107" t="str">
            <v>x</v>
          </cell>
          <cell r="H107" t="str">
            <v>x</v>
          </cell>
          <cell r="I107" t="str">
            <v>x</v>
          </cell>
          <cell r="J107" t="str">
            <v>x</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t="str">
            <v>L</v>
          </cell>
          <cell r="AJ107" t="str">
            <v>x</v>
          </cell>
          <cell r="AK107" t="str">
            <v>x</v>
          </cell>
          <cell r="AL107">
            <v>24</v>
          </cell>
          <cell r="AM107">
            <v>0</v>
          </cell>
          <cell r="AN107">
            <v>1</v>
          </cell>
          <cell r="AO107">
            <v>0</v>
          </cell>
          <cell r="AP107">
            <v>0</v>
          </cell>
          <cell r="AQ107">
            <v>0</v>
          </cell>
          <cell r="AR107">
            <v>24</v>
          </cell>
          <cell r="AS107" t="str">
            <v>Casual Labour</v>
          </cell>
          <cell r="AV107">
            <v>120</v>
          </cell>
          <cell r="AW107">
            <v>25</v>
          </cell>
          <cell r="AX107">
            <v>30</v>
          </cell>
          <cell r="AY107">
            <v>20</v>
          </cell>
          <cell r="AZ107">
            <v>0.625</v>
          </cell>
        </row>
        <row r="108">
          <cell r="C108" t="str">
            <v>Mahmood Al Hamdi Eid Al Dari</v>
          </cell>
          <cell r="D108">
            <v>39697</v>
          </cell>
          <cell r="E108">
            <v>39782</v>
          </cell>
          <cell r="F108" t="str">
            <v>x</v>
          </cell>
          <cell r="G108" t="str">
            <v>x</v>
          </cell>
          <cell r="H108" t="str">
            <v>x</v>
          </cell>
          <cell r="I108" t="str">
            <v>x</v>
          </cell>
          <cell r="J108" t="str">
            <v>x</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t="str">
            <v>L</v>
          </cell>
          <cell r="Z108" t="str">
            <v>L</v>
          </cell>
          <cell r="AA108" t="str">
            <v>L</v>
          </cell>
          <cell r="AB108" t="str">
            <v>L</v>
          </cell>
          <cell r="AC108" t="str">
            <v>L</v>
          </cell>
          <cell r="AD108" t="str">
            <v>L</v>
          </cell>
          <cell r="AE108">
            <v>0</v>
          </cell>
          <cell r="AF108">
            <v>0</v>
          </cell>
          <cell r="AG108">
            <v>0</v>
          </cell>
          <cell r="AH108">
            <v>0</v>
          </cell>
          <cell r="AI108" t="str">
            <v>L</v>
          </cell>
          <cell r="AJ108" t="str">
            <v>x</v>
          </cell>
          <cell r="AK108" t="str">
            <v>x</v>
          </cell>
          <cell r="AL108">
            <v>18</v>
          </cell>
          <cell r="AM108">
            <v>0</v>
          </cell>
          <cell r="AN108">
            <v>7</v>
          </cell>
          <cell r="AO108">
            <v>0</v>
          </cell>
          <cell r="AP108">
            <v>0</v>
          </cell>
          <cell r="AQ108">
            <v>0</v>
          </cell>
          <cell r="AR108">
            <v>18</v>
          </cell>
          <cell r="AS108" t="str">
            <v>Casual Light Duty Driver</v>
          </cell>
          <cell r="AT108" t="str">
            <v>Employee</v>
          </cell>
          <cell r="AV108">
            <v>150</v>
          </cell>
          <cell r="AW108">
            <v>30</v>
          </cell>
          <cell r="AX108">
            <v>40</v>
          </cell>
          <cell r="AY108">
            <v>25</v>
          </cell>
          <cell r="AZ108">
            <v>0.78125</v>
          </cell>
        </row>
        <row r="109">
          <cell r="B109">
            <v>2115</v>
          </cell>
          <cell r="C109" t="str">
            <v>Khalifa Ali Ghafil Al Saidi</v>
          </cell>
          <cell r="D109">
            <v>39697</v>
          </cell>
          <cell r="E109">
            <v>39782</v>
          </cell>
          <cell r="F109" t="str">
            <v>x</v>
          </cell>
          <cell r="G109" t="str">
            <v>x</v>
          </cell>
          <cell r="H109" t="str">
            <v>x</v>
          </cell>
          <cell r="I109" t="str">
            <v>x</v>
          </cell>
          <cell r="J109" t="str">
            <v>x</v>
          </cell>
          <cell r="K109" t="str">
            <v>X</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t="str">
            <v>X</v>
          </cell>
          <cell r="AB109" t="str">
            <v>X</v>
          </cell>
          <cell r="AC109" t="str">
            <v>X</v>
          </cell>
          <cell r="AD109" t="str">
            <v>X</v>
          </cell>
          <cell r="AE109" t="str">
            <v>X</v>
          </cell>
          <cell r="AF109" t="str">
            <v>X</v>
          </cell>
          <cell r="AG109" t="str">
            <v>X</v>
          </cell>
          <cell r="AH109" t="str">
            <v>X</v>
          </cell>
          <cell r="AI109" t="str">
            <v>X</v>
          </cell>
          <cell r="AJ109" t="str">
            <v>x</v>
          </cell>
          <cell r="AK109" t="str">
            <v>x</v>
          </cell>
          <cell r="AL109">
            <v>15</v>
          </cell>
          <cell r="AM109">
            <v>0</v>
          </cell>
          <cell r="AN109">
            <v>0</v>
          </cell>
          <cell r="AO109">
            <v>0</v>
          </cell>
          <cell r="AP109">
            <v>0</v>
          </cell>
          <cell r="AQ109">
            <v>0</v>
          </cell>
          <cell r="AR109">
            <v>15</v>
          </cell>
          <cell r="AS109" t="str">
            <v>Casual Light Duty Driver</v>
          </cell>
          <cell r="AV109">
            <v>150</v>
          </cell>
          <cell r="AW109">
            <v>30</v>
          </cell>
          <cell r="AX109">
            <v>40</v>
          </cell>
          <cell r="AY109">
            <v>25</v>
          </cell>
          <cell r="AZ109">
            <v>0.78125</v>
          </cell>
        </row>
        <row r="110">
          <cell r="C110" t="str">
            <v>Salim Amur Saleh Al Nasseri</v>
          </cell>
          <cell r="D110">
            <v>39699</v>
          </cell>
          <cell r="E110">
            <v>39784</v>
          </cell>
          <cell r="F110" t="str">
            <v>x</v>
          </cell>
          <cell r="G110" t="str">
            <v>x</v>
          </cell>
          <cell r="H110" t="str">
            <v>x</v>
          </cell>
          <cell r="I110" t="str">
            <v>x</v>
          </cell>
          <cell r="J110" t="str">
            <v>x</v>
          </cell>
          <cell r="K110" t="str">
            <v>x</v>
          </cell>
          <cell r="L110" t="str">
            <v>x</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t="str">
            <v>L</v>
          </cell>
          <cell r="AJ110" t="str">
            <v>x</v>
          </cell>
          <cell r="AK110" t="str">
            <v>x</v>
          </cell>
          <cell r="AL110">
            <v>22</v>
          </cell>
          <cell r="AM110">
            <v>0</v>
          </cell>
          <cell r="AN110">
            <v>1</v>
          </cell>
          <cell r="AO110">
            <v>0</v>
          </cell>
          <cell r="AP110">
            <v>0</v>
          </cell>
          <cell r="AQ110">
            <v>0</v>
          </cell>
          <cell r="AR110">
            <v>22</v>
          </cell>
          <cell r="AS110" t="str">
            <v>Casual Labour</v>
          </cell>
          <cell r="AT110" t="str">
            <v>Salary Not transferred check his status of working or not.</v>
          </cell>
          <cell r="AV110">
            <v>120</v>
          </cell>
          <cell r="AW110">
            <v>25</v>
          </cell>
          <cell r="AX110">
            <v>30</v>
          </cell>
          <cell r="AY110">
            <v>20</v>
          </cell>
          <cell r="AZ110">
            <v>0.625</v>
          </cell>
        </row>
        <row r="111">
          <cell r="B111">
            <v>2118</v>
          </cell>
          <cell r="C111" t="str">
            <v>Hamad Marzouq Mohammed Al Hashimi</v>
          </cell>
          <cell r="D111">
            <v>39700</v>
          </cell>
          <cell r="E111">
            <v>39785</v>
          </cell>
          <cell r="F111" t="str">
            <v>x</v>
          </cell>
          <cell r="G111" t="str">
            <v>x</v>
          </cell>
          <cell r="H111" t="str">
            <v>x</v>
          </cell>
          <cell r="I111" t="str">
            <v>x</v>
          </cell>
          <cell r="J111" t="str">
            <v>x</v>
          </cell>
          <cell r="K111" t="str">
            <v>x</v>
          </cell>
          <cell r="L111" t="str">
            <v>x</v>
          </cell>
          <cell r="M111" t="str">
            <v>x</v>
          </cell>
          <cell r="N111" t="str">
            <v>X</v>
          </cell>
          <cell r="O111">
            <v>0</v>
          </cell>
          <cell r="P111">
            <v>0</v>
          </cell>
          <cell r="Q111">
            <v>0</v>
          </cell>
          <cell r="R111">
            <v>0</v>
          </cell>
          <cell r="S111">
            <v>0</v>
          </cell>
          <cell r="T111">
            <v>7</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t="str">
            <v>X</v>
          </cell>
          <cell r="AJ111" t="str">
            <v>x</v>
          </cell>
          <cell r="AK111" t="str">
            <v>x</v>
          </cell>
          <cell r="AL111">
            <v>20</v>
          </cell>
          <cell r="AM111">
            <v>0</v>
          </cell>
          <cell r="AN111">
            <v>0</v>
          </cell>
          <cell r="AO111">
            <v>7</v>
          </cell>
          <cell r="AP111">
            <v>0</v>
          </cell>
          <cell r="AQ111">
            <v>0</v>
          </cell>
          <cell r="AR111">
            <v>20</v>
          </cell>
          <cell r="AS111" t="str">
            <v>Casual Labour</v>
          </cell>
          <cell r="AV111">
            <v>120</v>
          </cell>
          <cell r="AW111">
            <v>25</v>
          </cell>
          <cell r="AX111">
            <v>30</v>
          </cell>
          <cell r="AY111">
            <v>20</v>
          </cell>
          <cell r="AZ111">
            <v>0.625</v>
          </cell>
        </row>
        <row r="112">
          <cell r="C112" t="str">
            <v>Saoud Nasser Said Al Nabhani</v>
          </cell>
          <cell r="D112">
            <v>39699</v>
          </cell>
          <cell r="E112">
            <v>39784</v>
          </cell>
          <cell r="F112" t="str">
            <v>x</v>
          </cell>
          <cell r="G112" t="str">
            <v>x</v>
          </cell>
          <cell r="H112" t="str">
            <v>x</v>
          </cell>
          <cell r="I112" t="str">
            <v>x</v>
          </cell>
          <cell r="J112" t="str">
            <v>x</v>
          </cell>
          <cell r="K112" t="str">
            <v>x</v>
          </cell>
          <cell r="L112" t="str">
            <v>x</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t="str">
            <v>L</v>
          </cell>
          <cell r="AJ112" t="str">
            <v>x</v>
          </cell>
          <cell r="AK112" t="str">
            <v>x</v>
          </cell>
          <cell r="AL112">
            <v>22</v>
          </cell>
          <cell r="AM112">
            <v>0</v>
          </cell>
          <cell r="AN112">
            <v>1</v>
          </cell>
          <cell r="AO112">
            <v>0</v>
          </cell>
          <cell r="AP112">
            <v>0</v>
          </cell>
          <cell r="AQ112">
            <v>0</v>
          </cell>
          <cell r="AR112">
            <v>22</v>
          </cell>
          <cell r="AS112" t="str">
            <v>Casual Labour</v>
          </cell>
          <cell r="AT112" t="str">
            <v>Salary Not transferred check his status of working or not.</v>
          </cell>
          <cell r="AV112">
            <v>120</v>
          </cell>
          <cell r="AW112">
            <v>25</v>
          </cell>
          <cell r="AX112">
            <v>30</v>
          </cell>
          <cell r="AY112">
            <v>20</v>
          </cell>
          <cell r="AZ112">
            <v>0.625</v>
          </cell>
        </row>
        <row r="113">
          <cell r="B113">
            <v>2120</v>
          </cell>
          <cell r="C113" t="str">
            <v>Saif Hamed Saif Al Alawi</v>
          </cell>
          <cell r="D113">
            <v>39700</v>
          </cell>
          <cell r="E113">
            <v>39785</v>
          </cell>
          <cell r="F113" t="str">
            <v>x</v>
          </cell>
          <cell r="G113" t="str">
            <v>x</v>
          </cell>
          <cell r="H113" t="str">
            <v>x</v>
          </cell>
          <cell r="I113" t="str">
            <v>x</v>
          </cell>
          <cell r="J113" t="str">
            <v>x</v>
          </cell>
          <cell r="K113" t="str">
            <v>x</v>
          </cell>
          <cell r="L113" t="str">
            <v>x</v>
          </cell>
          <cell r="M113" t="str">
            <v>x</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t="str">
            <v>x</v>
          </cell>
          <cell r="AG113" t="str">
            <v>x</v>
          </cell>
          <cell r="AH113" t="str">
            <v>x</v>
          </cell>
          <cell r="AI113" t="str">
            <v>x</v>
          </cell>
          <cell r="AJ113" t="str">
            <v>x</v>
          </cell>
          <cell r="AK113" t="str">
            <v>x</v>
          </cell>
          <cell r="AL113">
            <v>18</v>
          </cell>
          <cell r="AM113">
            <v>0</v>
          </cell>
          <cell r="AN113">
            <v>0</v>
          </cell>
          <cell r="AO113">
            <v>0</v>
          </cell>
          <cell r="AP113">
            <v>0</v>
          </cell>
          <cell r="AQ113">
            <v>0</v>
          </cell>
          <cell r="AR113">
            <v>18</v>
          </cell>
          <cell r="AS113" t="str">
            <v>Casual Labour</v>
          </cell>
          <cell r="AV113">
            <v>120</v>
          </cell>
          <cell r="AW113">
            <v>25</v>
          </cell>
          <cell r="AX113">
            <v>30</v>
          </cell>
          <cell r="AY113">
            <v>20</v>
          </cell>
          <cell r="AZ113">
            <v>0.625</v>
          </cell>
        </row>
        <row r="114">
          <cell r="B114">
            <v>2121</v>
          </cell>
          <cell r="C114" t="str">
            <v>Hamed Abdullah Hilal Al Radhi</v>
          </cell>
          <cell r="D114">
            <v>39704</v>
          </cell>
          <cell r="E114">
            <v>39789</v>
          </cell>
          <cell r="F114" t="str">
            <v>x</v>
          </cell>
          <cell r="G114" t="str">
            <v>x</v>
          </cell>
          <cell r="H114" t="str">
            <v>x</v>
          </cell>
          <cell r="I114" t="str">
            <v>x</v>
          </cell>
          <cell r="J114" t="str">
            <v>x</v>
          </cell>
          <cell r="K114" t="str">
            <v>x</v>
          </cell>
          <cell r="L114" t="str">
            <v>x</v>
          </cell>
          <cell r="M114" t="str">
            <v>x</v>
          </cell>
          <cell r="N114" t="str">
            <v>x</v>
          </cell>
          <cell r="O114" t="str">
            <v>x</v>
          </cell>
          <cell r="P114" t="str">
            <v>x</v>
          </cell>
          <cell r="Q114" t="str">
            <v>x</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t="str">
            <v>L</v>
          </cell>
          <cell r="AJ114" t="str">
            <v>x</v>
          </cell>
          <cell r="AK114" t="str">
            <v>x</v>
          </cell>
          <cell r="AL114">
            <v>17</v>
          </cell>
          <cell r="AM114">
            <v>0</v>
          </cell>
          <cell r="AN114">
            <v>1</v>
          </cell>
          <cell r="AO114">
            <v>0</v>
          </cell>
          <cell r="AP114">
            <v>0</v>
          </cell>
          <cell r="AQ114">
            <v>0</v>
          </cell>
          <cell r="AR114">
            <v>17</v>
          </cell>
          <cell r="AS114" t="str">
            <v>Casual Light Duty Driver</v>
          </cell>
          <cell r="AV114">
            <v>150</v>
          </cell>
          <cell r="AW114">
            <v>30</v>
          </cell>
          <cell r="AX114">
            <v>40</v>
          </cell>
          <cell r="AY114">
            <v>25</v>
          </cell>
          <cell r="AZ114">
            <v>0.78125</v>
          </cell>
        </row>
        <row r="115">
          <cell r="B115">
            <v>2122</v>
          </cell>
          <cell r="C115" t="str">
            <v>Salim Marzooq Abdullah Al Darai</v>
          </cell>
          <cell r="D115">
            <v>39704</v>
          </cell>
          <cell r="E115">
            <v>39789</v>
          </cell>
          <cell r="F115" t="str">
            <v>x</v>
          </cell>
          <cell r="G115" t="str">
            <v>x</v>
          </cell>
          <cell r="H115" t="str">
            <v>x</v>
          </cell>
          <cell r="I115" t="str">
            <v>x</v>
          </cell>
          <cell r="J115" t="str">
            <v>x</v>
          </cell>
          <cell r="K115" t="str">
            <v>x</v>
          </cell>
          <cell r="L115" t="str">
            <v>x</v>
          </cell>
          <cell r="M115" t="str">
            <v>x</v>
          </cell>
          <cell r="N115" t="str">
            <v>x</v>
          </cell>
          <cell r="O115" t="str">
            <v>x</v>
          </cell>
          <cell r="P115" t="str">
            <v>x</v>
          </cell>
          <cell r="Q115" t="str">
            <v>x</v>
          </cell>
          <cell r="R115">
            <v>0</v>
          </cell>
          <cell r="S115">
            <v>0</v>
          </cell>
          <cell r="T115">
            <v>0</v>
          </cell>
          <cell r="U115">
            <v>0</v>
          </cell>
          <cell r="V115" t="str">
            <v>A</v>
          </cell>
          <cell r="W115" t="str">
            <v>A</v>
          </cell>
          <cell r="X115">
            <v>7</v>
          </cell>
          <cell r="Y115">
            <v>7</v>
          </cell>
          <cell r="Z115">
            <v>9</v>
          </cell>
          <cell r="AA115">
            <v>7</v>
          </cell>
          <cell r="AB115">
            <v>7</v>
          </cell>
          <cell r="AC115">
            <v>7</v>
          </cell>
          <cell r="AD115">
            <v>6</v>
          </cell>
          <cell r="AE115">
            <v>7</v>
          </cell>
          <cell r="AF115">
            <v>7.5</v>
          </cell>
          <cell r="AG115">
            <v>7</v>
          </cell>
          <cell r="AH115">
            <v>0</v>
          </cell>
          <cell r="AI115" t="str">
            <v>L</v>
          </cell>
          <cell r="AJ115" t="str">
            <v>x</v>
          </cell>
          <cell r="AK115" t="str">
            <v>x</v>
          </cell>
          <cell r="AL115">
            <v>15</v>
          </cell>
          <cell r="AM115">
            <v>0</v>
          </cell>
          <cell r="AN115">
            <v>1</v>
          </cell>
          <cell r="AO115">
            <v>71.5</v>
          </cell>
          <cell r="AP115">
            <v>0</v>
          </cell>
          <cell r="AQ115">
            <v>0</v>
          </cell>
          <cell r="AR115">
            <v>15</v>
          </cell>
          <cell r="AS115" t="str">
            <v>Casual Labour</v>
          </cell>
          <cell r="AV115">
            <v>120</v>
          </cell>
          <cell r="AW115">
            <v>25</v>
          </cell>
          <cell r="AX115">
            <v>30</v>
          </cell>
          <cell r="AY115">
            <v>20</v>
          </cell>
          <cell r="AZ115">
            <v>0.625</v>
          </cell>
        </row>
        <row r="116">
          <cell r="B116">
            <v>2123</v>
          </cell>
          <cell r="C116" t="str">
            <v>Issa Rashid Gharib Al Maqbali</v>
          </cell>
          <cell r="D116">
            <v>39705</v>
          </cell>
          <cell r="E116">
            <v>39790</v>
          </cell>
          <cell r="F116" t="str">
            <v>x</v>
          </cell>
          <cell r="G116" t="str">
            <v>x</v>
          </cell>
          <cell r="H116" t="str">
            <v>x</v>
          </cell>
          <cell r="I116" t="str">
            <v>x</v>
          </cell>
          <cell r="J116" t="str">
            <v>x</v>
          </cell>
          <cell r="K116" t="str">
            <v>x</v>
          </cell>
          <cell r="L116" t="str">
            <v>x</v>
          </cell>
          <cell r="M116" t="str">
            <v>x</v>
          </cell>
          <cell r="N116" t="str">
            <v>x</v>
          </cell>
          <cell r="O116" t="str">
            <v>x</v>
          </cell>
          <cell r="P116" t="str">
            <v>x</v>
          </cell>
          <cell r="Q116" t="str">
            <v>x</v>
          </cell>
          <cell r="R116">
            <v>0</v>
          </cell>
          <cell r="S116" t="str">
            <v>x</v>
          </cell>
          <cell r="T116" t="str">
            <v>x</v>
          </cell>
          <cell r="U116" t="str">
            <v>x</v>
          </cell>
          <cell r="V116" t="str">
            <v>x</v>
          </cell>
          <cell r="W116" t="str">
            <v>x</v>
          </cell>
          <cell r="X116" t="str">
            <v>x</v>
          </cell>
          <cell r="Y116" t="str">
            <v>x</v>
          </cell>
          <cell r="Z116" t="str">
            <v>x</v>
          </cell>
          <cell r="AA116" t="str">
            <v>x</v>
          </cell>
          <cell r="AB116" t="str">
            <v>x</v>
          </cell>
          <cell r="AC116" t="str">
            <v>x</v>
          </cell>
          <cell r="AD116" t="str">
            <v>x</v>
          </cell>
          <cell r="AE116" t="str">
            <v>x</v>
          </cell>
          <cell r="AF116" t="str">
            <v>x</v>
          </cell>
          <cell r="AG116" t="str">
            <v>x</v>
          </cell>
          <cell r="AH116" t="str">
            <v>x</v>
          </cell>
          <cell r="AI116" t="str">
            <v>x</v>
          </cell>
          <cell r="AJ116" t="str">
            <v>x</v>
          </cell>
          <cell r="AK116" t="str">
            <v>x</v>
          </cell>
          <cell r="AL116">
            <v>1</v>
          </cell>
          <cell r="AM116">
            <v>0</v>
          </cell>
          <cell r="AN116">
            <v>0</v>
          </cell>
          <cell r="AO116">
            <v>0</v>
          </cell>
          <cell r="AP116">
            <v>0</v>
          </cell>
          <cell r="AQ116">
            <v>0</v>
          </cell>
          <cell r="AR116">
            <v>1</v>
          </cell>
          <cell r="AS116" t="str">
            <v>Casual Labour</v>
          </cell>
          <cell r="AV116">
            <v>120</v>
          </cell>
          <cell r="AW116">
            <v>25</v>
          </cell>
          <cell r="AX116">
            <v>30</v>
          </cell>
          <cell r="AY116">
            <v>20</v>
          </cell>
          <cell r="AZ116">
            <v>0.625</v>
          </cell>
        </row>
        <row r="117">
          <cell r="B117">
            <v>2124</v>
          </cell>
          <cell r="C117" t="str">
            <v>Ahmed Musabah Mas'oud Muslem Alyani</v>
          </cell>
          <cell r="D117">
            <v>39705</v>
          </cell>
          <cell r="E117">
            <v>39790</v>
          </cell>
          <cell r="F117" t="str">
            <v>x</v>
          </cell>
          <cell r="G117" t="str">
            <v>x</v>
          </cell>
          <cell r="H117" t="str">
            <v>x</v>
          </cell>
          <cell r="I117" t="str">
            <v>x</v>
          </cell>
          <cell r="J117" t="str">
            <v>x</v>
          </cell>
          <cell r="K117" t="str">
            <v>x</v>
          </cell>
          <cell r="L117" t="str">
            <v>x</v>
          </cell>
          <cell r="M117" t="str">
            <v>x</v>
          </cell>
          <cell r="N117" t="str">
            <v>x</v>
          </cell>
          <cell r="O117" t="str">
            <v>x</v>
          </cell>
          <cell r="P117" t="str">
            <v>x</v>
          </cell>
          <cell r="Q117" t="str">
            <v>x</v>
          </cell>
          <cell r="R117">
            <v>7</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t="str">
            <v>L</v>
          </cell>
          <cell r="AJ117" t="str">
            <v>x</v>
          </cell>
          <cell r="AK117" t="str">
            <v>x</v>
          </cell>
          <cell r="AL117">
            <v>17</v>
          </cell>
          <cell r="AM117">
            <v>0</v>
          </cell>
          <cell r="AN117">
            <v>1</v>
          </cell>
          <cell r="AO117">
            <v>7</v>
          </cell>
          <cell r="AP117">
            <v>0</v>
          </cell>
          <cell r="AQ117">
            <v>0</v>
          </cell>
          <cell r="AR117">
            <v>17</v>
          </cell>
          <cell r="AS117" t="str">
            <v>Casual Labour</v>
          </cell>
          <cell r="AV117">
            <v>120</v>
          </cell>
          <cell r="AW117">
            <v>25</v>
          </cell>
          <cell r="AX117">
            <v>30</v>
          </cell>
          <cell r="AY117">
            <v>20</v>
          </cell>
          <cell r="AZ117">
            <v>0.625</v>
          </cell>
        </row>
        <row r="118">
          <cell r="B118">
            <v>2125</v>
          </cell>
          <cell r="C118" t="str">
            <v>Talal Salim Mohammed Al Maqbali</v>
          </cell>
          <cell r="D118">
            <v>39705</v>
          </cell>
          <cell r="E118">
            <v>39790</v>
          </cell>
          <cell r="F118" t="str">
            <v>x</v>
          </cell>
          <cell r="G118" t="str">
            <v>x</v>
          </cell>
          <cell r="H118" t="str">
            <v>x</v>
          </cell>
          <cell r="I118" t="str">
            <v>x</v>
          </cell>
          <cell r="J118" t="str">
            <v>x</v>
          </cell>
          <cell r="K118" t="str">
            <v>x</v>
          </cell>
          <cell r="L118" t="str">
            <v>x</v>
          </cell>
          <cell r="M118" t="str">
            <v>x</v>
          </cell>
          <cell r="N118" t="str">
            <v>x</v>
          </cell>
          <cell r="O118" t="str">
            <v>x</v>
          </cell>
          <cell r="P118" t="str">
            <v>x</v>
          </cell>
          <cell r="Q118" t="str">
            <v>x</v>
          </cell>
          <cell r="R118">
            <v>7</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t="str">
            <v>L</v>
          </cell>
          <cell r="AJ118" t="str">
            <v>x</v>
          </cell>
          <cell r="AK118" t="str">
            <v>x</v>
          </cell>
          <cell r="AL118">
            <v>17</v>
          </cell>
          <cell r="AM118">
            <v>0</v>
          </cell>
          <cell r="AN118">
            <v>1</v>
          </cell>
          <cell r="AO118">
            <v>7</v>
          </cell>
          <cell r="AP118">
            <v>0</v>
          </cell>
          <cell r="AQ118">
            <v>0</v>
          </cell>
          <cell r="AR118">
            <v>17</v>
          </cell>
          <cell r="AS118" t="str">
            <v>Casual Labour</v>
          </cell>
          <cell r="AV118">
            <v>120</v>
          </cell>
          <cell r="AW118">
            <v>25</v>
          </cell>
          <cell r="AX118">
            <v>30</v>
          </cell>
          <cell r="AY118">
            <v>20</v>
          </cell>
          <cell r="AZ118">
            <v>0.625</v>
          </cell>
        </row>
        <row r="119">
          <cell r="B119">
            <v>2126</v>
          </cell>
          <cell r="C119" t="str">
            <v>Said Musabah Ali Al Zeidi</v>
          </cell>
          <cell r="D119">
            <v>39705</v>
          </cell>
          <cell r="E119">
            <v>39790</v>
          </cell>
          <cell r="F119" t="str">
            <v>x</v>
          </cell>
          <cell r="G119" t="str">
            <v>x</v>
          </cell>
          <cell r="H119" t="str">
            <v>x</v>
          </cell>
          <cell r="I119" t="str">
            <v>x</v>
          </cell>
          <cell r="J119" t="str">
            <v>x</v>
          </cell>
          <cell r="K119" t="str">
            <v>x</v>
          </cell>
          <cell r="L119" t="str">
            <v>x</v>
          </cell>
          <cell r="M119" t="str">
            <v>x</v>
          </cell>
          <cell r="N119" t="str">
            <v>x</v>
          </cell>
          <cell r="O119" t="str">
            <v>x</v>
          </cell>
          <cell r="P119" t="str">
            <v>x</v>
          </cell>
          <cell r="Q119" t="str">
            <v>x</v>
          </cell>
          <cell r="R119">
            <v>7</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t="str">
            <v>L</v>
          </cell>
          <cell r="AJ119" t="str">
            <v>x</v>
          </cell>
          <cell r="AK119" t="str">
            <v>x</v>
          </cell>
          <cell r="AL119">
            <v>17</v>
          </cell>
          <cell r="AM119">
            <v>0</v>
          </cell>
          <cell r="AN119">
            <v>1</v>
          </cell>
          <cell r="AO119">
            <v>7</v>
          </cell>
          <cell r="AP119">
            <v>0</v>
          </cell>
          <cell r="AQ119">
            <v>0</v>
          </cell>
          <cell r="AR119">
            <v>17</v>
          </cell>
          <cell r="AS119" t="str">
            <v>Casual Labour</v>
          </cell>
          <cell r="AV119">
            <v>120</v>
          </cell>
          <cell r="AW119">
            <v>25</v>
          </cell>
          <cell r="AX119">
            <v>30</v>
          </cell>
          <cell r="AY119">
            <v>20</v>
          </cell>
          <cell r="AZ119">
            <v>0.625</v>
          </cell>
        </row>
        <row r="120">
          <cell r="B120">
            <v>2127</v>
          </cell>
          <cell r="C120" t="str">
            <v>Fahad Hamood Said Al Shaqsi</v>
          </cell>
          <cell r="D120">
            <v>39705</v>
          </cell>
          <cell r="E120">
            <v>39790</v>
          </cell>
          <cell r="F120" t="str">
            <v>x</v>
          </cell>
          <cell r="G120" t="str">
            <v>x</v>
          </cell>
          <cell r="H120" t="str">
            <v>x</v>
          </cell>
          <cell r="I120" t="str">
            <v>x</v>
          </cell>
          <cell r="J120" t="str">
            <v>x</v>
          </cell>
          <cell r="K120" t="str">
            <v>x</v>
          </cell>
          <cell r="L120" t="str">
            <v>x</v>
          </cell>
          <cell r="M120" t="str">
            <v>x</v>
          </cell>
          <cell r="N120" t="str">
            <v>x</v>
          </cell>
          <cell r="O120" t="str">
            <v>x</v>
          </cell>
          <cell r="P120" t="str">
            <v>x</v>
          </cell>
          <cell r="Q120" t="str">
            <v>x</v>
          </cell>
          <cell r="R120">
            <v>0</v>
          </cell>
          <cell r="S120">
            <v>0</v>
          </cell>
          <cell r="T120">
            <v>0</v>
          </cell>
          <cell r="U120">
            <v>0</v>
          </cell>
          <cell r="V120">
            <v>0</v>
          </cell>
          <cell r="W120">
            <v>0</v>
          </cell>
          <cell r="X120">
            <v>7</v>
          </cell>
          <cell r="Y120">
            <v>0</v>
          </cell>
          <cell r="Z120">
            <v>9</v>
          </cell>
          <cell r="AA120">
            <v>0</v>
          </cell>
          <cell r="AB120">
            <v>0</v>
          </cell>
          <cell r="AC120">
            <v>0</v>
          </cell>
          <cell r="AD120">
            <v>0</v>
          </cell>
          <cell r="AE120">
            <v>0</v>
          </cell>
          <cell r="AF120" t="str">
            <v>x</v>
          </cell>
          <cell r="AG120" t="str">
            <v>x</v>
          </cell>
          <cell r="AH120" t="str">
            <v>x</v>
          </cell>
          <cell r="AI120" t="str">
            <v>x</v>
          </cell>
          <cell r="AJ120" t="str">
            <v>x</v>
          </cell>
          <cell r="AK120" t="str">
            <v>x</v>
          </cell>
          <cell r="AL120">
            <v>14</v>
          </cell>
          <cell r="AM120">
            <v>0</v>
          </cell>
          <cell r="AN120">
            <v>0</v>
          </cell>
          <cell r="AO120">
            <v>16</v>
          </cell>
          <cell r="AP120">
            <v>0</v>
          </cell>
          <cell r="AQ120">
            <v>0</v>
          </cell>
          <cell r="AR120">
            <v>14</v>
          </cell>
          <cell r="AS120" t="str">
            <v>Casual Labour</v>
          </cell>
          <cell r="AV120">
            <v>120</v>
          </cell>
          <cell r="AW120">
            <v>25</v>
          </cell>
          <cell r="AX120">
            <v>30</v>
          </cell>
          <cell r="AY120">
            <v>20</v>
          </cell>
          <cell r="AZ120">
            <v>0.625</v>
          </cell>
        </row>
        <row r="121">
          <cell r="B121">
            <v>2128</v>
          </cell>
          <cell r="C121" t="str">
            <v>Said Sulaiman Said Al Shaqsi</v>
          </cell>
          <cell r="D121">
            <v>39705</v>
          </cell>
          <cell r="E121">
            <v>39790</v>
          </cell>
          <cell r="F121" t="str">
            <v>x</v>
          </cell>
          <cell r="G121" t="str">
            <v>x</v>
          </cell>
          <cell r="H121" t="str">
            <v>x</v>
          </cell>
          <cell r="I121" t="str">
            <v>x</v>
          </cell>
          <cell r="J121" t="str">
            <v>x</v>
          </cell>
          <cell r="K121" t="str">
            <v>x</v>
          </cell>
          <cell r="L121" t="str">
            <v>x</v>
          </cell>
          <cell r="M121" t="str">
            <v>x</v>
          </cell>
          <cell r="N121" t="str">
            <v>x</v>
          </cell>
          <cell r="O121" t="str">
            <v>x</v>
          </cell>
          <cell r="P121" t="str">
            <v>x</v>
          </cell>
          <cell r="Q121" t="str">
            <v>x</v>
          </cell>
          <cell r="R121">
            <v>0</v>
          </cell>
          <cell r="S121">
            <v>0</v>
          </cell>
          <cell r="T121">
            <v>0</v>
          </cell>
          <cell r="U121">
            <v>0</v>
          </cell>
          <cell r="V121">
            <v>0</v>
          </cell>
          <cell r="W121">
            <v>0</v>
          </cell>
          <cell r="X121" t="str">
            <v>x</v>
          </cell>
          <cell r="Y121" t="str">
            <v>x</v>
          </cell>
          <cell r="Z121" t="str">
            <v>x</v>
          </cell>
          <cell r="AA121" t="str">
            <v>x</v>
          </cell>
          <cell r="AB121" t="str">
            <v>x</v>
          </cell>
          <cell r="AC121" t="str">
            <v>x</v>
          </cell>
          <cell r="AD121" t="str">
            <v>x</v>
          </cell>
          <cell r="AE121" t="str">
            <v>x</v>
          </cell>
          <cell r="AF121" t="str">
            <v>x</v>
          </cell>
          <cell r="AG121" t="str">
            <v>x</v>
          </cell>
          <cell r="AH121" t="str">
            <v>x</v>
          </cell>
          <cell r="AI121" t="str">
            <v>x</v>
          </cell>
          <cell r="AJ121" t="str">
            <v>x</v>
          </cell>
          <cell r="AK121" t="str">
            <v>x</v>
          </cell>
          <cell r="AL121">
            <v>6</v>
          </cell>
          <cell r="AM121">
            <v>0</v>
          </cell>
          <cell r="AN121">
            <v>0</v>
          </cell>
          <cell r="AO121">
            <v>0</v>
          </cell>
          <cell r="AP121">
            <v>0</v>
          </cell>
          <cell r="AQ121">
            <v>0</v>
          </cell>
          <cell r="AR121">
            <v>6</v>
          </cell>
          <cell r="AS121" t="str">
            <v>Casual Labour</v>
          </cell>
          <cell r="AV121">
            <v>120</v>
          </cell>
          <cell r="AW121">
            <v>25</v>
          </cell>
          <cell r="AX121">
            <v>30</v>
          </cell>
          <cell r="AY121">
            <v>20</v>
          </cell>
          <cell r="AZ121">
            <v>0.625</v>
          </cell>
        </row>
        <row r="122">
          <cell r="B122">
            <v>2129</v>
          </cell>
          <cell r="C122" t="str">
            <v>Waleed Nasser Khalaf Al Bahri</v>
          </cell>
          <cell r="D122">
            <v>39705</v>
          </cell>
          <cell r="E122">
            <v>39790</v>
          </cell>
          <cell r="F122" t="str">
            <v>x</v>
          </cell>
          <cell r="G122" t="str">
            <v>x</v>
          </cell>
          <cell r="H122" t="str">
            <v>x</v>
          </cell>
          <cell r="I122" t="str">
            <v>x</v>
          </cell>
          <cell r="J122" t="str">
            <v>x</v>
          </cell>
          <cell r="K122" t="str">
            <v>x</v>
          </cell>
          <cell r="L122" t="str">
            <v>x</v>
          </cell>
          <cell r="M122" t="str">
            <v>x</v>
          </cell>
          <cell r="N122" t="str">
            <v>x</v>
          </cell>
          <cell r="O122" t="str">
            <v>x</v>
          </cell>
          <cell r="P122" t="str">
            <v>x</v>
          </cell>
          <cell r="Q122" t="str">
            <v>x</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t="str">
            <v>L</v>
          </cell>
          <cell r="AJ122" t="str">
            <v>x</v>
          </cell>
          <cell r="AK122" t="str">
            <v>x</v>
          </cell>
          <cell r="AL122">
            <v>17</v>
          </cell>
          <cell r="AM122">
            <v>0</v>
          </cell>
          <cell r="AN122">
            <v>1</v>
          </cell>
          <cell r="AO122">
            <v>0</v>
          </cell>
          <cell r="AP122">
            <v>0</v>
          </cell>
          <cell r="AQ122">
            <v>0</v>
          </cell>
          <cell r="AR122">
            <v>17</v>
          </cell>
          <cell r="AS122" t="str">
            <v>Casual Labour</v>
          </cell>
          <cell r="AV122">
            <v>120</v>
          </cell>
          <cell r="AW122">
            <v>25</v>
          </cell>
          <cell r="AX122">
            <v>30</v>
          </cell>
          <cell r="AY122">
            <v>20</v>
          </cell>
          <cell r="AZ122">
            <v>0.625</v>
          </cell>
        </row>
        <row r="123">
          <cell r="B123">
            <v>2130</v>
          </cell>
          <cell r="C123" t="str">
            <v>Sultan Marhoun Saif Al Alawi</v>
          </cell>
          <cell r="D123">
            <v>39706</v>
          </cell>
          <cell r="E123">
            <v>39791</v>
          </cell>
          <cell r="F123" t="str">
            <v>x</v>
          </cell>
          <cell r="G123" t="str">
            <v>x</v>
          </cell>
          <cell r="H123" t="str">
            <v>x</v>
          </cell>
          <cell r="I123" t="str">
            <v>x</v>
          </cell>
          <cell r="J123" t="str">
            <v>x</v>
          </cell>
          <cell r="K123" t="str">
            <v>x</v>
          </cell>
          <cell r="L123" t="str">
            <v>x</v>
          </cell>
          <cell r="M123" t="str">
            <v>x</v>
          </cell>
          <cell r="N123" t="str">
            <v>x</v>
          </cell>
          <cell r="O123" t="str">
            <v>x</v>
          </cell>
          <cell r="P123" t="str">
            <v>x</v>
          </cell>
          <cell r="Q123" t="str">
            <v>x</v>
          </cell>
          <cell r="R123" t="str">
            <v>x</v>
          </cell>
          <cell r="S123" t="str">
            <v>x</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t="str">
            <v>L</v>
          </cell>
          <cell r="AJ123" t="str">
            <v>x</v>
          </cell>
          <cell r="AK123" t="str">
            <v>x</v>
          </cell>
          <cell r="AL123">
            <v>15</v>
          </cell>
          <cell r="AM123">
            <v>0</v>
          </cell>
          <cell r="AN123">
            <v>1</v>
          </cell>
          <cell r="AO123">
            <v>0</v>
          </cell>
          <cell r="AP123">
            <v>0</v>
          </cell>
          <cell r="AQ123">
            <v>0</v>
          </cell>
          <cell r="AR123">
            <v>15</v>
          </cell>
          <cell r="AS123" t="str">
            <v>Casual Labour</v>
          </cell>
          <cell r="AV123">
            <v>120</v>
          </cell>
          <cell r="AW123">
            <v>25</v>
          </cell>
          <cell r="AX123">
            <v>30</v>
          </cell>
          <cell r="AY123">
            <v>20</v>
          </cell>
          <cell r="AZ123">
            <v>0.625</v>
          </cell>
        </row>
        <row r="124">
          <cell r="B124">
            <v>2131</v>
          </cell>
          <cell r="C124" t="str">
            <v>Ibrahim Ya'qoub Salim Al Kharusi</v>
          </cell>
          <cell r="D124">
            <v>39706</v>
          </cell>
          <cell r="E124">
            <v>39791</v>
          </cell>
          <cell r="F124" t="str">
            <v>x</v>
          </cell>
          <cell r="G124" t="str">
            <v>x</v>
          </cell>
          <cell r="H124" t="str">
            <v>x</v>
          </cell>
          <cell r="I124" t="str">
            <v>x</v>
          </cell>
          <cell r="J124" t="str">
            <v>x</v>
          </cell>
          <cell r="K124" t="str">
            <v>x</v>
          </cell>
          <cell r="L124" t="str">
            <v>x</v>
          </cell>
          <cell r="M124" t="str">
            <v>x</v>
          </cell>
          <cell r="N124" t="str">
            <v>x</v>
          </cell>
          <cell r="O124" t="str">
            <v>x</v>
          </cell>
          <cell r="P124" t="str">
            <v>x</v>
          </cell>
          <cell r="Q124" t="str">
            <v>x</v>
          </cell>
          <cell r="R124" t="str">
            <v>x</v>
          </cell>
          <cell r="S124" t="str">
            <v>x</v>
          </cell>
          <cell r="T124">
            <v>0</v>
          </cell>
          <cell r="U124">
            <v>0</v>
          </cell>
          <cell r="V124">
            <v>0</v>
          </cell>
          <cell r="W124">
            <v>0</v>
          </cell>
          <cell r="X124">
            <v>0</v>
          </cell>
          <cell r="Y124">
            <v>0</v>
          </cell>
          <cell r="Z124">
            <v>0</v>
          </cell>
          <cell r="AA124">
            <v>0</v>
          </cell>
          <cell r="AB124">
            <v>0</v>
          </cell>
          <cell r="AC124">
            <v>0</v>
          </cell>
          <cell r="AD124">
            <v>0</v>
          </cell>
          <cell r="AE124" t="str">
            <v>A</v>
          </cell>
          <cell r="AF124" t="str">
            <v>A</v>
          </cell>
          <cell r="AG124" t="str">
            <v>A</v>
          </cell>
          <cell r="AH124" t="str">
            <v>A</v>
          </cell>
          <cell r="AI124" t="str">
            <v>A</v>
          </cell>
          <cell r="AJ124" t="str">
            <v>x</v>
          </cell>
          <cell r="AK124" t="str">
            <v>x</v>
          </cell>
          <cell r="AL124">
            <v>11</v>
          </cell>
          <cell r="AM124">
            <v>0</v>
          </cell>
          <cell r="AN124">
            <v>0</v>
          </cell>
          <cell r="AO124">
            <v>0</v>
          </cell>
          <cell r="AP124">
            <v>0</v>
          </cell>
          <cell r="AQ124">
            <v>0</v>
          </cell>
          <cell r="AR124">
            <v>11</v>
          </cell>
          <cell r="AS124" t="str">
            <v>Casual Labour</v>
          </cell>
          <cell r="AV124">
            <v>120</v>
          </cell>
          <cell r="AW124">
            <v>25</v>
          </cell>
          <cell r="AX124">
            <v>30</v>
          </cell>
          <cell r="AY124">
            <v>20</v>
          </cell>
          <cell r="AZ124">
            <v>0.625</v>
          </cell>
        </row>
        <row r="125">
          <cell r="B125">
            <v>2132</v>
          </cell>
          <cell r="C125" t="str">
            <v>Said Mohammed Sultan Al Ghafri</v>
          </cell>
          <cell r="D125">
            <v>39706</v>
          </cell>
          <cell r="E125">
            <v>39791</v>
          </cell>
          <cell r="F125" t="str">
            <v>x</v>
          </cell>
          <cell r="G125" t="str">
            <v>x</v>
          </cell>
          <cell r="H125" t="str">
            <v>x</v>
          </cell>
          <cell r="I125" t="str">
            <v>x</v>
          </cell>
          <cell r="J125" t="str">
            <v>x</v>
          </cell>
          <cell r="K125" t="str">
            <v>x</v>
          </cell>
          <cell r="L125" t="str">
            <v>x</v>
          </cell>
          <cell r="M125" t="str">
            <v>x</v>
          </cell>
          <cell r="N125" t="str">
            <v>x</v>
          </cell>
          <cell r="O125" t="str">
            <v>x</v>
          </cell>
          <cell r="P125" t="str">
            <v>x</v>
          </cell>
          <cell r="Q125" t="str">
            <v>x</v>
          </cell>
          <cell r="R125" t="str">
            <v>x</v>
          </cell>
          <cell r="S125" t="str">
            <v>x</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t="str">
            <v>L</v>
          </cell>
          <cell r="AJ125" t="str">
            <v>x</v>
          </cell>
          <cell r="AK125" t="str">
            <v>x</v>
          </cell>
          <cell r="AL125">
            <v>15</v>
          </cell>
          <cell r="AM125">
            <v>0</v>
          </cell>
          <cell r="AN125">
            <v>1</v>
          </cell>
          <cell r="AO125">
            <v>0</v>
          </cell>
          <cell r="AP125">
            <v>0</v>
          </cell>
          <cell r="AQ125">
            <v>0</v>
          </cell>
          <cell r="AR125">
            <v>15</v>
          </cell>
          <cell r="AS125" t="str">
            <v>Casual Labour</v>
          </cell>
          <cell r="AV125">
            <v>120</v>
          </cell>
          <cell r="AW125">
            <v>25</v>
          </cell>
          <cell r="AX125">
            <v>30</v>
          </cell>
          <cell r="AY125">
            <v>20</v>
          </cell>
          <cell r="AZ125">
            <v>0.625</v>
          </cell>
        </row>
        <row r="126">
          <cell r="B126">
            <v>2133</v>
          </cell>
          <cell r="C126" t="str">
            <v>Mohammed Saleh Issa Alawi</v>
          </cell>
          <cell r="D126">
            <v>39707</v>
          </cell>
          <cell r="E126">
            <v>39792</v>
          </cell>
          <cell r="F126" t="str">
            <v>x</v>
          </cell>
          <cell r="G126" t="str">
            <v>x</v>
          </cell>
          <cell r="H126" t="str">
            <v>x</v>
          </cell>
          <cell r="I126" t="str">
            <v>x</v>
          </cell>
          <cell r="J126" t="str">
            <v>x</v>
          </cell>
          <cell r="K126" t="str">
            <v>x</v>
          </cell>
          <cell r="L126" t="str">
            <v>x</v>
          </cell>
          <cell r="M126" t="str">
            <v>x</v>
          </cell>
          <cell r="N126" t="str">
            <v>x</v>
          </cell>
          <cell r="O126" t="str">
            <v>x</v>
          </cell>
          <cell r="P126" t="str">
            <v>x</v>
          </cell>
          <cell r="Q126" t="str">
            <v>x</v>
          </cell>
          <cell r="R126" t="str">
            <v>x</v>
          </cell>
          <cell r="S126" t="str">
            <v>x</v>
          </cell>
          <cell r="T126" t="str">
            <v>x</v>
          </cell>
          <cell r="U126">
            <v>0</v>
          </cell>
          <cell r="V126">
            <v>0</v>
          </cell>
          <cell r="W126">
            <v>0</v>
          </cell>
          <cell r="X126">
            <v>7</v>
          </cell>
          <cell r="Y126">
            <v>0</v>
          </cell>
          <cell r="Z126">
            <v>9</v>
          </cell>
          <cell r="AA126">
            <v>0</v>
          </cell>
          <cell r="AB126">
            <v>0</v>
          </cell>
          <cell r="AC126">
            <v>0</v>
          </cell>
          <cell r="AD126">
            <v>0</v>
          </cell>
          <cell r="AE126">
            <v>0</v>
          </cell>
          <cell r="AF126" t="str">
            <v>x</v>
          </cell>
          <cell r="AG126" t="str">
            <v>x</v>
          </cell>
          <cell r="AH126" t="str">
            <v>x</v>
          </cell>
          <cell r="AI126" t="str">
            <v>x</v>
          </cell>
          <cell r="AJ126" t="str">
            <v>x</v>
          </cell>
          <cell r="AK126" t="str">
            <v>x</v>
          </cell>
          <cell r="AL126">
            <v>11</v>
          </cell>
          <cell r="AM126">
            <v>0</v>
          </cell>
          <cell r="AN126">
            <v>0</v>
          </cell>
          <cell r="AO126">
            <v>16</v>
          </cell>
          <cell r="AP126">
            <v>0</v>
          </cell>
          <cell r="AQ126">
            <v>0</v>
          </cell>
          <cell r="AR126">
            <v>11</v>
          </cell>
          <cell r="AS126" t="str">
            <v>Casual Labour</v>
          </cell>
          <cell r="AV126">
            <v>120</v>
          </cell>
          <cell r="AW126">
            <v>25</v>
          </cell>
          <cell r="AX126">
            <v>30</v>
          </cell>
          <cell r="AY126">
            <v>20</v>
          </cell>
          <cell r="AZ126">
            <v>0.625</v>
          </cell>
        </row>
        <row r="127">
          <cell r="B127">
            <v>2134</v>
          </cell>
          <cell r="C127" t="str">
            <v>Manaa Sulaiman Ali Hamood Al Nasser</v>
          </cell>
          <cell r="D127">
            <v>39707</v>
          </cell>
          <cell r="E127">
            <v>39792</v>
          </cell>
          <cell r="F127" t="str">
            <v>x</v>
          </cell>
          <cell r="G127" t="str">
            <v>x</v>
          </cell>
          <cell r="H127" t="str">
            <v>x</v>
          </cell>
          <cell r="I127" t="str">
            <v>x</v>
          </cell>
          <cell r="J127" t="str">
            <v>x</v>
          </cell>
          <cell r="K127" t="str">
            <v>x</v>
          </cell>
          <cell r="L127" t="str">
            <v>x</v>
          </cell>
          <cell r="M127" t="str">
            <v>x</v>
          </cell>
          <cell r="N127" t="str">
            <v>x</v>
          </cell>
          <cell r="O127" t="str">
            <v>x</v>
          </cell>
          <cell r="P127" t="str">
            <v>x</v>
          </cell>
          <cell r="Q127" t="str">
            <v>x</v>
          </cell>
          <cell r="R127" t="str">
            <v>x</v>
          </cell>
          <cell r="S127" t="str">
            <v>x</v>
          </cell>
          <cell r="T127" t="str">
            <v>x</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t="str">
            <v>L</v>
          </cell>
          <cell r="AJ127" t="str">
            <v>x</v>
          </cell>
          <cell r="AK127" t="str">
            <v>x</v>
          </cell>
          <cell r="AL127">
            <v>14</v>
          </cell>
          <cell r="AM127">
            <v>0</v>
          </cell>
          <cell r="AN127">
            <v>1</v>
          </cell>
          <cell r="AO127">
            <v>0</v>
          </cell>
          <cell r="AP127">
            <v>0</v>
          </cell>
          <cell r="AQ127">
            <v>0</v>
          </cell>
          <cell r="AR127">
            <v>14</v>
          </cell>
          <cell r="AS127" t="str">
            <v>Casual Labour</v>
          </cell>
          <cell r="AV127">
            <v>120</v>
          </cell>
          <cell r="AW127">
            <v>25</v>
          </cell>
          <cell r="AX127">
            <v>30</v>
          </cell>
          <cell r="AY127">
            <v>20</v>
          </cell>
          <cell r="AZ127">
            <v>0.625</v>
          </cell>
        </row>
        <row r="128">
          <cell r="B128">
            <v>2135</v>
          </cell>
          <cell r="C128" t="str">
            <v>Abdu Aziz Abdullah Said Al HinaI</v>
          </cell>
          <cell r="D128">
            <v>39707</v>
          </cell>
          <cell r="E128">
            <v>39792</v>
          </cell>
          <cell r="F128" t="str">
            <v>x</v>
          </cell>
          <cell r="G128" t="str">
            <v>x</v>
          </cell>
          <cell r="H128" t="str">
            <v>x</v>
          </cell>
          <cell r="I128" t="str">
            <v>x</v>
          </cell>
          <cell r="J128" t="str">
            <v>x</v>
          </cell>
          <cell r="K128" t="str">
            <v>x</v>
          </cell>
          <cell r="L128" t="str">
            <v>x</v>
          </cell>
          <cell r="M128" t="str">
            <v>x</v>
          </cell>
          <cell r="N128" t="str">
            <v>x</v>
          </cell>
          <cell r="O128" t="str">
            <v>x</v>
          </cell>
          <cell r="P128" t="str">
            <v>x</v>
          </cell>
          <cell r="Q128" t="str">
            <v>x</v>
          </cell>
          <cell r="R128" t="str">
            <v>x</v>
          </cell>
          <cell r="S128" t="str">
            <v>x</v>
          </cell>
          <cell r="T128" t="str">
            <v>x</v>
          </cell>
          <cell r="U128">
            <v>0</v>
          </cell>
          <cell r="V128">
            <v>0</v>
          </cell>
          <cell r="W128" t="str">
            <v>x</v>
          </cell>
          <cell r="X128" t="str">
            <v>x</v>
          </cell>
          <cell r="Y128" t="str">
            <v>x</v>
          </cell>
          <cell r="Z128" t="str">
            <v>x</v>
          </cell>
          <cell r="AA128" t="str">
            <v>x</v>
          </cell>
          <cell r="AB128" t="str">
            <v>x</v>
          </cell>
          <cell r="AC128" t="str">
            <v>x</v>
          </cell>
          <cell r="AD128" t="str">
            <v>x</v>
          </cell>
          <cell r="AE128" t="str">
            <v>x</v>
          </cell>
          <cell r="AF128" t="str">
            <v>x</v>
          </cell>
          <cell r="AG128" t="str">
            <v>x</v>
          </cell>
          <cell r="AH128" t="str">
            <v>x</v>
          </cell>
          <cell r="AI128" t="str">
            <v>x</v>
          </cell>
          <cell r="AJ128" t="str">
            <v>x</v>
          </cell>
          <cell r="AK128" t="str">
            <v>x</v>
          </cell>
          <cell r="AL128">
            <v>2</v>
          </cell>
          <cell r="AM128">
            <v>0</v>
          </cell>
          <cell r="AN128">
            <v>0</v>
          </cell>
          <cell r="AO128">
            <v>0</v>
          </cell>
          <cell r="AP128">
            <v>0</v>
          </cell>
          <cell r="AQ128">
            <v>0</v>
          </cell>
          <cell r="AR128">
            <v>2</v>
          </cell>
          <cell r="AS128" t="str">
            <v>Casual Labour</v>
          </cell>
          <cell r="AV128">
            <v>120</v>
          </cell>
          <cell r="AW128">
            <v>25</v>
          </cell>
          <cell r="AX128">
            <v>30</v>
          </cell>
          <cell r="AY128">
            <v>20</v>
          </cell>
          <cell r="AZ128">
            <v>0.625</v>
          </cell>
        </row>
        <row r="129">
          <cell r="B129">
            <v>2136</v>
          </cell>
          <cell r="C129" t="str">
            <v>Hatem Abdullah Amur Al Wardi</v>
          </cell>
          <cell r="D129">
            <v>39707</v>
          </cell>
          <cell r="E129">
            <v>39792</v>
          </cell>
          <cell r="F129" t="str">
            <v>x</v>
          </cell>
          <cell r="G129" t="str">
            <v>x</v>
          </cell>
          <cell r="H129" t="str">
            <v>x</v>
          </cell>
          <cell r="I129" t="str">
            <v>x</v>
          </cell>
          <cell r="J129" t="str">
            <v>x</v>
          </cell>
          <cell r="K129" t="str">
            <v>x</v>
          </cell>
          <cell r="L129" t="str">
            <v>x</v>
          </cell>
          <cell r="M129" t="str">
            <v>x</v>
          </cell>
          <cell r="N129" t="str">
            <v>x</v>
          </cell>
          <cell r="O129" t="str">
            <v>x</v>
          </cell>
          <cell r="P129" t="str">
            <v>x</v>
          </cell>
          <cell r="Q129" t="str">
            <v>x</v>
          </cell>
          <cell r="R129" t="str">
            <v>x</v>
          </cell>
          <cell r="S129" t="str">
            <v>x</v>
          </cell>
          <cell r="T129" t="str">
            <v>x</v>
          </cell>
          <cell r="U129">
            <v>7</v>
          </cell>
          <cell r="V129">
            <v>0</v>
          </cell>
          <cell r="W129">
            <v>0</v>
          </cell>
          <cell r="X129" t="str">
            <v>x</v>
          </cell>
          <cell r="Y129" t="str">
            <v>x</v>
          </cell>
          <cell r="Z129" t="str">
            <v>x</v>
          </cell>
          <cell r="AA129" t="str">
            <v>x</v>
          </cell>
          <cell r="AB129" t="str">
            <v>x</v>
          </cell>
          <cell r="AC129" t="str">
            <v>x</v>
          </cell>
          <cell r="AD129" t="str">
            <v>x</v>
          </cell>
          <cell r="AE129" t="str">
            <v>x</v>
          </cell>
          <cell r="AF129" t="str">
            <v>x</v>
          </cell>
          <cell r="AG129" t="str">
            <v>x</v>
          </cell>
          <cell r="AH129" t="str">
            <v>x</v>
          </cell>
          <cell r="AI129" t="str">
            <v>x</v>
          </cell>
          <cell r="AJ129" t="str">
            <v>x</v>
          </cell>
          <cell r="AK129" t="str">
            <v>x</v>
          </cell>
          <cell r="AL129">
            <v>3</v>
          </cell>
          <cell r="AM129">
            <v>0</v>
          </cell>
          <cell r="AN129">
            <v>0</v>
          </cell>
          <cell r="AO129">
            <v>7</v>
          </cell>
          <cell r="AP129">
            <v>0</v>
          </cell>
          <cell r="AQ129">
            <v>0</v>
          </cell>
          <cell r="AR129">
            <v>3</v>
          </cell>
          <cell r="AS129" t="str">
            <v>Casual Labour</v>
          </cell>
          <cell r="AV129">
            <v>120</v>
          </cell>
          <cell r="AW129">
            <v>25</v>
          </cell>
          <cell r="AX129">
            <v>30</v>
          </cell>
          <cell r="AY129">
            <v>20</v>
          </cell>
          <cell r="AZ129">
            <v>0.625</v>
          </cell>
        </row>
        <row r="130">
          <cell r="B130">
            <v>2137</v>
          </cell>
          <cell r="C130" t="str">
            <v>Mashal Khalfan Amur Al Shekili</v>
          </cell>
          <cell r="D130">
            <v>39707</v>
          </cell>
          <cell r="E130">
            <v>39792</v>
          </cell>
          <cell r="F130" t="str">
            <v>x</v>
          </cell>
          <cell r="G130" t="str">
            <v>x</v>
          </cell>
          <cell r="H130" t="str">
            <v>x</v>
          </cell>
          <cell r="I130" t="str">
            <v>x</v>
          </cell>
          <cell r="J130" t="str">
            <v>x</v>
          </cell>
          <cell r="K130" t="str">
            <v>x</v>
          </cell>
          <cell r="L130" t="str">
            <v>x</v>
          </cell>
          <cell r="M130" t="str">
            <v>x</v>
          </cell>
          <cell r="N130" t="str">
            <v>x</v>
          </cell>
          <cell r="O130" t="str">
            <v>x</v>
          </cell>
          <cell r="P130" t="str">
            <v>x</v>
          </cell>
          <cell r="Q130" t="str">
            <v>x</v>
          </cell>
          <cell r="R130" t="str">
            <v>x</v>
          </cell>
          <cell r="S130" t="str">
            <v>x</v>
          </cell>
          <cell r="T130" t="str">
            <v>x</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t="str">
            <v>L</v>
          </cell>
          <cell r="AJ130" t="str">
            <v>x</v>
          </cell>
          <cell r="AK130" t="str">
            <v>x</v>
          </cell>
          <cell r="AL130">
            <v>14</v>
          </cell>
          <cell r="AM130">
            <v>0</v>
          </cell>
          <cell r="AN130">
            <v>1</v>
          </cell>
          <cell r="AO130">
            <v>0</v>
          </cell>
          <cell r="AP130">
            <v>0</v>
          </cell>
          <cell r="AQ130">
            <v>0</v>
          </cell>
          <cell r="AR130">
            <v>14</v>
          </cell>
          <cell r="AS130" t="str">
            <v>Casual Labour</v>
          </cell>
          <cell r="AV130">
            <v>120</v>
          </cell>
          <cell r="AW130">
            <v>25</v>
          </cell>
          <cell r="AX130">
            <v>30</v>
          </cell>
          <cell r="AY130">
            <v>20</v>
          </cell>
          <cell r="AZ130">
            <v>0.625</v>
          </cell>
        </row>
        <row r="131">
          <cell r="B131">
            <v>2138</v>
          </cell>
          <cell r="C131" t="str">
            <v>Saif Nasser Mohammed Al Busaidi</v>
          </cell>
          <cell r="D131">
            <v>39709</v>
          </cell>
          <cell r="E131">
            <v>39794</v>
          </cell>
          <cell r="F131" t="str">
            <v>x</v>
          </cell>
          <cell r="G131" t="str">
            <v>x</v>
          </cell>
          <cell r="H131" t="str">
            <v>x</v>
          </cell>
          <cell r="I131" t="str">
            <v>x</v>
          </cell>
          <cell r="J131" t="str">
            <v>x</v>
          </cell>
          <cell r="K131" t="str">
            <v>x</v>
          </cell>
          <cell r="L131" t="str">
            <v>x</v>
          </cell>
          <cell r="M131" t="str">
            <v>x</v>
          </cell>
          <cell r="N131" t="str">
            <v>x</v>
          </cell>
          <cell r="O131" t="str">
            <v>x</v>
          </cell>
          <cell r="P131" t="str">
            <v>x</v>
          </cell>
          <cell r="Q131" t="str">
            <v>x</v>
          </cell>
          <cell r="R131" t="str">
            <v>x</v>
          </cell>
          <cell r="S131" t="str">
            <v>x</v>
          </cell>
          <cell r="T131" t="str">
            <v>x</v>
          </cell>
          <cell r="U131" t="str">
            <v>x</v>
          </cell>
          <cell r="V131" t="str">
            <v>x</v>
          </cell>
          <cell r="W131" t="str">
            <v>x</v>
          </cell>
          <cell r="X131">
            <v>7</v>
          </cell>
          <cell r="Y131">
            <v>7</v>
          </cell>
          <cell r="Z131">
            <v>9</v>
          </cell>
          <cell r="AA131">
            <v>7</v>
          </cell>
          <cell r="AB131">
            <v>6</v>
          </cell>
          <cell r="AC131">
            <v>6</v>
          </cell>
          <cell r="AD131">
            <v>7</v>
          </cell>
          <cell r="AE131">
            <v>6</v>
          </cell>
          <cell r="AF131">
            <v>7</v>
          </cell>
          <cell r="AG131">
            <v>0</v>
          </cell>
          <cell r="AH131">
            <v>0</v>
          </cell>
          <cell r="AI131" t="str">
            <v>L</v>
          </cell>
          <cell r="AJ131" t="str">
            <v>x</v>
          </cell>
          <cell r="AK131" t="str">
            <v>x</v>
          </cell>
          <cell r="AL131">
            <v>11</v>
          </cell>
          <cell r="AM131">
            <v>0</v>
          </cell>
          <cell r="AN131">
            <v>1</v>
          </cell>
          <cell r="AO131">
            <v>62</v>
          </cell>
          <cell r="AP131">
            <v>0</v>
          </cell>
          <cell r="AQ131">
            <v>0</v>
          </cell>
          <cell r="AR131">
            <v>11</v>
          </cell>
          <cell r="AS131" t="str">
            <v>Casual Labour</v>
          </cell>
          <cell r="AV131">
            <v>120</v>
          </cell>
          <cell r="AW131">
            <v>25</v>
          </cell>
          <cell r="AX131">
            <v>30</v>
          </cell>
          <cell r="AY131">
            <v>20</v>
          </cell>
          <cell r="AZ131">
            <v>0.625</v>
          </cell>
        </row>
        <row r="132">
          <cell r="B132">
            <v>2139</v>
          </cell>
          <cell r="C132" t="str">
            <v>Ali Salim Ali Al Harthi</v>
          </cell>
          <cell r="D132">
            <v>39711</v>
          </cell>
          <cell r="E132">
            <v>39796</v>
          </cell>
          <cell r="F132" t="str">
            <v>x</v>
          </cell>
          <cell r="G132" t="str">
            <v>x</v>
          </cell>
          <cell r="H132" t="str">
            <v>x</v>
          </cell>
          <cell r="I132" t="str">
            <v>x</v>
          </cell>
          <cell r="J132" t="str">
            <v>x</v>
          </cell>
          <cell r="K132" t="str">
            <v>x</v>
          </cell>
          <cell r="L132" t="str">
            <v>x</v>
          </cell>
          <cell r="M132" t="str">
            <v>x</v>
          </cell>
          <cell r="N132" t="str">
            <v>x</v>
          </cell>
          <cell r="O132" t="str">
            <v>x</v>
          </cell>
          <cell r="P132" t="str">
            <v>x</v>
          </cell>
          <cell r="Q132" t="str">
            <v>x</v>
          </cell>
          <cell r="R132" t="str">
            <v>x</v>
          </cell>
          <cell r="S132" t="str">
            <v>x</v>
          </cell>
          <cell r="T132" t="str">
            <v>x</v>
          </cell>
          <cell r="U132" t="str">
            <v>x</v>
          </cell>
          <cell r="V132" t="str">
            <v>x</v>
          </cell>
          <cell r="W132" t="str">
            <v>x</v>
          </cell>
          <cell r="X132" t="str">
            <v>x</v>
          </cell>
          <cell r="Y132">
            <v>0</v>
          </cell>
          <cell r="Z132">
            <v>0</v>
          </cell>
          <cell r="AA132">
            <v>0</v>
          </cell>
          <cell r="AB132">
            <v>0</v>
          </cell>
          <cell r="AC132">
            <v>0</v>
          </cell>
          <cell r="AD132">
            <v>0</v>
          </cell>
          <cell r="AE132">
            <v>0</v>
          </cell>
          <cell r="AF132">
            <v>0</v>
          </cell>
          <cell r="AG132">
            <v>0</v>
          </cell>
          <cell r="AH132">
            <v>0</v>
          </cell>
          <cell r="AI132" t="str">
            <v>L</v>
          </cell>
          <cell r="AJ132" t="str">
            <v>x</v>
          </cell>
          <cell r="AK132" t="str">
            <v>x</v>
          </cell>
          <cell r="AL132">
            <v>10</v>
          </cell>
          <cell r="AM132">
            <v>0</v>
          </cell>
          <cell r="AN132">
            <v>1</v>
          </cell>
          <cell r="AO132">
            <v>0</v>
          </cell>
          <cell r="AP132">
            <v>0</v>
          </cell>
          <cell r="AQ132">
            <v>0</v>
          </cell>
          <cell r="AR132">
            <v>10</v>
          </cell>
          <cell r="AS132" t="str">
            <v>Casual Labour</v>
          </cell>
          <cell r="AV132">
            <v>120</v>
          </cell>
          <cell r="AW132">
            <v>25</v>
          </cell>
          <cell r="AX132">
            <v>30</v>
          </cell>
          <cell r="AY132">
            <v>20</v>
          </cell>
          <cell r="AZ132">
            <v>0.625</v>
          </cell>
        </row>
        <row r="133">
          <cell r="B133">
            <v>2140</v>
          </cell>
          <cell r="C133" t="str">
            <v>Khalfan  Salim Khalfan Al Siyabi</v>
          </cell>
          <cell r="D133">
            <v>39711</v>
          </cell>
          <cell r="E133">
            <v>39796</v>
          </cell>
          <cell r="F133" t="str">
            <v>x</v>
          </cell>
          <cell r="G133" t="str">
            <v>x</v>
          </cell>
          <cell r="H133" t="str">
            <v>x</v>
          </cell>
          <cell r="I133" t="str">
            <v>x</v>
          </cell>
          <cell r="J133" t="str">
            <v>x</v>
          </cell>
          <cell r="K133" t="str">
            <v>x</v>
          </cell>
          <cell r="L133" t="str">
            <v>x</v>
          </cell>
          <cell r="M133" t="str">
            <v>x</v>
          </cell>
          <cell r="N133" t="str">
            <v>x</v>
          </cell>
          <cell r="O133" t="str">
            <v>x</v>
          </cell>
          <cell r="P133" t="str">
            <v>x</v>
          </cell>
          <cell r="Q133" t="str">
            <v>x</v>
          </cell>
          <cell r="R133" t="str">
            <v>x</v>
          </cell>
          <cell r="S133" t="str">
            <v>x</v>
          </cell>
          <cell r="T133" t="str">
            <v>x</v>
          </cell>
          <cell r="U133" t="str">
            <v>x</v>
          </cell>
          <cell r="V133" t="str">
            <v>x</v>
          </cell>
          <cell r="W133" t="str">
            <v>x</v>
          </cell>
          <cell r="X133" t="str">
            <v>x</v>
          </cell>
          <cell r="Y133">
            <v>0</v>
          </cell>
          <cell r="Z133">
            <v>0</v>
          </cell>
          <cell r="AA133">
            <v>0</v>
          </cell>
          <cell r="AB133">
            <v>0</v>
          </cell>
          <cell r="AC133">
            <v>0</v>
          </cell>
          <cell r="AD133">
            <v>0</v>
          </cell>
          <cell r="AE133">
            <v>0</v>
          </cell>
          <cell r="AF133">
            <v>0</v>
          </cell>
          <cell r="AG133">
            <v>0</v>
          </cell>
          <cell r="AH133">
            <v>0</v>
          </cell>
          <cell r="AI133" t="str">
            <v>L</v>
          </cell>
          <cell r="AJ133" t="str">
            <v>x</v>
          </cell>
          <cell r="AK133" t="str">
            <v>x</v>
          </cell>
          <cell r="AL133">
            <v>10</v>
          </cell>
          <cell r="AM133">
            <v>0</v>
          </cell>
          <cell r="AN133">
            <v>1</v>
          </cell>
          <cell r="AO133">
            <v>0</v>
          </cell>
          <cell r="AP133">
            <v>0</v>
          </cell>
          <cell r="AQ133">
            <v>0</v>
          </cell>
          <cell r="AR133">
            <v>10</v>
          </cell>
          <cell r="AS133" t="str">
            <v>Casual Labour</v>
          </cell>
          <cell r="AV133">
            <v>120</v>
          </cell>
          <cell r="AW133">
            <v>25</v>
          </cell>
          <cell r="AX133">
            <v>30</v>
          </cell>
          <cell r="AY133">
            <v>20</v>
          </cell>
          <cell r="AZ133">
            <v>0.625</v>
          </cell>
        </row>
        <row r="134">
          <cell r="C134" t="str">
            <v>Yones Mobarak Khatim Al Abrawi</v>
          </cell>
          <cell r="D134">
            <v>39711</v>
          </cell>
          <cell r="E134">
            <v>39796</v>
          </cell>
          <cell r="F134" t="str">
            <v>x</v>
          </cell>
          <cell r="G134" t="str">
            <v>x</v>
          </cell>
          <cell r="H134" t="str">
            <v>x</v>
          </cell>
          <cell r="I134" t="str">
            <v>x</v>
          </cell>
          <cell r="J134" t="str">
            <v>x</v>
          </cell>
          <cell r="K134" t="str">
            <v>x</v>
          </cell>
          <cell r="L134" t="str">
            <v>x</v>
          </cell>
          <cell r="M134" t="str">
            <v>x</v>
          </cell>
          <cell r="N134" t="str">
            <v>x</v>
          </cell>
          <cell r="O134" t="str">
            <v>x</v>
          </cell>
          <cell r="P134" t="str">
            <v>x</v>
          </cell>
          <cell r="Q134" t="str">
            <v>x</v>
          </cell>
          <cell r="R134" t="str">
            <v>x</v>
          </cell>
          <cell r="S134" t="str">
            <v>x</v>
          </cell>
          <cell r="T134" t="str">
            <v>x</v>
          </cell>
          <cell r="U134" t="str">
            <v>x</v>
          </cell>
          <cell r="V134" t="str">
            <v>x</v>
          </cell>
          <cell r="W134" t="str">
            <v>x</v>
          </cell>
          <cell r="X134" t="str">
            <v>x</v>
          </cell>
          <cell r="Y134">
            <v>0</v>
          </cell>
          <cell r="Z134">
            <v>0</v>
          </cell>
          <cell r="AA134">
            <v>0</v>
          </cell>
          <cell r="AB134">
            <v>0</v>
          </cell>
          <cell r="AC134">
            <v>0</v>
          </cell>
          <cell r="AD134">
            <v>0</v>
          </cell>
          <cell r="AE134">
            <v>0</v>
          </cell>
          <cell r="AF134">
            <v>0</v>
          </cell>
          <cell r="AG134">
            <v>0</v>
          </cell>
          <cell r="AH134">
            <v>0</v>
          </cell>
          <cell r="AI134" t="str">
            <v>L</v>
          </cell>
          <cell r="AJ134" t="str">
            <v>x</v>
          </cell>
          <cell r="AK134" t="str">
            <v>x</v>
          </cell>
          <cell r="AL134">
            <v>10</v>
          </cell>
          <cell r="AM134">
            <v>0</v>
          </cell>
          <cell r="AN134">
            <v>1</v>
          </cell>
          <cell r="AO134">
            <v>0</v>
          </cell>
          <cell r="AP134">
            <v>0</v>
          </cell>
          <cell r="AQ134">
            <v>0</v>
          </cell>
          <cell r="AR134">
            <v>10</v>
          </cell>
          <cell r="AS134" t="str">
            <v>Casual Labour</v>
          </cell>
          <cell r="AT134" t="str">
            <v>Salary Not transferred check his status of working or not.</v>
          </cell>
          <cell r="AV134">
            <v>120</v>
          </cell>
          <cell r="AW134">
            <v>25</v>
          </cell>
          <cell r="AX134">
            <v>30</v>
          </cell>
          <cell r="AY134">
            <v>20</v>
          </cell>
          <cell r="AZ134">
            <v>0.625</v>
          </cell>
        </row>
        <row r="135">
          <cell r="B135">
            <v>2142</v>
          </cell>
          <cell r="C135" t="str">
            <v>Jamal Haji Khatim  Al Abrawi</v>
          </cell>
          <cell r="D135">
            <v>39711</v>
          </cell>
          <cell r="E135">
            <v>39796</v>
          </cell>
          <cell r="F135" t="str">
            <v>x</v>
          </cell>
          <cell r="G135" t="str">
            <v>x</v>
          </cell>
          <cell r="H135" t="str">
            <v>x</v>
          </cell>
          <cell r="I135" t="str">
            <v>x</v>
          </cell>
          <cell r="J135" t="str">
            <v>x</v>
          </cell>
          <cell r="K135" t="str">
            <v>x</v>
          </cell>
          <cell r="L135" t="str">
            <v>x</v>
          </cell>
          <cell r="M135" t="str">
            <v>x</v>
          </cell>
          <cell r="N135" t="str">
            <v>x</v>
          </cell>
          <cell r="O135" t="str">
            <v>x</v>
          </cell>
          <cell r="P135" t="str">
            <v>x</v>
          </cell>
          <cell r="Q135" t="str">
            <v>x</v>
          </cell>
          <cell r="R135" t="str">
            <v>x</v>
          </cell>
          <cell r="S135" t="str">
            <v>x</v>
          </cell>
          <cell r="T135" t="str">
            <v>x</v>
          </cell>
          <cell r="U135" t="str">
            <v>x</v>
          </cell>
          <cell r="V135" t="str">
            <v>x</v>
          </cell>
          <cell r="W135" t="str">
            <v>x</v>
          </cell>
          <cell r="X135" t="str">
            <v>x</v>
          </cell>
          <cell r="Y135">
            <v>0</v>
          </cell>
          <cell r="Z135">
            <v>0</v>
          </cell>
          <cell r="AA135">
            <v>0</v>
          </cell>
          <cell r="AB135">
            <v>0</v>
          </cell>
          <cell r="AC135">
            <v>0</v>
          </cell>
          <cell r="AD135">
            <v>0</v>
          </cell>
          <cell r="AE135">
            <v>0</v>
          </cell>
          <cell r="AF135">
            <v>0</v>
          </cell>
          <cell r="AG135">
            <v>0</v>
          </cell>
          <cell r="AH135">
            <v>0</v>
          </cell>
          <cell r="AI135" t="str">
            <v>L</v>
          </cell>
          <cell r="AJ135" t="str">
            <v>x</v>
          </cell>
          <cell r="AK135" t="str">
            <v>x</v>
          </cell>
          <cell r="AL135">
            <v>10</v>
          </cell>
          <cell r="AM135">
            <v>0</v>
          </cell>
          <cell r="AN135">
            <v>1</v>
          </cell>
          <cell r="AO135">
            <v>0</v>
          </cell>
          <cell r="AP135">
            <v>0</v>
          </cell>
          <cell r="AQ135">
            <v>0</v>
          </cell>
          <cell r="AR135">
            <v>10</v>
          </cell>
          <cell r="AS135" t="str">
            <v>Casual Labour</v>
          </cell>
          <cell r="AV135">
            <v>120</v>
          </cell>
          <cell r="AW135">
            <v>25</v>
          </cell>
          <cell r="AX135">
            <v>30</v>
          </cell>
          <cell r="AY135">
            <v>20</v>
          </cell>
          <cell r="AZ135">
            <v>0.625</v>
          </cell>
        </row>
        <row r="136">
          <cell r="B136">
            <v>2143</v>
          </cell>
          <cell r="C136" t="str">
            <v>Majed Khamis Salim Al Ghafri</v>
          </cell>
          <cell r="D136">
            <v>39711</v>
          </cell>
          <cell r="E136">
            <v>39796</v>
          </cell>
          <cell r="F136" t="str">
            <v>x</v>
          </cell>
          <cell r="G136" t="str">
            <v>x</v>
          </cell>
          <cell r="H136" t="str">
            <v>x</v>
          </cell>
          <cell r="I136" t="str">
            <v>x</v>
          </cell>
          <cell r="J136" t="str">
            <v>x</v>
          </cell>
          <cell r="K136" t="str">
            <v>x</v>
          </cell>
          <cell r="L136" t="str">
            <v>x</v>
          </cell>
          <cell r="M136" t="str">
            <v>x</v>
          </cell>
          <cell r="N136" t="str">
            <v>x</v>
          </cell>
          <cell r="O136" t="str">
            <v>x</v>
          </cell>
          <cell r="P136" t="str">
            <v>x</v>
          </cell>
          <cell r="Q136" t="str">
            <v>x</v>
          </cell>
          <cell r="R136" t="str">
            <v>x</v>
          </cell>
          <cell r="S136" t="str">
            <v>x</v>
          </cell>
          <cell r="T136" t="str">
            <v>x</v>
          </cell>
          <cell r="U136" t="str">
            <v>x</v>
          </cell>
          <cell r="V136" t="str">
            <v>x</v>
          </cell>
          <cell r="W136" t="str">
            <v>x</v>
          </cell>
          <cell r="X136" t="str">
            <v>x</v>
          </cell>
          <cell r="Y136">
            <v>0</v>
          </cell>
          <cell r="Z136">
            <v>0</v>
          </cell>
          <cell r="AA136">
            <v>0</v>
          </cell>
          <cell r="AB136">
            <v>0</v>
          </cell>
          <cell r="AC136">
            <v>0</v>
          </cell>
          <cell r="AD136">
            <v>0</v>
          </cell>
          <cell r="AE136">
            <v>0</v>
          </cell>
          <cell r="AF136">
            <v>0</v>
          </cell>
          <cell r="AG136">
            <v>0</v>
          </cell>
          <cell r="AH136">
            <v>0</v>
          </cell>
          <cell r="AI136" t="str">
            <v>X</v>
          </cell>
          <cell r="AJ136" t="str">
            <v>x</v>
          </cell>
          <cell r="AK136" t="str">
            <v>x</v>
          </cell>
          <cell r="AL136">
            <v>10</v>
          </cell>
          <cell r="AM136">
            <v>0</v>
          </cell>
          <cell r="AN136">
            <v>0</v>
          </cell>
          <cell r="AO136">
            <v>0</v>
          </cell>
          <cell r="AP136">
            <v>0</v>
          </cell>
          <cell r="AQ136">
            <v>0</v>
          </cell>
          <cell r="AR136">
            <v>10</v>
          </cell>
          <cell r="AS136" t="str">
            <v>Casual Labour</v>
          </cell>
          <cell r="AV136">
            <v>120</v>
          </cell>
          <cell r="AW136">
            <v>25</v>
          </cell>
          <cell r="AX136">
            <v>30</v>
          </cell>
          <cell r="AY136">
            <v>20</v>
          </cell>
          <cell r="AZ136">
            <v>0.625</v>
          </cell>
        </row>
        <row r="137">
          <cell r="B137">
            <v>2144</v>
          </cell>
          <cell r="C137" t="str">
            <v>Khalifa Khalid Mubark Al Abri</v>
          </cell>
          <cell r="D137">
            <v>39711</v>
          </cell>
          <cell r="E137">
            <v>39796</v>
          </cell>
          <cell r="F137" t="str">
            <v>x</v>
          </cell>
          <cell r="G137" t="str">
            <v>x</v>
          </cell>
          <cell r="H137" t="str">
            <v>x</v>
          </cell>
          <cell r="I137" t="str">
            <v>x</v>
          </cell>
          <cell r="J137" t="str">
            <v>x</v>
          </cell>
          <cell r="K137" t="str">
            <v>x</v>
          </cell>
          <cell r="L137" t="str">
            <v>x</v>
          </cell>
          <cell r="M137" t="str">
            <v>x</v>
          </cell>
          <cell r="N137" t="str">
            <v>x</v>
          </cell>
          <cell r="O137" t="str">
            <v>x</v>
          </cell>
          <cell r="P137" t="str">
            <v>x</v>
          </cell>
          <cell r="Q137" t="str">
            <v>x</v>
          </cell>
          <cell r="R137" t="str">
            <v>x</v>
          </cell>
          <cell r="S137" t="str">
            <v>x</v>
          </cell>
          <cell r="T137" t="str">
            <v>x</v>
          </cell>
          <cell r="U137" t="str">
            <v>x</v>
          </cell>
          <cell r="V137" t="str">
            <v>x</v>
          </cell>
          <cell r="W137" t="str">
            <v>x</v>
          </cell>
          <cell r="X137" t="str">
            <v>x</v>
          </cell>
          <cell r="Y137">
            <v>0</v>
          </cell>
          <cell r="Z137">
            <v>0</v>
          </cell>
          <cell r="AA137">
            <v>0</v>
          </cell>
          <cell r="AB137">
            <v>0</v>
          </cell>
          <cell r="AC137">
            <v>0</v>
          </cell>
          <cell r="AD137">
            <v>0</v>
          </cell>
          <cell r="AE137">
            <v>0</v>
          </cell>
          <cell r="AF137">
            <v>0</v>
          </cell>
          <cell r="AG137">
            <v>0</v>
          </cell>
          <cell r="AH137">
            <v>0</v>
          </cell>
          <cell r="AI137" t="str">
            <v>L</v>
          </cell>
          <cell r="AJ137" t="str">
            <v>x</v>
          </cell>
          <cell r="AK137" t="str">
            <v>x</v>
          </cell>
          <cell r="AL137">
            <v>10</v>
          </cell>
          <cell r="AM137">
            <v>0</v>
          </cell>
          <cell r="AN137">
            <v>1</v>
          </cell>
          <cell r="AO137">
            <v>0</v>
          </cell>
          <cell r="AP137">
            <v>0</v>
          </cell>
          <cell r="AQ137">
            <v>0</v>
          </cell>
          <cell r="AR137">
            <v>10</v>
          </cell>
          <cell r="AS137" t="str">
            <v>Casual Labour</v>
          </cell>
          <cell r="AV137">
            <v>120</v>
          </cell>
          <cell r="AW137">
            <v>25</v>
          </cell>
          <cell r="AX137">
            <v>30</v>
          </cell>
          <cell r="AY137">
            <v>20</v>
          </cell>
          <cell r="AZ137">
            <v>0.625</v>
          </cell>
        </row>
        <row r="138">
          <cell r="B138">
            <v>2145</v>
          </cell>
          <cell r="C138" t="str">
            <v>Rashid Salman Mohamed Al Hatmi</v>
          </cell>
          <cell r="D138">
            <v>39711</v>
          </cell>
          <cell r="E138">
            <v>39796</v>
          </cell>
          <cell r="F138" t="str">
            <v>x</v>
          </cell>
          <cell r="G138" t="str">
            <v>x</v>
          </cell>
          <cell r="H138" t="str">
            <v>x</v>
          </cell>
          <cell r="I138" t="str">
            <v>x</v>
          </cell>
          <cell r="J138" t="str">
            <v>x</v>
          </cell>
          <cell r="K138" t="str">
            <v>x</v>
          </cell>
          <cell r="L138" t="str">
            <v>x</v>
          </cell>
          <cell r="M138" t="str">
            <v>x</v>
          </cell>
          <cell r="N138" t="str">
            <v>x</v>
          </cell>
          <cell r="O138" t="str">
            <v>x</v>
          </cell>
          <cell r="P138" t="str">
            <v>x</v>
          </cell>
          <cell r="Q138" t="str">
            <v>x</v>
          </cell>
          <cell r="R138" t="str">
            <v>x</v>
          </cell>
          <cell r="S138" t="str">
            <v>x</v>
          </cell>
          <cell r="T138" t="str">
            <v>x</v>
          </cell>
          <cell r="U138" t="str">
            <v>x</v>
          </cell>
          <cell r="V138" t="str">
            <v>x</v>
          </cell>
          <cell r="W138" t="str">
            <v>x</v>
          </cell>
          <cell r="X138" t="str">
            <v>x</v>
          </cell>
          <cell r="Y138">
            <v>0</v>
          </cell>
          <cell r="Z138">
            <v>0</v>
          </cell>
          <cell r="AA138">
            <v>0</v>
          </cell>
          <cell r="AB138">
            <v>0</v>
          </cell>
          <cell r="AC138">
            <v>0</v>
          </cell>
          <cell r="AD138">
            <v>0</v>
          </cell>
          <cell r="AE138">
            <v>0</v>
          </cell>
          <cell r="AF138">
            <v>0</v>
          </cell>
          <cell r="AG138">
            <v>0</v>
          </cell>
          <cell r="AH138">
            <v>0</v>
          </cell>
          <cell r="AI138" t="str">
            <v>L</v>
          </cell>
          <cell r="AJ138" t="str">
            <v>x</v>
          </cell>
          <cell r="AK138" t="str">
            <v>x</v>
          </cell>
          <cell r="AL138">
            <v>10</v>
          </cell>
          <cell r="AM138">
            <v>0</v>
          </cell>
          <cell r="AN138">
            <v>1</v>
          </cell>
          <cell r="AO138">
            <v>0</v>
          </cell>
          <cell r="AP138">
            <v>0</v>
          </cell>
          <cell r="AQ138">
            <v>0</v>
          </cell>
          <cell r="AR138">
            <v>10</v>
          </cell>
          <cell r="AS138" t="str">
            <v>Casual Labour</v>
          </cell>
          <cell r="AV138">
            <v>120</v>
          </cell>
          <cell r="AW138">
            <v>25</v>
          </cell>
          <cell r="AX138">
            <v>30</v>
          </cell>
          <cell r="AY138">
            <v>20</v>
          </cell>
          <cell r="AZ138">
            <v>0.625</v>
          </cell>
        </row>
        <row r="139">
          <cell r="B139">
            <v>2146</v>
          </cell>
          <cell r="C139" t="str">
            <v>Said Mohamed Rashid  Al Abrawi</v>
          </cell>
          <cell r="D139">
            <v>39711</v>
          </cell>
          <cell r="E139">
            <v>39796</v>
          </cell>
          <cell r="F139" t="str">
            <v>x</v>
          </cell>
          <cell r="G139" t="str">
            <v>x</v>
          </cell>
          <cell r="H139" t="str">
            <v>x</v>
          </cell>
          <cell r="I139" t="str">
            <v>x</v>
          </cell>
          <cell r="J139" t="str">
            <v>x</v>
          </cell>
          <cell r="K139" t="str">
            <v>x</v>
          </cell>
          <cell r="L139" t="str">
            <v>x</v>
          </cell>
          <cell r="M139" t="str">
            <v>x</v>
          </cell>
          <cell r="N139" t="str">
            <v>x</v>
          </cell>
          <cell r="O139" t="str">
            <v>x</v>
          </cell>
          <cell r="P139" t="str">
            <v>x</v>
          </cell>
          <cell r="Q139" t="str">
            <v>x</v>
          </cell>
          <cell r="R139" t="str">
            <v>x</v>
          </cell>
          <cell r="S139" t="str">
            <v>x</v>
          </cell>
          <cell r="T139" t="str">
            <v>x</v>
          </cell>
          <cell r="U139" t="str">
            <v>x</v>
          </cell>
          <cell r="V139" t="str">
            <v>x</v>
          </cell>
          <cell r="W139" t="str">
            <v>x</v>
          </cell>
          <cell r="X139" t="str">
            <v>x</v>
          </cell>
          <cell r="Y139">
            <v>0</v>
          </cell>
          <cell r="Z139">
            <v>0</v>
          </cell>
          <cell r="AA139">
            <v>0</v>
          </cell>
          <cell r="AB139">
            <v>0</v>
          </cell>
          <cell r="AC139">
            <v>0</v>
          </cell>
          <cell r="AD139">
            <v>0</v>
          </cell>
          <cell r="AE139">
            <v>0</v>
          </cell>
          <cell r="AF139">
            <v>0</v>
          </cell>
          <cell r="AG139">
            <v>0</v>
          </cell>
          <cell r="AH139">
            <v>0</v>
          </cell>
          <cell r="AI139" t="str">
            <v>L</v>
          </cell>
          <cell r="AJ139" t="str">
            <v>x</v>
          </cell>
          <cell r="AK139" t="str">
            <v>x</v>
          </cell>
          <cell r="AL139">
            <v>10</v>
          </cell>
          <cell r="AM139">
            <v>0</v>
          </cell>
          <cell r="AN139">
            <v>1</v>
          </cell>
          <cell r="AO139">
            <v>0</v>
          </cell>
          <cell r="AP139">
            <v>0</v>
          </cell>
          <cell r="AQ139">
            <v>0</v>
          </cell>
          <cell r="AR139">
            <v>10</v>
          </cell>
          <cell r="AS139" t="str">
            <v>Casual Labour</v>
          </cell>
          <cell r="AV139">
            <v>120</v>
          </cell>
          <cell r="AW139">
            <v>25</v>
          </cell>
          <cell r="AX139">
            <v>30</v>
          </cell>
          <cell r="AY139">
            <v>20</v>
          </cell>
          <cell r="AZ139">
            <v>0.625</v>
          </cell>
        </row>
        <row r="140">
          <cell r="B140">
            <v>2147</v>
          </cell>
          <cell r="C140" t="str">
            <v>Bader Khatim Al Abarwi</v>
          </cell>
          <cell r="D140">
            <v>39711</v>
          </cell>
          <cell r="E140">
            <v>39796</v>
          </cell>
          <cell r="F140" t="str">
            <v>x</v>
          </cell>
          <cell r="G140" t="str">
            <v>x</v>
          </cell>
          <cell r="H140" t="str">
            <v>x</v>
          </cell>
          <cell r="I140" t="str">
            <v>x</v>
          </cell>
          <cell r="J140" t="str">
            <v>x</v>
          </cell>
          <cell r="K140" t="str">
            <v>x</v>
          </cell>
          <cell r="L140" t="str">
            <v>x</v>
          </cell>
          <cell r="M140" t="str">
            <v>x</v>
          </cell>
          <cell r="N140" t="str">
            <v>x</v>
          </cell>
          <cell r="O140" t="str">
            <v>x</v>
          </cell>
          <cell r="P140" t="str">
            <v>x</v>
          </cell>
          <cell r="Q140" t="str">
            <v>x</v>
          </cell>
          <cell r="R140" t="str">
            <v>x</v>
          </cell>
          <cell r="S140" t="str">
            <v>x</v>
          </cell>
          <cell r="T140" t="str">
            <v>x</v>
          </cell>
          <cell r="U140" t="str">
            <v>x</v>
          </cell>
          <cell r="V140" t="str">
            <v>x</v>
          </cell>
          <cell r="W140" t="str">
            <v>x</v>
          </cell>
          <cell r="X140" t="str">
            <v>x</v>
          </cell>
          <cell r="Y140">
            <v>0</v>
          </cell>
          <cell r="Z140">
            <v>0</v>
          </cell>
          <cell r="AA140">
            <v>0</v>
          </cell>
          <cell r="AB140">
            <v>0</v>
          </cell>
          <cell r="AC140">
            <v>0</v>
          </cell>
          <cell r="AD140">
            <v>0</v>
          </cell>
          <cell r="AE140">
            <v>0</v>
          </cell>
          <cell r="AF140">
            <v>0</v>
          </cell>
          <cell r="AG140">
            <v>0</v>
          </cell>
          <cell r="AH140">
            <v>0</v>
          </cell>
          <cell r="AI140" t="str">
            <v>L</v>
          </cell>
          <cell r="AJ140" t="str">
            <v>x</v>
          </cell>
          <cell r="AK140" t="str">
            <v>x</v>
          </cell>
          <cell r="AL140">
            <v>10</v>
          </cell>
          <cell r="AM140">
            <v>0</v>
          </cell>
          <cell r="AN140">
            <v>1</v>
          </cell>
          <cell r="AO140">
            <v>0</v>
          </cell>
          <cell r="AP140">
            <v>0</v>
          </cell>
          <cell r="AQ140">
            <v>0</v>
          </cell>
          <cell r="AR140">
            <v>10</v>
          </cell>
          <cell r="AS140" t="str">
            <v>Casual Labour</v>
          </cell>
          <cell r="AV140">
            <v>120</v>
          </cell>
          <cell r="AW140">
            <v>25</v>
          </cell>
          <cell r="AX140">
            <v>30</v>
          </cell>
          <cell r="AY140">
            <v>20</v>
          </cell>
          <cell r="AZ140">
            <v>0.625</v>
          </cell>
        </row>
        <row r="141">
          <cell r="B141">
            <v>2148</v>
          </cell>
          <cell r="C141" t="str">
            <v>Mohameed Ali Hamood Al Bahri</v>
          </cell>
          <cell r="D141">
            <v>39711</v>
          </cell>
          <cell r="E141">
            <v>39796</v>
          </cell>
          <cell r="F141" t="str">
            <v>x</v>
          </cell>
          <cell r="G141" t="str">
            <v>x</v>
          </cell>
          <cell r="H141" t="str">
            <v>x</v>
          </cell>
          <cell r="I141" t="str">
            <v>x</v>
          </cell>
          <cell r="J141" t="str">
            <v>x</v>
          </cell>
          <cell r="K141" t="str">
            <v>x</v>
          </cell>
          <cell r="L141" t="str">
            <v>x</v>
          </cell>
          <cell r="M141" t="str">
            <v>x</v>
          </cell>
          <cell r="N141" t="str">
            <v>x</v>
          </cell>
          <cell r="O141" t="str">
            <v>x</v>
          </cell>
          <cell r="P141" t="str">
            <v>x</v>
          </cell>
          <cell r="Q141" t="str">
            <v>x</v>
          </cell>
          <cell r="R141" t="str">
            <v>x</v>
          </cell>
          <cell r="S141" t="str">
            <v>x</v>
          </cell>
          <cell r="T141" t="str">
            <v>x</v>
          </cell>
          <cell r="U141" t="str">
            <v>x</v>
          </cell>
          <cell r="V141" t="str">
            <v>x</v>
          </cell>
          <cell r="W141" t="str">
            <v>x</v>
          </cell>
          <cell r="X141" t="str">
            <v>x</v>
          </cell>
          <cell r="Y141">
            <v>0</v>
          </cell>
          <cell r="Z141">
            <v>0</v>
          </cell>
          <cell r="AA141">
            <v>7</v>
          </cell>
          <cell r="AB141">
            <v>0</v>
          </cell>
          <cell r="AC141">
            <v>0</v>
          </cell>
          <cell r="AD141">
            <v>0</v>
          </cell>
          <cell r="AE141">
            <v>0</v>
          </cell>
          <cell r="AF141">
            <v>0</v>
          </cell>
          <cell r="AG141">
            <v>0</v>
          </cell>
          <cell r="AH141" t="str">
            <v>x</v>
          </cell>
          <cell r="AI141" t="str">
            <v>x</v>
          </cell>
          <cell r="AJ141" t="str">
            <v>x</v>
          </cell>
          <cell r="AK141" t="str">
            <v>x</v>
          </cell>
          <cell r="AL141">
            <v>9</v>
          </cell>
          <cell r="AM141">
            <v>0</v>
          </cell>
          <cell r="AN141">
            <v>0</v>
          </cell>
          <cell r="AO141">
            <v>7</v>
          </cell>
          <cell r="AP141">
            <v>0</v>
          </cell>
          <cell r="AQ141">
            <v>0</v>
          </cell>
          <cell r="AR141">
            <v>9</v>
          </cell>
          <cell r="AS141" t="str">
            <v>Casual Labour</v>
          </cell>
          <cell r="AV141">
            <v>120</v>
          </cell>
          <cell r="AW141">
            <v>25</v>
          </cell>
          <cell r="AX141">
            <v>30</v>
          </cell>
          <cell r="AY141">
            <v>20</v>
          </cell>
          <cell r="AZ141">
            <v>0.625</v>
          </cell>
        </row>
        <row r="142">
          <cell r="B142">
            <v>2149</v>
          </cell>
          <cell r="C142" t="str">
            <v>Hamed Nasser Ali Al Ghafri</v>
          </cell>
          <cell r="D142">
            <v>39712</v>
          </cell>
          <cell r="E142">
            <v>39797</v>
          </cell>
          <cell r="F142" t="str">
            <v>x</v>
          </cell>
          <cell r="G142" t="str">
            <v>x</v>
          </cell>
          <cell r="H142" t="str">
            <v>x</v>
          </cell>
          <cell r="I142" t="str">
            <v>x</v>
          </cell>
          <cell r="J142" t="str">
            <v>x</v>
          </cell>
          <cell r="K142" t="str">
            <v>x</v>
          </cell>
          <cell r="L142" t="str">
            <v>x</v>
          </cell>
          <cell r="M142" t="str">
            <v>x</v>
          </cell>
          <cell r="N142" t="str">
            <v>x</v>
          </cell>
          <cell r="O142" t="str">
            <v>x</v>
          </cell>
          <cell r="P142" t="str">
            <v>x</v>
          </cell>
          <cell r="Q142" t="str">
            <v>x</v>
          </cell>
          <cell r="R142" t="str">
            <v>x</v>
          </cell>
          <cell r="S142" t="str">
            <v>x</v>
          </cell>
          <cell r="T142" t="str">
            <v>x</v>
          </cell>
          <cell r="U142" t="str">
            <v>x</v>
          </cell>
          <cell r="V142" t="str">
            <v>x</v>
          </cell>
          <cell r="W142" t="str">
            <v>x</v>
          </cell>
          <cell r="X142" t="str">
            <v>x</v>
          </cell>
          <cell r="Y142" t="str">
            <v>x</v>
          </cell>
          <cell r="Z142">
            <v>0</v>
          </cell>
          <cell r="AA142">
            <v>7</v>
          </cell>
          <cell r="AB142">
            <v>0</v>
          </cell>
          <cell r="AC142">
            <v>0</v>
          </cell>
          <cell r="AD142">
            <v>0</v>
          </cell>
          <cell r="AE142">
            <v>0</v>
          </cell>
          <cell r="AF142">
            <v>0</v>
          </cell>
          <cell r="AG142">
            <v>0</v>
          </cell>
          <cell r="AH142">
            <v>0</v>
          </cell>
          <cell r="AI142" t="str">
            <v>L</v>
          </cell>
          <cell r="AJ142" t="str">
            <v>x</v>
          </cell>
          <cell r="AK142" t="str">
            <v>x</v>
          </cell>
          <cell r="AL142">
            <v>9</v>
          </cell>
          <cell r="AM142">
            <v>0</v>
          </cell>
          <cell r="AN142">
            <v>1</v>
          </cell>
          <cell r="AO142">
            <v>7</v>
          </cell>
          <cell r="AP142">
            <v>0</v>
          </cell>
          <cell r="AQ142">
            <v>0</v>
          </cell>
          <cell r="AR142">
            <v>9</v>
          </cell>
          <cell r="AS142" t="str">
            <v>Casual Labour</v>
          </cell>
          <cell r="AV142">
            <v>120</v>
          </cell>
          <cell r="AW142">
            <v>25</v>
          </cell>
          <cell r="AX142">
            <v>30</v>
          </cell>
          <cell r="AY142">
            <v>20</v>
          </cell>
          <cell r="AZ142">
            <v>0.625</v>
          </cell>
        </row>
        <row r="143">
          <cell r="B143">
            <v>2150</v>
          </cell>
          <cell r="C143" t="str">
            <v>Ahmed Hamood Saif Al Hina'i</v>
          </cell>
          <cell r="D143">
            <v>39712</v>
          </cell>
          <cell r="E143">
            <v>39797</v>
          </cell>
          <cell r="F143" t="str">
            <v>x</v>
          </cell>
          <cell r="G143" t="str">
            <v>x</v>
          </cell>
          <cell r="H143" t="str">
            <v>x</v>
          </cell>
          <cell r="I143" t="str">
            <v>x</v>
          </cell>
          <cell r="J143" t="str">
            <v>x</v>
          </cell>
          <cell r="K143" t="str">
            <v>x</v>
          </cell>
          <cell r="L143" t="str">
            <v>x</v>
          </cell>
          <cell r="M143" t="str">
            <v>x</v>
          </cell>
          <cell r="N143" t="str">
            <v>x</v>
          </cell>
          <cell r="O143" t="str">
            <v>x</v>
          </cell>
          <cell r="P143" t="str">
            <v>x</v>
          </cell>
          <cell r="Q143" t="str">
            <v>x</v>
          </cell>
          <cell r="R143" t="str">
            <v>x</v>
          </cell>
          <cell r="S143" t="str">
            <v>x</v>
          </cell>
          <cell r="T143" t="str">
            <v>x</v>
          </cell>
          <cell r="U143" t="str">
            <v>x</v>
          </cell>
          <cell r="V143" t="str">
            <v>x</v>
          </cell>
          <cell r="W143" t="str">
            <v>x</v>
          </cell>
          <cell r="X143" t="str">
            <v>x</v>
          </cell>
          <cell r="Y143" t="str">
            <v>x</v>
          </cell>
          <cell r="Z143">
            <v>16</v>
          </cell>
          <cell r="AA143">
            <v>12</v>
          </cell>
          <cell r="AB143">
            <v>12</v>
          </cell>
          <cell r="AC143">
            <v>8</v>
          </cell>
          <cell r="AD143">
            <v>8</v>
          </cell>
          <cell r="AE143">
            <v>8.5</v>
          </cell>
          <cell r="AF143">
            <v>8.5</v>
          </cell>
          <cell r="AG143">
            <v>8.5</v>
          </cell>
          <cell r="AH143">
            <v>0</v>
          </cell>
          <cell r="AI143" t="str">
            <v>L</v>
          </cell>
          <cell r="AJ143" t="str">
            <v>x</v>
          </cell>
          <cell r="AK143" t="str">
            <v>x</v>
          </cell>
          <cell r="AL143">
            <v>9</v>
          </cell>
          <cell r="AM143">
            <v>0</v>
          </cell>
          <cell r="AN143">
            <v>1</v>
          </cell>
          <cell r="AO143">
            <v>81.5</v>
          </cell>
          <cell r="AP143">
            <v>0</v>
          </cell>
          <cell r="AQ143">
            <v>0</v>
          </cell>
          <cell r="AR143">
            <v>9</v>
          </cell>
          <cell r="AS143" t="str">
            <v>Casual Labour</v>
          </cell>
          <cell r="AV143">
            <v>120</v>
          </cell>
          <cell r="AW143">
            <v>25</v>
          </cell>
          <cell r="AX143">
            <v>30</v>
          </cell>
          <cell r="AY143">
            <v>20</v>
          </cell>
          <cell r="AZ143">
            <v>0.625</v>
          </cell>
        </row>
        <row r="144">
          <cell r="B144">
            <v>2151</v>
          </cell>
          <cell r="C144" t="str">
            <v>Wahid Mohamed Sulayem Al Hashmi</v>
          </cell>
          <cell r="D144">
            <v>39712</v>
          </cell>
          <cell r="E144">
            <v>39797</v>
          </cell>
          <cell r="F144" t="str">
            <v>x</v>
          </cell>
          <cell r="G144" t="str">
            <v>x</v>
          </cell>
          <cell r="H144" t="str">
            <v>x</v>
          </cell>
          <cell r="I144" t="str">
            <v>x</v>
          </cell>
          <cell r="J144" t="str">
            <v>x</v>
          </cell>
          <cell r="K144" t="str">
            <v>x</v>
          </cell>
          <cell r="L144" t="str">
            <v>x</v>
          </cell>
          <cell r="M144" t="str">
            <v>x</v>
          </cell>
          <cell r="N144" t="str">
            <v>x</v>
          </cell>
          <cell r="O144" t="str">
            <v>x</v>
          </cell>
          <cell r="P144" t="str">
            <v>x</v>
          </cell>
          <cell r="Q144" t="str">
            <v>x</v>
          </cell>
          <cell r="R144" t="str">
            <v>x</v>
          </cell>
          <cell r="S144" t="str">
            <v>x</v>
          </cell>
          <cell r="T144" t="str">
            <v>x</v>
          </cell>
          <cell r="U144" t="str">
            <v>x</v>
          </cell>
          <cell r="V144" t="str">
            <v>x</v>
          </cell>
          <cell r="W144" t="str">
            <v>x</v>
          </cell>
          <cell r="X144" t="str">
            <v>x</v>
          </cell>
          <cell r="Y144" t="str">
            <v>x</v>
          </cell>
          <cell r="Z144">
            <v>0</v>
          </cell>
          <cell r="AA144">
            <v>0</v>
          </cell>
          <cell r="AB144">
            <v>0</v>
          </cell>
          <cell r="AC144">
            <v>0</v>
          </cell>
          <cell r="AD144">
            <v>0</v>
          </cell>
          <cell r="AE144">
            <v>0</v>
          </cell>
          <cell r="AF144">
            <v>0</v>
          </cell>
          <cell r="AG144">
            <v>0</v>
          </cell>
          <cell r="AH144">
            <v>0</v>
          </cell>
          <cell r="AI144" t="str">
            <v>L</v>
          </cell>
          <cell r="AJ144" t="str">
            <v>x</v>
          </cell>
          <cell r="AK144" t="str">
            <v>x</v>
          </cell>
          <cell r="AL144">
            <v>9</v>
          </cell>
          <cell r="AM144">
            <v>0</v>
          </cell>
          <cell r="AN144">
            <v>1</v>
          </cell>
          <cell r="AO144">
            <v>0</v>
          </cell>
          <cell r="AP144">
            <v>0</v>
          </cell>
          <cell r="AQ144">
            <v>0</v>
          </cell>
          <cell r="AR144">
            <v>9</v>
          </cell>
          <cell r="AS144" t="str">
            <v>Casual Labour</v>
          </cell>
          <cell r="AV144">
            <v>120</v>
          </cell>
          <cell r="AW144">
            <v>25</v>
          </cell>
          <cell r="AX144">
            <v>30</v>
          </cell>
          <cell r="AY144">
            <v>20</v>
          </cell>
          <cell r="AZ144">
            <v>0.625</v>
          </cell>
        </row>
        <row r="145">
          <cell r="B145">
            <v>2152</v>
          </cell>
          <cell r="C145" t="str">
            <v>Walid Mohamed Saif Al Mahrooqi</v>
          </cell>
          <cell r="D145">
            <v>39717</v>
          </cell>
          <cell r="E145">
            <v>39802</v>
          </cell>
          <cell r="F145" t="str">
            <v>x</v>
          </cell>
          <cell r="G145" t="str">
            <v>x</v>
          </cell>
          <cell r="H145" t="str">
            <v>x</v>
          </cell>
          <cell r="I145" t="str">
            <v>x</v>
          </cell>
          <cell r="J145" t="str">
            <v>x</v>
          </cell>
          <cell r="K145" t="str">
            <v>x</v>
          </cell>
          <cell r="L145" t="str">
            <v>x</v>
          </cell>
          <cell r="M145" t="str">
            <v>x</v>
          </cell>
          <cell r="N145" t="str">
            <v>x</v>
          </cell>
          <cell r="O145" t="str">
            <v>x</v>
          </cell>
          <cell r="P145" t="str">
            <v>x</v>
          </cell>
          <cell r="Q145" t="str">
            <v>x</v>
          </cell>
          <cell r="R145" t="str">
            <v>x</v>
          </cell>
          <cell r="S145" t="str">
            <v>x</v>
          </cell>
          <cell r="T145" t="str">
            <v>x</v>
          </cell>
          <cell r="U145" t="str">
            <v>x</v>
          </cell>
          <cell r="V145" t="str">
            <v>x</v>
          </cell>
          <cell r="W145" t="str">
            <v>x</v>
          </cell>
          <cell r="X145" t="str">
            <v>x</v>
          </cell>
          <cell r="Y145" t="str">
            <v>x</v>
          </cell>
          <cell r="Z145" t="str">
            <v>x</v>
          </cell>
          <cell r="AA145" t="str">
            <v>x</v>
          </cell>
          <cell r="AB145" t="str">
            <v>x</v>
          </cell>
          <cell r="AC145" t="str">
            <v>x</v>
          </cell>
          <cell r="AD145" t="str">
            <v>x</v>
          </cell>
          <cell r="AE145">
            <v>0</v>
          </cell>
          <cell r="AF145">
            <v>0</v>
          </cell>
          <cell r="AG145">
            <v>0</v>
          </cell>
          <cell r="AH145">
            <v>0</v>
          </cell>
          <cell r="AI145" t="str">
            <v>L</v>
          </cell>
          <cell r="AJ145" t="str">
            <v>x</v>
          </cell>
          <cell r="AK145" t="str">
            <v>x</v>
          </cell>
          <cell r="AL145">
            <v>4</v>
          </cell>
          <cell r="AM145">
            <v>0</v>
          </cell>
          <cell r="AN145">
            <v>1</v>
          </cell>
          <cell r="AO145">
            <v>0</v>
          </cell>
          <cell r="AP145">
            <v>0</v>
          </cell>
          <cell r="AQ145">
            <v>0</v>
          </cell>
          <cell r="AR145">
            <v>4</v>
          </cell>
          <cell r="AS145" t="str">
            <v>Casual Labour</v>
          </cell>
          <cell r="AV145">
            <v>120</v>
          </cell>
          <cell r="AW145">
            <v>25</v>
          </cell>
          <cell r="AX145">
            <v>30</v>
          </cell>
          <cell r="AY145">
            <v>20</v>
          </cell>
          <cell r="AZ145">
            <v>0.625</v>
          </cell>
        </row>
        <row r="146">
          <cell r="B146">
            <v>2153</v>
          </cell>
          <cell r="C146" t="str">
            <v>Hilal Salah Rashid Al Nasri</v>
          </cell>
          <cell r="D146">
            <v>39717</v>
          </cell>
          <cell r="E146">
            <v>39802</v>
          </cell>
          <cell r="F146" t="str">
            <v>x</v>
          </cell>
          <cell r="G146" t="str">
            <v>x</v>
          </cell>
          <cell r="H146" t="str">
            <v>x</v>
          </cell>
          <cell r="I146" t="str">
            <v>x</v>
          </cell>
          <cell r="J146" t="str">
            <v>x</v>
          </cell>
          <cell r="K146" t="str">
            <v>x</v>
          </cell>
          <cell r="L146" t="str">
            <v>x</v>
          </cell>
          <cell r="M146" t="str">
            <v>x</v>
          </cell>
          <cell r="N146" t="str">
            <v>x</v>
          </cell>
          <cell r="O146" t="str">
            <v>x</v>
          </cell>
          <cell r="P146" t="str">
            <v>x</v>
          </cell>
          <cell r="Q146" t="str">
            <v>x</v>
          </cell>
          <cell r="R146" t="str">
            <v>x</v>
          </cell>
          <cell r="S146" t="str">
            <v>x</v>
          </cell>
          <cell r="T146" t="str">
            <v>x</v>
          </cell>
          <cell r="U146" t="str">
            <v>x</v>
          </cell>
          <cell r="V146" t="str">
            <v>x</v>
          </cell>
          <cell r="W146" t="str">
            <v>x</v>
          </cell>
          <cell r="X146" t="str">
            <v>x</v>
          </cell>
          <cell r="Y146" t="str">
            <v>x</v>
          </cell>
          <cell r="Z146" t="str">
            <v>x</v>
          </cell>
          <cell r="AA146" t="str">
            <v>x</v>
          </cell>
          <cell r="AB146" t="str">
            <v>x</v>
          </cell>
          <cell r="AC146" t="str">
            <v>x</v>
          </cell>
          <cell r="AD146" t="str">
            <v>x</v>
          </cell>
          <cell r="AE146">
            <v>0</v>
          </cell>
          <cell r="AF146">
            <v>0</v>
          </cell>
          <cell r="AG146">
            <v>0</v>
          </cell>
          <cell r="AH146">
            <v>0</v>
          </cell>
          <cell r="AI146" t="str">
            <v>L</v>
          </cell>
          <cell r="AJ146" t="str">
            <v>x</v>
          </cell>
          <cell r="AK146" t="str">
            <v>x</v>
          </cell>
          <cell r="AL146">
            <v>4</v>
          </cell>
          <cell r="AM146">
            <v>0</v>
          </cell>
          <cell r="AN146">
            <v>1</v>
          </cell>
          <cell r="AO146">
            <v>0</v>
          </cell>
          <cell r="AP146">
            <v>0</v>
          </cell>
          <cell r="AQ146">
            <v>0</v>
          </cell>
          <cell r="AR146">
            <v>4</v>
          </cell>
          <cell r="AS146" t="str">
            <v>Casual Labour</v>
          </cell>
          <cell r="AV146">
            <v>120</v>
          </cell>
          <cell r="AW146">
            <v>25</v>
          </cell>
          <cell r="AX146">
            <v>30</v>
          </cell>
          <cell r="AY146">
            <v>20</v>
          </cell>
          <cell r="AZ146">
            <v>0.625</v>
          </cell>
        </row>
        <row r="147">
          <cell r="B147">
            <v>2154</v>
          </cell>
          <cell r="C147" t="str">
            <v>Naif Ali Said Said Albusaidi</v>
          </cell>
          <cell r="D147">
            <v>39718</v>
          </cell>
          <cell r="E147">
            <v>39803</v>
          </cell>
          <cell r="F147" t="str">
            <v>x</v>
          </cell>
          <cell r="G147" t="str">
            <v>x</v>
          </cell>
          <cell r="H147" t="str">
            <v>x</v>
          </cell>
          <cell r="I147" t="str">
            <v>x</v>
          </cell>
          <cell r="J147" t="str">
            <v>x</v>
          </cell>
          <cell r="K147" t="str">
            <v>x</v>
          </cell>
          <cell r="L147" t="str">
            <v>x</v>
          </cell>
          <cell r="M147" t="str">
            <v>x</v>
          </cell>
          <cell r="N147" t="str">
            <v>x</v>
          </cell>
          <cell r="O147" t="str">
            <v>x</v>
          </cell>
          <cell r="P147" t="str">
            <v>x</v>
          </cell>
          <cell r="Q147" t="str">
            <v>x</v>
          </cell>
          <cell r="R147" t="str">
            <v>x</v>
          </cell>
          <cell r="S147" t="str">
            <v>x</v>
          </cell>
          <cell r="T147" t="str">
            <v>x</v>
          </cell>
          <cell r="U147" t="str">
            <v>x</v>
          </cell>
          <cell r="V147" t="str">
            <v>x</v>
          </cell>
          <cell r="W147" t="str">
            <v>x</v>
          </cell>
          <cell r="X147" t="str">
            <v>x</v>
          </cell>
          <cell r="Y147" t="str">
            <v>x</v>
          </cell>
          <cell r="Z147" t="str">
            <v>x</v>
          </cell>
          <cell r="AA147" t="str">
            <v>x</v>
          </cell>
          <cell r="AB147" t="str">
            <v>x</v>
          </cell>
          <cell r="AC147" t="str">
            <v>x</v>
          </cell>
          <cell r="AD147" t="str">
            <v>x</v>
          </cell>
          <cell r="AE147" t="str">
            <v>x</v>
          </cell>
          <cell r="AF147">
            <v>0</v>
          </cell>
          <cell r="AG147">
            <v>0</v>
          </cell>
          <cell r="AH147">
            <v>0</v>
          </cell>
          <cell r="AI147" t="str">
            <v>L</v>
          </cell>
          <cell r="AJ147" t="str">
            <v>x</v>
          </cell>
          <cell r="AK147" t="str">
            <v>x</v>
          </cell>
          <cell r="AL147">
            <v>3</v>
          </cell>
          <cell r="AM147">
            <v>0</v>
          </cell>
          <cell r="AN147">
            <v>1</v>
          </cell>
          <cell r="AO147">
            <v>0</v>
          </cell>
          <cell r="AP147">
            <v>0</v>
          </cell>
          <cell r="AQ147">
            <v>0</v>
          </cell>
          <cell r="AR147">
            <v>3</v>
          </cell>
          <cell r="AS147" t="str">
            <v>Casual Labour</v>
          </cell>
          <cell r="AV147">
            <v>120</v>
          </cell>
          <cell r="AW147">
            <v>25</v>
          </cell>
          <cell r="AX147">
            <v>30</v>
          </cell>
          <cell r="AY147">
            <v>20</v>
          </cell>
          <cell r="AZ147">
            <v>0.625</v>
          </cell>
        </row>
        <row r="148">
          <cell r="B148">
            <v>2155</v>
          </cell>
          <cell r="C148" t="str">
            <v>Mustafa Hamood Sif</v>
          </cell>
          <cell r="D148">
            <v>39718</v>
          </cell>
          <cell r="E148">
            <v>39803</v>
          </cell>
          <cell r="F148" t="str">
            <v>x</v>
          </cell>
          <cell r="G148" t="str">
            <v>x</v>
          </cell>
          <cell r="H148" t="str">
            <v>x</v>
          </cell>
          <cell r="I148" t="str">
            <v>x</v>
          </cell>
          <cell r="J148" t="str">
            <v>x</v>
          </cell>
          <cell r="K148" t="str">
            <v>x</v>
          </cell>
          <cell r="L148" t="str">
            <v>x</v>
          </cell>
          <cell r="M148" t="str">
            <v>x</v>
          </cell>
          <cell r="N148" t="str">
            <v>x</v>
          </cell>
          <cell r="O148" t="str">
            <v>x</v>
          </cell>
          <cell r="P148" t="str">
            <v>x</v>
          </cell>
          <cell r="Q148" t="str">
            <v>x</v>
          </cell>
          <cell r="R148" t="str">
            <v>x</v>
          </cell>
          <cell r="S148" t="str">
            <v>x</v>
          </cell>
          <cell r="T148" t="str">
            <v>x</v>
          </cell>
          <cell r="U148" t="str">
            <v>x</v>
          </cell>
          <cell r="V148" t="str">
            <v>x</v>
          </cell>
          <cell r="W148" t="str">
            <v>x</v>
          </cell>
          <cell r="X148" t="str">
            <v>x</v>
          </cell>
          <cell r="Y148" t="str">
            <v>x</v>
          </cell>
          <cell r="Z148" t="str">
            <v>x</v>
          </cell>
          <cell r="AA148" t="str">
            <v>x</v>
          </cell>
          <cell r="AB148" t="str">
            <v>x</v>
          </cell>
          <cell r="AC148" t="str">
            <v>x</v>
          </cell>
          <cell r="AD148" t="str">
            <v>x</v>
          </cell>
          <cell r="AE148" t="str">
            <v>x</v>
          </cell>
          <cell r="AF148">
            <v>0</v>
          </cell>
          <cell r="AG148">
            <v>4</v>
          </cell>
          <cell r="AH148">
            <v>0</v>
          </cell>
          <cell r="AI148" t="str">
            <v>L</v>
          </cell>
          <cell r="AJ148" t="str">
            <v>x</v>
          </cell>
          <cell r="AK148" t="str">
            <v>x</v>
          </cell>
          <cell r="AL148">
            <v>3</v>
          </cell>
          <cell r="AM148">
            <v>0</v>
          </cell>
          <cell r="AN148">
            <v>1</v>
          </cell>
          <cell r="AO148">
            <v>4</v>
          </cell>
          <cell r="AP148">
            <v>0</v>
          </cell>
          <cell r="AQ148">
            <v>0</v>
          </cell>
          <cell r="AR148">
            <v>3</v>
          </cell>
          <cell r="AS148" t="str">
            <v>Casual Labour</v>
          </cell>
          <cell r="AV148">
            <v>120</v>
          </cell>
          <cell r="AW148">
            <v>25</v>
          </cell>
          <cell r="AX148">
            <v>30</v>
          </cell>
          <cell r="AY148">
            <v>20</v>
          </cell>
          <cell r="AZ148">
            <v>0.625</v>
          </cell>
        </row>
        <row r="149">
          <cell r="B149">
            <v>2156</v>
          </cell>
          <cell r="C149" t="str">
            <v>Abdullah Muftah Obid Al Naimi</v>
          </cell>
          <cell r="D149">
            <v>39718</v>
          </cell>
          <cell r="E149">
            <v>39803</v>
          </cell>
          <cell r="F149" t="str">
            <v>x</v>
          </cell>
          <cell r="G149" t="str">
            <v>x</v>
          </cell>
          <cell r="H149" t="str">
            <v>x</v>
          </cell>
          <cell r="I149" t="str">
            <v>x</v>
          </cell>
          <cell r="J149" t="str">
            <v>x</v>
          </cell>
          <cell r="K149" t="str">
            <v>x</v>
          </cell>
          <cell r="L149" t="str">
            <v>x</v>
          </cell>
          <cell r="M149" t="str">
            <v>x</v>
          </cell>
          <cell r="N149" t="str">
            <v>x</v>
          </cell>
          <cell r="O149" t="str">
            <v>x</v>
          </cell>
          <cell r="P149" t="str">
            <v>x</v>
          </cell>
          <cell r="Q149" t="str">
            <v>x</v>
          </cell>
          <cell r="R149" t="str">
            <v>x</v>
          </cell>
          <cell r="S149" t="str">
            <v>x</v>
          </cell>
          <cell r="T149" t="str">
            <v>x</v>
          </cell>
          <cell r="U149" t="str">
            <v>x</v>
          </cell>
          <cell r="V149" t="str">
            <v>x</v>
          </cell>
          <cell r="W149" t="str">
            <v>x</v>
          </cell>
          <cell r="X149" t="str">
            <v>x</v>
          </cell>
          <cell r="Y149" t="str">
            <v>x</v>
          </cell>
          <cell r="Z149" t="str">
            <v>x</v>
          </cell>
          <cell r="AA149" t="str">
            <v>x</v>
          </cell>
          <cell r="AB149" t="str">
            <v>x</v>
          </cell>
          <cell r="AC149" t="str">
            <v>x</v>
          </cell>
          <cell r="AD149" t="str">
            <v>x</v>
          </cell>
          <cell r="AE149" t="str">
            <v>x</v>
          </cell>
          <cell r="AF149">
            <v>0</v>
          </cell>
          <cell r="AG149">
            <v>0</v>
          </cell>
          <cell r="AH149">
            <v>0</v>
          </cell>
          <cell r="AI149" t="str">
            <v>L</v>
          </cell>
          <cell r="AJ149" t="str">
            <v>x</v>
          </cell>
          <cell r="AK149" t="str">
            <v>x</v>
          </cell>
          <cell r="AL149">
            <v>3</v>
          </cell>
          <cell r="AM149">
            <v>0</v>
          </cell>
          <cell r="AN149">
            <v>1</v>
          </cell>
          <cell r="AO149">
            <v>0</v>
          </cell>
          <cell r="AP149">
            <v>0</v>
          </cell>
          <cell r="AQ149">
            <v>0</v>
          </cell>
          <cell r="AR149">
            <v>3</v>
          </cell>
          <cell r="AS149" t="str">
            <v>Casual Labour</v>
          </cell>
          <cell r="AV149">
            <v>120</v>
          </cell>
          <cell r="AW149">
            <v>25</v>
          </cell>
          <cell r="AX149">
            <v>30</v>
          </cell>
          <cell r="AY149">
            <v>20</v>
          </cell>
          <cell r="AZ149">
            <v>0.625</v>
          </cell>
        </row>
        <row r="150">
          <cell r="B150">
            <v>2157</v>
          </cell>
          <cell r="C150" t="str">
            <v>Mukhtar Ali Saif Al Nasri</v>
          </cell>
          <cell r="D150">
            <v>39718</v>
          </cell>
          <cell r="E150">
            <v>39803</v>
          </cell>
          <cell r="F150" t="str">
            <v>x</v>
          </cell>
          <cell r="G150" t="str">
            <v>x</v>
          </cell>
          <cell r="H150" t="str">
            <v>x</v>
          </cell>
          <cell r="I150" t="str">
            <v>x</v>
          </cell>
          <cell r="J150" t="str">
            <v>x</v>
          </cell>
          <cell r="K150" t="str">
            <v>x</v>
          </cell>
          <cell r="L150" t="str">
            <v>x</v>
          </cell>
          <cell r="M150" t="str">
            <v>x</v>
          </cell>
          <cell r="N150" t="str">
            <v>x</v>
          </cell>
          <cell r="O150" t="str">
            <v>x</v>
          </cell>
          <cell r="P150" t="str">
            <v>x</v>
          </cell>
          <cell r="Q150" t="str">
            <v>x</v>
          </cell>
          <cell r="R150" t="str">
            <v>x</v>
          </cell>
          <cell r="S150" t="str">
            <v>x</v>
          </cell>
          <cell r="T150" t="str">
            <v>x</v>
          </cell>
          <cell r="U150" t="str">
            <v>x</v>
          </cell>
          <cell r="V150" t="str">
            <v>x</v>
          </cell>
          <cell r="W150" t="str">
            <v>x</v>
          </cell>
          <cell r="X150" t="str">
            <v>x</v>
          </cell>
          <cell r="Y150" t="str">
            <v>x</v>
          </cell>
          <cell r="Z150" t="str">
            <v>x</v>
          </cell>
          <cell r="AA150" t="str">
            <v>x</v>
          </cell>
          <cell r="AB150" t="str">
            <v>x</v>
          </cell>
          <cell r="AC150" t="str">
            <v>x</v>
          </cell>
          <cell r="AD150" t="str">
            <v>x</v>
          </cell>
          <cell r="AE150" t="str">
            <v>x</v>
          </cell>
          <cell r="AF150">
            <v>0</v>
          </cell>
          <cell r="AG150">
            <v>0</v>
          </cell>
          <cell r="AH150">
            <v>0</v>
          </cell>
          <cell r="AI150" t="str">
            <v>L</v>
          </cell>
          <cell r="AJ150" t="str">
            <v>x</v>
          </cell>
          <cell r="AK150" t="str">
            <v>x</v>
          </cell>
          <cell r="AL150">
            <v>3</v>
          </cell>
          <cell r="AM150">
            <v>0</v>
          </cell>
          <cell r="AN150">
            <v>1</v>
          </cell>
          <cell r="AO150">
            <v>0</v>
          </cell>
          <cell r="AP150">
            <v>0</v>
          </cell>
          <cell r="AQ150">
            <v>0</v>
          </cell>
          <cell r="AR150">
            <v>3</v>
          </cell>
          <cell r="AS150" t="str">
            <v>Casual Labour</v>
          </cell>
          <cell r="AV150">
            <v>120</v>
          </cell>
          <cell r="AW150">
            <v>25</v>
          </cell>
          <cell r="AX150">
            <v>30</v>
          </cell>
          <cell r="AY150">
            <v>20</v>
          </cell>
          <cell r="AZ150">
            <v>0.625</v>
          </cell>
        </row>
        <row r="151">
          <cell r="B151">
            <v>2158</v>
          </cell>
          <cell r="C151" t="str">
            <v>Hamed Khalifa Said Al Nassri</v>
          </cell>
          <cell r="D151">
            <v>39718</v>
          </cell>
          <cell r="E151">
            <v>39803</v>
          </cell>
          <cell r="F151" t="str">
            <v>x</v>
          </cell>
          <cell r="G151" t="str">
            <v>x</v>
          </cell>
          <cell r="H151" t="str">
            <v>x</v>
          </cell>
          <cell r="I151" t="str">
            <v>x</v>
          </cell>
          <cell r="J151" t="str">
            <v>x</v>
          </cell>
          <cell r="K151" t="str">
            <v>x</v>
          </cell>
          <cell r="L151" t="str">
            <v>x</v>
          </cell>
          <cell r="M151" t="str">
            <v>x</v>
          </cell>
          <cell r="N151" t="str">
            <v>x</v>
          </cell>
          <cell r="O151" t="str">
            <v>x</v>
          </cell>
          <cell r="P151" t="str">
            <v>x</v>
          </cell>
          <cell r="Q151" t="str">
            <v>x</v>
          </cell>
          <cell r="R151" t="str">
            <v>x</v>
          </cell>
          <cell r="S151" t="str">
            <v>x</v>
          </cell>
          <cell r="T151" t="str">
            <v>x</v>
          </cell>
          <cell r="U151" t="str">
            <v>x</v>
          </cell>
          <cell r="V151" t="str">
            <v>x</v>
          </cell>
          <cell r="W151" t="str">
            <v>x</v>
          </cell>
          <cell r="X151" t="str">
            <v>x</v>
          </cell>
          <cell r="Y151" t="str">
            <v>x</v>
          </cell>
          <cell r="Z151" t="str">
            <v>x</v>
          </cell>
          <cell r="AA151" t="str">
            <v>x</v>
          </cell>
          <cell r="AB151" t="str">
            <v>x</v>
          </cell>
          <cell r="AC151" t="str">
            <v>x</v>
          </cell>
          <cell r="AD151" t="str">
            <v>x</v>
          </cell>
          <cell r="AE151" t="str">
            <v>x</v>
          </cell>
          <cell r="AF151">
            <v>0</v>
          </cell>
          <cell r="AG151">
            <v>0</v>
          </cell>
          <cell r="AH151">
            <v>0</v>
          </cell>
          <cell r="AI151" t="str">
            <v>L</v>
          </cell>
          <cell r="AJ151" t="str">
            <v>x</v>
          </cell>
          <cell r="AK151" t="str">
            <v>x</v>
          </cell>
          <cell r="AL151">
            <v>3</v>
          </cell>
          <cell r="AM151">
            <v>0</v>
          </cell>
          <cell r="AN151">
            <v>1</v>
          </cell>
          <cell r="AO151">
            <v>0</v>
          </cell>
          <cell r="AP151">
            <v>0</v>
          </cell>
          <cell r="AQ151">
            <v>0</v>
          </cell>
          <cell r="AR151">
            <v>3</v>
          </cell>
          <cell r="AS151" t="str">
            <v>Casual Labour</v>
          </cell>
          <cell r="AV151">
            <v>120</v>
          </cell>
          <cell r="AW151">
            <v>25</v>
          </cell>
          <cell r="AX151">
            <v>30</v>
          </cell>
          <cell r="AY151">
            <v>20</v>
          </cell>
          <cell r="AZ151">
            <v>0.625</v>
          </cell>
        </row>
        <row r="152">
          <cell r="AJ152" t="str">
            <v>x</v>
          </cell>
          <cell r="AK152" t="str">
            <v>x</v>
          </cell>
          <cell r="AL152">
            <v>0</v>
          </cell>
          <cell r="AM152">
            <v>0</v>
          </cell>
          <cell r="AN152">
            <v>0</v>
          </cell>
          <cell r="AO152">
            <v>0</v>
          </cell>
          <cell r="AP152">
            <v>0</v>
          </cell>
          <cell r="AQ152">
            <v>0</v>
          </cell>
          <cell r="AR152">
            <v>0</v>
          </cell>
          <cell r="AS152" t="str">
            <v>Casual Labour</v>
          </cell>
          <cell r="AV152">
            <v>120</v>
          </cell>
          <cell r="AW152">
            <v>25</v>
          </cell>
          <cell r="AX152">
            <v>30</v>
          </cell>
          <cell r="AY152">
            <v>20</v>
          </cell>
          <cell r="AZ152">
            <v>0.625</v>
          </cell>
        </row>
        <row r="153">
          <cell r="AZ153">
            <v>0</v>
          </cell>
        </row>
        <row r="154">
          <cell r="AZ154">
            <v>0</v>
          </cell>
        </row>
        <row r="155">
          <cell r="AZ155">
            <v>0</v>
          </cell>
        </row>
        <row r="156">
          <cell r="AZ156">
            <v>0</v>
          </cell>
        </row>
        <row r="157">
          <cell r="AZ157">
            <v>0</v>
          </cell>
        </row>
        <row r="158">
          <cell r="AZ158">
            <v>0</v>
          </cell>
        </row>
        <row r="159">
          <cell r="AZ159">
            <v>0</v>
          </cell>
        </row>
        <row r="160">
          <cell r="AZ160">
            <v>0</v>
          </cell>
        </row>
        <row r="161">
          <cell r="AZ161">
            <v>0</v>
          </cell>
        </row>
        <row r="162">
          <cell r="AZ162">
            <v>0</v>
          </cell>
        </row>
        <row r="163">
          <cell r="AZ163">
            <v>0</v>
          </cell>
        </row>
        <row r="164">
          <cell r="AZ164">
            <v>0</v>
          </cell>
        </row>
        <row r="165">
          <cell r="AZ165">
            <v>0</v>
          </cell>
        </row>
        <row r="166">
          <cell r="AZ166">
            <v>0</v>
          </cell>
        </row>
        <row r="167">
          <cell r="AZ167">
            <v>0</v>
          </cell>
        </row>
        <row r="168">
          <cell r="AZ168">
            <v>0</v>
          </cell>
        </row>
        <row r="169">
          <cell r="AZ169">
            <v>0</v>
          </cell>
        </row>
        <row r="170">
          <cell r="AZ170">
            <v>0</v>
          </cell>
        </row>
        <row r="171">
          <cell r="AZ171">
            <v>0</v>
          </cell>
        </row>
        <row r="172">
          <cell r="AZ172">
            <v>0</v>
          </cell>
        </row>
        <row r="173">
          <cell r="AZ173">
            <v>0</v>
          </cell>
        </row>
        <row r="174">
          <cell r="AZ174">
            <v>0</v>
          </cell>
        </row>
        <row r="175">
          <cell r="AZ175">
            <v>0</v>
          </cell>
        </row>
        <row r="176">
          <cell r="AZ176">
            <v>0</v>
          </cell>
        </row>
        <row r="177">
          <cell r="AZ177">
            <v>0</v>
          </cell>
        </row>
        <row r="178">
          <cell r="AZ178">
            <v>0</v>
          </cell>
        </row>
        <row r="179">
          <cell r="AZ179">
            <v>0</v>
          </cell>
        </row>
        <row r="180">
          <cell r="AZ180">
            <v>0</v>
          </cell>
        </row>
        <row r="181">
          <cell r="E181" t="str">
            <v/>
          </cell>
          <cell r="AZ181">
            <v>0</v>
          </cell>
        </row>
        <row r="182">
          <cell r="E182" t="str">
            <v/>
          </cell>
          <cell r="AZ182">
            <v>0</v>
          </cell>
        </row>
        <row r="183">
          <cell r="E183" t="str">
            <v/>
          </cell>
          <cell r="AZ183">
            <v>0</v>
          </cell>
        </row>
        <row r="184">
          <cell r="F184">
            <v>84</v>
          </cell>
          <cell r="G184">
            <v>83</v>
          </cell>
          <cell r="H184">
            <v>84</v>
          </cell>
          <cell r="I184">
            <v>82</v>
          </cell>
          <cell r="J184">
            <v>79</v>
          </cell>
          <cell r="K184">
            <v>80</v>
          </cell>
          <cell r="L184">
            <v>77</v>
          </cell>
          <cell r="M184">
            <v>77</v>
          </cell>
          <cell r="N184">
            <v>79</v>
          </cell>
          <cell r="O184">
            <v>77</v>
          </cell>
          <cell r="P184">
            <v>74</v>
          </cell>
          <cell r="Q184">
            <v>72</v>
          </cell>
          <cell r="R184">
            <v>84</v>
          </cell>
          <cell r="S184">
            <v>88</v>
          </cell>
          <cell r="T184">
            <v>91</v>
          </cell>
          <cell r="U184">
            <v>95</v>
          </cell>
          <cell r="V184">
            <v>93</v>
          </cell>
          <cell r="W184">
            <v>92</v>
          </cell>
          <cell r="X184">
            <v>88</v>
          </cell>
          <cell r="Y184">
            <v>94</v>
          </cell>
          <cell r="Z184">
            <v>95</v>
          </cell>
          <cell r="AA184">
            <v>91</v>
          </cell>
          <cell r="AB184">
            <v>91</v>
          </cell>
          <cell r="AC184">
            <v>91</v>
          </cell>
          <cell r="AD184">
            <v>91</v>
          </cell>
          <cell r="AE184">
            <v>91</v>
          </cell>
          <cell r="AF184">
            <v>80</v>
          </cell>
          <cell r="AG184">
            <v>79</v>
          </cell>
          <cell r="AH184">
            <v>78</v>
          </cell>
          <cell r="AI184">
            <v>3</v>
          </cell>
          <cell r="AJ184">
            <v>0</v>
          </cell>
          <cell r="AK184">
            <v>2</v>
          </cell>
          <cell r="AL184">
            <v>71</v>
          </cell>
          <cell r="AM184">
            <v>148</v>
          </cell>
          <cell r="AN184">
            <v>148</v>
          </cell>
          <cell r="AO184">
            <v>122</v>
          </cell>
          <cell r="AP184">
            <v>148</v>
          </cell>
          <cell r="AQ184">
            <v>148</v>
          </cell>
          <cell r="AR184">
            <v>71</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me Sheet2"/>
      <sheetName val="Time Sheet"/>
      <sheetName val="Cas Daily Update"/>
      <sheetName val="Cas Daily Update (2)"/>
      <sheetName val="Base Camp Guard Payroll "/>
    </sheetNames>
    <sheetDataSet>
      <sheetData sheetId="0">
        <row r="11">
          <cell r="L11" t="str">
            <v>Casual Labour</v>
          </cell>
        </row>
        <row r="12">
          <cell r="L12" t="str">
            <v>Casual Light Duty Driver</v>
          </cell>
        </row>
        <row r="13">
          <cell r="L13" t="str">
            <v>Casual Heavy Duty Driver</v>
          </cell>
        </row>
        <row r="14">
          <cell r="L14" t="str">
            <v>Casual Welder</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sheetData sheetId="1">
        <row r="3">
          <cell r="C3" t="str">
            <v>Temporary Labour</v>
          </cell>
        </row>
        <row r="4">
          <cell r="C4" t="str">
            <v>Temporary Light Duty Driver</v>
          </cell>
        </row>
        <row r="5">
          <cell r="C5" t="str">
            <v>Temporary Heavy Duty Driver</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Payslip Jr."/>
      <sheetName val="New Payslip Sr."/>
      <sheetName val="PDO-Jr"/>
      <sheetName val="PDO-Sr"/>
      <sheetName val="Timesheet JR"/>
      <sheetName val="Timesheet Sr."/>
    </sheetNames>
    <sheetDataSet>
      <sheetData sheetId="0"/>
      <sheetData sheetId="1"/>
      <sheetData sheetId="2" refreshError="1">
        <row r="5">
          <cell r="B5">
            <v>1</v>
          </cell>
          <cell r="C5" t="str">
            <v>Saleem Huwaishal Mohamed Al Gharibi</v>
          </cell>
          <cell r="D5" t="str">
            <v>Vib Operator</v>
          </cell>
          <cell r="E5" t="str">
            <v>09.06.04</v>
          </cell>
          <cell r="F5">
            <v>2.7288461538461539</v>
          </cell>
          <cell r="G5">
            <v>1.7055288461538463</v>
          </cell>
          <cell r="H5">
            <v>34</v>
          </cell>
          <cell r="I5">
            <v>183</v>
          </cell>
          <cell r="K5">
            <v>23</v>
          </cell>
          <cell r="L5">
            <v>7</v>
          </cell>
          <cell r="M5">
            <v>0</v>
          </cell>
          <cell r="N5">
            <v>0</v>
          </cell>
          <cell r="O5">
            <v>30</v>
          </cell>
          <cell r="P5">
            <v>65</v>
          </cell>
          <cell r="Q5">
            <v>1.95</v>
          </cell>
          <cell r="R5">
            <v>236.5</v>
          </cell>
          <cell r="S5">
            <v>120</v>
          </cell>
          <cell r="T5">
            <v>2</v>
          </cell>
          <cell r="U5">
            <v>5</v>
          </cell>
          <cell r="V5">
            <v>4.5</v>
          </cell>
          <cell r="W5">
            <v>236.5</v>
          </cell>
          <cell r="X5">
            <v>120</v>
          </cell>
          <cell r="Y5">
            <v>2</v>
          </cell>
          <cell r="Z5">
            <v>5</v>
          </cell>
          <cell r="AA5">
            <v>312.11177884615387</v>
          </cell>
          <cell r="AB5">
            <v>103.5</v>
          </cell>
          <cell r="AD5">
            <v>92.780769230769238</v>
          </cell>
          <cell r="AH5">
            <v>0</v>
          </cell>
          <cell r="AI5">
            <v>0</v>
          </cell>
          <cell r="AJ5">
            <v>0</v>
          </cell>
          <cell r="AK5">
            <v>0</v>
          </cell>
          <cell r="AL5">
            <v>0</v>
          </cell>
          <cell r="AM5">
            <v>278.34230769230771</v>
          </cell>
          <cell r="AN5">
            <v>27</v>
          </cell>
          <cell r="AP5">
            <v>123</v>
          </cell>
          <cell r="AQ5">
            <v>1300.2348557692308</v>
          </cell>
          <cell r="AR5">
            <v>15.3725</v>
          </cell>
          <cell r="AT5">
            <v>15.3725</v>
          </cell>
          <cell r="AU5">
            <v>1284.8623557692308</v>
          </cell>
          <cell r="AX5">
            <v>1</v>
          </cell>
          <cell r="AZ5" t="str">
            <v>Saleem Huwaishal Mohamed Al Gharibi</v>
          </cell>
          <cell r="BA5" t="str">
            <v>052-137470081019</v>
          </cell>
          <cell r="BB5" t="str">
            <v>Bank Muscat</v>
          </cell>
          <cell r="BC5" t="str">
            <v>Hamra</v>
          </cell>
          <cell r="BD5">
            <v>1284.8623557692308</v>
          </cell>
        </row>
        <row r="6">
          <cell r="B6">
            <v>2</v>
          </cell>
          <cell r="C6" t="str">
            <v>Bati Marzouq Khamis Al Yaqoubi</v>
          </cell>
          <cell r="D6" t="str">
            <v>Heavy Duty Drv / W.T</v>
          </cell>
          <cell r="E6" t="str">
            <v>07.06.04</v>
          </cell>
          <cell r="F6">
            <v>2.7451153846153846</v>
          </cell>
          <cell r="G6">
            <v>1.7156971153846154</v>
          </cell>
          <cell r="H6">
            <v>24</v>
          </cell>
          <cell r="I6">
            <v>56</v>
          </cell>
          <cell r="K6">
            <v>16</v>
          </cell>
          <cell r="L6">
            <v>14</v>
          </cell>
          <cell r="M6">
            <v>0</v>
          </cell>
          <cell r="N6">
            <v>0</v>
          </cell>
          <cell r="O6">
            <v>30</v>
          </cell>
          <cell r="P6">
            <v>85</v>
          </cell>
          <cell r="Q6">
            <v>2.5499999999999998</v>
          </cell>
          <cell r="R6">
            <v>237.91</v>
          </cell>
          <cell r="S6">
            <v>120</v>
          </cell>
          <cell r="T6">
            <v>2</v>
          </cell>
          <cell r="U6">
            <v>5</v>
          </cell>
          <cell r="V6">
            <v>4.5</v>
          </cell>
          <cell r="W6">
            <v>237.91</v>
          </cell>
          <cell r="X6">
            <v>120</v>
          </cell>
          <cell r="Y6">
            <v>2</v>
          </cell>
          <cell r="Z6">
            <v>5</v>
          </cell>
          <cell r="AA6">
            <v>96.07903846153846</v>
          </cell>
          <cell r="AB6">
            <v>72</v>
          </cell>
          <cell r="AD6">
            <v>65.882769230769227</v>
          </cell>
          <cell r="AH6">
            <v>0</v>
          </cell>
          <cell r="AI6">
            <v>0</v>
          </cell>
          <cell r="AJ6">
            <v>0</v>
          </cell>
          <cell r="AK6">
            <v>0</v>
          </cell>
          <cell r="AL6">
            <v>0</v>
          </cell>
          <cell r="AM6">
            <v>197.6483076923077</v>
          </cell>
          <cell r="AN6">
            <v>27</v>
          </cell>
          <cell r="AP6">
            <v>124.755</v>
          </cell>
          <cell r="AQ6">
            <v>948.27511538461533</v>
          </cell>
          <cell r="AR6">
            <v>15.46415</v>
          </cell>
          <cell r="AT6">
            <v>15.46415</v>
          </cell>
          <cell r="AU6">
            <v>932.81096538461532</v>
          </cell>
          <cell r="AX6">
            <v>2</v>
          </cell>
          <cell r="AZ6" t="str">
            <v>Bati Marzouq Khamis Al Yaqoubi</v>
          </cell>
          <cell r="BA6" t="str">
            <v>0141104402900</v>
          </cell>
          <cell r="BB6" t="str">
            <v>Bank Dhofar</v>
          </cell>
          <cell r="BC6" t="str">
            <v>Ibri</v>
          </cell>
          <cell r="BD6">
            <v>932.81096538461532</v>
          </cell>
        </row>
        <row r="7">
          <cell r="B7">
            <v>4</v>
          </cell>
          <cell r="C7" t="str">
            <v>Hassan Salman Salim Al Hinai</v>
          </cell>
          <cell r="D7" t="str">
            <v>Vib Operator</v>
          </cell>
          <cell r="E7" t="str">
            <v>07.06.04</v>
          </cell>
          <cell r="F7">
            <v>2.8049999999999997</v>
          </cell>
          <cell r="G7">
            <v>1.7531249999999998</v>
          </cell>
          <cell r="H7">
            <v>34</v>
          </cell>
          <cell r="I7">
            <v>95</v>
          </cell>
          <cell r="K7">
            <v>14</v>
          </cell>
          <cell r="L7">
            <v>14</v>
          </cell>
          <cell r="M7">
            <v>0</v>
          </cell>
          <cell r="N7">
            <v>2</v>
          </cell>
          <cell r="O7">
            <v>28</v>
          </cell>
          <cell r="P7">
            <v>64</v>
          </cell>
          <cell r="Q7">
            <v>1.92</v>
          </cell>
          <cell r="R7">
            <v>243.1</v>
          </cell>
          <cell r="S7">
            <v>120</v>
          </cell>
          <cell r="T7">
            <v>2</v>
          </cell>
          <cell r="U7">
            <v>5</v>
          </cell>
          <cell r="V7">
            <v>4.5</v>
          </cell>
          <cell r="W7">
            <v>226.89333333333335</v>
          </cell>
          <cell r="X7">
            <v>112</v>
          </cell>
          <cell r="Y7">
            <v>1.8666666666666667</v>
          </cell>
          <cell r="Z7">
            <v>4.6666666666666661</v>
          </cell>
          <cell r="AA7">
            <v>166.54687499999997</v>
          </cell>
          <cell r="AB7">
            <v>63</v>
          </cell>
          <cell r="AD7">
            <v>95.36999999999999</v>
          </cell>
          <cell r="AH7">
            <v>0</v>
          </cell>
          <cell r="AI7">
            <v>0</v>
          </cell>
          <cell r="AJ7">
            <v>0</v>
          </cell>
          <cell r="AK7">
            <v>0</v>
          </cell>
          <cell r="AL7">
            <v>0</v>
          </cell>
          <cell r="AM7">
            <v>0</v>
          </cell>
          <cell r="AN7">
            <v>0</v>
          </cell>
          <cell r="AP7">
            <v>0</v>
          </cell>
          <cell r="AQ7">
            <v>670.34354166666662</v>
          </cell>
          <cell r="AR7">
            <v>15.801500000000001</v>
          </cell>
          <cell r="AT7">
            <v>15.801500000000001</v>
          </cell>
          <cell r="AU7">
            <v>654.54204166666659</v>
          </cell>
          <cell r="AX7">
            <v>4</v>
          </cell>
          <cell r="AZ7" t="str">
            <v>Hassan Salman Salim Al Hinai</v>
          </cell>
          <cell r="BA7" t="str">
            <v>52162170081014</v>
          </cell>
          <cell r="BB7" t="str">
            <v>Bank Muscat</v>
          </cell>
          <cell r="BC7" t="str">
            <v>Al Hamra</v>
          </cell>
          <cell r="BD7">
            <v>654.54204166666659</v>
          </cell>
        </row>
        <row r="8">
          <cell r="B8">
            <v>5</v>
          </cell>
          <cell r="C8" t="str">
            <v>Yaqoub Khamis Humaid Al Ghafri</v>
          </cell>
          <cell r="D8" t="str">
            <v>Heavy Duty Driver</v>
          </cell>
          <cell r="E8" t="str">
            <v>07.06.04</v>
          </cell>
          <cell r="F8">
            <v>2.6697692307692309</v>
          </cell>
          <cell r="G8">
            <v>1.6686057692307692</v>
          </cell>
          <cell r="H8">
            <v>0</v>
          </cell>
          <cell r="I8">
            <v>0</v>
          </cell>
          <cell r="K8">
            <v>0</v>
          </cell>
          <cell r="L8">
            <v>0</v>
          </cell>
          <cell r="M8">
            <v>0</v>
          </cell>
          <cell r="N8">
            <v>30</v>
          </cell>
          <cell r="O8">
            <v>0</v>
          </cell>
          <cell r="P8">
            <v>62</v>
          </cell>
          <cell r="Q8">
            <v>1.8599999999999999</v>
          </cell>
          <cell r="R8">
            <v>231.38</v>
          </cell>
          <cell r="S8">
            <v>120</v>
          </cell>
          <cell r="T8">
            <v>2</v>
          </cell>
          <cell r="U8">
            <v>5</v>
          </cell>
          <cell r="V8">
            <v>4.5</v>
          </cell>
          <cell r="W8">
            <v>0</v>
          </cell>
          <cell r="X8">
            <v>0</v>
          </cell>
          <cell r="Y8">
            <v>0</v>
          </cell>
          <cell r="Z8">
            <v>0</v>
          </cell>
          <cell r="AA8">
            <v>0</v>
          </cell>
          <cell r="AB8">
            <v>0</v>
          </cell>
          <cell r="AD8">
            <v>0</v>
          </cell>
          <cell r="AH8">
            <v>0</v>
          </cell>
          <cell r="AI8">
            <v>0</v>
          </cell>
          <cell r="AJ8">
            <v>0</v>
          </cell>
          <cell r="AK8">
            <v>0</v>
          </cell>
          <cell r="AL8">
            <v>0</v>
          </cell>
          <cell r="AM8">
            <v>0</v>
          </cell>
          <cell r="AN8">
            <v>0</v>
          </cell>
          <cell r="AP8">
            <v>0</v>
          </cell>
          <cell r="AQ8">
            <v>0</v>
          </cell>
          <cell r="AT8">
            <v>0</v>
          </cell>
          <cell r="AU8">
            <v>0</v>
          </cell>
          <cell r="AV8" t="str">
            <v>Absent</v>
          </cell>
          <cell r="AX8">
            <v>5</v>
          </cell>
          <cell r="AZ8" t="str">
            <v>Yaqoub Khamis Humaid Al Ghafri</v>
          </cell>
          <cell r="BA8" t="str">
            <v>22-028948-20</v>
          </cell>
          <cell r="BB8" t="str">
            <v>OIB</v>
          </cell>
          <cell r="BC8" t="str">
            <v>Ibri</v>
          </cell>
          <cell r="BD8">
            <v>0</v>
          </cell>
        </row>
        <row r="9">
          <cell r="B9">
            <v>9</v>
          </cell>
          <cell r="C9" t="str">
            <v>Abdullah Mafatah Taeeb Al Ghafri</v>
          </cell>
          <cell r="D9" t="str">
            <v>Heavy Duty Driver</v>
          </cell>
          <cell r="E9" t="str">
            <v>10.06.04</v>
          </cell>
          <cell r="F9">
            <v>2.7394615384615384</v>
          </cell>
          <cell r="G9">
            <v>1.7121634615384616</v>
          </cell>
          <cell r="H9">
            <v>34</v>
          </cell>
          <cell r="I9">
            <v>163</v>
          </cell>
          <cell r="K9">
            <v>21</v>
          </cell>
          <cell r="L9">
            <v>7</v>
          </cell>
          <cell r="M9">
            <v>2</v>
          </cell>
          <cell r="N9">
            <v>0</v>
          </cell>
          <cell r="O9">
            <v>30</v>
          </cell>
          <cell r="P9">
            <v>64</v>
          </cell>
          <cell r="Q9">
            <v>1.92</v>
          </cell>
          <cell r="R9">
            <v>237.42</v>
          </cell>
          <cell r="S9">
            <v>120</v>
          </cell>
          <cell r="T9">
            <v>2</v>
          </cell>
          <cell r="U9">
            <v>5</v>
          </cell>
          <cell r="V9">
            <v>4.5</v>
          </cell>
          <cell r="W9">
            <v>237.42</v>
          </cell>
          <cell r="X9">
            <v>120</v>
          </cell>
          <cell r="Y9">
            <v>2</v>
          </cell>
          <cell r="Z9">
            <v>5</v>
          </cell>
          <cell r="AA9">
            <v>279.08264423076923</v>
          </cell>
          <cell r="AB9">
            <v>94.5</v>
          </cell>
          <cell r="AD9">
            <v>93.14169230769231</v>
          </cell>
          <cell r="AH9">
            <v>0</v>
          </cell>
          <cell r="AI9">
            <v>0</v>
          </cell>
          <cell r="AJ9">
            <v>0</v>
          </cell>
          <cell r="AK9">
            <v>0</v>
          </cell>
          <cell r="AL9">
            <v>0</v>
          </cell>
          <cell r="AM9">
            <v>279.42507692307692</v>
          </cell>
          <cell r="AN9">
            <v>27</v>
          </cell>
          <cell r="AP9">
            <v>123</v>
          </cell>
          <cell r="AQ9">
            <v>1260.5694134615385</v>
          </cell>
          <cell r="AR9">
            <v>15.4323</v>
          </cell>
          <cell r="AT9">
            <v>15.4323</v>
          </cell>
          <cell r="AU9">
            <v>1245.1371134615385</v>
          </cell>
          <cell r="AX9">
            <v>9</v>
          </cell>
          <cell r="AZ9" t="str">
            <v>Abdullah Mafatah Taeeb Al Ghafri</v>
          </cell>
          <cell r="BA9" t="str">
            <v>62-14317-0081-018</v>
          </cell>
          <cell r="BB9" t="str">
            <v>Bank Muscat</v>
          </cell>
          <cell r="BC9" t="str">
            <v>Bahla</v>
          </cell>
          <cell r="BD9">
            <v>1245.1371134615385</v>
          </cell>
        </row>
        <row r="10">
          <cell r="B10">
            <v>13</v>
          </cell>
          <cell r="C10" t="str">
            <v>Musabah Obaid Sabaan Al Daral</v>
          </cell>
          <cell r="D10" t="str">
            <v>Vib Operator</v>
          </cell>
          <cell r="E10" t="str">
            <v>07.06.04</v>
          </cell>
          <cell r="F10">
            <v>2.7714230769230768</v>
          </cell>
          <cell r="G10">
            <v>1.7321394230769229</v>
          </cell>
          <cell r="H10">
            <v>0</v>
          </cell>
          <cell r="I10">
            <v>0</v>
          </cell>
          <cell r="K10">
            <v>0</v>
          </cell>
          <cell r="L10">
            <v>0</v>
          </cell>
          <cell r="M10">
            <v>0</v>
          </cell>
          <cell r="N10">
            <v>0</v>
          </cell>
          <cell r="O10">
            <v>0</v>
          </cell>
          <cell r="P10">
            <v>65</v>
          </cell>
          <cell r="Q10">
            <v>1.95</v>
          </cell>
          <cell r="R10">
            <v>240.19</v>
          </cell>
          <cell r="S10">
            <v>120</v>
          </cell>
          <cell r="T10">
            <v>2</v>
          </cell>
          <cell r="U10">
            <v>5</v>
          </cell>
          <cell r="V10">
            <v>4.5</v>
          </cell>
          <cell r="W10">
            <v>0</v>
          </cell>
          <cell r="X10">
            <v>0</v>
          </cell>
          <cell r="Y10">
            <v>0</v>
          </cell>
          <cell r="Z10">
            <v>0</v>
          </cell>
          <cell r="AA10">
            <v>0</v>
          </cell>
          <cell r="AB10">
            <v>0</v>
          </cell>
          <cell r="AD10">
            <v>0</v>
          </cell>
          <cell r="AH10">
            <v>0</v>
          </cell>
          <cell r="AI10">
            <v>0</v>
          </cell>
          <cell r="AJ10">
            <v>0</v>
          </cell>
          <cell r="AK10">
            <v>0</v>
          </cell>
          <cell r="AL10">
            <v>0</v>
          </cell>
          <cell r="AM10">
            <v>0</v>
          </cell>
          <cell r="AN10">
            <v>0</v>
          </cell>
          <cell r="AP10">
            <v>0</v>
          </cell>
          <cell r="AQ10">
            <v>0</v>
          </cell>
          <cell r="AT10">
            <v>0</v>
          </cell>
          <cell r="AU10">
            <v>0</v>
          </cell>
          <cell r="AV10" t="str">
            <v>30 Days HLV.</v>
          </cell>
          <cell r="AX10">
            <v>13</v>
          </cell>
          <cell r="AZ10" t="str">
            <v>Musabah Obaid Sabaan Al Daral</v>
          </cell>
          <cell r="BA10" t="str">
            <v>0141104427300</v>
          </cell>
          <cell r="BB10" t="str">
            <v>Bank Dhofar</v>
          </cell>
          <cell r="BC10" t="str">
            <v>Ibri</v>
          </cell>
          <cell r="BD10">
            <v>0</v>
          </cell>
        </row>
        <row r="11">
          <cell r="B11">
            <v>20</v>
          </cell>
          <cell r="C11" t="str">
            <v>Rashid Sulaiman Abdullah Al Muqubali</v>
          </cell>
          <cell r="D11" t="str">
            <v>Asst Mech</v>
          </cell>
          <cell r="E11" t="str">
            <v>07.06.04</v>
          </cell>
          <cell r="F11">
            <v>2.156192307692308</v>
          </cell>
          <cell r="G11">
            <v>1.3476201923076925</v>
          </cell>
          <cell r="H11">
            <v>20</v>
          </cell>
          <cell r="I11">
            <v>42</v>
          </cell>
          <cell r="K11">
            <v>23</v>
          </cell>
          <cell r="L11">
            <v>7</v>
          </cell>
          <cell r="M11">
            <v>0</v>
          </cell>
          <cell r="N11">
            <v>0</v>
          </cell>
          <cell r="O11">
            <v>30</v>
          </cell>
          <cell r="P11">
            <v>62</v>
          </cell>
          <cell r="Q11">
            <v>1.8599999999999999</v>
          </cell>
          <cell r="R11">
            <v>186.87</v>
          </cell>
          <cell r="S11">
            <v>110</v>
          </cell>
          <cell r="T11">
            <v>2</v>
          </cell>
          <cell r="U11">
            <v>5</v>
          </cell>
          <cell r="V11">
            <v>4.5</v>
          </cell>
          <cell r="W11">
            <v>186.87</v>
          </cell>
          <cell r="X11">
            <v>110</v>
          </cell>
          <cell r="Y11">
            <v>2</v>
          </cell>
          <cell r="Z11">
            <v>5</v>
          </cell>
          <cell r="AA11">
            <v>56.600048076923088</v>
          </cell>
          <cell r="AB11">
            <v>103.5</v>
          </cell>
          <cell r="AD11">
            <v>43.123846153846159</v>
          </cell>
          <cell r="AH11">
            <v>0</v>
          </cell>
          <cell r="AI11">
            <v>0</v>
          </cell>
          <cell r="AJ11">
            <v>0</v>
          </cell>
          <cell r="AK11">
            <v>0</v>
          </cell>
          <cell r="AL11">
            <v>121.28581730769233</v>
          </cell>
          <cell r="AM11">
            <v>0</v>
          </cell>
          <cell r="AN11">
            <v>0</v>
          </cell>
          <cell r="AP11">
            <v>0</v>
          </cell>
          <cell r="AQ11">
            <v>628.37971153846161</v>
          </cell>
          <cell r="AR11">
            <v>12.146550000000001</v>
          </cell>
          <cell r="AT11">
            <v>12.146550000000001</v>
          </cell>
          <cell r="AU11">
            <v>616.23316153846156</v>
          </cell>
          <cell r="AX11">
            <v>20</v>
          </cell>
          <cell r="AZ11" t="str">
            <v>Rashid Sulaiman Abdullah Al Muqubali</v>
          </cell>
          <cell r="BA11" t="str">
            <v>121-145100081014</v>
          </cell>
          <cell r="BB11" t="str">
            <v>Bank Muscat</v>
          </cell>
          <cell r="BC11" t="str">
            <v>Ibri Souq</v>
          </cell>
          <cell r="BD11">
            <v>616.23316153846156</v>
          </cell>
        </row>
        <row r="12">
          <cell r="B12">
            <v>21</v>
          </cell>
          <cell r="C12" t="str">
            <v>Ali Shanin Said Al Yaqoubi</v>
          </cell>
          <cell r="D12" t="str">
            <v>Line Foreman</v>
          </cell>
          <cell r="E12" t="str">
            <v>07.06.04</v>
          </cell>
          <cell r="F12">
            <v>2.1364615384615386</v>
          </cell>
          <cell r="G12">
            <v>1.3352884615384617</v>
          </cell>
          <cell r="H12">
            <v>21</v>
          </cell>
          <cell r="I12">
            <v>87.5</v>
          </cell>
          <cell r="K12">
            <v>23</v>
          </cell>
          <cell r="L12">
            <v>7</v>
          </cell>
          <cell r="M12">
            <v>0</v>
          </cell>
          <cell r="N12">
            <v>0</v>
          </cell>
          <cell r="O12">
            <v>30</v>
          </cell>
          <cell r="P12">
            <v>66</v>
          </cell>
          <cell r="Q12">
            <v>1.98</v>
          </cell>
          <cell r="R12">
            <v>185.16</v>
          </cell>
          <cell r="S12">
            <v>120</v>
          </cell>
          <cell r="T12">
            <v>2</v>
          </cell>
          <cell r="U12">
            <v>5</v>
          </cell>
          <cell r="V12">
            <v>4.5</v>
          </cell>
          <cell r="W12">
            <v>185.16</v>
          </cell>
          <cell r="X12">
            <v>120</v>
          </cell>
          <cell r="Y12">
            <v>2</v>
          </cell>
          <cell r="Z12">
            <v>5</v>
          </cell>
          <cell r="AA12">
            <v>116.8377403846154</v>
          </cell>
          <cell r="AB12">
            <v>103.5</v>
          </cell>
          <cell r="AD12">
            <v>44.865692307692314</v>
          </cell>
          <cell r="AH12">
            <v>0</v>
          </cell>
          <cell r="AI12">
            <v>0</v>
          </cell>
          <cell r="AJ12">
            <v>0</v>
          </cell>
          <cell r="AK12">
            <v>0</v>
          </cell>
          <cell r="AL12">
            <v>45.399807692307697</v>
          </cell>
          <cell r="AM12">
            <v>134.59707692307694</v>
          </cell>
          <cell r="AN12">
            <v>4.5</v>
          </cell>
          <cell r="AP12">
            <v>123</v>
          </cell>
          <cell r="AQ12">
            <v>884.86031730769241</v>
          </cell>
          <cell r="AR12">
            <v>12.035400000000001</v>
          </cell>
          <cell r="AT12">
            <v>12.035400000000001</v>
          </cell>
          <cell r="AU12">
            <v>872.82491730769243</v>
          </cell>
          <cell r="AX12">
            <v>21</v>
          </cell>
          <cell r="AZ12" t="str">
            <v>Ali Shanin Said Al Yaqoubi</v>
          </cell>
          <cell r="BA12" t="str">
            <v>052-137650081017</v>
          </cell>
          <cell r="BB12" t="str">
            <v>Bank Muscat</v>
          </cell>
          <cell r="BC12" t="str">
            <v>Al Hamra</v>
          </cell>
          <cell r="BD12">
            <v>872.82491730769243</v>
          </cell>
        </row>
        <row r="13">
          <cell r="B13">
            <v>22</v>
          </cell>
          <cell r="C13" t="str">
            <v>Said Mubarak Sulaiyam Al Yaqoubi</v>
          </cell>
          <cell r="D13" t="str">
            <v>Labour</v>
          </cell>
          <cell r="E13" t="str">
            <v>07.06.04</v>
          </cell>
          <cell r="F13">
            <v>1.8258461538461539</v>
          </cell>
          <cell r="G13">
            <v>1.1411538461538462</v>
          </cell>
          <cell r="H13">
            <v>0</v>
          </cell>
          <cell r="I13">
            <v>102</v>
          </cell>
          <cell r="K13">
            <v>21</v>
          </cell>
          <cell r="L13">
            <v>9</v>
          </cell>
          <cell r="M13">
            <v>0</v>
          </cell>
          <cell r="N13">
            <v>0</v>
          </cell>
          <cell r="O13">
            <v>30</v>
          </cell>
          <cell r="P13">
            <v>54</v>
          </cell>
          <cell r="Q13">
            <v>1.6199999999999999</v>
          </cell>
          <cell r="R13">
            <v>158.24</v>
          </cell>
          <cell r="S13">
            <v>85</v>
          </cell>
          <cell r="T13">
            <v>2</v>
          </cell>
          <cell r="U13">
            <v>5</v>
          </cell>
          <cell r="V13">
            <v>4.5</v>
          </cell>
          <cell r="W13">
            <v>158.24</v>
          </cell>
          <cell r="X13">
            <v>85</v>
          </cell>
          <cell r="Y13">
            <v>2</v>
          </cell>
          <cell r="Z13">
            <v>5</v>
          </cell>
          <cell r="AA13">
            <v>116.39769230769231</v>
          </cell>
          <cell r="AB13">
            <v>94.5</v>
          </cell>
          <cell r="AD13">
            <v>0</v>
          </cell>
          <cell r="AH13">
            <v>0</v>
          </cell>
          <cell r="AI13">
            <v>0</v>
          </cell>
          <cell r="AJ13">
            <v>0</v>
          </cell>
          <cell r="AK13">
            <v>0</v>
          </cell>
          <cell r="AL13">
            <v>6.8469230769230771</v>
          </cell>
          <cell r="AM13">
            <v>109.55076923076923</v>
          </cell>
          <cell r="AN13">
            <v>13.5</v>
          </cell>
          <cell r="AP13">
            <v>123</v>
          </cell>
          <cell r="AQ13">
            <v>714.0353846153846</v>
          </cell>
          <cell r="AR13">
            <v>10.285600000000001</v>
          </cell>
          <cell r="AT13">
            <v>10.285600000000001</v>
          </cell>
          <cell r="AU13">
            <v>703.74978461538456</v>
          </cell>
          <cell r="AX13">
            <v>22</v>
          </cell>
          <cell r="AZ13" t="str">
            <v>Said Mubarak Sulaiyam Al Yaqoubi</v>
          </cell>
          <cell r="BA13" t="str">
            <v>002-253235-035</v>
          </cell>
          <cell r="BB13" t="str">
            <v>HSBC</v>
          </cell>
          <cell r="BC13" t="str">
            <v>Ruwi</v>
          </cell>
          <cell r="BD13">
            <v>703.74978461538456</v>
          </cell>
        </row>
        <row r="14">
          <cell r="B14">
            <v>23</v>
          </cell>
          <cell r="C14" t="str">
            <v>Salim Shanin Said Al Yaqoubi</v>
          </cell>
          <cell r="D14" t="str">
            <v>Labour</v>
          </cell>
          <cell r="E14" t="str">
            <v>07.06.04</v>
          </cell>
          <cell r="F14">
            <v>1.8595384615384616</v>
          </cell>
          <cell r="G14">
            <v>1.1622115384615386</v>
          </cell>
          <cell r="H14">
            <v>20</v>
          </cell>
          <cell r="I14">
            <v>90</v>
          </cell>
          <cell r="K14">
            <v>23</v>
          </cell>
          <cell r="L14">
            <v>7</v>
          </cell>
          <cell r="M14">
            <v>0</v>
          </cell>
          <cell r="N14">
            <v>0</v>
          </cell>
          <cell r="O14">
            <v>30</v>
          </cell>
          <cell r="P14">
            <v>53</v>
          </cell>
          <cell r="Q14">
            <v>1.5899999999999999</v>
          </cell>
          <cell r="R14">
            <v>161.16</v>
          </cell>
          <cell r="S14">
            <v>85</v>
          </cell>
          <cell r="T14">
            <v>2</v>
          </cell>
          <cell r="U14">
            <v>5</v>
          </cell>
          <cell r="V14">
            <v>4.5</v>
          </cell>
          <cell r="W14">
            <v>161.16</v>
          </cell>
          <cell r="X14">
            <v>85</v>
          </cell>
          <cell r="Y14">
            <v>2</v>
          </cell>
          <cell r="Z14">
            <v>5</v>
          </cell>
          <cell r="AA14">
            <v>104.59903846153847</v>
          </cell>
          <cell r="AB14">
            <v>103.5</v>
          </cell>
          <cell r="AD14">
            <v>37.190769230769234</v>
          </cell>
          <cell r="AH14">
            <v>0</v>
          </cell>
          <cell r="AI14">
            <v>0</v>
          </cell>
          <cell r="AJ14">
            <v>0</v>
          </cell>
          <cell r="AK14">
            <v>0</v>
          </cell>
          <cell r="AL14">
            <v>0</v>
          </cell>
          <cell r="AM14">
            <v>111.57230769230769</v>
          </cell>
          <cell r="AN14">
            <v>27</v>
          </cell>
          <cell r="AP14">
            <v>123</v>
          </cell>
          <cell r="AQ14">
            <v>760.0221153846154</v>
          </cell>
          <cell r="AR14">
            <v>10.4754</v>
          </cell>
          <cell r="AT14">
            <v>10.4754</v>
          </cell>
          <cell r="AU14">
            <v>749.54671538461537</v>
          </cell>
          <cell r="AX14">
            <v>23</v>
          </cell>
          <cell r="AZ14" t="str">
            <v>Salim Shanin Said Al Yaqoubi</v>
          </cell>
          <cell r="BA14" t="str">
            <v>119-129430084010</v>
          </cell>
          <cell r="BB14" t="str">
            <v>Bank Muscat</v>
          </cell>
          <cell r="BC14" t="str">
            <v>Al Dareez</v>
          </cell>
          <cell r="BD14">
            <v>749.54671538461537</v>
          </cell>
        </row>
        <row r="15">
          <cell r="B15">
            <v>28</v>
          </cell>
          <cell r="C15" t="str">
            <v>Khalifa Musallam Salim Al Yaqoubi</v>
          </cell>
          <cell r="D15" t="str">
            <v>Heavy Duty Driver</v>
          </cell>
          <cell r="E15" t="str">
            <v>09.06.04</v>
          </cell>
          <cell r="F15">
            <v>1.9840384615384612</v>
          </cell>
          <cell r="G15">
            <v>1.2400240384615382</v>
          </cell>
          <cell r="H15">
            <v>21</v>
          </cell>
          <cell r="I15">
            <v>35</v>
          </cell>
          <cell r="K15">
            <v>16</v>
          </cell>
          <cell r="L15">
            <v>14</v>
          </cell>
          <cell r="M15">
            <v>0</v>
          </cell>
          <cell r="N15">
            <v>0</v>
          </cell>
          <cell r="O15">
            <v>30</v>
          </cell>
          <cell r="P15">
            <v>87</v>
          </cell>
          <cell r="Q15">
            <v>2.61</v>
          </cell>
          <cell r="R15">
            <v>171.95</v>
          </cell>
          <cell r="S15">
            <v>120</v>
          </cell>
          <cell r="T15">
            <v>2</v>
          </cell>
          <cell r="U15">
            <v>5</v>
          </cell>
          <cell r="V15">
            <v>4.5</v>
          </cell>
          <cell r="W15">
            <v>171.95</v>
          </cell>
          <cell r="X15">
            <v>120</v>
          </cell>
          <cell r="Y15">
            <v>2</v>
          </cell>
          <cell r="Z15">
            <v>5</v>
          </cell>
          <cell r="AA15">
            <v>43.40084134615384</v>
          </cell>
          <cell r="AB15">
            <v>72</v>
          </cell>
          <cell r="AD15">
            <v>41.664807692307683</v>
          </cell>
          <cell r="AH15">
            <v>0</v>
          </cell>
          <cell r="AI15">
            <v>0</v>
          </cell>
          <cell r="AJ15">
            <v>0</v>
          </cell>
          <cell r="AK15">
            <v>0</v>
          </cell>
          <cell r="AL15">
            <v>202.74393028846148</v>
          </cell>
          <cell r="AM15">
            <v>124.99442307692306</v>
          </cell>
          <cell r="AN15">
            <v>27</v>
          </cell>
          <cell r="AP15">
            <v>123</v>
          </cell>
          <cell r="AQ15">
            <v>933.75400240384602</v>
          </cell>
          <cell r="AR15">
            <v>11.17675</v>
          </cell>
          <cell r="AT15">
            <v>11.17675</v>
          </cell>
          <cell r="AU15">
            <v>922.57725240384605</v>
          </cell>
          <cell r="AX15">
            <v>28</v>
          </cell>
          <cell r="AZ15" t="str">
            <v>Khalifa Musallam Salim Al Yaqoubi</v>
          </cell>
          <cell r="BA15" t="str">
            <v>22-029698-20</v>
          </cell>
          <cell r="BB15" t="str">
            <v>OIB</v>
          </cell>
          <cell r="BC15" t="str">
            <v>Ibri</v>
          </cell>
          <cell r="BD15">
            <v>922.57725240384605</v>
          </cell>
        </row>
        <row r="16">
          <cell r="B16">
            <v>35</v>
          </cell>
          <cell r="C16" t="str">
            <v>Said Mohamed Abdullah Al Shuhoumi</v>
          </cell>
          <cell r="D16" t="str">
            <v>Labour</v>
          </cell>
          <cell r="E16" t="str">
            <v>07.06.04</v>
          </cell>
          <cell r="F16">
            <v>1.8700384615384615</v>
          </cell>
          <cell r="G16">
            <v>1.1687740384615384</v>
          </cell>
          <cell r="H16">
            <v>0</v>
          </cell>
          <cell r="I16">
            <v>102</v>
          </cell>
          <cell r="K16">
            <v>21</v>
          </cell>
          <cell r="L16">
            <v>9</v>
          </cell>
          <cell r="M16">
            <v>0</v>
          </cell>
          <cell r="N16">
            <v>0</v>
          </cell>
          <cell r="O16">
            <v>30</v>
          </cell>
          <cell r="P16">
            <v>54</v>
          </cell>
          <cell r="Q16">
            <v>1.6199999999999999</v>
          </cell>
          <cell r="R16">
            <v>162.07</v>
          </cell>
          <cell r="S16">
            <v>85</v>
          </cell>
          <cell r="T16">
            <v>2</v>
          </cell>
          <cell r="U16">
            <v>5</v>
          </cell>
          <cell r="V16">
            <v>4.5</v>
          </cell>
          <cell r="W16">
            <v>162.07</v>
          </cell>
          <cell r="X16">
            <v>85</v>
          </cell>
          <cell r="Y16">
            <v>2</v>
          </cell>
          <cell r="Z16">
            <v>5</v>
          </cell>
          <cell r="AA16">
            <v>119.21495192307691</v>
          </cell>
          <cell r="AB16">
            <v>94.5</v>
          </cell>
          <cell r="AD16">
            <v>0</v>
          </cell>
          <cell r="AH16">
            <v>0</v>
          </cell>
          <cell r="AI16">
            <v>0</v>
          </cell>
          <cell r="AJ16">
            <v>0</v>
          </cell>
          <cell r="AK16">
            <v>0</v>
          </cell>
          <cell r="AL16">
            <v>32.725673076923073</v>
          </cell>
          <cell r="AM16">
            <v>0</v>
          </cell>
          <cell r="AN16">
            <v>0</v>
          </cell>
          <cell r="AP16">
            <v>0</v>
          </cell>
          <cell r="AQ16">
            <v>500.510625</v>
          </cell>
          <cell r="AR16">
            <v>10.534549999999999</v>
          </cell>
          <cell r="AT16">
            <v>10.534549999999999</v>
          </cell>
          <cell r="AU16">
            <v>489.97607499999998</v>
          </cell>
          <cell r="AX16">
            <v>35</v>
          </cell>
          <cell r="AZ16" t="str">
            <v>Said Mohamed Abdullah Al Shuhoumi</v>
          </cell>
          <cell r="BA16" t="str">
            <v>22-038533-20</v>
          </cell>
          <cell r="BB16" t="str">
            <v>OIB</v>
          </cell>
          <cell r="BC16" t="str">
            <v>Ibri</v>
          </cell>
          <cell r="BD16">
            <v>489.97607499999998</v>
          </cell>
        </row>
        <row r="17">
          <cell r="B17">
            <v>40</v>
          </cell>
          <cell r="C17" t="str">
            <v>Rashid Masoud Rashid Al Kalbani</v>
          </cell>
          <cell r="D17" t="str">
            <v>Labour</v>
          </cell>
          <cell r="E17" t="str">
            <v>07.06.04</v>
          </cell>
          <cell r="F17">
            <v>1.8491538461538461</v>
          </cell>
          <cell r="G17">
            <v>1.1557211538461538</v>
          </cell>
          <cell r="H17">
            <v>0</v>
          </cell>
          <cell r="I17">
            <v>94</v>
          </cell>
          <cell r="K17">
            <v>21</v>
          </cell>
          <cell r="L17">
            <v>9</v>
          </cell>
          <cell r="M17">
            <v>0</v>
          </cell>
          <cell r="N17">
            <v>0</v>
          </cell>
          <cell r="O17">
            <v>30</v>
          </cell>
          <cell r="P17">
            <v>49</v>
          </cell>
          <cell r="Q17">
            <v>1.47</v>
          </cell>
          <cell r="R17">
            <v>160.26</v>
          </cell>
          <cell r="S17">
            <v>85</v>
          </cell>
          <cell r="T17">
            <v>2</v>
          </cell>
          <cell r="U17">
            <v>5</v>
          </cell>
          <cell r="V17">
            <v>4.5</v>
          </cell>
          <cell r="W17">
            <v>160.26</v>
          </cell>
          <cell r="X17">
            <v>85</v>
          </cell>
          <cell r="Y17">
            <v>2</v>
          </cell>
          <cell r="Z17">
            <v>5</v>
          </cell>
          <cell r="AA17">
            <v>108.63778846153846</v>
          </cell>
          <cell r="AB17">
            <v>94.5</v>
          </cell>
          <cell r="AD17">
            <v>0</v>
          </cell>
          <cell r="AH17">
            <v>0</v>
          </cell>
          <cell r="AI17">
            <v>0</v>
          </cell>
          <cell r="AJ17">
            <v>0</v>
          </cell>
          <cell r="AK17">
            <v>0</v>
          </cell>
          <cell r="AL17">
            <v>0</v>
          </cell>
          <cell r="AM17">
            <v>110.94923076923077</v>
          </cell>
          <cell r="AN17">
            <v>27</v>
          </cell>
          <cell r="AP17">
            <v>123</v>
          </cell>
          <cell r="AQ17">
            <v>716.34701923076921</v>
          </cell>
          <cell r="AR17">
            <v>10.4169</v>
          </cell>
          <cell r="AT17">
            <v>10.4169</v>
          </cell>
          <cell r="AU17">
            <v>705.93011923076915</v>
          </cell>
          <cell r="AX17">
            <v>40</v>
          </cell>
          <cell r="AZ17" t="str">
            <v>Rashid Masoud Rashid Al Kalbani</v>
          </cell>
          <cell r="BA17" t="str">
            <v>141-129230084015</v>
          </cell>
          <cell r="BB17" t="str">
            <v>Bank Muscat</v>
          </cell>
          <cell r="BC17" t="str">
            <v>Al Hayal</v>
          </cell>
          <cell r="BD17">
            <v>705.93011923076915</v>
          </cell>
        </row>
        <row r="18">
          <cell r="B18">
            <v>42</v>
          </cell>
          <cell r="C18" t="str">
            <v>Suleiman Hashil Khamis Al- Jasari</v>
          </cell>
          <cell r="D18" t="str">
            <v>Asst Mech-Vib</v>
          </cell>
          <cell r="E18" t="str">
            <v>09.06.04</v>
          </cell>
          <cell r="F18">
            <v>2.2535769230769231</v>
          </cell>
          <cell r="G18">
            <v>1.4084855769230771</v>
          </cell>
          <cell r="H18">
            <v>20</v>
          </cell>
          <cell r="I18">
            <v>42</v>
          </cell>
          <cell r="K18">
            <v>23</v>
          </cell>
          <cell r="L18">
            <v>7</v>
          </cell>
          <cell r="M18">
            <v>0</v>
          </cell>
          <cell r="N18">
            <v>0</v>
          </cell>
          <cell r="O18">
            <v>30</v>
          </cell>
          <cell r="P18">
            <v>69</v>
          </cell>
          <cell r="Q18">
            <v>2.0699999999999998</v>
          </cell>
          <cell r="R18">
            <v>195.31</v>
          </cell>
          <cell r="S18">
            <v>85</v>
          </cell>
          <cell r="T18">
            <v>2</v>
          </cell>
          <cell r="U18">
            <v>5</v>
          </cell>
          <cell r="V18">
            <v>4.5</v>
          </cell>
          <cell r="W18">
            <v>195.31</v>
          </cell>
          <cell r="X18">
            <v>85</v>
          </cell>
          <cell r="Y18">
            <v>2</v>
          </cell>
          <cell r="Z18">
            <v>5</v>
          </cell>
          <cell r="AA18">
            <v>59.156394230769237</v>
          </cell>
          <cell r="AB18">
            <v>103.5</v>
          </cell>
          <cell r="AD18">
            <v>45.071538461538466</v>
          </cell>
          <cell r="AH18">
            <v>0</v>
          </cell>
          <cell r="AI18">
            <v>0</v>
          </cell>
          <cell r="AJ18">
            <v>0</v>
          </cell>
          <cell r="AK18">
            <v>0</v>
          </cell>
          <cell r="AL18">
            <v>214.08980769230772</v>
          </cell>
          <cell r="AM18">
            <v>0</v>
          </cell>
          <cell r="AN18">
            <v>0</v>
          </cell>
          <cell r="AP18">
            <v>0</v>
          </cell>
          <cell r="AQ18">
            <v>709.12774038461544</v>
          </cell>
          <cell r="AR18">
            <v>12.69515</v>
          </cell>
          <cell r="AT18">
            <v>12.69515</v>
          </cell>
          <cell r="AU18">
            <v>696.43259038461542</v>
          </cell>
          <cell r="AX18">
            <v>42</v>
          </cell>
          <cell r="AZ18" t="str">
            <v>Suleiman Hashil Khamis Al- Jasari</v>
          </cell>
          <cell r="BA18" t="str">
            <v>22-090575-01</v>
          </cell>
          <cell r="BB18" t="str">
            <v>OIB</v>
          </cell>
          <cell r="BC18" t="str">
            <v>Ibri</v>
          </cell>
          <cell r="BD18">
            <v>696.43259038461542</v>
          </cell>
        </row>
        <row r="19">
          <cell r="B19">
            <v>45</v>
          </cell>
          <cell r="C19" t="str">
            <v>Ali Said Khalfan Al Maamri</v>
          </cell>
          <cell r="D19" t="str">
            <v>Labour</v>
          </cell>
          <cell r="E19" t="str">
            <v>07.06.04</v>
          </cell>
          <cell r="F19">
            <v>1.8658846153846154</v>
          </cell>
          <cell r="G19">
            <v>1.1661778846153845</v>
          </cell>
          <cell r="H19">
            <v>20</v>
          </cell>
          <cell r="I19">
            <v>28</v>
          </cell>
          <cell r="K19">
            <v>16</v>
          </cell>
          <cell r="L19">
            <v>14</v>
          </cell>
          <cell r="M19">
            <v>0</v>
          </cell>
          <cell r="N19">
            <v>0</v>
          </cell>
          <cell r="O19">
            <v>30</v>
          </cell>
          <cell r="P19">
            <v>61</v>
          </cell>
          <cell r="Q19">
            <v>1.8299999999999998</v>
          </cell>
          <cell r="R19">
            <v>161.71</v>
          </cell>
          <cell r="S19">
            <v>85</v>
          </cell>
          <cell r="T19">
            <v>2</v>
          </cell>
          <cell r="U19">
            <v>5</v>
          </cell>
          <cell r="V19">
            <v>4.5</v>
          </cell>
          <cell r="W19">
            <v>161.71</v>
          </cell>
          <cell r="X19">
            <v>85</v>
          </cell>
          <cell r="Y19">
            <v>2</v>
          </cell>
          <cell r="Z19">
            <v>5</v>
          </cell>
          <cell r="AA19">
            <v>32.652980769230766</v>
          </cell>
          <cell r="AB19">
            <v>72</v>
          </cell>
          <cell r="AD19">
            <v>37.317692307692305</v>
          </cell>
          <cell r="AH19">
            <v>0</v>
          </cell>
          <cell r="AI19">
            <v>0</v>
          </cell>
          <cell r="AJ19">
            <v>0</v>
          </cell>
          <cell r="AK19">
            <v>0</v>
          </cell>
          <cell r="AL19">
            <v>0</v>
          </cell>
          <cell r="AM19">
            <v>0</v>
          </cell>
          <cell r="AN19">
            <v>0</v>
          </cell>
          <cell r="AP19">
            <v>0</v>
          </cell>
          <cell r="AQ19">
            <v>395.68067307692309</v>
          </cell>
          <cell r="AR19">
            <v>10.511150000000001</v>
          </cell>
          <cell r="AT19">
            <v>10.511150000000001</v>
          </cell>
          <cell r="AU19">
            <v>385.1695230769231</v>
          </cell>
          <cell r="AX19">
            <v>45</v>
          </cell>
          <cell r="AZ19" t="str">
            <v>Ali Said Khalfan Al Maamri</v>
          </cell>
          <cell r="BA19" t="str">
            <v>22-043475-29</v>
          </cell>
          <cell r="BB19" t="str">
            <v>OIB</v>
          </cell>
          <cell r="BC19" t="str">
            <v>Ibri</v>
          </cell>
          <cell r="BD19">
            <v>385.1695230769231</v>
          </cell>
        </row>
        <row r="20">
          <cell r="B20">
            <v>49</v>
          </cell>
          <cell r="C20" t="str">
            <v>Rashid Sulaiyam Rashid Al Hinai</v>
          </cell>
          <cell r="D20" t="str">
            <v>Chain Crew Foreman</v>
          </cell>
          <cell r="E20" t="str">
            <v>09.06.04</v>
          </cell>
          <cell r="F20">
            <v>2.0656153846153846</v>
          </cell>
          <cell r="G20">
            <v>1.2910096153846153</v>
          </cell>
          <cell r="H20">
            <v>21</v>
          </cell>
          <cell r="I20">
            <v>84</v>
          </cell>
          <cell r="K20">
            <v>16</v>
          </cell>
          <cell r="L20">
            <v>14</v>
          </cell>
          <cell r="M20">
            <v>0</v>
          </cell>
          <cell r="N20">
            <v>0</v>
          </cell>
          <cell r="O20">
            <v>30</v>
          </cell>
          <cell r="P20">
            <v>57</v>
          </cell>
          <cell r="Q20">
            <v>1.71</v>
          </cell>
          <cell r="R20">
            <v>179.02</v>
          </cell>
          <cell r="S20">
            <v>110</v>
          </cell>
          <cell r="T20">
            <v>2</v>
          </cell>
          <cell r="U20">
            <v>5</v>
          </cell>
          <cell r="V20">
            <v>4.5</v>
          </cell>
          <cell r="W20">
            <v>179.02</v>
          </cell>
          <cell r="X20">
            <v>110</v>
          </cell>
          <cell r="Y20">
            <v>2</v>
          </cell>
          <cell r="Z20">
            <v>5</v>
          </cell>
          <cell r="AA20">
            <v>108.44480769230769</v>
          </cell>
          <cell r="AB20">
            <v>72</v>
          </cell>
          <cell r="AD20">
            <v>43.377923076923075</v>
          </cell>
          <cell r="AH20">
            <v>0</v>
          </cell>
          <cell r="AI20">
            <v>0</v>
          </cell>
          <cell r="AJ20">
            <v>0</v>
          </cell>
          <cell r="AK20">
            <v>0</v>
          </cell>
          <cell r="AL20">
            <v>190.42391826923077</v>
          </cell>
          <cell r="AM20">
            <v>130.13376923076922</v>
          </cell>
          <cell r="AN20">
            <v>27</v>
          </cell>
          <cell r="AP20">
            <v>123</v>
          </cell>
          <cell r="AQ20">
            <v>990.40041826923061</v>
          </cell>
          <cell r="AR20">
            <v>11.6363</v>
          </cell>
          <cell r="AT20">
            <v>11.6363</v>
          </cell>
          <cell r="AU20">
            <v>978.76411826923061</v>
          </cell>
          <cell r="AX20">
            <v>49</v>
          </cell>
          <cell r="AZ20" t="str">
            <v>Rashid Sulaiyam Rashid Al Hinai</v>
          </cell>
          <cell r="BA20" t="str">
            <v>21-624192-20</v>
          </cell>
          <cell r="BB20" t="str">
            <v>OIB</v>
          </cell>
          <cell r="BC20" t="str">
            <v>Bahla</v>
          </cell>
          <cell r="BD20">
            <v>978.76411826923061</v>
          </cell>
        </row>
        <row r="21">
          <cell r="B21">
            <v>52</v>
          </cell>
          <cell r="C21" t="str">
            <v>Said Rashid Khamis Al Makarshi</v>
          </cell>
          <cell r="D21" t="str">
            <v>Chain Crew Foreman</v>
          </cell>
          <cell r="E21" t="str">
            <v>07.06.04</v>
          </cell>
          <cell r="F21">
            <v>2.1286153846153844</v>
          </cell>
          <cell r="G21">
            <v>1.3303846153846153</v>
          </cell>
          <cell r="H21">
            <v>0</v>
          </cell>
          <cell r="I21">
            <v>136.5</v>
          </cell>
          <cell r="K21">
            <v>21</v>
          </cell>
          <cell r="L21">
            <v>9</v>
          </cell>
          <cell r="M21">
            <v>0</v>
          </cell>
          <cell r="N21">
            <v>0</v>
          </cell>
          <cell r="O21">
            <v>30</v>
          </cell>
          <cell r="P21">
            <v>56</v>
          </cell>
          <cell r="Q21">
            <v>1.68</v>
          </cell>
          <cell r="R21">
            <v>184.48</v>
          </cell>
          <cell r="S21">
            <v>110</v>
          </cell>
          <cell r="T21">
            <v>2</v>
          </cell>
          <cell r="U21">
            <v>5</v>
          </cell>
          <cell r="V21">
            <v>4.5</v>
          </cell>
          <cell r="W21">
            <v>184.48</v>
          </cell>
          <cell r="X21">
            <v>110</v>
          </cell>
          <cell r="Y21">
            <v>2</v>
          </cell>
          <cell r="Z21">
            <v>5</v>
          </cell>
          <cell r="AA21">
            <v>181.5975</v>
          </cell>
          <cell r="AB21">
            <v>94.5</v>
          </cell>
          <cell r="AD21">
            <v>0</v>
          </cell>
          <cell r="AH21">
            <v>0</v>
          </cell>
          <cell r="AI21">
            <v>0</v>
          </cell>
          <cell r="AJ21">
            <v>0</v>
          </cell>
          <cell r="AK21">
            <v>0</v>
          </cell>
          <cell r="AL21">
            <v>0</v>
          </cell>
          <cell r="AM21">
            <v>134.10276923076921</v>
          </cell>
          <cell r="AN21">
            <v>27</v>
          </cell>
          <cell r="AP21">
            <v>123</v>
          </cell>
          <cell r="AQ21">
            <v>861.68026923076923</v>
          </cell>
          <cell r="AR21">
            <v>11.991199999999999</v>
          </cell>
          <cell r="AT21">
            <v>11.991199999999999</v>
          </cell>
          <cell r="AU21">
            <v>849.68906923076918</v>
          </cell>
          <cell r="AX21">
            <v>52</v>
          </cell>
          <cell r="AZ21" t="str">
            <v>Said Rashid Khamis Al Makarshi</v>
          </cell>
          <cell r="BA21" t="str">
            <v>1012-252798-017</v>
          </cell>
          <cell r="BB21" t="str">
            <v>NBO</v>
          </cell>
          <cell r="BC21" t="str">
            <v>Ibri</v>
          </cell>
          <cell r="BD21">
            <v>849.68906923076918</v>
          </cell>
        </row>
        <row r="22">
          <cell r="B22">
            <v>53</v>
          </cell>
          <cell r="C22" t="str">
            <v>Suleiman Salim Saram Al Shandoudi</v>
          </cell>
          <cell r="D22" t="str">
            <v>Vib Operator</v>
          </cell>
          <cell r="E22" t="str">
            <v>07.06.04</v>
          </cell>
          <cell r="F22">
            <v>2.5241538461538462</v>
          </cell>
          <cell r="G22">
            <v>1.5775961538461538</v>
          </cell>
          <cell r="H22">
            <v>0</v>
          </cell>
          <cell r="I22">
            <v>0</v>
          </cell>
          <cell r="K22">
            <v>0</v>
          </cell>
          <cell r="L22">
            <v>0</v>
          </cell>
          <cell r="M22">
            <v>0</v>
          </cell>
          <cell r="N22">
            <v>0</v>
          </cell>
          <cell r="O22">
            <v>0</v>
          </cell>
          <cell r="P22">
            <v>64</v>
          </cell>
          <cell r="Q22">
            <v>1.92</v>
          </cell>
          <cell r="R22">
            <v>218.76</v>
          </cell>
          <cell r="S22">
            <v>120</v>
          </cell>
          <cell r="T22">
            <v>2</v>
          </cell>
          <cell r="U22">
            <v>5</v>
          </cell>
          <cell r="V22">
            <v>4.5</v>
          </cell>
          <cell r="W22">
            <v>0</v>
          </cell>
          <cell r="X22">
            <v>0</v>
          </cell>
          <cell r="Y22">
            <v>0</v>
          </cell>
          <cell r="Z22">
            <v>0</v>
          </cell>
          <cell r="AA22">
            <v>0</v>
          </cell>
          <cell r="AB22">
            <v>0</v>
          </cell>
          <cell r="AD22">
            <v>0</v>
          </cell>
          <cell r="AH22">
            <v>0</v>
          </cell>
          <cell r="AI22">
            <v>0</v>
          </cell>
          <cell r="AJ22">
            <v>0</v>
          </cell>
          <cell r="AK22">
            <v>0</v>
          </cell>
          <cell r="AL22">
            <v>0</v>
          </cell>
          <cell r="AM22">
            <v>0</v>
          </cell>
          <cell r="AN22">
            <v>0</v>
          </cell>
          <cell r="AP22">
            <v>0</v>
          </cell>
          <cell r="AQ22">
            <v>0</v>
          </cell>
          <cell r="AT22">
            <v>0</v>
          </cell>
          <cell r="AU22">
            <v>0</v>
          </cell>
          <cell r="AV22" t="str">
            <v>30 Days HLV</v>
          </cell>
          <cell r="AX22">
            <v>53</v>
          </cell>
          <cell r="AZ22" t="str">
            <v>Suleiman Salim Saram Al Shandoudi</v>
          </cell>
          <cell r="BA22" t="str">
            <v>002-235810 035</v>
          </cell>
          <cell r="BB22" t="str">
            <v>HSBC</v>
          </cell>
          <cell r="BC22" t="str">
            <v>Ruwi</v>
          </cell>
          <cell r="BD22">
            <v>0</v>
          </cell>
        </row>
        <row r="23">
          <cell r="B23">
            <v>61</v>
          </cell>
          <cell r="C23" t="str">
            <v>Saif Amur Manaa Al Ghafri</v>
          </cell>
          <cell r="D23" t="str">
            <v>Heavy Duty Driver</v>
          </cell>
          <cell r="E23" t="str">
            <v>07.06.04</v>
          </cell>
          <cell r="F23">
            <v>2.8653461538461538</v>
          </cell>
          <cell r="G23">
            <v>1.7908413461538462</v>
          </cell>
          <cell r="H23">
            <v>0</v>
          </cell>
          <cell r="I23">
            <v>84</v>
          </cell>
          <cell r="K23">
            <v>21</v>
          </cell>
          <cell r="L23">
            <v>9</v>
          </cell>
          <cell r="M23">
            <v>0</v>
          </cell>
          <cell r="N23">
            <v>0</v>
          </cell>
          <cell r="O23">
            <v>30</v>
          </cell>
          <cell r="P23">
            <v>96</v>
          </cell>
          <cell r="Q23">
            <v>2.88</v>
          </cell>
          <cell r="R23">
            <v>248.33</v>
          </cell>
          <cell r="S23">
            <v>120</v>
          </cell>
          <cell r="T23">
            <v>2</v>
          </cell>
          <cell r="U23">
            <v>5</v>
          </cell>
          <cell r="V23">
            <v>4.5</v>
          </cell>
          <cell r="W23">
            <v>248.33</v>
          </cell>
          <cell r="X23">
            <v>120</v>
          </cell>
          <cell r="Y23">
            <v>2</v>
          </cell>
          <cell r="Z23">
            <v>5</v>
          </cell>
          <cell r="AA23">
            <v>150.43067307692309</v>
          </cell>
          <cell r="AB23">
            <v>94.5</v>
          </cell>
          <cell r="AD23">
            <v>0</v>
          </cell>
          <cell r="AH23">
            <v>0</v>
          </cell>
          <cell r="AI23">
            <v>0</v>
          </cell>
          <cell r="AJ23">
            <v>0</v>
          </cell>
          <cell r="AK23">
            <v>0</v>
          </cell>
          <cell r="AL23">
            <v>0</v>
          </cell>
          <cell r="AM23">
            <v>0</v>
          </cell>
          <cell r="AN23">
            <v>0</v>
          </cell>
          <cell r="AP23">
            <v>0</v>
          </cell>
          <cell r="AQ23">
            <v>620.26067307692313</v>
          </cell>
          <cell r="AR23">
            <v>16.141450000000003</v>
          </cell>
          <cell r="AT23">
            <v>16.141450000000003</v>
          </cell>
          <cell r="AU23">
            <v>604.11922307692316</v>
          </cell>
          <cell r="AX23">
            <v>61</v>
          </cell>
          <cell r="AZ23" t="str">
            <v>Saif Amur Manaa Al Ghafri</v>
          </cell>
          <cell r="BA23" t="str">
            <v>002-178879 035</v>
          </cell>
          <cell r="BB23" t="str">
            <v>HSBC</v>
          </cell>
          <cell r="BC23" t="str">
            <v>Ruwi</v>
          </cell>
          <cell r="BD23">
            <v>604.11922307692316</v>
          </cell>
        </row>
        <row r="24">
          <cell r="B24">
            <v>63</v>
          </cell>
          <cell r="C24" t="str">
            <v>Abdullah Bakhit Harib Al Ghafri</v>
          </cell>
          <cell r="D24" t="str">
            <v>Heavy Duty Driver</v>
          </cell>
          <cell r="E24" t="str">
            <v>07.06.04</v>
          </cell>
          <cell r="F24">
            <v>2.6536153846153843</v>
          </cell>
          <cell r="G24">
            <v>1.6585096153846153</v>
          </cell>
          <cell r="H24">
            <v>0</v>
          </cell>
          <cell r="I24">
            <v>110</v>
          </cell>
          <cell r="K24">
            <v>20</v>
          </cell>
          <cell r="L24">
            <v>9</v>
          </cell>
          <cell r="M24">
            <v>1</v>
          </cell>
          <cell r="N24">
            <v>0</v>
          </cell>
          <cell r="O24">
            <v>30</v>
          </cell>
          <cell r="P24">
            <v>60</v>
          </cell>
          <cell r="Q24">
            <v>1.7999999999999998</v>
          </cell>
          <cell r="R24">
            <v>229.98</v>
          </cell>
          <cell r="S24">
            <v>120</v>
          </cell>
          <cell r="T24">
            <v>2</v>
          </cell>
          <cell r="U24">
            <v>5</v>
          </cell>
          <cell r="V24">
            <v>4.5</v>
          </cell>
          <cell r="W24">
            <v>229.98</v>
          </cell>
          <cell r="X24">
            <v>120</v>
          </cell>
          <cell r="Y24">
            <v>2</v>
          </cell>
          <cell r="Z24">
            <v>5</v>
          </cell>
          <cell r="AA24">
            <v>182.43605769230768</v>
          </cell>
          <cell r="AB24">
            <v>90</v>
          </cell>
          <cell r="AD24">
            <v>0</v>
          </cell>
          <cell r="AH24">
            <v>0</v>
          </cell>
          <cell r="AI24">
            <v>0</v>
          </cell>
          <cell r="AJ24">
            <v>0</v>
          </cell>
          <cell r="AK24">
            <v>0</v>
          </cell>
          <cell r="AL24">
            <v>33.170192307692304</v>
          </cell>
          <cell r="AM24">
            <v>0</v>
          </cell>
          <cell r="AN24">
            <v>0</v>
          </cell>
          <cell r="AP24">
            <v>0</v>
          </cell>
          <cell r="AQ24">
            <v>662.58625000000006</v>
          </cell>
          <cell r="AR24">
            <v>14.948700000000001</v>
          </cell>
          <cell r="AT24">
            <v>14.948700000000001</v>
          </cell>
          <cell r="AU24">
            <v>647.63755000000003</v>
          </cell>
          <cell r="AX24">
            <v>63</v>
          </cell>
          <cell r="AZ24" t="str">
            <v>Abdullah Bakhit Harib Al Ghafri</v>
          </cell>
          <cell r="BA24" t="str">
            <v>50-0141104427-800</v>
          </cell>
          <cell r="BB24" t="str">
            <v xml:space="preserve">Bank Dhofar </v>
          </cell>
          <cell r="BC24" t="str">
            <v>Ibri</v>
          </cell>
          <cell r="BD24">
            <v>647.63755000000003</v>
          </cell>
        </row>
        <row r="25">
          <cell r="B25">
            <v>64</v>
          </cell>
          <cell r="C25" t="str">
            <v>Hammad Khalaf Mohsin Al Kalbani</v>
          </cell>
          <cell r="D25" t="str">
            <v>Vib Operator</v>
          </cell>
          <cell r="E25" t="str">
            <v>09.06.04</v>
          </cell>
          <cell r="F25">
            <v>2.8358076923076925</v>
          </cell>
          <cell r="G25">
            <v>1.7723798076923079</v>
          </cell>
          <cell r="H25">
            <v>34</v>
          </cell>
          <cell r="I25">
            <v>183</v>
          </cell>
          <cell r="K25">
            <v>23</v>
          </cell>
          <cell r="L25">
            <v>0</v>
          </cell>
          <cell r="M25">
            <v>0</v>
          </cell>
          <cell r="N25">
            <v>0</v>
          </cell>
          <cell r="O25">
            <v>23</v>
          </cell>
          <cell r="P25">
            <v>63</v>
          </cell>
          <cell r="Q25">
            <v>1.89</v>
          </cell>
          <cell r="R25">
            <v>245.77</v>
          </cell>
          <cell r="S25">
            <v>120</v>
          </cell>
          <cell r="T25">
            <v>2</v>
          </cell>
          <cell r="U25">
            <v>5</v>
          </cell>
          <cell r="V25">
            <v>4.5</v>
          </cell>
          <cell r="W25">
            <v>188.42366666666669</v>
          </cell>
          <cell r="X25">
            <v>92</v>
          </cell>
          <cell r="Y25">
            <v>1.5333333333333332</v>
          </cell>
          <cell r="Z25">
            <v>3.833333333333333</v>
          </cell>
          <cell r="AA25">
            <v>324.34550480769235</v>
          </cell>
          <cell r="AB25">
            <v>103.5</v>
          </cell>
          <cell r="AD25">
            <v>96.417461538461538</v>
          </cell>
          <cell r="AH25">
            <v>0</v>
          </cell>
          <cell r="AI25">
            <v>0</v>
          </cell>
          <cell r="AJ25">
            <v>0</v>
          </cell>
          <cell r="AK25">
            <v>0</v>
          </cell>
          <cell r="AL25">
            <v>0</v>
          </cell>
          <cell r="AM25">
            <v>289.25238461538464</v>
          </cell>
          <cell r="AN25">
            <v>27</v>
          </cell>
          <cell r="AP25">
            <v>123</v>
          </cell>
          <cell r="AQ25">
            <v>1249.305684294872</v>
          </cell>
          <cell r="AR25">
            <v>15.975050000000001</v>
          </cell>
          <cell r="AT25">
            <v>15.975050000000001</v>
          </cell>
          <cell r="AU25">
            <v>1233.330634294872</v>
          </cell>
          <cell r="AW25">
            <v>95</v>
          </cell>
          <cell r="AX25">
            <v>64</v>
          </cell>
          <cell r="AZ25" t="str">
            <v>Hammad Khalaf Mohsin Al Kalbani</v>
          </cell>
          <cell r="BA25" t="str">
            <v>1012-346823-017</v>
          </cell>
          <cell r="BB25" t="str">
            <v>NBO</v>
          </cell>
          <cell r="BC25" t="str">
            <v>Ibri</v>
          </cell>
          <cell r="BD25">
            <v>1233.330634294872</v>
          </cell>
        </row>
        <row r="26">
          <cell r="B26">
            <v>77</v>
          </cell>
          <cell r="C26" t="str">
            <v>Shiwain Obeid Hussain Al Darai</v>
          </cell>
          <cell r="D26" t="str">
            <v>Vib Operator</v>
          </cell>
          <cell r="E26" t="str">
            <v>07.06.04</v>
          </cell>
          <cell r="F26">
            <v>2.4525000000000006</v>
          </cell>
          <cell r="G26">
            <v>1.5328125000000004</v>
          </cell>
          <cell r="H26">
            <v>0</v>
          </cell>
          <cell r="I26">
            <v>176</v>
          </cell>
          <cell r="K26">
            <v>21</v>
          </cell>
          <cell r="L26">
            <v>9</v>
          </cell>
          <cell r="M26">
            <v>0</v>
          </cell>
          <cell r="N26">
            <v>0</v>
          </cell>
          <cell r="O26">
            <v>30</v>
          </cell>
          <cell r="P26">
            <v>65</v>
          </cell>
          <cell r="Q26">
            <v>1.95</v>
          </cell>
          <cell r="R26">
            <v>212.55</v>
          </cell>
          <cell r="S26">
            <v>120</v>
          </cell>
          <cell r="T26">
            <v>2</v>
          </cell>
          <cell r="U26">
            <v>5</v>
          </cell>
          <cell r="V26">
            <v>4.5</v>
          </cell>
          <cell r="W26">
            <v>212.55</v>
          </cell>
          <cell r="X26">
            <v>120</v>
          </cell>
          <cell r="Y26">
            <v>2</v>
          </cell>
          <cell r="Z26">
            <v>5</v>
          </cell>
          <cell r="AA26">
            <v>269.77500000000009</v>
          </cell>
          <cell r="AB26">
            <v>94.5</v>
          </cell>
          <cell r="AD26">
            <v>0</v>
          </cell>
          <cell r="AH26">
            <v>0</v>
          </cell>
          <cell r="AI26">
            <v>0</v>
          </cell>
          <cell r="AJ26">
            <v>0</v>
          </cell>
          <cell r="AK26">
            <v>0</v>
          </cell>
          <cell r="AL26">
            <v>0</v>
          </cell>
          <cell r="AM26">
            <v>250.15500000000006</v>
          </cell>
          <cell r="AN26">
            <v>27</v>
          </cell>
          <cell r="AP26">
            <v>123</v>
          </cell>
          <cell r="AQ26">
            <v>1103.98</v>
          </cell>
          <cell r="AR26">
            <v>13.815750000000001</v>
          </cell>
          <cell r="AT26">
            <v>13.815750000000001</v>
          </cell>
          <cell r="AU26">
            <v>1090.16425</v>
          </cell>
          <cell r="AX26">
            <v>77</v>
          </cell>
          <cell r="AZ26" t="str">
            <v>Shiwain Obeid Hussain Al Darai</v>
          </cell>
          <cell r="BA26" t="str">
            <v>22-054845-20</v>
          </cell>
          <cell r="BB26" t="str">
            <v>OIB</v>
          </cell>
          <cell r="BC26" t="str">
            <v>Ibri</v>
          </cell>
          <cell r="BD26">
            <v>1090.16425</v>
          </cell>
        </row>
        <row r="27">
          <cell r="B27">
            <v>79</v>
          </cell>
          <cell r="C27" t="str">
            <v>Saif Sulaiman Saif Al Khatri</v>
          </cell>
          <cell r="D27" t="str">
            <v>Group Foreman</v>
          </cell>
          <cell r="E27" t="str">
            <v>07.06.04</v>
          </cell>
          <cell r="F27">
            <v>1.9790769230769234</v>
          </cell>
          <cell r="G27">
            <v>1.2369230769230772</v>
          </cell>
          <cell r="H27">
            <v>21</v>
          </cell>
          <cell r="I27">
            <v>86.5</v>
          </cell>
          <cell r="K27">
            <v>21</v>
          </cell>
          <cell r="L27">
            <v>9</v>
          </cell>
          <cell r="M27">
            <v>0</v>
          </cell>
          <cell r="N27">
            <v>0</v>
          </cell>
          <cell r="O27">
            <v>30</v>
          </cell>
          <cell r="P27">
            <v>58</v>
          </cell>
          <cell r="Q27">
            <v>1.74</v>
          </cell>
          <cell r="R27">
            <v>171.52</v>
          </cell>
          <cell r="S27">
            <v>85</v>
          </cell>
          <cell r="T27">
            <v>2</v>
          </cell>
          <cell r="U27">
            <v>5</v>
          </cell>
          <cell r="V27">
            <v>4.5</v>
          </cell>
          <cell r="W27">
            <v>171.52</v>
          </cell>
          <cell r="X27">
            <v>85</v>
          </cell>
          <cell r="Y27">
            <v>2</v>
          </cell>
          <cell r="Z27">
            <v>5</v>
          </cell>
          <cell r="AA27">
            <v>106.99384615384618</v>
          </cell>
          <cell r="AB27">
            <v>94.5</v>
          </cell>
          <cell r="AD27">
            <v>41.560615384615389</v>
          </cell>
          <cell r="AH27">
            <v>0</v>
          </cell>
          <cell r="AI27">
            <v>0</v>
          </cell>
          <cell r="AJ27">
            <v>0</v>
          </cell>
          <cell r="AK27">
            <v>0</v>
          </cell>
          <cell r="AL27">
            <v>20.409230769230774</v>
          </cell>
          <cell r="AM27">
            <v>0</v>
          </cell>
          <cell r="AN27">
            <v>-13.5</v>
          </cell>
          <cell r="AP27">
            <v>0</v>
          </cell>
          <cell r="AQ27">
            <v>513.48369230769231</v>
          </cell>
          <cell r="AR27">
            <v>11.148800000000001</v>
          </cell>
          <cell r="AT27">
            <v>11.148800000000001</v>
          </cell>
          <cell r="AU27">
            <v>502.33489230769231</v>
          </cell>
          <cell r="AX27">
            <v>79</v>
          </cell>
          <cell r="AZ27" t="str">
            <v>Saif Sulaiman Saif Al Khatri</v>
          </cell>
          <cell r="BA27" t="str">
            <v>1019-288531-017</v>
          </cell>
          <cell r="BB27" t="str">
            <v>NBO</v>
          </cell>
          <cell r="BC27" t="str">
            <v>Bahla</v>
          </cell>
          <cell r="BD27">
            <v>502.33489230769231</v>
          </cell>
        </row>
        <row r="28">
          <cell r="B28">
            <v>82</v>
          </cell>
          <cell r="C28" t="str">
            <v>Khalifa Salim Mohamed Al Gharibi</v>
          </cell>
          <cell r="D28" t="str">
            <v>Labour</v>
          </cell>
          <cell r="E28" t="str">
            <v>25.05.04</v>
          </cell>
          <cell r="F28">
            <v>1.8591923076923076</v>
          </cell>
          <cell r="G28">
            <v>1.1619951923076923</v>
          </cell>
          <cell r="H28">
            <v>24</v>
          </cell>
          <cell r="I28">
            <v>119</v>
          </cell>
          <cell r="K28">
            <v>23</v>
          </cell>
          <cell r="L28">
            <v>7</v>
          </cell>
          <cell r="M28">
            <v>0</v>
          </cell>
          <cell r="N28">
            <v>0</v>
          </cell>
          <cell r="O28">
            <v>30</v>
          </cell>
          <cell r="P28">
            <v>62</v>
          </cell>
          <cell r="Q28">
            <v>1.8599999999999999</v>
          </cell>
          <cell r="R28">
            <v>161.13</v>
          </cell>
          <cell r="S28">
            <v>85</v>
          </cell>
          <cell r="T28">
            <v>2</v>
          </cell>
          <cell r="U28">
            <v>5</v>
          </cell>
          <cell r="V28">
            <v>4.5</v>
          </cell>
          <cell r="W28">
            <v>161.13</v>
          </cell>
          <cell r="X28">
            <v>85</v>
          </cell>
          <cell r="Y28">
            <v>2</v>
          </cell>
          <cell r="Z28">
            <v>5</v>
          </cell>
          <cell r="AA28">
            <v>138.27742788461538</v>
          </cell>
          <cell r="AB28">
            <v>103.5</v>
          </cell>
          <cell r="AD28">
            <v>44.620615384615384</v>
          </cell>
          <cell r="AH28">
            <v>0</v>
          </cell>
          <cell r="AI28">
            <v>0</v>
          </cell>
          <cell r="AJ28">
            <v>0</v>
          </cell>
          <cell r="AK28">
            <v>0</v>
          </cell>
          <cell r="AL28">
            <v>63.909735576923076</v>
          </cell>
          <cell r="AM28">
            <v>133.86184615384616</v>
          </cell>
          <cell r="AN28">
            <v>31.5</v>
          </cell>
          <cell r="AP28">
            <v>123</v>
          </cell>
          <cell r="AQ28">
            <v>891.79962499999988</v>
          </cell>
          <cell r="AR28">
            <v>10.47345</v>
          </cell>
          <cell r="AT28">
            <v>10.47345</v>
          </cell>
          <cell r="AU28">
            <v>881.32617499999992</v>
          </cell>
          <cell r="AX28">
            <v>82</v>
          </cell>
          <cell r="AZ28" t="str">
            <v>Khalifa Salim Mohamed Al Gharibi</v>
          </cell>
          <cell r="BA28" t="str">
            <v>22-016976-20</v>
          </cell>
          <cell r="BB28" t="str">
            <v>OIB</v>
          </cell>
          <cell r="BC28" t="str">
            <v>Ibri</v>
          </cell>
          <cell r="BD28">
            <v>881.32617499999992</v>
          </cell>
        </row>
        <row r="29">
          <cell r="B29">
            <v>83</v>
          </cell>
          <cell r="C29" t="str">
            <v>Salim Sulaiyam Nasser Al Khatri</v>
          </cell>
          <cell r="D29" t="str">
            <v>Labour</v>
          </cell>
          <cell r="E29" t="str">
            <v>07.06.04</v>
          </cell>
          <cell r="F29">
            <v>1.8848076923076922</v>
          </cell>
          <cell r="G29">
            <v>1.1780048076923075</v>
          </cell>
          <cell r="H29">
            <v>24</v>
          </cell>
          <cell r="I29">
            <v>119</v>
          </cell>
          <cell r="K29">
            <v>23</v>
          </cell>
          <cell r="L29">
            <v>7</v>
          </cell>
          <cell r="M29">
            <v>0</v>
          </cell>
          <cell r="N29">
            <v>0</v>
          </cell>
          <cell r="O29">
            <v>30</v>
          </cell>
          <cell r="P29">
            <v>55</v>
          </cell>
          <cell r="Q29">
            <v>1.65</v>
          </cell>
          <cell r="R29">
            <v>163.35</v>
          </cell>
          <cell r="S29">
            <v>85</v>
          </cell>
          <cell r="T29">
            <v>2</v>
          </cell>
          <cell r="U29">
            <v>5</v>
          </cell>
          <cell r="V29">
            <v>4.5</v>
          </cell>
          <cell r="W29">
            <v>163.35</v>
          </cell>
          <cell r="X29">
            <v>85</v>
          </cell>
          <cell r="Y29">
            <v>2</v>
          </cell>
          <cell r="Z29">
            <v>5</v>
          </cell>
          <cell r="AA29">
            <v>140.1825721153846</v>
          </cell>
          <cell r="AB29">
            <v>103.5</v>
          </cell>
          <cell r="AD29">
            <v>45.235384615384611</v>
          </cell>
          <cell r="AH29">
            <v>0</v>
          </cell>
          <cell r="AI29">
            <v>0</v>
          </cell>
          <cell r="AJ29">
            <v>0</v>
          </cell>
          <cell r="AK29">
            <v>0</v>
          </cell>
          <cell r="AL29">
            <v>57.133233173076917</v>
          </cell>
          <cell r="AM29">
            <v>0</v>
          </cell>
          <cell r="AN29">
            <v>0</v>
          </cell>
          <cell r="AP29">
            <v>0</v>
          </cell>
          <cell r="AQ29">
            <v>601.40118990384622</v>
          </cell>
          <cell r="AR29">
            <v>10.617749999999999</v>
          </cell>
          <cell r="AT29">
            <v>10.617749999999999</v>
          </cell>
          <cell r="AU29">
            <v>590.78343990384622</v>
          </cell>
          <cell r="AX29">
            <v>83</v>
          </cell>
          <cell r="AZ29" t="str">
            <v>Salim Sulaiyam Nasser Al Khatri</v>
          </cell>
          <cell r="BA29" t="str">
            <v>26-004176-20</v>
          </cell>
          <cell r="BB29" t="str">
            <v>OIB</v>
          </cell>
          <cell r="BC29" t="str">
            <v>Dhank</v>
          </cell>
          <cell r="BD29">
            <v>590.78343990384622</v>
          </cell>
        </row>
        <row r="30">
          <cell r="B30">
            <v>84</v>
          </cell>
          <cell r="C30" t="str">
            <v>Sulaiman Humaid Salim Al Yaqoubi</v>
          </cell>
          <cell r="D30" t="str">
            <v>Labour</v>
          </cell>
          <cell r="E30" t="str">
            <v>07.06.04</v>
          </cell>
          <cell r="F30">
            <v>1.8722307692307691</v>
          </cell>
          <cell r="G30">
            <v>1.1701442307692307</v>
          </cell>
          <cell r="H30">
            <v>20</v>
          </cell>
          <cell r="I30">
            <v>52</v>
          </cell>
          <cell r="K30">
            <v>16</v>
          </cell>
          <cell r="L30">
            <v>14</v>
          </cell>
          <cell r="M30">
            <v>0</v>
          </cell>
          <cell r="N30">
            <v>0</v>
          </cell>
          <cell r="O30">
            <v>30</v>
          </cell>
          <cell r="P30">
            <v>58</v>
          </cell>
          <cell r="Q30">
            <v>1.74</v>
          </cell>
          <cell r="R30">
            <v>162.26</v>
          </cell>
          <cell r="S30">
            <v>85</v>
          </cell>
          <cell r="T30">
            <v>2</v>
          </cell>
          <cell r="U30">
            <v>5</v>
          </cell>
          <cell r="V30">
            <v>4.5</v>
          </cell>
          <cell r="W30">
            <v>162.26</v>
          </cell>
          <cell r="X30">
            <v>85</v>
          </cell>
          <cell r="Y30">
            <v>2</v>
          </cell>
          <cell r="Z30">
            <v>5</v>
          </cell>
          <cell r="AA30">
            <v>60.847499999999997</v>
          </cell>
          <cell r="AB30">
            <v>72</v>
          </cell>
          <cell r="AD30">
            <v>37.444615384615382</v>
          </cell>
          <cell r="AH30">
            <v>0</v>
          </cell>
          <cell r="AI30">
            <v>0</v>
          </cell>
          <cell r="AJ30">
            <v>0</v>
          </cell>
          <cell r="AK30">
            <v>0</v>
          </cell>
          <cell r="AL30">
            <v>74.889230769230764</v>
          </cell>
          <cell r="AM30">
            <v>112.33384615384615</v>
          </cell>
          <cell r="AN30">
            <v>27</v>
          </cell>
          <cell r="AP30">
            <v>123</v>
          </cell>
          <cell r="AQ30">
            <v>761.77519230769224</v>
          </cell>
          <cell r="AR30">
            <v>10.546899999999999</v>
          </cell>
          <cell r="AT30">
            <v>10.546899999999999</v>
          </cell>
          <cell r="AU30">
            <v>751.22829230769219</v>
          </cell>
          <cell r="AX30">
            <v>84</v>
          </cell>
          <cell r="AZ30" t="str">
            <v>Sulaiman Humaid Salim Al Yaqoubi</v>
          </cell>
          <cell r="BA30" t="str">
            <v>1010-348345</v>
          </cell>
          <cell r="BB30" t="str">
            <v>NBO</v>
          </cell>
          <cell r="BC30" t="str">
            <v>Nizwa</v>
          </cell>
          <cell r="BD30">
            <v>751.22829230769219</v>
          </cell>
        </row>
        <row r="31">
          <cell r="B31">
            <v>87</v>
          </cell>
          <cell r="C31" t="str">
            <v>Khalifa Said Ali Al Shekaili</v>
          </cell>
          <cell r="D31" t="str">
            <v>Labour</v>
          </cell>
          <cell r="E31" t="str">
            <v>07.06.04</v>
          </cell>
          <cell r="F31">
            <v>1.8623076923076924</v>
          </cell>
          <cell r="G31">
            <v>1.1639423076923077</v>
          </cell>
          <cell r="H31">
            <v>20</v>
          </cell>
          <cell r="I31">
            <v>52</v>
          </cell>
          <cell r="K31">
            <v>16</v>
          </cell>
          <cell r="L31">
            <v>14</v>
          </cell>
          <cell r="M31">
            <v>0</v>
          </cell>
          <cell r="N31">
            <v>0</v>
          </cell>
          <cell r="O31">
            <v>30</v>
          </cell>
          <cell r="P31">
            <v>58</v>
          </cell>
          <cell r="Q31">
            <v>1.74</v>
          </cell>
          <cell r="R31">
            <v>161.4</v>
          </cell>
          <cell r="S31">
            <v>85</v>
          </cell>
          <cell r="T31">
            <v>2</v>
          </cell>
          <cell r="U31">
            <v>5</v>
          </cell>
          <cell r="V31">
            <v>4.5</v>
          </cell>
          <cell r="W31">
            <v>161.4</v>
          </cell>
          <cell r="X31">
            <v>85</v>
          </cell>
          <cell r="Y31">
            <v>2</v>
          </cell>
          <cell r="Z31">
            <v>5</v>
          </cell>
          <cell r="AA31">
            <v>60.524999999999999</v>
          </cell>
          <cell r="AB31">
            <v>72</v>
          </cell>
          <cell r="AD31">
            <v>37.246153846153845</v>
          </cell>
          <cell r="AH31">
            <v>0</v>
          </cell>
          <cell r="AI31">
            <v>0</v>
          </cell>
          <cell r="AJ31">
            <v>0</v>
          </cell>
          <cell r="AK31">
            <v>0</v>
          </cell>
          <cell r="AL31">
            <v>69.836538461538453</v>
          </cell>
          <cell r="AM31">
            <v>0</v>
          </cell>
          <cell r="AN31">
            <v>0</v>
          </cell>
          <cell r="AP31">
            <v>0</v>
          </cell>
          <cell r="AQ31">
            <v>493.00769230769231</v>
          </cell>
          <cell r="AR31">
            <v>10.491000000000001</v>
          </cell>
          <cell r="AT31">
            <v>10.491000000000001</v>
          </cell>
          <cell r="AU31">
            <v>482.51669230769232</v>
          </cell>
          <cell r="AX31">
            <v>87</v>
          </cell>
          <cell r="AZ31" t="str">
            <v>Khalifa Said Ali Al Shekaili</v>
          </cell>
          <cell r="BA31" t="str">
            <v>22-090922-20</v>
          </cell>
          <cell r="BB31" t="str">
            <v>OIB</v>
          </cell>
          <cell r="BC31" t="str">
            <v>Ibri</v>
          </cell>
          <cell r="BD31">
            <v>482.51669230769232</v>
          </cell>
        </row>
        <row r="32">
          <cell r="B32">
            <v>91</v>
          </cell>
          <cell r="C32" t="str">
            <v>Salim Said Suwaid Al Shekaili</v>
          </cell>
          <cell r="D32" t="str">
            <v>Labour</v>
          </cell>
          <cell r="E32" t="str">
            <v>07.06.04</v>
          </cell>
          <cell r="F32">
            <v>1.7646923076923076</v>
          </cell>
          <cell r="G32">
            <v>1.1029326923076923</v>
          </cell>
          <cell r="H32">
            <v>24</v>
          </cell>
          <cell r="I32">
            <v>68</v>
          </cell>
          <cell r="K32">
            <v>16</v>
          </cell>
          <cell r="L32">
            <v>14</v>
          </cell>
          <cell r="M32">
            <v>0</v>
          </cell>
          <cell r="N32">
            <v>0</v>
          </cell>
          <cell r="O32">
            <v>30</v>
          </cell>
          <cell r="P32">
            <v>61</v>
          </cell>
          <cell r="Q32">
            <v>1.8299999999999998</v>
          </cell>
          <cell r="R32">
            <v>152.94</v>
          </cell>
          <cell r="S32">
            <v>85</v>
          </cell>
          <cell r="T32">
            <v>2</v>
          </cell>
          <cell r="U32">
            <v>5</v>
          </cell>
          <cell r="V32">
            <v>4.5</v>
          </cell>
          <cell r="W32">
            <v>152.94</v>
          </cell>
          <cell r="X32">
            <v>85</v>
          </cell>
          <cell r="Y32">
            <v>2</v>
          </cell>
          <cell r="Z32">
            <v>5</v>
          </cell>
          <cell r="AA32">
            <v>74.99942307692308</v>
          </cell>
          <cell r="AB32">
            <v>72</v>
          </cell>
          <cell r="AD32">
            <v>42.352615384615383</v>
          </cell>
          <cell r="AH32">
            <v>0</v>
          </cell>
          <cell r="AI32">
            <v>0</v>
          </cell>
          <cell r="AJ32">
            <v>0</v>
          </cell>
          <cell r="AK32">
            <v>0</v>
          </cell>
          <cell r="AL32">
            <v>0</v>
          </cell>
          <cell r="AM32">
            <v>127.05784615384614</v>
          </cell>
          <cell r="AN32">
            <v>27</v>
          </cell>
          <cell r="AP32">
            <v>123</v>
          </cell>
          <cell r="AQ32">
            <v>711.34988461538455</v>
          </cell>
          <cell r="AR32">
            <v>9.9411000000000005</v>
          </cell>
          <cell r="AT32">
            <v>9.9411000000000005</v>
          </cell>
          <cell r="AU32">
            <v>701.40878461538455</v>
          </cell>
          <cell r="AX32">
            <v>91</v>
          </cell>
          <cell r="AZ32" t="str">
            <v>Salim Said Suwaid Al Shekaili</v>
          </cell>
          <cell r="BA32" t="str">
            <v>22-055206-20</v>
          </cell>
          <cell r="BB32" t="str">
            <v>OIB</v>
          </cell>
          <cell r="BC32" t="str">
            <v>Ibri</v>
          </cell>
          <cell r="BD32">
            <v>701.40878461538455</v>
          </cell>
        </row>
        <row r="33">
          <cell r="B33">
            <v>96</v>
          </cell>
          <cell r="C33" t="str">
            <v>Sultan Saif Mohamed Al Daral</v>
          </cell>
          <cell r="D33" t="str">
            <v>Labour</v>
          </cell>
          <cell r="E33" t="str">
            <v>07.06.04</v>
          </cell>
          <cell r="F33">
            <v>1.9120384615384616</v>
          </cell>
          <cell r="G33">
            <v>1.1950240384615385</v>
          </cell>
          <cell r="H33">
            <v>24</v>
          </cell>
          <cell r="I33">
            <v>119</v>
          </cell>
          <cell r="K33">
            <v>23</v>
          </cell>
          <cell r="L33">
            <v>7</v>
          </cell>
          <cell r="M33">
            <v>0</v>
          </cell>
          <cell r="N33">
            <v>0</v>
          </cell>
          <cell r="O33">
            <v>30</v>
          </cell>
          <cell r="P33">
            <v>58</v>
          </cell>
          <cell r="Q33">
            <v>1.74</v>
          </cell>
          <cell r="R33">
            <v>165.71</v>
          </cell>
          <cell r="S33">
            <v>85</v>
          </cell>
          <cell r="T33">
            <v>2</v>
          </cell>
          <cell r="U33">
            <v>5</v>
          </cell>
          <cell r="V33">
            <v>4.5</v>
          </cell>
          <cell r="W33">
            <v>165.71</v>
          </cell>
          <cell r="X33">
            <v>85</v>
          </cell>
          <cell r="Y33">
            <v>2</v>
          </cell>
          <cell r="Z33">
            <v>5</v>
          </cell>
          <cell r="AA33">
            <v>142.20786057692308</v>
          </cell>
          <cell r="AB33">
            <v>103.5</v>
          </cell>
          <cell r="AD33">
            <v>45.888923076923078</v>
          </cell>
          <cell r="AH33">
            <v>0</v>
          </cell>
          <cell r="AI33">
            <v>0</v>
          </cell>
          <cell r="AJ33">
            <v>0</v>
          </cell>
          <cell r="AK33">
            <v>0</v>
          </cell>
          <cell r="AL33">
            <v>56.763641826923077</v>
          </cell>
          <cell r="AM33">
            <v>0</v>
          </cell>
          <cell r="AN33">
            <v>4.5</v>
          </cell>
          <cell r="AP33">
            <v>0</v>
          </cell>
          <cell r="AQ33">
            <v>610.57042548076925</v>
          </cell>
          <cell r="AR33">
            <v>10.77115</v>
          </cell>
          <cell r="AT33">
            <v>10.77115</v>
          </cell>
          <cell r="AU33">
            <v>599.79927548076921</v>
          </cell>
          <cell r="AX33">
            <v>96</v>
          </cell>
          <cell r="AZ33" t="str">
            <v>Sultan Saif Mohamed Al Daral</v>
          </cell>
          <cell r="BA33" t="str">
            <v>1012-241147-017</v>
          </cell>
          <cell r="BB33" t="str">
            <v>NBO</v>
          </cell>
          <cell r="BC33" t="str">
            <v>Ibri</v>
          </cell>
          <cell r="BD33">
            <v>599.79927548076921</v>
          </cell>
        </row>
        <row r="34">
          <cell r="B34">
            <v>100</v>
          </cell>
          <cell r="C34" t="str">
            <v>Marhoun Rashid Sultan Al Mamari</v>
          </cell>
          <cell r="D34" t="str">
            <v>Labour</v>
          </cell>
          <cell r="E34" t="str">
            <v>07.06.04</v>
          </cell>
          <cell r="F34">
            <v>1.9538076923076924</v>
          </cell>
          <cell r="G34">
            <v>1.2211298076923076</v>
          </cell>
          <cell r="H34">
            <v>0</v>
          </cell>
          <cell r="I34">
            <v>84</v>
          </cell>
          <cell r="K34">
            <v>21</v>
          </cell>
          <cell r="L34">
            <v>9</v>
          </cell>
          <cell r="M34">
            <v>0</v>
          </cell>
          <cell r="N34">
            <v>0</v>
          </cell>
          <cell r="O34">
            <v>30</v>
          </cell>
          <cell r="P34">
            <v>63</v>
          </cell>
          <cell r="Q34">
            <v>1.89</v>
          </cell>
          <cell r="R34">
            <v>169.33</v>
          </cell>
          <cell r="S34">
            <v>85</v>
          </cell>
          <cell r="T34">
            <v>2</v>
          </cell>
          <cell r="U34">
            <v>5</v>
          </cell>
          <cell r="V34">
            <v>4.5</v>
          </cell>
          <cell r="W34">
            <v>169.33</v>
          </cell>
          <cell r="X34">
            <v>85</v>
          </cell>
          <cell r="Y34">
            <v>2</v>
          </cell>
          <cell r="Z34">
            <v>5</v>
          </cell>
          <cell r="AA34">
            <v>102.57490384615384</v>
          </cell>
          <cell r="AB34">
            <v>94.5</v>
          </cell>
          <cell r="AD34">
            <v>0</v>
          </cell>
          <cell r="AH34">
            <v>38.235806451612909</v>
          </cell>
          <cell r="AI34">
            <v>19.193548387096772</v>
          </cell>
          <cell r="AJ34">
            <v>0.45161290322580644</v>
          </cell>
          <cell r="AK34">
            <v>1.129032258064516</v>
          </cell>
          <cell r="AL34">
            <v>34.191634615384615</v>
          </cell>
          <cell r="AM34">
            <v>0</v>
          </cell>
          <cell r="AN34">
            <v>31.5</v>
          </cell>
          <cell r="AO34">
            <v>-11.006450000000001</v>
          </cell>
          <cell r="AP34">
            <v>10</v>
          </cell>
          <cell r="AQ34">
            <v>582.10008846153858</v>
          </cell>
          <cell r="AR34">
            <v>11.006450000000001</v>
          </cell>
          <cell r="AT34">
            <v>11.006450000000001</v>
          </cell>
          <cell r="AU34">
            <v>571.0936384615386</v>
          </cell>
          <cell r="AV34" t="str">
            <v>One Month GOSI of October &amp; 10 Rials Ration of Sep &amp; Oct</v>
          </cell>
          <cell r="AX34">
            <v>100</v>
          </cell>
          <cell r="AZ34" t="str">
            <v>Marhoun Rashid Sultan Al Mamari</v>
          </cell>
          <cell r="BA34" t="str">
            <v>22-052336-20</v>
          </cell>
          <cell r="BB34" t="str">
            <v>OIB</v>
          </cell>
          <cell r="BC34" t="str">
            <v>Ibri</v>
          </cell>
          <cell r="BD34">
            <v>571.0936384615386</v>
          </cell>
        </row>
        <row r="35">
          <cell r="B35">
            <v>103</v>
          </cell>
          <cell r="C35" t="str">
            <v>Salim Humaid Rashid Al Hinai</v>
          </cell>
          <cell r="D35" t="str">
            <v>GPS Operator</v>
          </cell>
          <cell r="E35" t="str">
            <v>07.06.04</v>
          </cell>
          <cell r="F35">
            <v>2.1507230769230774</v>
          </cell>
          <cell r="G35">
            <v>1.3442019230769233</v>
          </cell>
          <cell r="H35">
            <v>21</v>
          </cell>
          <cell r="I35">
            <v>35</v>
          </cell>
          <cell r="K35">
            <v>16</v>
          </cell>
          <cell r="L35">
            <v>14</v>
          </cell>
          <cell r="M35">
            <v>0</v>
          </cell>
          <cell r="N35">
            <v>0</v>
          </cell>
          <cell r="O35">
            <v>30</v>
          </cell>
          <cell r="P35">
            <v>56</v>
          </cell>
          <cell r="Q35">
            <v>1.68</v>
          </cell>
          <cell r="R35">
            <v>186.39600000000002</v>
          </cell>
          <cell r="S35">
            <v>110</v>
          </cell>
          <cell r="T35">
            <v>2</v>
          </cell>
          <cell r="U35">
            <v>5</v>
          </cell>
          <cell r="V35">
            <v>4.5</v>
          </cell>
          <cell r="W35">
            <v>186.39600000000002</v>
          </cell>
          <cell r="X35">
            <v>110</v>
          </cell>
          <cell r="Y35">
            <v>2</v>
          </cell>
          <cell r="Z35">
            <v>5</v>
          </cell>
          <cell r="AA35">
            <v>47.047067307692316</v>
          </cell>
          <cell r="AB35">
            <v>72</v>
          </cell>
          <cell r="AD35">
            <v>45.165184615384625</v>
          </cell>
          <cell r="AH35">
            <v>0</v>
          </cell>
          <cell r="AI35">
            <v>0</v>
          </cell>
          <cell r="AJ35">
            <v>0</v>
          </cell>
          <cell r="AK35">
            <v>0</v>
          </cell>
          <cell r="AL35">
            <v>0</v>
          </cell>
          <cell r="AM35">
            <v>135.49555384615388</v>
          </cell>
          <cell r="AN35">
            <v>27</v>
          </cell>
          <cell r="AP35">
            <v>123</v>
          </cell>
          <cell r="AQ35">
            <v>753.1038057692308</v>
          </cell>
          <cell r="AR35">
            <v>12.115740000000001</v>
          </cell>
          <cell r="AT35">
            <v>12.115740000000001</v>
          </cell>
          <cell r="AU35">
            <v>740.98806576923084</v>
          </cell>
          <cell r="AX35">
            <v>103</v>
          </cell>
          <cell r="AZ35" t="str">
            <v>Salim Humaid Rashid Al Hinai</v>
          </cell>
          <cell r="BA35" t="str">
            <v>21-623160-20</v>
          </cell>
          <cell r="BB35" t="str">
            <v>OIB</v>
          </cell>
          <cell r="BC35" t="str">
            <v>Bahla</v>
          </cell>
          <cell r="BD35">
            <v>740.98806576923084</v>
          </cell>
        </row>
        <row r="36">
          <cell r="B36">
            <v>116</v>
          </cell>
          <cell r="C36" t="str">
            <v>Said Saif Said Al Ghafri</v>
          </cell>
          <cell r="D36" t="str">
            <v>Labour</v>
          </cell>
          <cell r="E36" t="str">
            <v>07.06.04</v>
          </cell>
          <cell r="F36">
            <v>1.8178846153846155</v>
          </cell>
          <cell r="G36">
            <v>1.1361778846153847</v>
          </cell>
          <cell r="H36">
            <v>20</v>
          </cell>
          <cell r="I36">
            <v>42</v>
          </cell>
          <cell r="K36">
            <v>23</v>
          </cell>
          <cell r="L36">
            <v>7</v>
          </cell>
          <cell r="M36">
            <v>0</v>
          </cell>
          <cell r="N36">
            <v>0</v>
          </cell>
          <cell r="O36">
            <v>30</v>
          </cell>
          <cell r="P36">
            <v>56</v>
          </cell>
          <cell r="Q36">
            <v>1.68</v>
          </cell>
          <cell r="R36">
            <v>157.55000000000001</v>
          </cell>
          <cell r="S36">
            <v>85</v>
          </cell>
          <cell r="T36">
            <v>2</v>
          </cell>
          <cell r="U36">
            <v>5</v>
          </cell>
          <cell r="V36">
            <v>4.5</v>
          </cell>
          <cell r="W36">
            <v>157.55000000000001</v>
          </cell>
          <cell r="X36">
            <v>85</v>
          </cell>
          <cell r="Y36">
            <v>2</v>
          </cell>
          <cell r="Z36">
            <v>5</v>
          </cell>
          <cell r="AA36">
            <v>47.719471153846158</v>
          </cell>
          <cell r="AB36">
            <v>103.5</v>
          </cell>
          <cell r="AD36">
            <v>36.357692307692311</v>
          </cell>
          <cell r="AH36">
            <v>0</v>
          </cell>
          <cell r="AI36">
            <v>0</v>
          </cell>
          <cell r="AJ36">
            <v>0</v>
          </cell>
          <cell r="AK36">
            <v>0</v>
          </cell>
          <cell r="AL36">
            <v>0</v>
          </cell>
          <cell r="AM36">
            <v>0</v>
          </cell>
          <cell r="AN36">
            <v>0</v>
          </cell>
          <cell r="AP36">
            <v>0</v>
          </cell>
          <cell r="AQ36">
            <v>437.12716346153849</v>
          </cell>
          <cell r="AR36">
            <v>10.24075</v>
          </cell>
          <cell r="AT36">
            <v>10.24075</v>
          </cell>
          <cell r="AU36">
            <v>426.8864134615385</v>
          </cell>
          <cell r="AX36">
            <v>116</v>
          </cell>
          <cell r="AZ36" t="str">
            <v>Said Saif Said Al Ghafri</v>
          </cell>
          <cell r="BA36" t="str">
            <v>22-037279-20</v>
          </cell>
          <cell r="BB36" t="str">
            <v>OIB</v>
          </cell>
          <cell r="BC36" t="str">
            <v>Ibri</v>
          </cell>
          <cell r="BD36">
            <v>426.8864134615385</v>
          </cell>
        </row>
        <row r="37">
          <cell r="B37">
            <v>120</v>
          </cell>
          <cell r="C37" t="str">
            <v>Said Khalfan Abdullah Al Hatmi</v>
          </cell>
          <cell r="D37" t="str">
            <v>Labour</v>
          </cell>
          <cell r="E37" t="str">
            <v>07.06.04</v>
          </cell>
          <cell r="F37">
            <v>1.9497692307692305</v>
          </cell>
          <cell r="G37">
            <v>1.218605769230769</v>
          </cell>
          <cell r="H37">
            <v>20</v>
          </cell>
          <cell r="I37">
            <v>28</v>
          </cell>
          <cell r="K37">
            <v>16</v>
          </cell>
          <cell r="L37">
            <v>14</v>
          </cell>
          <cell r="M37">
            <v>0</v>
          </cell>
          <cell r="N37">
            <v>0</v>
          </cell>
          <cell r="O37">
            <v>30</v>
          </cell>
          <cell r="P37">
            <v>62</v>
          </cell>
          <cell r="Q37">
            <v>1.8599999999999999</v>
          </cell>
          <cell r="R37">
            <v>168.98</v>
          </cell>
          <cell r="S37">
            <v>85</v>
          </cell>
          <cell r="T37">
            <v>2</v>
          </cell>
          <cell r="U37">
            <v>5</v>
          </cell>
          <cell r="V37">
            <v>4.5</v>
          </cell>
          <cell r="W37">
            <v>168.98</v>
          </cell>
          <cell r="X37">
            <v>85</v>
          </cell>
          <cell r="Y37">
            <v>2</v>
          </cell>
          <cell r="Z37">
            <v>5</v>
          </cell>
          <cell r="AA37">
            <v>34.120961538461529</v>
          </cell>
          <cell r="AB37">
            <v>72</v>
          </cell>
          <cell r="AD37">
            <v>38.995384615384609</v>
          </cell>
          <cell r="AH37">
            <v>0</v>
          </cell>
          <cell r="AI37">
            <v>0</v>
          </cell>
          <cell r="AJ37">
            <v>0</v>
          </cell>
          <cell r="AK37">
            <v>0</v>
          </cell>
          <cell r="AL37">
            <v>0</v>
          </cell>
          <cell r="AM37">
            <v>116.98615384615383</v>
          </cell>
          <cell r="AN37">
            <v>27</v>
          </cell>
          <cell r="AP37">
            <v>123</v>
          </cell>
          <cell r="AQ37">
            <v>673.08249999999998</v>
          </cell>
          <cell r="AR37">
            <v>10.983699999999999</v>
          </cell>
          <cell r="AT37">
            <v>10.983699999999999</v>
          </cell>
          <cell r="AU37">
            <v>662.09879999999998</v>
          </cell>
          <cell r="AX37">
            <v>120</v>
          </cell>
          <cell r="AZ37" t="str">
            <v>Said Khalfan Abdullah Al Hatmi</v>
          </cell>
          <cell r="BA37" t="str">
            <v>22-091854-29</v>
          </cell>
          <cell r="BB37" t="str">
            <v>OIB</v>
          </cell>
          <cell r="BC37" t="str">
            <v>Ibri</v>
          </cell>
          <cell r="BD37">
            <v>662.09879999999998</v>
          </cell>
        </row>
        <row r="38">
          <cell r="B38">
            <v>121</v>
          </cell>
          <cell r="C38" t="str">
            <v>Saif Nasser Ali Al Abri</v>
          </cell>
          <cell r="D38" t="str">
            <v>Labour/Cable</v>
          </cell>
          <cell r="E38" t="str">
            <v>07.06.04</v>
          </cell>
          <cell r="F38">
            <v>1.7712692307692306</v>
          </cell>
          <cell r="G38">
            <v>1.1070432692307692</v>
          </cell>
          <cell r="H38">
            <v>24</v>
          </cell>
          <cell r="I38">
            <v>56</v>
          </cell>
          <cell r="K38">
            <v>16</v>
          </cell>
          <cell r="L38">
            <v>14</v>
          </cell>
          <cell r="M38">
            <v>0</v>
          </cell>
          <cell r="N38">
            <v>0</v>
          </cell>
          <cell r="O38">
            <v>30</v>
          </cell>
          <cell r="P38">
            <v>59</v>
          </cell>
          <cell r="Q38">
            <v>1.77</v>
          </cell>
          <cell r="R38">
            <v>153.51</v>
          </cell>
          <cell r="S38">
            <v>85</v>
          </cell>
          <cell r="T38">
            <v>2</v>
          </cell>
          <cell r="U38">
            <v>5</v>
          </cell>
          <cell r="V38">
            <v>4.5</v>
          </cell>
          <cell r="W38">
            <v>153.51</v>
          </cell>
          <cell r="X38">
            <v>85</v>
          </cell>
          <cell r="Y38">
            <v>2</v>
          </cell>
          <cell r="Z38">
            <v>5</v>
          </cell>
          <cell r="AA38">
            <v>61.994423076923077</v>
          </cell>
          <cell r="AB38">
            <v>72</v>
          </cell>
          <cell r="AD38">
            <v>42.510461538461534</v>
          </cell>
          <cell r="AH38">
            <v>0</v>
          </cell>
          <cell r="AI38">
            <v>0</v>
          </cell>
          <cell r="AJ38">
            <v>0</v>
          </cell>
          <cell r="AK38">
            <v>0</v>
          </cell>
          <cell r="AL38">
            <v>45.94229567307692</v>
          </cell>
          <cell r="AM38">
            <v>127.53138461538461</v>
          </cell>
          <cell r="AN38">
            <v>4.5</v>
          </cell>
          <cell r="AP38">
            <v>123</v>
          </cell>
          <cell r="AQ38">
            <v>722.98856490384605</v>
          </cell>
          <cell r="AR38">
            <v>9.9781499999999994</v>
          </cell>
          <cell r="AT38">
            <v>9.9781499999999994</v>
          </cell>
          <cell r="AU38">
            <v>713.01041490384603</v>
          </cell>
          <cell r="AX38">
            <v>121</v>
          </cell>
          <cell r="AZ38" t="str">
            <v>Saif Nasser Ali Al Abri</v>
          </cell>
          <cell r="BA38" t="str">
            <v>22-067979-20</v>
          </cell>
          <cell r="BB38" t="str">
            <v>OIB</v>
          </cell>
          <cell r="BC38" t="str">
            <v>Ibri</v>
          </cell>
          <cell r="BD38">
            <v>713.01041490384603</v>
          </cell>
        </row>
        <row r="39">
          <cell r="B39">
            <v>126</v>
          </cell>
          <cell r="C39" t="str">
            <v>Abdullah Said Abdullah Al Ghafri</v>
          </cell>
          <cell r="D39" t="str">
            <v>Recording Group Foreman</v>
          </cell>
          <cell r="E39" t="str">
            <v>07.06.04</v>
          </cell>
          <cell r="F39">
            <v>1.8392307692307694</v>
          </cell>
          <cell r="G39">
            <v>1.149519230769231</v>
          </cell>
          <cell r="H39">
            <v>21</v>
          </cell>
          <cell r="I39">
            <v>55</v>
          </cell>
          <cell r="K39">
            <v>16</v>
          </cell>
          <cell r="L39">
            <v>14</v>
          </cell>
          <cell r="M39">
            <v>0</v>
          </cell>
          <cell r="N39">
            <v>0</v>
          </cell>
          <cell r="O39">
            <v>30</v>
          </cell>
          <cell r="P39">
            <v>48</v>
          </cell>
          <cell r="Q39">
            <v>1.44</v>
          </cell>
          <cell r="R39">
            <v>159.4</v>
          </cell>
          <cell r="S39">
            <v>85</v>
          </cell>
          <cell r="T39">
            <v>2</v>
          </cell>
          <cell r="U39">
            <v>5</v>
          </cell>
          <cell r="V39">
            <v>4.5</v>
          </cell>
          <cell r="W39">
            <v>159.4</v>
          </cell>
          <cell r="X39">
            <v>85</v>
          </cell>
          <cell r="Y39">
            <v>2</v>
          </cell>
          <cell r="Z39">
            <v>5</v>
          </cell>
          <cell r="AA39">
            <v>63.223557692307708</v>
          </cell>
          <cell r="AB39">
            <v>72</v>
          </cell>
          <cell r="AC39">
            <v>16</v>
          </cell>
          <cell r="AD39">
            <v>38.623846153846159</v>
          </cell>
          <cell r="AH39">
            <v>-15.425806451612905</v>
          </cell>
          <cell r="AI39">
            <v>-8.2258064516129021</v>
          </cell>
          <cell r="AJ39">
            <v>-0.19354838709677419</v>
          </cell>
          <cell r="AK39">
            <v>-0.4838709677419355</v>
          </cell>
          <cell r="AL39">
            <v>29.887500000000006</v>
          </cell>
          <cell r="AM39">
            <v>115.87153846153848</v>
          </cell>
          <cell r="AN39">
            <v>13.5</v>
          </cell>
          <cell r="AP39">
            <v>123</v>
          </cell>
          <cell r="AQ39">
            <v>699.17741004962772</v>
          </cell>
          <cell r="AR39">
            <v>10.361000000000001</v>
          </cell>
          <cell r="AT39">
            <v>10.361000000000001</v>
          </cell>
          <cell r="AU39">
            <v>688.81641004962773</v>
          </cell>
          <cell r="AX39">
            <v>126</v>
          </cell>
          <cell r="AZ39" t="str">
            <v>Abdullah Said Abdullah Al Ghafri</v>
          </cell>
          <cell r="BA39" t="str">
            <v>0119-125830084016</v>
          </cell>
          <cell r="BB39" t="str">
            <v>Bank Muscat</v>
          </cell>
          <cell r="BC39" t="str">
            <v>Al Dareez</v>
          </cell>
          <cell r="BD39">
            <v>688.81641004962773</v>
          </cell>
        </row>
        <row r="40">
          <cell r="B40">
            <v>132</v>
          </cell>
          <cell r="C40" t="str">
            <v>Hamad Said Mubarak Al Muqarshi</v>
          </cell>
          <cell r="D40" t="str">
            <v>Labour/Cable</v>
          </cell>
          <cell r="E40" t="str">
            <v>07.06.04</v>
          </cell>
          <cell r="F40">
            <v>1.8497307692307692</v>
          </cell>
          <cell r="G40">
            <v>1.1560817307692308</v>
          </cell>
          <cell r="H40">
            <v>24</v>
          </cell>
          <cell r="I40">
            <v>28</v>
          </cell>
          <cell r="K40">
            <v>9</v>
          </cell>
          <cell r="L40">
            <v>0</v>
          </cell>
          <cell r="M40">
            <v>0</v>
          </cell>
          <cell r="N40">
            <v>0</v>
          </cell>
          <cell r="O40">
            <v>9</v>
          </cell>
          <cell r="P40">
            <v>54</v>
          </cell>
          <cell r="Q40">
            <v>1.6199999999999999</v>
          </cell>
          <cell r="R40">
            <v>160.31</v>
          </cell>
          <cell r="S40">
            <v>85</v>
          </cell>
          <cell r="T40">
            <v>2</v>
          </cell>
          <cell r="U40">
            <v>5</v>
          </cell>
          <cell r="V40">
            <v>4.5</v>
          </cell>
          <cell r="W40">
            <v>48.092999999999996</v>
          </cell>
          <cell r="X40">
            <v>25.5</v>
          </cell>
          <cell r="Y40">
            <v>0.6</v>
          </cell>
          <cell r="Z40">
            <v>1.5</v>
          </cell>
          <cell r="AA40">
            <v>32.370288461538465</v>
          </cell>
          <cell r="AB40">
            <v>40.5</v>
          </cell>
          <cell r="AD40">
            <v>44.393538461538462</v>
          </cell>
          <cell r="AH40">
            <v>0</v>
          </cell>
          <cell r="AI40">
            <v>0</v>
          </cell>
          <cell r="AJ40">
            <v>0</v>
          </cell>
          <cell r="AK40">
            <v>0</v>
          </cell>
          <cell r="AL40">
            <v>0</v>
          </cell>
          <cell r="AM40">
            <v>133.18061538461538</v>
          </cell>
          <cell r="AN40">
            <v>27</v>
          </cell>
          <cell r="AP40">
            <v>123</v>
          </cell>
          <cell r="AQ40">
            <v>476.13744230769225</v>
          </cell>
          <cell r="AR40">
            <v>10.420150000000001</v>
          </cell>
          <cell r="AT40">
            <v>10.420150000000001</v>
          </cell>
          <cell r="AU40">
            <v>465.71729230769228</v>
          </cell>
          <cell r="AX40">
            <v>132</v>
          </cell>
          <cell r="AZ40" t="str">
            <v>Hamad Said Mubarak Al Muqarshi</v>
          </cell>
          <cell r="BA40" t="str">
            <v>002-269421-035</v>
          </cell>
          <cell r="BB40" t="str">
            <v>HSBC</v>
          </cell>
          <cell r="BC40" t="str">
            <v>Ruwi</v>
          </cell>
          <cell r="BD40">
            <v>465.71729230769228</v>
          </cell>
        </row>
        <row r="41">
          <cell r="B41">
            <v>135</v>
          </cell>
          <cell r="C41" t="str">
            <v>Saleh Haramoush Hamed</v>
          </cell>
          <cell r="D41" t="str">
            <v>Heavy Duty Driver</v>
          </cell>
          <cell r="E41" t="str">
            <v>07.06.04</v>
          </cell>
          <cell r="F41">
            <v>2.2197692307692307</v>
          </cell>
          <cell r="G41">
            <v>1.3873557692307692</v>
          </cell>
          <cell r="H41">
            <v>21</v>
          </cell>
          <cell r="I41">
            <v>72.5</v>
          </cell>
          <cell r="K41">
            <v>23</v>
          </cell>
          <cell r="L41">
            <v>7</v>
          </cell>
          <cell r="M41">
            <v>0</v>
          </cell>
          <cell r="N41">
            <v>0</v>
          </cell>
          <cell r="O41">
            <v>30</v>
          </cell>
          <cell r="P41">
            <v>54</v>
          </cell>
          <cell r="Q41">
            <v>1.6199999999999999</v>
          </cell>
          <cell r="R41">
            <v>192.38</v>
          </cell>
          <cell r="S41">
            <v>120</v>
          </cell>
          <cell r="T41">
            <v>2</v>
          </cell>
          <cell r="U41">
            <v>5</v>
          </cell>
          <cell r="V41">
            <v>4.5</v>
          </cell>
          <cell r="W41">
            <v>192.38</v>
          </cell>
          <cell r="X41">
            <v>120</v>
          </cell>
          <cell r="Y41">
            <v>2</v>
          </cell>
          <cell r="Z41">
            <v>5</v>
          </cell>
          <cell r="AA41">
            <v>100.58329326923077</v>
          </cell>
          <cell r="AB41">
            <v>103.5</v>
          </cell>
          <cell r="AD41">
            <v>46.615153846153845</v>
          </cell>
          <cell r="AH41">
            <v>0</v>
          </cell>
          <cell r="AI41">
            <v>0</v>
          </cell>
          <cell r="AJ41">
            <v>0</v>
          </cell>
          <cell r="AK41">
            <v>0</v>
          </cell>
          <cell r="AL41">
            <v>44.395384615384614</v>
          </cell>
          <cell r="AM41">
            <v>0</v>
          </cell>
          <cell r="AN41">
            <v>0</v>
          </cell>
          <cell r="AP41">
            <v>0</v>
          </cell>
          <cell r="AQ41">
            <v>614.47383173076912</v>
          </cell>
          <cell r="AR41">
            <v>12.5047</v>
          </cell>
          <cell r="AT41">
            <v>12.5047</v>
          </cell>
          <cell r="AU41">
            <v>601.96913173076916</v>
          </cell>
          <cell r="AX41">
            <v>135</v>
          </cell>
          <cell r="AZ41" t="str">
            <v>Saleh Haramoush Hamed</v>
          </cell>
          <cell r="BA41" t="str">
            <v>28-074870-20</v>
          </cell>
          <cell r="BB41" t="str">
            <v>OIB</v>
          </cell>
          <cell r="BC41" t="str">
            <v>Adam</v>
          </cell>
          <cell r="BD41">
            <v>601.96913173076916</v>
          </cell>
        </row>
        <row r="42">
          <cell r="B42">
            <v>136</v>
          </cell>
          <cell r="C42" t="str">
            <v>Al Badi Mubarak Salim Al Yaqoubi</v>
          </cell>
          <cell r="D42" t="str">
            <v>Vib Operator</v>
          </cell>
          <cell r="E42" t="str">
            <v>07.06.04</v>
          </cell>
          <cell r="F42">
            <v>2.5280769230769229</v>
          </cell>
          <cell r="G42">
            <v>1.5800480769230769</v>
          </cell>
          <cell r="H42">
            <v>34</v>
          </cell>
          <cell r="I42">
            <v>183</v>
          </cell>
          <cell r="K42">
            <v>23</v>
          </cell>
          <cell r="L42">
            <v>7</v>
          </cell>
          <cell r="M42">
            <v>0</v>
          </cell>
          <cell r="N42">
            <v>0</v>
          </cell>
          <cell r="O42">
            <v>30</v>
          </cell>
          <cell r="P42">
            <v>64</v>
          </cell>
          <cell r="Q42">
            <v>1.92</v>
          </cell>
          <cell r="R42">
            <v>219.1</v>
          </cell>
          <cell r="S42">
            <v>120</v>
          </cell>
          <cell r="T42">
            <v>2</v>
          </cell>
          <cell r="U42">
            <v>5</v>
          </cell>
          <cell r="V42">
            <v>4.5</v>
          </cell>
          <cell r="W42">
            <v>219.1</v>
          </cell>
          <cell r="X42">
            <v>120</v>
          </cell>
          <cell r="Y42">
            <v>2</v>
          </cell>
          <cell r="Z42">
            <v>5</v>
          </cell>
          <cell r="AA42">
            <v>289.14879807692307</v>
          </cell>
          <cell r="AB42">
            <v>103.5</v>
          </cell>
          <cell r="AD42">
            <v>85.95461538461538</v>
          </cell>
          <cell r="AH42">
            <v>0</v>
          </cell>
          <cell r="AI42">
            <v>0</v>
          </cell>
          <cell r="AJ42">
            <v>0</v>
          </cell>
          <cell r="AK42">
            <v>0</v>
          </cell>
          <cell r="AL42">
            <v>0</v>
          </cell>
          <cell r="AM42">
            <v>257.86384615384611</v>
          </cell>
          <cell r="AN42">
            <v>27</v>
          </cell>
          <cell r="AP42">
            <v>123</v>
          </cell>
          <cell r="AQ42">
            <v>1232.5672596153845</v>
          </cell>
          <cell r="AR42">
            <v>14.2415</v>
          </cell>
          <cell r="AT42">
            <v>14.2415</v>
          </cell>
          <cell r="AU42">
            <v>1218.3257596153844</v>
          </cell>
          <cell r="AX42">
            <v>136</v>
          </cell>
          <cell r="AZ42" t="str">
            <v>Al Badi Mubarak Salim Al Yaqoubi</v>
          </cell>
          <cell r="BA42" t="str">
            <v>169-106840084018</v>
          </cell>
          <cell r="BB42" t="str">
            <v>Bank Muscat</v>
          </cell>
          <cell r="BC42" t="str">
            <v>Murtafat</v>
          </cell>
          <cell r="BD42">
            <v>1218.3257596153844</v>
          </cell>
        </row>
        <row r="43">
          <cell r="B43">
            <v>137</v>
          </cell>
          <cell r="C43" t="str">
            <v>Salim Sulaiman Amer Al Shamli</v>
          </cell>
          <cell r="D43" t="str">
            <v>Labour</v>
          </cell>
          <cell r="E43" t="str">
            <v>07.06.04</v>
          </cell>
          <cell r="F43">
            <v>1.8790384615384614</v>
          </cell>
          <cell r="G43">
            <v>1.1743990384615384</v>
          </cell>
          <cell r="H43">
            <v>20</v>
          </cell>
          <cell r="I43">
            <v>40</v>
          </cell>
          <cell r="K43">
            <v>20</v>
          </cell>
          <cell r="L43">
            <v>10</v>
          </cell>
          <cell r="M43">
            <v>0</v>
          </cell>
          <cell r="N43">
            <v>0</v>
          </cell>
          <cell r="O43">
            <v>30</v>
          </cell>
          <cell r="P43">
            <v>55</v>
          </cell>
          <cell r="Q43">
            <v>1.65</v>
          </cell>
          <cell r="R43">
            <v>162.85</v>
          </cell>
          <cell r="S43">
            <v>85</v>
          </cell>
          <cell r="T43">
            <v>2</v>
          </cell>
          <cell r="U43">
            <v>5</v>
          </cell>
          <cell r="V43">
            <v>4.5</v>
          </cell>
          <cell r="W43">
            <v>162.85</v>
          </cell>
          <cell r="X43">
            <v>85</v>
          </cell>
          <cell r="Y43">
            <v>2</v>
          </cell>
          <cell r="Z43">
            <v>5</v>
          </cell>
          <cell r="AA43">
            <v>46.975961538461533</v>
          </cell>
          <cell r="AB43">
            <v>90</v>
          </cell>
          <cell r="AD43">
            <v>37.580769230769228</v>
          </cell>
          <cell r="AH43">
            <v>0</v>
          </cell>
          <cell r="AI43">
            <v>0</v>
          </cell>
          <cell r="AJ43">
            <v>0</v>
          </cell>
          <cell r="AK43">
            <v>0</v>
          </cell>
          <cell r="AL43">
            <v>0</v>
          </cell>
          <cell r="AM43">
            <v>112.74230769230769</v>
          </cell>
          <cell r="AN43">
            <v>27</v>
          </cell>
          <cell r="AP43">
            <v>123</v>
          </cell>
          <cell r="AQ43">
            <v>692.14903846153845</v>
          </cell>
          <cell r="AR43">
            <v>10.58525</v>
          </cell>
          <cell r="AT43">
            <v>10.58525</v>
          </cell>
          <cell r="AU43">
            <v>681.56378846153848</v>
          </cell>
          <cell r="AX43">
            <v>137</v>
          </cell>
          <cell r="AZ43" t="str">
            <v>Salim Sulaiman Amer Al Shamli</v>
          </cell>
          <cell r="BA43" t="str">
            <v>22-047666-29</v>
          </cell>
          <cell r="BB43" t="str">
            <v>OIB</v>
          </cell>
          <cell r="BC43" t="str">
            <v>Ibri</v>
          </cell>
          <cell r="BD43">
            <v>681.56378846153848</v>
          </cell>
        </row>
        <row r="44">
          <cell r="B44">
            <v>138</v>
          </cell>
          <cell r="C44" t="str">
            <v>Awadh Marzouq Salmeen Al Ghafri</v>
          </cell>
          <cell r="D44" t="str">
            <v>Labour</v>
          </cell>
          <cell r="E44" t="str">
            <v>07.06.04</v>
          </cell>
          <cell r="F44">
            <v>1.7768076923076923</v>
          </cell>
          <cell r="G44">
            <v>1.1105048076923076</v>
          </cell>
          <cell r="H44">
            <v>20</v>
          </cell>
          <cell r="I44">
            <v>74.5</v>
          </cell>
          <cell r="K44">
            <v>23</v>
          </cell>
          <cell r="L44">
            <v>7</v>
          </cell>
          <cell r="M44">
            <v>0</v>
          </cell>
          <cell r="N44">
            <v>0</v>
          </cell>
          <cell r="O44">
            <v>30</v>
          </cell>
          <cell r="P44">
            <v>57</v>
          </cell>
          <cell r="Q44">
            <v>1.71</v>
          </cell>
          <cell r="R44">
            <v>153.99</v>
          </cell>
          <cell r="S44">
            <v>85</v>
          </cell>
          <cell r="T44">
            <v>2</v>
          </cell>
          <cell r="U44">
            <v>5</v>
          </cell>
          <cell r="V44">
            <v>4.5</v>
          </cell>
          <cell r="W44">
            <v>153.99</v>
          </cell>
          <cell r="X44">
            <v>85</v>
          </cell>
          <cell r="Y44">
            <v>2</v>
          </cell>
          <cell r="Z44">
            <v>5</v>
          </cell>
          <cell r="AA44">
            <v>82.732608173076926</v>
          </cell>
          <cell r="AB44">
            <v>103.5</v>
          </cell>
          <cell r="AD44">
            <v>35.536153846153844</v>
          </cell>
          <cell r="AH44">
            <v>0</v>
          </cell>
          <cell r="AI44">
            <v>0</v>
          </cell>
          <cell r="AJ44">
            <v>0</v>
          </cell>
          <cell r="AK44">
            <v>0</v>
          </cell>
          <cell r="AL44">
            <v>35.536153846153844</v>
          </cell>
          <cell r="AM44">
            <v>106.60846153846154</v>
          </cell>
          <cell r="AN44">
            <v>27</v>
          </cell>
          <cell r="AP44">
            <v>123</v>
          </cell>
          <cell r="AQ44">
            <v>759.90337740384621</v>
          </cell>
          <cell r="AR44">
            <v>10.009350000000001</v>
          </cell>
          <cell r="AT44">
            <v>10.009350000000001</v>
          </cell>
          <cell r="AU44">
            <v>749.89402740384617</v>
          </cell>
          <cell r="AX44">
            <v>138</v>
          </cell>
          <cell r="AZ44" t="str">
            <v>Awadh Marzouq Salmeen Al Ghafri</v>
          </cell>
          <cell r="BA44" t="str">
            <v>002-253284-035</v>
          </cell>
          <cell r="BB44" t="str">
            <v>HSBC</v>
          </cell>
          <cell r="BC44" t="str">
            <v>Ruwi</v>
          </cell>
          <cell r="BD44">
            <v>749.89402740384617</v>
          </cell>
        </row>
        <row r="45">
          <cell r="B45">
            <v>139</v>
          </cell>
          <cell r="C45" t="str">
            <v>Saleh Ali Hamed Al Hinai</v>
          </cell>
          <cell r="D45" t="str">
            <v>Vib Operator</v>
          </cell>
          <cell r="E45" t="str">
            <v>07.06.04</v>
          </cell>
          <cell r="F45">
            <v>2.8406538461538458</v>
          </cell>
          <cell r="G45">
            <v>1.7754086538461535</v>
          </cell>
          <cell r="H45">
            <v>34</v>
          </cell>
          <cell r="I45">
            <v>119</v>
          </cell>
          <cell r="K45">
            <v>16</v>
          </cell>
          <cell r="L45">
            <v>14</v>
          </cell>
          <cell r="M45">
            <v>0</v>
          </cell>
          <cell r="N45">
            <v>0</v>
          </cell>
          <cell r="O45">
            <v>30</v>
          </cell>
          <cell r="P45">
            <v>64</v>
          </cell>
          <cell r="Q45">
            <v>1.92</v>
          </cell>
          <cell r="R45">
            <v>246.19</v>
          </cell>
          <cell r="S45">
            <v>120</v>
          </cell>
          <cell r="T45">
            <v>2</v>
          </cell>
          <cell r="U45">
            <v>5</v>
          </cell>
          <cell r="V45">
            <v>4.5</v>
          </cell>
          <cell r="W45">
            <v>246.19</v>
          </cell>
          <cell r="X45">
            <v>120</v>
          </cell>
          <cell r="Y45">
            <v>2</v>
          </cell>
          <cell r="Z45">
            <v>5</v>
          </cell>
          <cell r="AA45">
            <v>211.27362980769226</v>
          </cell>
          <cell r="AB45">
            <v>72</v>
          </cell>
          <cell r="AD45">
            <v>96.582230769230762</v>
          </cell>
          <cell r="AH45">
            <v>0</v>
          </cell>
          <cell r="AI45">
            <v>0</v>
          </cell>
          <cell r="AJ45">
            <v>0</v>
          </cell>
          <cell r="AK45">
            <v>0</v>
          </cell>
          <cell r="AL45">
            <v>0</v>
          </cell>
          <cell r="AM45">
            <v>289.74669230769229</v>
          </cell>
          <cell r="AN45">
            <v>27</v>
          </cell>
          <cell r="AP45">
            <v>123</v>
          </cell>
          <cell r="AQ45">
            <v>1192.7925528846154</v>
          </cell>
          <cell r="AR45">
            <v>16.00235</v>
          </cell>
          <cell r="AT45">
            <v>16.00235</v>
          </cell>
          <cell r="AU45">
            <v>1176.7902028846154</v>
          </cell>
          <cell r="AX45">
            <v>139</v>
          </cell>
          <cell r="AZ45" t="str">
            <v>Saleh Ali Hamed Al Hinai</v>
          </cell>
          <cell r="BA45" t="str">
            <v>21-608872-29</v>
          </cell>
          <cell r="BB45" t="str">
            <v>OIB</v>
          </cell>
          <cell r="BC45" t="str">
            <v>Bahla</v>
          </cell>
          <cell r="BD45">
            <v>1176.7902028846154</v>
          </cell>
        </row>
        <row r="46">
          <cell r="B46">
            <v>142</v>
          </cell>
          <cell r="C46" t="str">
            <v>Salim Huwaishal Sulaiyam Al Yaqoubi</v>
          </cell>
          <cell r="D46" t="str">
            <v>Labour</v>
          </cell>
          <cell r="E46" t="str">
            <v>07.06.04</v>
          </cell>
          <cell r="F46">
            <v>1.9011923076923078</v>
          </cell>
          <cell r="G46">
            <v>1.1882451923076924</v>
          </cell>
          <cell r="H46">
            <v>20</v>
          </cell>
          <cell r="I46">
            <v>48</v>
          </cell>
          <cell r="K46">
            <v>16</v>
          </cell>
          <cell r="L46">
            <v>14</v>
          </cell>
          <cell r="M46">
            <v>0</v>
          </cell>
          <cell r="N46">
            <v>0</v>
          </cell>
          <cell r="O46">
            <v>30</v>
          </cell>
          <cell r="P46">
            <v>55</v>
          </cell>
          <cell r="Q46">
            <v>1.65</v>
          </cell>
          <cell r="R46">
            <v>164.77</v>
          </cell>
          <cell r="S46">
            <v>85</v>
          </cell>
          <cell r="T46">
            <v>2</v>
          </cell>
          <cell r="U46">
            <v>5</v>
          </cell>
          <cell r="V46">
            <v>4.5</v>
          </cell>
          <cell r="W46">
            <v>164.77</v>
          </cell>
          <cell r="X46">
            <v>85</v>
          </cell>
          <cell r="Y46">
            <v>2</v>
          </cell>
          <cell r="Z46">
            <v>5</v>
          </cell>
          <cell r="AA46">
            <v>57.035769230769233</v>
          </cell>
          <cell r="AB46">
            <v>72</v>
          </cell>
          <cell r="AD46">
            <v>38.023846153846158</v>
          </cell>
          <cell r="AH46">
            <v>0</v>
          </cell>
          <cell r="AI46">
            <v>0</v>
          </cell>
          <cell r="AJ46">
            <v>0</v>
          </cell>
          <cell r="AK46">
            <v>0</v>
          </cell>
          <cell r="AL46">
            <v>71.294711538461542</v>
          </cell>
          <cell r="AM46">
            <v>0</v>
          </cell>
          <cell r="AN46">
            <v>0</v>
          </cell>
          <cell r="AP46">
            <v>0</v>
          </cell>
          <cell r="AQ46">
            <v>495.12432692307686</v>
          </cell>
          <cell r="AR46">
            <v>10.710050000000001</v>
          </cell>
          <cell r="AT46">
            <v>10.710050000000001</v>
          </cell>
          <cell r="AU46">
            <v>484.41427692307684</v>
          </cell>
          <cell r="AX46">
            <v>142</v>
          </cell>
          <cell r="AZ46" t="str">
            <v>Salim Huwaishal Sulaiyam Al Yaqoubi</v>
          </cell>
          <cell r="BA46" t="str">
            <v>0133004166900</v>
          </cell>
          <cell r="BB46" t="str">
            <v>Bank Dhofar</v>
          </cell>
          <cell r="BC46" t="str">
            <v>Ibri</v>
          </cell>
          <cell r="BD46">
            <v>484.41427692307684</v>
          </cell>
        </row>
        <row r="47">
          <cell r="B47">
            <v>144</v>
          </cell>
          <cell r="C47" t="str">
            <v>Mohamed Abdullah Surur Al Yaqoubi</v>
          </cell>
          <cell r="D47" t="str">
            <v>Vib Operator</v>
          </cell>
          <cell r="E47" t="str">
            <v>07.06.04</v>
          </cell>
          <cell r="F47">
            <v>2.2631538461538461</v>
          </cell>
          <cell r="G47">
            <v>1.4144711538461539</v>
          </cell>
          <cell r="H47">
            <v>0</v>
          </cell>
          <cell r="I47">
            <v>160</v>
          </cell>
          <cell r="K47">
            <v>19</v>
          </cell>
          <cell r="L47">
            <v>9</v>
          </cell>
          <cell r="M47">
            <v>0</v>
          </cell>
          <cell r="N47">
            <v>2</v>
          </cell>
          <cell r="O47">
            <v>28</v>
          </cell>
          <cell r="P47">
            <v>63</v>
          </cell>
          <cell r="Q47">
            <v>1.89</v>
          </cell>
          <cell r="R47">
            <v>196.14</v>
          </cell>
          <cell r="S47">
            <v>120</v>
          </cell>
          <cell r="T47">
            <v>2</v>
          </cell>
          <cell r="U47">
            <v>5</v>
          </cell>
          <cell r="V47">
            <v>4.5</v>
          </cell>
          <cell r="W47">
            <v>183.06399999999999</v>
          </cell>
          <cell r="X47">
            <v>112</v>
          </cell>
          <cell r="Y47">
            <v>1.8666666666666667</v>
          </cell>
          <cell r="Z47">
            <v>4.6666666666666661</v>
          </cell>
          <cell r="AA47">
            <v>226.31538461538463</v>
          </cell>
          <cell r="AB47">
            <v>85.5</v>
          </cell>
          <cell r="AD47">
            <v>0</v>
          </cell>
          <cell r="AH47">
            <v>0</v>
          </cell>
          <cell r="AI47">
            <v>0</v>
          </cell>
          <cell r="AJ47">
            <v>0</v>
          </cell>
          <cell r="AK47">
            <v>0</v>
          </cell>
          <cell r="AL47">
            <v>0</v>
          </cell>
          <cell r="AM47">
            <v>230.84169230769231</v>
          </cell>
          <cell r="AN47">
            <v>27</v>
          </cell>
          <cell r="AP47">
            <v>123</v>
          </cell>
          <cell r="AQ47">
            <v>994.25441025641021</v>
          </cell>
          <cell r="AR47">
            <v>12.7491</v>
          </cell>
          <cell r="AT47">
            <v>12.7491</v>
          </cell>
          <cell r="AU47">
            <v>981.50531025641021</v>
          </cell>
          <cell r="AX47">
            <v>144</v>
          </cell>
          <cell r="AZ47" t="str">
            <v>Mohamed Abdullah Surur Al Yaqoubi</v>
          </cell>
          <cell r="BA47" t="str">
            <v>002-711174-001</v>
          </cell>
          <cell r="BB47" t="str">
            <v>HSBC</v>
          </cell>
          <cell r="BC47" t="str">
            <v>Ruwi</v>
          </cell>
          <cell r="BD47">
            <v>981.50531025641021</v>
          </cell>
        </row>
        <row r="48">
          <cell r="B48">
            <v>151</v>
          </cell>
          <cell r="C48" t="str">
            <v>Saed Khalfan Saed Al Gharibi</v>
          </cell>
          <cell r="D48" t="str">
            <v>Heavy Duty Driver</v>
          </cell>
          <cell r="E48" t="str">
            <v>07.06.04</v>
          </cell>
          <cell r="F48">
            <v>2.4868846153846156</v>
          </cell>
          <cell r="G48">
            <v>1.5543028846153848</v>
          </cell>
          <cell r="H48">
            <v>0</v>
          </cell>
          <cell r="I48">
            <v>176</v>
          </cell>
          <cell r="K48">
            <v>21</v>
          </cell>
          <cell r="L48">
            <v>9</v>
          </cell>
          <cell r="M48">
            <v>0</v>
          </cell>
          <cell r="N48">
            <v>0</v>
          </cell>
          <cell r="O48">
            <v>30</v>
          </cell>
          <cell r="P48">
            <v>64</v>
          </cell>
          <cell r="Q48">
            <v>1.92</v>
          </cell>
          <cell r="R48">
            <v>215.53</v>
          </cell>
          <cell r="S48">
            <v>120</v>
          </cell>
          <cell r="T48">
            <v>2</v>
          </cell>
          <cell r="U48">
            <v>5</v>
          </cell>
          <cell r="V48">
            <v>4.5</v>
          </cell>
          <cell r="W48">
            <v>215.53</v>
          </cell>
          <cell r="X48">
            <v>120</v>
          </cell>
          <cell r="Y48">
            <v>2</v>
          </cell>
          <cell r="Z48">
            <v>5</v>
          </cell>
          <cell r="AA48">
            <v>273.55730769230775</v>
          </cell>
          <cell r="AB48">
            <v>94.5</v>
          </cell>
          <cell r="AD48">
            <v>0</v>
          </cell>
          <cell r="AH48">
            <v>0</v>
          </cell>
          <cell r="AI48">
            <v>0</v>
          </cell>
          <cell r="AJ48">
            <v>0</v>
          </cell>
          <cell r="AK48">
            <v>0</v>
          </cell>
          <cell r="AL48">
            <v>31.086057692307698</v>
          </cell>
          <cell r="AM48">
            <v>156.67373076923079</v>
          </cell>
          <cell r="AN48">
            <v>27</v>
          </cell>
          <cell r="AP48">
            <v>123</v>
          </cell>
          <cell r="AQ48">
            <v>1048.3470961538462</v>
          </cell>
          <cell r="AR48">
            <v>14.009450000000001</v>
          </cell>
          <cell r="AT48">
            <v>14.009450000000001</v>
          </cell>
          <cell r="AU48">
            <v>1034.3376461538462</v>
          </cell>
          <cell r="AX48">
            <v>151</v>
          </cell>
          <cell r="AZ48" t="str">
            <v>Saed Khalfan Saed Al Gharibi</v>
          </cell>
          <cell r="BA48" t="str">
            <v>22-049316-20</v>
          </cell>
          <cell r="BB48" t="str">
            <v>OIB</v>
          </cell>
          <cell r="BC48" t="str">
            <v>Ibri</v>
          </cell>
          <cell r="BD48">
            <v>1034.3376461538462</v>
          </cell>
        </row>
        <row r="49">
          <cell r="B49">
            <v>157</v>
          </cell>
          <cell r="C49" t="str">
            <v>Salim Ghanim Salam Al Ghafri</v>
          </cell>
          <cell r="D49" t="str">
            <v>Recording Foreman</v>
          </cell>
          <cell r="E49" t="str">
            <v>07.06.04</v>
          </cell>
          <cell r="F49">
            <v>2.4501923076923076</v>
          </cell>
          <cell r="G49">
            <v>1.5313701923076923</v>
          </cell>
          <cell r="H49">
            <v>0</v>
          </cell>
          <cell r="I49">
            <v>112.5</v>
          </cell>
          <cell r="K49">
            <v>21</v>
          </cell>
          <cell r="L49">
            <v>9</v>
          </cell>
          <cell r="M49">
            <v>0</v>
          </cell>
          <cell r="N49">
            <v>0</v>
          </cell>
          <cell r="O49">
            <v>30</v>
          </cell>
          <cell r="P49">
            <v>70</v>
          </cell>
          <cell r="Q49">
            <v>2.1</v>
          </cell>
          <cell r="R49">
            <v>212.35</v>
          </cell>
          <cell r="S49">
            <v>120</v>
          </cell>
          <cell r="T49">
            <v>2</v>
          </cell>
          <cell r="U49">
            <v>5</v>
          </cell>
          <cell r="V49">
            <v>4.5</v>
          </cell>
          <cell r="W49">
            <v>212.35</v>
          </cell>
          <cell r="X49">
            <v>120</v>
          </cell>
          <cell r="Y49">
            <v>2</v>
          </cell>
          <cell r="Z49">
            <v>5</v>
          </cell>
          <cell r="AA49">
            <v>172.27914663461539</v>
          </cell>
          <cell r="AB49">
            <v>94.5</v>
          </cell>
          <cell r="AD49">
            <v>0</v>
          </cell>
          <cell r="AH49">
            <v>0</v>
          </cell>
          <cell r="AI49">
            <v>0</v>
          </cell>
          <cell r="AJ49">
            <v>0</v>
          </cell>
          <cell r="AK49">
            <v>0</v>
          </cell>
          <cell r="AL49">
            <v>42.878365384615385</v>
          </cell>
          <cell r="AM49">
            <v>0</v>
          </cell>
          <cell r="AN49">
            <v>0</v>
          </cell>
          <cell r="AP49">
            <v>0</v>
          </cell>
          <cell r="AQ49">
            <v>649.00751201923072</v>
          </cell>
          <cell r="AR49">
            <v>13.80275</v>
          </cell>
          <cell r="AT49">
            <v>13.80275</v>
          </cell>
          <cell r="AU49">
            <v>635.20476201923077</v>
          </cell>
          <cell r="AX49">
            <v>157</v>
          </cell>
          <cell r="AZ49" t="str">
            <v>Salim Ghanim Salam Al Ghafri</v>
          </cell>
          <cell r="BA49" t="str">
            <v>119-122620084014</v>
          </cell>
          <cell r="BB49" t="str">
            <v>Bank Muscat</v>
          </cell>
          <cell r="BC49" t="str">
            <v>Dareez</v>
          </cell>
          <cell r="BD49">
            <v>635.20476201923077</v>
          </cell>
        </row>
        <row r="50">
          <cell r="B50">
            <v>158</v>
          </cell>
          <cell r="C50" t="str">
            <v>Khalfan Said Khalfan Al Ghafri</v>
          </cell>
          <cell r="D50" t="str">
            <v>Group Foreman/L.Driver</v>
          </cell>
          <cell r="E50" t="str">
            <v>07.06.04</v>
          </cell>
          <cell r="F50">
            <v>2.0007692307692309</v>
          </cell>
          <cell r="G50">
            <v>1.2504807692307693</v>
          </cell>
          <cell r="H50">
            <v>0</v>
          </cell>
          <cell r="I50">
            <v>124.5</v>
          </cell>
          <cell r="K50">
            <v>19</v>
          </cell>
          <cell r="L50">
            <v>11</v>
          </cell>
          <cell r="M50">
            <v>0</v>
          </cell>
          <cell r="N50">
            <v>0</v>
          </cell>
          <cell r="O50">
            <v>30</v>
          </cell>
          <cell r="P50">
            <v>55</v>
          </cell>
          <cell r="Q50">
            <v>1.65</v>
          </cell>
          <cell r="R50">
            <v>173.4</v>
          </cell>
          <cell r="S50">
            <v>85</v>
          </cell>
          <cell r="T50">
            <v>2</v>
          </cell>
          <cell r="U50">
            <v>5</v>
          </cell>
          <cell r="V50">
            <v>4.5</v>
          </cell>
          <cell r="W50">
            <v>173.4</v>
          </cell>
          <cell r="X50">
            <v>85</v>
          </cell>
          <cell r="Y50">
            <v>2</v>
          </cell>
          <cell r="Z50">
            <v>5</v>
          </cell>
          <cell r="AA50">
            <v>155.68485576923078</v>
          </cell>
          <cell r="AB50">
            <v>85.5</v>
          </cell>
          <cell r="AD50">
            <v>0</v>
          </cell>
          <cell r="AH50">
            <v>0</v>
          </cell>
          <cell r="AI50">
            <v>0</v>
          </cell>
          <cell r="AJ50">
            <v>0</v>
          </cell>
          <cell r="AK50">
            <v>0</v>
          </cell>
          <cell r="AL50">
            <v>47.518269230769235</v>
          </cell>
          <cell r="AM50">
            <v>126.04846153846154</v>
          </cell>
          <cell r="AN50">
            <v>27</v>
          </cell>
          <cell r="AP50">
            <v>123</v>
          </cell>
          <cell r="AQ50">
            <v>830.15158653846152</v>
          </cell>
          <cell r="AR50">
            <v>11.271000000000001</v>
          </cell>
          <cell r="AT50">
            <v>11.271000000000001</v>
          </cell>
          <cell r="AU50">
            <v>818.88058653846156</v>
          </cell>
          <cell r="AX50">
            <v>158</v>
          </cell>
          <cell r="AZ50" t="str">
            <v>Khalfan Said Khalfan Al Ghafri</v>
          </cell>
          <cell r="BA50" t="str">
            <v>002-254548-035</v>
          </cell>
          <cell r="BB50" t="str">
            <v>HSBC</v>
          </cell>
          <cell r="BC50" t="str">
            <v>Ruwi</v>
          </cell>
          <cell r="BD50">
            <v>818.88058653846156</v>
          </cell>
        </row>
        <row r="51">
          <cell r="B51">
            <v>159</v>
          </cell>
          <cell r="C51" t="str">
            <v>Nasser Salim Nasser Al Ghafri</v>
          </cell>
          <cell r="D51" t="str">
            <v>Line Foreman(recording)</v>
          </cell>
          <cell r="E51" t="str">
            <v>07.06.04</v>
          </cell>
          <cell r="F51">
            <v>2.0145</v>
          </cell>
          <cell r="G51">
            <v>1.2590625</v>
          </cell>
          <cell r="H51">
            <v>21</v>
          </cell>
          <cell r="I51">
            <v>59</v>
          </cell>
          <cell r="K51">
            <v>16</v>
          </cell>
          <cell r="L51">
            <v>14</v>
          </cell>
          <cell r="M51">
            <v>0</v>
          </cell>
          <cell r="N51">
            <v>0</v>
          </cell>
          <cell r="O51">
            <v>30</v>
          </cell>
          <cell r="P51">
            <v>63</v>
          </cell>
          <cell r="Q51">
            <v>1.89</v>
          </cell>
          <cell r="R51">
            <v>174.59</v>
          </cell>
          <cell r="S51">
            <v>120</v>
          </cell>
          <cell r="T51">
            <v>2</v>
          </cell>
          <cell r="U51">
            <v>5</v>
          </cell>
          <cell r="V51">
            <v>4.5</v>
          </cell>
          <cell r="W51">
            <v>174.59</v>
          </cell>
          <cell r="X51">
            <v>120</v>
          </cell>
          <cell r="Y51">
            <v>2</v>
          </cell>
          <cell r="Z51">
            <v>5</v>
          </cell>
          <cell r="AA51">
            <v>74.284687500000004</v>
          </cell>
          <cell r="AB51">
            <v>72</v>
          </cell>
          <cell r="AD51">
            <v>42.304499999999997</v>
          </cell>
          <cell r="AH51">
            <v>0</v>
          </cell>
          <cell r="AI51">
            <v>0</v>
          </cell>
          <cell r="AJ51">
            <v>0</v>
          </cell>
          <cell r="AK51">
            <v>0</v>
          </cell>
          <cell r="AL51">
            <v>60.435000000000002</v>
          </cell>
          <cell r="AM51">
            <v>0</v>
          </cell>
          <cell r="AN51">
            <v>0</v>
          </cell>
          <cell r="AP51">
            <v>0</v>
          </cell>
          <cell r="AQ51">
            <v>550.61418750000007</v>
          </cell>
          <cell r="AR51">
            <v>11.34835</v>
          </cell>
          <cell r="AT51">
            <v>11.34835</v>
          </cell>
          <cell r="AU51">
            <v>539.26583750000009</v>
          </cell>
          <cell r="AX51">
            <v>159</v>
          </cell>
          <cell r="AZ51" t="str">
            <v>Nasser Salim Nasser Al Ghafri</v>
          </cell>
          <cell r="BA51" t="str">
            <v>22-073175-20</v>
          </cell>
          <cell r="BB51" t="str">
            <v>OIB</v>
          </cell>
          <cell r="BC51" t="str">
            <v>Ibri</v>
          </cell>
          <cell r="BD51">
            <v>539.26583750000009</v>
          </cell>
        </row>
        <row r="52">
          <cell r="B52">
            <v>161</v>
          </cell>
          <cell r="C52" t="str">
            <v>Salim Abdullah Saif Al Harrasi</v>
          </cell>
          <cell r="D52" t="str">
            <v>Vib Operator</v>
          </cell>
          <cell r="E52" t="str">
            <v>09.06.04</v>
          </cell>
          <cell r="F52">
            <v>2.4126923076923075</v>
          </cell>
          <cell r="G52">
            <v>1.5079326923076921</v>
          </cell>
          <cell r="H52">
            <v>0</v>
          </cell>
          <cell r="I52">
            <v>0</v>
          </cell>
          <cell r="K52">
            <v>0</v>
          </cell>
          <cell r="L52">
            <v>0</v>
          </cell>
          <cell r="M52">
            <v>0</v>
          </cell>
          <cell r="N52">
            <v>0</v>
          </cell>
          <cell r="O52">
            <v>0</v>
          </cell>
          <cell r="P52">
            <v>66</v>
          </cell>
          <cell r="Q52">
            <v>1.98</v>
          </cell>
          <cell r="R52">
            <v>209.1</v>
          </cell>
          <cell r="S52">
            <v>120</v>
          </cell>
          <cell r="T52">
            <v>2</v>
          </cell>
          <cell r="U52">
            <v>5</v>
          </cell>
          <cell r="V52">
            <v>4.5</v>
          </cell>
          <cell r="W52">
            <v>0</v>
          </cell>
          <cell r="X52">
            <v>0</v>
          </cell>
          <cell r="Y52">
            <v>0</v>
          </cell>
          <cell r="Z52">
            <v>0</v>
          </cell>
          <cell r="AA52">
            <v>0</v>
          </cell>
          <cell r="AB52">
            <v>0</v>
          </cell>
          <cell r="AD52">
            <v>0</v>
          </cell>
          <cell r="AH52">
            <v>0</v>
          </cell>
          <cell r="AI52">
            <v>0</v>
          </cell>
          <cell r="AJ52">
            <v>0</v>
          </cell>
          <cell r="AK52">
            <v>0</v>
          </cell>
          <cell r="AL52">
            <v>0</v>
          </cell>
          <cell r="AM52">
            <v>0</v>
          </cell>
          <cell r="AN52">
            <v>0</v>
          </cell>
          <cell r="AP52">
            <v>0</v>
          </cell>
          <cell r="AQ52">
            <v>0</v>
          </cell>
          <cell r="AT52">
            <v>0</v>
          </cell>
          <cell r="AU52">
            <v>0</v>
          </cell>
          <cell r="AV52" t="str">
            <v>30 Days HLV</v>
          </cell>
          <cell r="AW52">
            <v>157</v>
          </cell>
          <cell r="AX52">
            <v>161</v>
          </cell>
          <cell r="AZ52" t="str">
            <v>Salim Abdullah Saif Al Harrasi</v>
          </cell>
          <cell r="BA52" t="str">
            <v>1010-262411-017</v>
          </cell>
          <cell r="BB52" t="str">
            <v>NBO</v>
          </cell>
          <cell r="BC52" t="str">
            <v>Nizwa</v>
          </cell>
          <cell r="BD52">
            <v>0</v>
          </cell>
        </row>
        <row r="53">
          <cell r="B53">
            <v>163</v>
          </cell>
          <cell r="C53" t="str">
            <v>Musabah Ali Saif Al Hinai</v>
          </cell>
          <cell r="D53" t="str">
            <v>Group Foreman/L.Driver</v>
          </cell>
          <cell r="E53" t="str">
            <v>07.06.04</v>
          </cell>
          <cell r="F53">
            <v>1.9263461538461537</v>
          </cell>
          <cell r="G53">
            <v>1.2039663461538461</v>
          </cell>
          <cell r="H53">
            <v>0</v>
          </cell>
          <cell r="I53">
            <v>112</v>
          </cell>
          <cell r="K53">
            <v>19</v>
          </cell>
          <cell r="L53">
            <v>11</v>
          </cell>
          <cell r="M53">
            <v>0</v>
          </cell>
          <cell r="N53">
            <v>0</v>
          </cell>
          <cell r="O53">
            <v>30</v>
          </cell>
          <cell r="P53">
            <v>63</v>
          </cell>
          <cell r="Q53">
            <v>1.89</v>
          </cell>
          <cell r="R53">
            <v>166.95</v>
          </cell>
          <cell r="S53">
            <v>85</v>
          </cell>
          <cell r="T53">
            <v>2</v>
          </cell>
          <cell r="U53">
            <v>5</v>
          </cell>
          <cell r="V53">
            <v>4.5</v>
          </cell>
          <cell r="W53">
            <v>166.95</v>
          </cell>
          <cell r="X53">
            <v>85</v>
          </cell>
          <cell r="Y53">
            <v>2</v>
          </cell>
          <cell r="Z53">
            <v>5</v>
          </cell>
          <cell r="AA53">
            <v>134.84423076923076</v>
          </cell>
          <cell r="AB53">
            <v>85.5</v>
          </cell>
          <cell r="AD53">
            <v>0</v>
          </cell>
          <cell r="AH53">
            <v>0</v>
          </cell>
          <cell r="AI53">
            <v>0</v>
          </cell>
          <cell r="AJ53">
            <v>0</v>
          </cell>
          <cell r="AK53">
            <v>0</v>
          </cell>
          <cell r="AL53">
            <v>41.536838942307689</v>
          </cell>
          <cell r="AM53">
            <v>0</v>
          </cell>
          <cell r="AN53">
            <v>0</v>
          </cell>
          <cell r="AP53">
            <v>0</v>
          </cell>
          <cell r="AQ53">
            <v>520.83106971153848</v>
          </cell>
          <cell r="AR53">
            <v>10.851749999999999</v>
          </cell>
          <cell r="AT53">
            <v>10.851749999999999</v>
          </cell>
          <cell r="AU53">
            <v>509.97931971153849</v>
          </cell>
          <cell r="AX53">
            <v>163</v>
          </cell>
          <cell r="AZ53" t="str">
            <v>Musabah Ali Saif Al Hinai</v>
          </cell>
          <cell r="BA53" t="str">
            <v>21-628003-29</v>
          </cell>
          <cell r="BB53" t="str">
            <v>OIB</v>
          </cell>
          <cell r="BC53" t="str">
            <v>Bahla</v>
          </cell>
          <cell r="BD53">
            <v>509.97931971153849</v>
          </cell>
        </row>
        <row r="54">
          <cell r="B54">
            <v>165</v>
          </cell>
          <cell r="C54" t="str">
            <v>Nasser Hamoud Yasir Al Harrasi</v>
          </cell>
          <cell r="D54" t="str">
            <v>GPS Operator</v>
          </cell>
          <cell r="E54" t="str">
            <v>12.05.04</v>
          </cell>
          <cell r="F54">
            <v>2.2956923076923075</v>
          </cell>
          <cell r="G54">
            <v>1.4348076923076922</v>
          </cell>
          <cell r="H54">
            <v>21</v>
          </cell>
          <cell r="I54">
            <v>70</v>
          </cell>
          <cell r="K54">
            <v>30</v>
          </cell>
          <cell r="L54">
            <v>0</v>
          </cell>
          <cell r="M54">
            <v>0</v>
          </cell>
          <cell r="N54">
            <v>0</v>
          </cell>
          <cell r="O54">
            <v>30</v>
          </cell>
          <cell r="P54">
            <v>64</v>
          </cell>
          <cell r="Q54">
            <v>1.92</v>
          </cell>
          <cell r="R54">
            <v>198.96</v>
          </cell>
          <cell r="S54">
            <v>120</v>
          </cell>
          <cell r="T54">
            <v>2</v>
          </cell>
          <cell r="U54">
            <v>5</v>
          </cell>
          <cell r="V54">
            <v>4.5</v>
          </cell>
          <cell r="W54">
            <v>198.96</v>
          </cell>
          <cell r="X54">
            <v>120</v>
          </cell>
          <cell r="Y54">
            <v>2</v>
          </cell>
          <cell r="Z54">
            <v>5</v>
          </cell>
          <cell r="AA54">
            <v>100.43653846153846</v>
          </cell>
          <cell r="AB54">
            <v>135</v>
          </cell>
          <cell r="AD54">
            <v>48.209538461538457</v>
          </cell>
          <cell r="AH54">
            <v>0</v>
          </cell>
          <cell r="AI54">
            <v>0</v>
          </cell>
          <cell r="AJ54">
            <v>0</v>
          </cell>
          <cell r="AK54">
            <v>0</v>
          </cell>
          <cell r="AL54">
            <v>0</v>
          </cell>
          <cell r="AM54">
            <v>144.62861538461536</v>
          </cell>
          <cell r="AN54">
            <v>27</v>
          </cell>
          <cell r="AP54">
            <v>123</v>
          </cell>
          <cell r="AQ54">
            <v>904.2346923076924</v>
          </cell>
          <cell r="AR54">
            <v>12.932400000000001</v>
          </cell>
          <cell r="AT54">
            <v>12.932400000000001</v>
          </cell>
          <cell r="AU54">
            <v>891.30229230769237</v>
          </cell>
          <cell r="AX54">
            <v>165</v>
          </cell>
          <cell r="AZ54" t="str">
            <v>Nasser Hamoud Yasir Al Harrasi</v>
          </cell>
          <cell r="BA54">
            <v>191112920084010</v>
          </cell>
          <cell r="BB54" t="str">
            <v>Bank Muscat</v>
          </cell>
          <cell r="BC54" t="str">
            <v>Bahla</v>
          </cell>
          <cell r="BD54">
            <v>891.30229230769237</v>
          </cell>
        </row>
        <row r="55">
          <cell r="B55">
            <v>167</v>
          </cell>
          <cell r="C55" t="str">
            <v>Salim Mubarak Abdullah Al Qanashiul</v>
          </cell>
          <cell r="D55" t="str">
            <v>GPS Operator</v>
          </cell>
          <cell r="E55" t="str">
            <v>12.05.04</v>
          </cell>
          <cell r="F55">
            <v>2.1</v>
          </cell>
          <cell r="G55">
            <v>1.3125</v>
          </cell>
          <cell r="H55">
            <v>21</v>
          </cell>
          <cell r="I55">
            <v>35</v>
          </cell>
          <cell r="K55">
            <v>16</v>
          </cell>
          <cell r="L55">
            <v>14</v>
          </cell>
          <cell r="M55">
            <v>0</v>
          </cell>
          <cell r="N55">
            <v>0</v>
          </cell>
          <cell r="O55">
            <v>30</v>
          </cell>
          <cell r="P55">
            <v>61</v>
          </cell>
          <cell r="Q55">
            <v>1.8299999999999998</v>
          </cell>
          <cell r="R55">
            <v>182</v>
          </cell>
          <cell r="S55">
            <v>120</v>
          </cell>
          <cell r="T55">
            <v>2</v>
          </cell>
          <cell r="U55">
            <v>5</v>
          </cell>
          <cell r="V55">
            <v>4.5</v>
          </cell>
          <cell r="W55">
            <v>182</v>
          </cell>
          <cell r="X55">
            <v>120</v>
          </cell>
          <cell r="Y55">
            <v>2</v>
          </cell>
          <cell r="Z55">
            <v>5</v>
          </cell>
          <cell r="AA55">
            <v>45.9375</v>
          </cell>
          <cell r="AB55">
            <v>72</v>
          </cell>
          <cell r="AD55">
            <v>44.1</v>
          </cell>
          <cell r="AH55">
            <v>0</v>
          </cell>
          <cell r="AI55">
            <v>0</v>
          </cell>
          <cell r="AJ55">
            <v>0</v>
          </cell>
          <cell r="AK55">
            <v>0</v>
          </cell>
          <cell r="AL55">
            <v>59.0625</v>
          </cell>
          <cell r="AM55">
            <v>132.30000000000001</v>
          </cell>
          <cell r="AN55">
            <v>27</v>
          </cell>
          <cell r="AP55">
            <v>123</v>
          </cell>
          <cell r="AQ55">
            <v>812.40000000000009</v>
          </cell>
          <cell r="AR55">
            <v>11.83</v>
          </cell>
          <cell r="AT55">
            <v>11.83</v>
          </cell>
          <cell r="AU55">
            <v>800.57</v>
          </cell>
          <cell r="AX55">
            <v>167</v>
          </cell>
          <cell r="AZ55" t="str">
            <v>Salim Mubarak Abdullah Al Qanashiul</v>
          </cell>
          <cell r="BA55" t="str">
            <v>22-045538-29</v>
          </cell>
          <cell r="BB55" t="str">
            <v>OIB</v>
          </cell>
          <cell r="BC55" t="str">
            <v>Ibri</v>
          </cell>
          <cell r="BD55">
            <v>800.57</v>
          </cell>
        </row>
        <row r="56">
          <cell r="B56">
            <v>168</v>
          </cell>
          <cell r="C56" t="str">
            <v>Lahimar Sulaiyam Haid Al Darai</v>
          </cell>
          <cell r="D56" t="str">
            <v>Heavy Duty Driver</v>
          </cell>
          <cell r="E56" t="str">
            <v>07.06.04</v>
          </cell>
          <cell r="F56">
            <v>2.2344230769230773</v>
          </cell>
          <cell r="G56">
            <v>1.3965144230769233</v>
          </cell>
          <cell r="H56">
            <v>21</v>
          </cell>
          <cell r="I56">
            <v>42</v>
          </cell>
          <cell r="K56">
            <v>18</v>
          </cell>
          <cell r="L56">
            <v>9</v>
          </cell>
          <cell r="M56">
            <v>0</v>
          </cell>
          <cell r="N56">
            <v>0</v>
          </cell>
          <cell r="O56">
            <v>27</v>
          </cell>
          <cell r="P56">
            <v>54</v>
          </cell>
          <cell r="Q56">
            <v>1.6199999999999999</v>
          </cell>
          <cell r="R56">
            <v>193.65</v>
          </cell>
          <cell r="S56">
            <v>120</v>
          </cell>
          <cell r="T56">
            <v>2</v>
          </cell>
          <cell r="U56">
            <v>5</v>
          </cell>
          <cell r="V56">
            <v>4.5</v>
          </cell>
          <cell r="W56">
            <v>174.285</v>
          </cell>
          <cell r="X56">
            <v>108</v>
          </cell>
          <cell r="Y56">
            <v>1.8</v>
          </cell>
          <cell r="Z56">
            <v>4.5</v>
          </cell>
          <cell r="AA56">
            <v>58.653605769230779</v>
          </cell>
          <cell r="AB56">
            <v>81</v>
          </cell>
          <cell r="AD56">
            <v>46.922884615384625</v>
          </cell>
          <cell r="AH56">
            <v>0</v>
          </cell>
          <cell r="AI56">
            <v>0</v>
          </cell>
          <cell r="AJ56">
            <v>0</v>
          </cell>
          <cell r="AK56">
            <v>0</v>
          </cell>
          <cell r="AL56">
            <v>0</v>
          </cell>
          <cell r="AM56">
            <v>140.76865384615388</v>
          </cell>
          <cell r="AN56">
            <v>27</v>
          </cell>
          <cell r="AP56">
            <v>123</v>
          </cell>
          <cell r="AQ56">
            <v>765.9301442307692</v>
          </cell>
          <cell r="AR56">
            <v>12.587250000000001</v>
          </cell>
          <cell r="AT56">
            <v>12.587250000000001</v>
          </cell>
          <cell r="AU56">
            <v>753.34289423076916</v>
          </cell>
          <cell r="AX56">
            <v>168</v>
          </cell>
          <cell r="AZ56" t="str">
            <v>Lahimar Sulaiyam Haid Al Darai</v>
          </cell>
          <cell r="BA56" t="str">
            <v>0062 20184 0084 012</v>
          </cell>
          <cell r="BB56" t="str">
            <v>Bank Muscat</v>
          </cell>
          <cell r="BC56" t="str">
            <v>Bahla</v>
          </cell>
          <cell r="BD56">
            <v>753.34289423076916</v>
          </cell>
        </row>
        <row r="57">
          <cell r="B57">
            <v>171</v>
          </cell>
          <cell r="C57" t="str">
            <v>Rashid Khalfan Khamis Al Ghafri</v>
          </cell>
          <cell r="D57" t="str">
            <v>Asst Mech</v>
          </cell>
          <cell r="E57" t="str">
            <v>07.06.04</v>
          </cell>
          <cell r="F57">
            <v>2.1183461538461539</v>
          </cell>
          <cell r="G57">
            <v>1.3239663461538462</v>
          </cell>
          <cell r="H57">
            <v>0</v>
          </cell>
          <cell r="I57">
            <v>42</v>
          </cell>
          <cell r="K57">
            <v>21</v>
          </cell>
          <cell r="L57">
            <v>9</v>
          </cell>
          <cell r="M57">
            <v>0</v>
          </cell>
          <cell r="N57">
            <v>0</v>
          </cell>
          <cell r="O57">
            <v>30</v>
          </cell>
          <cell r="P57">
            <v>66</v>
          </cell>
          <cell r="Q57">
            <v>1.98</v>
          </cell>
          <cell r="R57">
            <v>183.59</v>
          </cell>
          <cell r="S57">
            <v>110</v>
          </cell>
          <cell r="T57">
            <v>2</v>
          </cell>
          <cell r="U57">
            <v>5</v>
          </cell>
          <cell r="V57">
            <v>4.5</v>
          </cell>
          <cell r="W57">
            <v>183.59</v>
          </cell>
          <cell r="X57">
            <v>110</v>
          </cell>
          <cell r="Y57">
            <v>2</v>
          </cell>
          <cell r="Z57">
            <v>5</v>
          </cell>
          <cell r="AA57">
            <v>55.606586538461542</v>
          </cell>
          <cell r="AB57">
            <v>94.5</v>
          </cell>
          <cell r="AD57">
            <v>0</v>
          </cell>
          <cell r="AH57">
            <v>0</v>
          </cell>
          <cell r="AI57">
            <v>0</v>
          </cell>
          <cell r="AJ57">
            <v>0</v>
          </cell>
          <cell r="AK57">
            <v>0</v>
          </cell>
          <cell r="AL57">
            <v>66.198317307692307</v>
          </cell>
          <cell r="AM57">
            <v>0</v>
          </cell>
          <cell r="AN57">
            <v>0</v>
          </cell>
          <cell r="AP57">
            <v>0</v>
          </cell>
          <cell r="AQ57">
            <v>516.89490384615385</v>
          </cell>
          <cell r="AR57">
            <v>11.933350000000001</v>
          </cell>
          <cell r="AT57">
            <v>11.933350000000001</v>
          </cell>
          <cell r="AU57">
            <v>504.96155384615383</v>
          </cell>
          <cell r="AX57">
            <v>171</v>
          </cell>
          <cell r="AZ57" t="str">
            <v>Rashid Khalfan Khamis Al Ghafri</v>
          </cell>
          <cell r="BA57" t="str">
            <v>22 073761 29</v>
          </cell>
          <cell r="BB57" t="str">
            <v>OIB</v>
          </cell>
          <cell r="BC57" t="str">
            <v>Ibri</v>
          </cell>
          <cell r="BD57">
            <v>504.96155384615383</v>
          </cell>
        </row>
        <row r="58">
          <cell r="B58">
            <v>178</v>
          </cell>
          <cell r="C58" t="str">
            <v>Hamoud Yasir Nasser Al Harrasi</v>
          </cell>
          <cell r="D58" t="str">
            <v>Asst Mech</v>
          </cell>
          <cell r="E58" t="str">
            <v>07.06.04</v>
          </cell>
          <cell r="F58">
            <v>2.3949230769230772</v>
          </cell>
          <cell r="G58">
            <v>1.4968269230769233</v>
          </cell>
          <cell r="H58">
            <v>20</v>
          </cell>
          <cell r="I58">
            <v>28</v>
          </cell>
          <cell r="K58">
            <v>16</v>
          </cell>
          <cell r="L58">
            <v>14</v>
          </cell>
          <cell r="M58">
            <v>0</v>
          </cell>
          <cell r="N58">
            <v>0</v>
          </cell>
          <cell r="O58">
            <v>30</v>
          </cell>
          <cell r="P58">
            <v>64</v>
          </cell>
          <cell r="Q58">
            <v>1.92</v>
          </cell>
          <cell r="R58">
            <v>207.56</v>
          </cell>
          <cell r="S58">
            <v>120</v>
          </cell>
          <cell r="T58">
            <v>2</v>
          </cell>
          <cell r="U58">
            <v>5</v>
          </cell>
          <cell r="V58">
            <v>4.5</v>
          </cell>
          <cell r="W58">
            <v>207.56</v>
          </cell>
          <cell r="X58">
            <v>120</v>
          </cell>
          <cell r="Y58">
            <v>2</v>
          </cell>
          <cell r="Z58">
            <v>5</v>
          </cell>
          <cell r="AA58">
            <v>41.911153846153852</v>
          </cell>
          <cell r="AB58">
            <v>72</v>
          </cell>
          <cell r="AD58">
            <v>47.898461538461547</v>
          </cell>
          <cell r="AH58">
            <v>0</v>
          </cell>
          <cell r="AI58">
            <v>0</v>
          </cell>
          <cell r="AJ58">
            <v>0</v>
          </cell>
          <cell r="AK58">
            <v>0</v>
          </cell>
          <cell r="AL58">
            <v>284.39711538461546</v>
          </cell>
          <cell r="AM58">
            <v>0</v>
          </cell>
          <cell r="AN58">
            <v>0</v>
          </cell>
          <cell r="AP58">
            <v>0</v>
          </cell>
          <cell r="AQ58">
            <v>780.76673076923089</v>
          </cell>
          <cell r="AR58">
            <v>13.491400000000001</v>
          </cell>
          <cell r="AT58">
            <v>13.491400000000001</v>
          </cell>
          <cell r="AU58">
            <v>767.27533076923089</v>
          </cell>
          <cell r="AX58">
            <v>178</v>
          </cell>
          <cell r="AZ58" t="str">
            <v>Hamoud Yasir Nasser Al Harrasi</v>
          </cell>
          <cell r="BA58" t="str">
            <v>21-614102-20</v>
          </cell>
          <cell r="BB58" t="str">
            <v>OIB</v>
          </cell>
          <cell r="BC58" t="str">
            <v>Bahla</v>
          </cell>
          <cell r="BD58">
            <v>767.27533076923089</v>
          </cell>
        </row>
        <row r="59">
          <cell r="B59">
            <v>181</v>
          </cell>
          <cell r="C59" t="str">
            <v>Salim Ali Musabah Al Busaidi</v>
          </cell>
          <cell r="D59" t="str">
            <v>Group Foreman/L.Driver</v>
          </cell>
          <cell r="E59" t="str">
            <v>07.06.04</v>
          </cell>
          <cell r="F59">
            <v>1.8454615384615385</v>
          </cell>
          <cell r="G59">
            <v>1.1534134615384615</v>
          </cell>
          <cell r="H59">
            <v>0</v>
          </cell>
          <cell r="I59">
            <v>81</v>
          </cell>
          <cell r="K59">
            <v>19</v>
          </cell>
          <cell r="L59">
            <v>9</v>
          </cell>
          <cell r="M59">
            <v>2</v>
          </cell>
          <cell r="N59">
            <v>0</v>
          </cell>
          <cell r="O59">
            <v>30</v>
          </cell>
          <cell r="P59">
            <v>62</v>
          </cell>
          <cell r="Q59">
            <v>1.8599999999999999</v>
          </cell>
          <cell r="R59">
            <v>159.94</v>
          </cell>
          <cell r="S59">
            <v>85</v>
          </cell>
          <cell r="T59">
            <v>2</v>
          </cell>
          <cell r="U59">
            <v>5</v>
          </cell>
          <cell r="V59">
            <v>4.5</v>
          </cell>
          <cell r="W59">
            <v>159.94</v>
          </cell>
          <cell r="X59">
            <v>85</v>
          </cell>
          <cell r="Y59">
            <v>2</v>
          </cell>
          <cell r="Z59">
            <v>5</v>
          </cell>
          <cell r="AA59">
            <v>93.426490384615377</v>
          </cell>
          <cell r="AB59">
            <v>85.5</v>
          </cell>
          <cell r="AD59">
            <v>0</v>
          </cell>
          <cell r="AH59">
            <v>0</v>
          </cell>
          <cell r="AI59">
            <v>0</v>
          </cell>
          <cell r="AJ59">
            <v>0</v>
          </cell>
          <cell r="AK59">
            <v>0</v>
          </cell>
          <cell r="AL59">
            <v>32.295576923076922</v>
          </cell>
          <cell r="AM59">
            <v>0</v>
          </cell>
          <cell r="AN59">
            <v>0</v>
          </cell>
          <cell r="AP59">
            <v>0</v>
          </cell>
          <cell r="AQ59">
            <v>463.16206730769227</v>
          </cell>
          <cell r="AR59">
            <v>10.396100000000001</v>
          </cell>
          <cell r="AT59">
            <v>10.396100000000001</v>
          </cell>
          <cell r="AU59">
            <v>452.76596730769228</v>
          </cell>
          <cell r="AX59">
            <v>181</v>
          </cell>
          <cell r="AZ59" t="str">
            <v>Salim Ali Musabah Al Busaidi</v>
          </cell>
          <cell r="BA59" t="str">
            <v>129-224370084013</v>
          </cell>
          <cell r="BB59" t="str">
            <v>Bank Muscat</v>
          </cell>
          <cell r="BC59" t="str">
            <v>Adam</v>
          </cell>
          <cell r="BD59">
            <v>452.76596730769228</v>
          </cell>
        </row>
        <row r="60">
          <cell r="B60">
            <v>182</v>
          </cell>
          <cell r="C60" t="str">
            <v>Sulaiman Salim Dhahi Al Ghafri</v>
          </cell>
          <cell r="D60" t="str">
            <v>Labour/Cable</v>
          </cell>
          <cell r="E60" t="str">
            <v>07.06.04</v>
          </cell>
          <cell r="F60">
            <v>1.798153846153846</v>
          </cell>
          <cell r="G60">
            <v>1.1238461538461537</v>
          </cell>
          <cell r="H60">
            <v>0</v>
          </cell>
          <cell r="I60">
            <v>188.5</v>
          </cell>
          <cell r="K60">
            <v>21</v>
          </cell>
          <cell r="L60">
            <v>9</v>
          </cell>
          <cell r="M60">
            <v>0</v>
          </cell>
          <cell r="N60">
            <v>0</v>
          </cell>
          <cell r="O60">
            <v>30</v>
          </cell>
          <cell r="P60">
            <v>55</v>
          </cell>
          <cell r="Q60">
            <v>1.65</v>
          </cell>
          <cell r="R60">
            <v>155.84</v>
          </cell>
          <cell r="S60">
            <v>85</v>
          </cell>
          <cell r="T60">
            <v>2</v>
          </cell>
          <cell r="U60">
            <v>5</v>
          </cell>
          <cell r="V60">
            <v>4.5</v>
          </cell>
          <cell r="W60">
            <v>155.84</v>
          </cell>
          <cell r="X60">
            <v>85</v>
          </cell>
          <cell r="Y60">
            <v>2</v>
          </cell>
          <cell r="Z60">
            <v>5</v>
          </cell>
          <cell r="AA60">
            <v>211.84499999999997</v>
          </cell>
          <cell r="AB60">
            <v>94.5</v>
          </cell>
          <cell r="AD60">
            <v>0</v>
          </cell>
          <cell r="AH60">
            <v>0</v>
          </cell>
          <cell r="AI60">
            <v>0</v>
          </cell>
          <cell r="AJ60">
            <v>0</v>
          </cell>
          <cell r="AK60">
            <v>0</v>
          </cell>
          <cell r="AL60">
            <v>35.963076923076919</v>
          </cell>
          <cell r="AM60">
            <v>129.46707692307692</v>
          </cell>
          <cell r="AN60">
            <v>27</v>
          </cell>
          <cell r="AP60">
            <v>123</v>
          </cell>
          <cell r="AQ60">
            <v>869.6151538461537</v>
          </cell>
          <cell r="AR60">
            <v>10.1296</v>
          </cell>
          <cell r="AT60">
            <v>10.1296</v>
          </cell>
          <cell r="AU60">
            <v>859.48555384615372</v>
          </cell>
          <cell r="AW60">
            <v>98</v>
          </cell>
          <cell r="AX60">
            <v>182</v>
          </cell>
          <cell r="AZ60" t="str">
            <v>Sulaiman Salim Dhahi Al Ghafri</v>
          </cell>
          <cell r="BA60" t="str">
            <v>0141147201700</v>
          </cell>
          <cell r="BB60" t="str">
            <v>Bank Dhofar</v>
          </cell>
          <cell r="BC60" t="str">
            <v>Bahla</v>
          </cell>
          <cell r="BD60">
            <v>859.48555384615372</v>
          </cell>
        </row>
        <row r="61">
          <cell r="B61">
            <v>184</v>
          </cell>
          <cell r="C61" t="str">
            <v>Habib Mohamed Harib Al Daral</v>
          </cell>
          <cell r="D61" t="str">
            <v>Group Foreman/L.Driver</v>
          </cell>
          <cell r="E61" t="str">
            <v>07.06.04</v>
          </cell>
          <cell r="F61">
            <v>1.8900000000000001</v>
          </cell>
          <cell r="G61">
            <v>1.1812500000000001</v>
          </cell>
          <cell r="H61">
            <v>21</v>
          </cell>
          <cell r="I61">
            <v>53</v>
          </cell>
          <cell r="K61">
            <v>16</v>
          </cell>
          <cell r="L61">
            <v>14</v>
          </cell>
          <cell r="M61">
            <v>0</v>
          </cell>
          <cell r="N61">
            <v>0</v>
          </cell>
          <cell r="O61">
            <v>30</v>
          </cell>
          <cell r="P61">
            <v>58</v>
          </cell>
          <cell r="Q61">
            <v>1.74</v>
          </cell>
          <cell r="R61">
            <v>163.80000000000001</v>
          </cell>
          <cell r="S61">
            <v>85</v>
          </cell>
          <cell r="T61">
            <v>2</v>
          </cell>
          <cell r="U61">
            <v>5</v>
          </cell>
          <cell r="V61">
            <v>4.5</v>
          </cell>
          <cell r="W61">
            <v>163.80000000000001</v>
          </cell>
          <cell r="X61">
            <v>85</v>
          </cell>
          <cell r="Y61">
            <v>2</v>
          </cell>
          <cell r="Z61">
            <v>5</v>
          </cell>
          <cell r="AA61">
            <v>62.60625000000001</v>
          </cell>
          <cell r="AB61">
            <v>72</v>
          </cell>
          <cell r="AD61">
            <v>39.690000000000005</v>
          </cell>
          <cell r="AH61">
            <v>0</v>
          </cell>
          <cell r="AI61">
            <v>0</v>
          </cell>
          <cell r="AJ61">
            <v>0</v>
          </cell>
          <cell r="AK61">
            <v>0</v>
          </cell>
          <cell r="AL61">
            <v>56.7</v>
          </cell>
          <cell r="AM61">
            <v>0</v>
          </cell>
          <cell r="AN61">
            <v>0</v>
          </cell>
          <cell r="AP61">
            <v>0</v>
          </cell>
          <cell r="AQ61">
            <v>486.79624999999999</v>
          </cell>
          <cell r="AR61">
            <v>10.647</v>
          </cell>
          <cell r="AT61">
            <v>10.647</v>
          </cell>
          <cell r="AU61">
            <v>476.14924999999999</v>
          </cell>
          <cell r="AX61">
            <v>184</v>
          </cell>
          <cell r="AZ61" t="str">
            <v>Habib Mohamed Harib Al Daral</v>
          </cell>
          <cell r="BA61" t="str">
            <v>062-196890084012</v>
          </cell>
          <cell r="BB61" t="str">
            <v>Bank Muscat</v>
          </cell>
          <cell r="BC61" t="str">
            <v>Bahla</v>
          </cell>
          <cell r="BD61">
            <v>476.14924999999999</v>
          </cell>
        </row>
        <row r="62">
          <cell r="B62">
            <v>185</v>
          </cell>
          <cell r="C62" t="str">
            <v>Musallam Hamdan Salim Al Hinai</v>
          </cell>
          <cell r="D62" t="str">
            <v>Asst Mech</v>
          </cell>
          <cell r="E62" t="str">
            <v>07.06.04</v>
          </cell>
          <cell r="F62">
            <v>2.0465769230769233</v>
          </cell>
          <cell r="G62">
            <v>1.2791105769230771</v>
          </cell>
          <cell r="H62">
            <v>0</v>
          </cell>
          <cell r="I62">
            <v>0</v>
          </cell>
          <cell r="K62">
            <v>0</v>
          </cell>
          <cell r="L62">
            <v>0</v>
          </cell>
          <cell r="M62">
            <v>0</v>
          </cell>
          <cell r="N62">
            <v>0</v>
          </cell>
          <cell r="O62">
            <v>0</v>
          </cell>
          <cell r="P62">
            <v>66</v>
          </cell>
          <cell r="Q62">
            <v>1.98</v>
          </cell>
          <cell r="R62">
            <v>177.37</v>
          </cell>
          <cell r="S62">
            <v>120</v>
          </cell>
          <cell r="T62">
            <v>2</v>
          </cell>
          <cell r="U62">
            <v>5</v>
          </cell>
          <cell r="V62">
            <v>4.5</v>
          </cell>
          <cell r="W62">
            <v>0</v>
          </cell>
          <cell r="X62">
            <v>0</v>
          </cell>
          <cell r="Y62">
            <v>0</v>
          </cell>
          <cell r="Z62">
            <v>0</v>
          </cell>
          <cell r="AA62">
            <v>0</v>
          </cell>
          <cell r="AB62">
            <v>0</v>
          </cell>
          <cell r="AD62">
            <v>0</v>
          </cell>
          <cell r="AH62">
            <v>0</v>
          </cell>
          <cell r="AI62">
            <v>0</v>
          </cell>
          <cell r="AJ62">
            <v>0</v>
          </cell>
          <cell r="AK62">
            <v>0</v>
          </cell>
          <cell r="AL62">
            <v>0</v>
          </cell>
          <cell r="AM62">
            <v>0</v>
          </cell>
          <cell r="AN62">
            <v>0</v>
          </cell>
          <cell r="AP62">
            <v>0</v>
          </cell>
          <cell r="AQ62">
            <v>0</v>
          </cell>
          <cell r="AT62">
            <v>0</v>
          </cell>
          <cell r="AU62">
            <v>0</v>
          </cell>
          <cell r="AV62" t="str">
            <v>30 Days HLV</v>
          </cell>
          <cell r="AX62">
            <v>185</v>
          </cell>
          <cell r="AZ62" t="str">
            <v>Musallam Hamdan Salim Al Hinai</v>
          </cell>
          <cell r="BA62" t="str">
            <v>1019-177661-017</v>
          </cell>
          <cell r="BB62" t="str">
            <v>NBO</v>
          </cell>
          <cell r="BC62" t="str">
            <v>Bahla</v>
          </cell>
          <cell r="BD62">
            <v>0</v>
          </cell>
        </row>
        <row r="63">
          <cell r="B63">
            <v>189</v>
          </cell>
          <cell r="C63" t="str">
            <v>Sulaiman Sulaiyam Hamdan Al Hinai</v>
          </cell>
          <cell r="D63" t="str">
            <v>Heavy Duty Driver</v>
          </cell>
          <cell r="E63" t="str">
            <v>07.06.04</v>
          </cell>
          <cell r="F63">
            <v>2.0413846153846151</v>
          </cell>
          <cell r="G63">
            <v>1.2758653846153845</v>
          </cell>
          <cell r="H63">
            <v>21</v>
          </cell>
          <cell r="I63">
            <v>73.5</v>
          </cell>
          <cell r="K63">
            <v>16</v>
          </cell>
          <cell r="L63">
            <v>14</v>
          </cell>
          <cell r="M63">
            <v>0</v>
          </cell>
          <cell r="N63">
            <v>0</v>
          </cell>
          <cell r="O63">
            <v>30</v>
          </cell>
          <cell r="P63">
            <v>60</v>
          </cell>
          <cell r="Q63">
            <v>1.7999999999999998</v>
          </cell>
          <cell r="R63">
            <v>176.92</v>
          </cell>
          <cell r="S63">
            <v>110</v>
          </cell>
          <cell r="T63">
            <v>2</v>
          </cell>
          <cell r="U63">
            <v>5</v>
          </cell>
          <cell r="V63">
            <v>4.5</v>
          </cell>
          <cell r="W63">
            <v>176.92</v>
          </cell>
          <cell r="X63">
            <v>110</v>
          </cell>
          <cell r="Y63">
            <v>2</v>
          </cell>
          <cell r="Z63">
            <v>5</v>
          </cell>
          <cell r="AA63">
            <v>93.776105769230753</v>
          </cell>
          <cell r="AB63">
            <v>72</v>
          </cell>
          <cell r="AD63">
            <v>42.869076923076918</v>
          </cell>
          <cell r="AH63">
            <v>0</v>
          </cell>
          <cell r="AI63">
            <v>0</v>
          </cell>
          <cell r="AJ63">
            <v>0</v>
          </cell>
          <cell r="AK63">
            <v>0</v>
          </cell>
          <cell r="AL63">
            <v>86.12091346153845</v>
          </cell>
          <cell r="AM63">
            <v>0</v>
          </cell>
          <cell r="AN63">
            <v>0</v>
          </cell>
          <cell r="AP63">
            <v>0</v>
          </cell>
          <cell r="AQ63">
            <v>588.68609615384605</v>
          </cell>
          <cell r="AR63">
            <v>11.4998</v>
          </cell>
          <cell r="AT63">
            <v>11.4998</v>
          </cell>
          <cell r="AU63">
            <v>577.186296153846</v>
          </cell>
          <cell r="AX63">
            <v>189</v>
          </cell>
          <cell r="AZ63" t="str">
            <v>Sulaiman Sulaiyam Hamdan Al Hinai</v>
          </cell>
          <cell r="BA63" t="str">
            <v>062-19179008401-0</v>
          </cell>
          <cell r="BB63" t="str">
            <v>Bank Muscat</v>
          </cell>
          <cell r="BC63" t="str">
            <v>Bahla</v>
          </cell>
          <cell r="BD63">
            <v>577.186296153846</v>
          </cell>
        </row>
        <row r="64">
          <cell r="B64">
            <v>194</v>
          </cell>
          <cell r="C64" t="str">
            <v>Ahmed Mohamed Ahmed Al Mahrouqi</v>
          </cell>
          <cell r="D64" t="str">
            <v>Mechanic</v>
          </cell>
          <cell r="E64" t="str">
            <v>07.06.04</v>
          </cell>
          <cell r="F64">
            <v>3.3928846153846157</v>
          </cell>
          <cell r="G64">
            <v>2.1205528846153849</v>
          </cell>
          <cell r="H64">
            <v>20</v>
          </cell>
          <cell r="I64">
            <v>38</v>
          </cell>
          <cell r="K64">
            <v>21</v>
          </cell>
          <cell r="L64">
            <v>9</v>
          </cell>
          <cell r="M64">
            <v>0</v>
          </cell>
          <cell r="N64">
            <v>0</v>
          </cell>
          <cell r="O64">
            <v>30</v>
          </cell>
          <cell r="P64">
            <v>66</v>
          </cell>
          <cell r="Q64">
            <v>1.98</v>
          </cell>
          <cell r="R64">
            <v>294.05</v>
          </cell>
          <cell r="S64">
            <v>120</v>
          </cell>
          <cell r="T64">
            <v>2</v>
          </cell>
          <cell r="U64">
            <v>5</v>
          </cell>
          <cell r="V64">
            <v>4.5</v>
          </cell>
          <cell r="W64">
            <v>294.05</v>
          </cell>
          <cell r="X64">
            <v>120</v>
          </cell>
          <cell r="Y64">
            <v>2</v>
          </cell>
          <cell r="Z64">
            <v>5</v>
          </cell>
          <cell r="AA64">
            <v>80.58100961538463</v>
          </cell>
          <cell r="AB64">
            <v>94.5</v>
          </cell>
          <cell r="AD64">
            <v>67.857692307692318</v>
          </cell>
          <cell r="AH64">
            <v>0</v>
          </cell>
          <cell r="AI64">
            <v>0</v>
          </cell>
          <cell r="AJ64">
            <v>0</v>
          </cell>
          <cell r="AK64">
            <v>0</v>
          </cell>
          <cell r="AL64">
            <v>239.6224759615385</v>
          </cell>
          <cell r="AM64">
            <v>203.57307692307694</v>
          </cell>
          <cell r="AN64">
            <v>27</v>
          </cell>
          <cell r="AP64">
            <v>123</v>
          </cell>
          <cell r="AQ64">
            <v>1257.1842548076925</v>
          </cell>
          <cell r="AR64">
            <v>19.113250000000001</v>
          </cell>
          <cell r="AT64">
            <v>19.113250000000001</v>
          </cell>
          <cell r="AU64">
            <v>1238.0710048076924</v>
          </cell>
          <cell r="AX64">
            <v>194</v>
          </cell>
          <cell r="AZ64" t="str">
            <v>Ahmed Mohamed Ahmed Al Mahrouqi</v>
          </cell>
          <cell r="BA64" t="str">
            <v>129-231200084014</v>
          </cell>
          <cell r="BB64" t="str">
            <v>Bank Muscat</v>
          </cell>
          <cell r="BC64" t="str">
            <v>Adam</v>
          </cell>
          <cell r="BD64">
            <v>1238.0710048076924</v>
          </cell>
        </row>
        <row r="65">
          <cell r="B65">
            <v>196</v>
          </cell>
          <cell r="C65" t="str">
            <v>Ali Said Salim Al Busaidi</v>
          </cell>
          <cell r="D65" t="str">
            <v>Vib Operator</v>
          </cell>
          <cell r="E65" t="str">
            <v>07.06.04</v>
          </cell>
          <cell r="F65">
            <v>2.5067307692307694</v>
          </cell>
          <cell r="G65">
            <v>1.5667067307692308</v>
          </cell>
          <cell r="H65">
            <v>0</v>
          </cell>
          <cell r="I65">
            <v>176</v>
          </cell>
          <cell r="K65">
            <v>21</v>
          </cell>
          <cell r="L65">
            <v>9</v>
          </cell>
          <cell r="M65">
            <v>0</v>
          </cell>
          <cell r="N65">
            <v>0</v>
          </cell>
          <cell r="O65">
            <v>30</v>
          </cell>
          <cell r="P65">
            <v>64</v>
          </cell>
          <cell r="Q65">
            <v>1.92</v>
          </cell>
          <cell r="R65">
            <v>217.25</v>
          </cell>
          <cell r="S65">
            <v>120</v>
          </cell>
          <cell r="T65">
            <v>2</v>
          </cell>
          <cell r="U65">
            <v>5</v>
          </cell>
          <cell r="V65">
            <v>4.5</v>
          </cell>
          <cell r="W65">
            <v>217.25</v>
          </cell>
          <cell r="X65">
            <v>120</v>
          </cell>
          <cell r="Y65">
            <v>2</v>
          </cell>
          <cell r="Z65">
            <v>5</v>
          </cell>
          <cell r="AA65">
            <v>275.74038461538464</v>
          </cell>
          <cell r="AB65">
            <v>94.5</v>
          </cell>
          <cell r="AD65">
            <v>0</v>
          </cell>
          <cell r="AH65">
            <v>0</v>
          </cell>
          <cell r="AI65">
            <v>0</v>
          </cell>
          <cell r="AJ65">
            <v>0</v>
          </cell>
          <cell r="AK65">
            <v>0</v>
          </cell>
          <cell r="AL65">
            <v>175.47115384615387</v>
          </cell>
          <cell r="AM65">
            <v>0</v>
          </cell>
          <cell r="AN65">
            <v>63</v>
          </cell>
          <cell r="AP65">
            <v>0</v>
          </cell>
          <cell r="AQ65">
            <v>952.96153846153857</v>
          </cell>
          <cell r="AR65">
            <v>14.12125</v>
          </cell>
          <cell r="AT65">
            <v>14.12125</v>
          </cell>
          <cell r="AU65">
            <v>938.84028846153853</v>
          </cell>
          <cell r="AX65">
            <v>196</v>
          </cell>
          <cell r="AZ65" t="str">
            <v>Ali Said Salim Al Busaidi</v>
          </cell>
          <cell r="BA65" t="str">
            <v>129-108030084015</v>
          </cell>
          <cell r="BB65" t="str">
            <v>Bank Muscat</v>
          </cell>
          <cell r="BC65" t="str">
            <v>Adam</v>
          </cell>
          <cell r="BD65">
            <v>938.84028846153853</v>
          </cell>
        </row>
        <row r="66">
          <cell r="B66">
            <v>197</v>
          </cell>
          <cell r="C66" t="str">
            <v>Sulaiman Said Ali Al Mahrouqi</v>
          </cell>
          <cell r="D66" t="str">
            <v>Vib Operator</v>
          </cell>
          <cell r="E66" t="str">
            <v>07.06.04</v>
          </cell>
          <cell r="F66">
            <v>2.5067307692307694</v>
          </cell>
          <cell r="G66">
            <v>1.5667067307692308</v>
          </cell>
          <cell r="H66">
            <v>0</v>
          </cell>
          <cell r="I66">
            <v>160</v>
          </cell>
          <cell r="K66">
            <v>19</v>
          </cell>
          <cell r="L66">
            <v>10</v>
          </cell>
          <cell r="M66">
            <v>1</v>
          </cell>
          <cell r="N66">
            <v>0</v>
          </cell>
          <cell r="O66">
            <v>30</v>
          </cell>
          <cell r="P66">
            <v>63</v>
          </cell>
          <cell r="Q66">
            <v>1.89</v>
          </cell>
          <cell r="R66">
            <v>217.25</v>
          </cell>
          <cell r="S66">
            <v>120</v>
          </cell>
          <cell r="T66">
            <v>2</v>
          </cell>
          <cell r="U66">
            <v>5</v>
          </cell>
          <cell r="V66">
            <v>4.5</v>
          </cell>
          <cell r="W66">
            <v>217.25</v>
          </cell>
          <cell r="X66">
            <v>120</v>
          </cell>
          <cell r="Y66">
            <v>2</v>
          </cell>
          <cell r="Z66">
            <v>5</v>
          </cell>
          <cell r="AA66">
            <v>250.67307692307693</v>
          </cell>
          <cell r="AB66">
            <v>85.5</v>
          </cell>
          <cell r="AD66">
            <v>0</v>
          </cell>
          <cell r="AH66">
            <v>0</v>
          </cell>
          <cell r="AI66">
            <v>0</v>
          </cell>
          <cell r="AJ66">
            <v>0</v>
          </cell>
          <cell r="AK66">
            <v>0</v>
          </cell>
          <cell r="AL66">
            <v>0</v>
          </cell>
          <cell r="AM66">
            <v>0</v>
          </cell>
          <cell r="AN66">
            <v>0</v>
          </cell>
          <cell r="AP66">
            <v>0</v>
          </cell>
          <cell r="AQ66">
            <v>680.42307692307691</v>
          </cell>
          <cell r="AR66">
            <v>14.12125</v>
          </cell>
          <cell r="AT66">
            <v>14.12125</v>
          </cell>
          <cell r="AU66">
            <v>666.30182692307687</v>
          </cell>
          <cell r="AX66">
            <v>197</v>
          </cell>
          <cell r="AZ66" t="str">
            <v>Sulaiman Said Ali Al Mahrouqi</v>
          </cell>
          <cell r="BA66" t="str">
            <v>129-102870081012</v>
          </cell>
          <cell r="BB66" t="str">
            <v>Bank Muscat</v>
          </cell>
          <cell r="BC66" t="str">
            <v>Adam</v>
          </cell>
          <cell r="BD66">
            <v>666.30182692307687</v>
          </cell>
        </row>
        <row r="67">
          <cell r="B67">
            <v>198</v>
          </cell>
          <cell r="C67" t="str">
            <v>Ali Ahmed Hamed Al Mahrouqi</v>
          </cell>
          <cell r="D67" t="str">
            <v>Vib Operator</v>
          </cell>
          <cell r="E67" t="str">
            <v>07.06.04</v>
          </cell>
          <cell r="F67">
            <v>2.5175769230769229</v>
          </cell>
          <cell r="G67">
            <v>1.5734855769230769</v>
          </cell>
          <cell r="H67">
            <v>0</v>
          </cell>
          <cell r="I67">
            <v>24</v>
          </cell>
          <cell r="K67">
            <v>4</v>
          </cell>
          <cell r="L67">
            <v>10</v>
          </cell>
          <cell r="M67">
            <v>16</v>
          </cell>
          <cell r="N67">
            <v>0</v>
          </cell>
          <cell r="O67">
            <v>30</v>
          </cell>
          <cell r="P67">
            <v>62</v>
          </cell>
          <cell r="Q67">
            <v>1.8599999999999999</v>
          </cell>
          <cell r="R67">
            <v>218.19</v>
          </cell>
          <cell r="S67">
            <v>120</v>
          </cell>
          <cell r="T67">
            <v>2</v>
          </cell>
          <cell r="U67">
            <v>5</v>
          </cell>
          <cell r="V67">
            <v>4.5</v>
          </cell>
          <cell r="W67">
            <v>209.09875</v>
          </cell>
          <cell r="X67">
            <v>115</v>
          </cell>
          <cell r="Y67">
            <v>1.9166666666666667</v>
          </cell>
          <cell r="Z67">
            <v>4.4166666666666661</v>
          </cell>
          <cell r="AA67">
            <v>37.763653846153844</v>
          </cell>
          <cell r="AB67">
            <v>18</v>
          </cell>
          <cell r="AD67">
            <v>0</v>
          </cell>
          <cell r="AH67">
            <v>0</v>
          </cell>
          <cell r="AI67">
            <v>0</v>
          </cell>
          <cell r="AJ67">
            <v>0</v>
          </cell>
          <cell r="AK67">
            <v>0</v>
          </cell>
          <cell r="AL67">
            <v>-37.763653846153844</v>
          </cell>
          <cell r="AM67">
            <v>256.79284615384614</v>
          </cell>
          <cell r="AN67">
            <v>13.5</v>
          </cell>
          <cell r="AP67">
            <v>123</v>
          </cell>
          <cell r="AQ67">
            <v>741.72492948717945</v>
          </cell>
          <cell r="AR67">
            <v>14.18235</v>
          </cell>
          <cell r="AT67">
            <v>14.18235</v>
          </cell>
          <cell r="AU67">
            <v>727.54257948717941</v>
          </cell>
          <cell r="AV67" t="str">
            <v>03 days sick in October &amp; 16 Days in November so 5 day(19-14) is paid @ 75%.</v>
          </cell>
          <cell r="AW67">
            <v>122</v>
          </cell>
          <cell r="AX67">
            <v>198</v>
          </cell>
          <cell r="AZ67" t="str">
            <v>Ali Ahmed Hamed Al Mahrouqi</v>
          </cell>
          <cell r="BA67" t="str">
            <v>129-104760084010</v>
          </cell>
          <cell r="BB67" t="str">
            <v>Bank Muscat</v>
          </cell>
          <cell r="BC67" t="str">
            <v>Adam</v>
          </cell>
          <cell r="BD67">
            <v>727.54257948717941</v>
          </cell>
        </row>
        <row r="68">
          <cell r="B68">
            <v>199</v>
          </cell>
          <cell r="C68" t="str">
            <v>Ahmed Saed Khalfan Al Gharibi</v>
          </cell>
          <cell r="D68" t="str">
            <v>Vib Operator</v>
          </cell>
          <cell r="E68" t="str">
            <v>07.06.04</v>
          </cell>
          <cell r="F68">
            <v>2.3740384615384613</v>
          </cell>
          <cell r="G68">
            <v>1.4837740384615383</v>
          </cell>
          <cell r="H68">
            <v>34</v>
          </cell>
          <cell r="I68">
            <v>119</v>
          </cell>
          <cell r="K68">
            <v>16</v>
          </cell>
          <cell r="L68">
            <v>14</v>
          </cell>
          <cell r="M68">
            <v>0</v>
          </cell>
          <cell r="N68">
            <v>0</v>
          </cell>
          <cell r="O68">
            <v>30</v>
          </cell>
          <cell r="P68">
            <v>65</v>
          </cell>
          <cell r="Q68">
            <v>1.95</v>
          </cell>
          <cell r="R68">
            <v>205.75</v>
          </cell>
          <cell r="S68">
            <v>120</v>
          </cell>
          <cell r="T68">
            <v>2</v>
          </cell>
          <cell r="U68">
            <v>5</v>
          </cell>
          <cell r="V68">
            <v>4.5</v>
          </cell>
          <cell r="W68">
            <v>205.75</v>
          </cell>
          <cell r="X68">
            <v>120</v>
          </cell>
          <cell r="Y68">
            <v>2</v>
          </cell>
          <cell r="Z68">
            <v>5</v>
          </cell>
          <cell r="AA68">
            <v>176.56911057692307</v>
          </cell>
          <cell r="AB68">
            <v>72</v>
          </cell>
          <cell r="AD68">
            <v>80.717307692307685</v>
          </cell>
          <cell r="AH68">
            <v>0</v>
          </cell>
          <cell r="AI68">
            <v>0</v>
          </cell>
          <cell r="AJ68">
            <v>0</v>
          </cell>
          <cell r="AK68">
            <v>0</v>
          </cell>
          <cell r="AL68">
            <v>0</v>
          </cell>
          <cell r="AM68">
            <v>0</v>
          </cell>
          <cell r="AN68">
            <v>0</v>
          </cell>
          <cell r="AP68">
            <v>0</v>
          </cell>
          <cell r="AQ68">
            <v>662.03641826923081</v>
          </cell>
          <cell r="AR68">
            <v>13.373750000000001</v>
          </cell>
          <cell r="AT68">
            <v>13.373750000000001</v>
          </cell>
          <cell r="AU68">
            <v>648.66266826923083</v>
          </cell>
          <cell r="AX68">
            <v>199</v>
          </cell>
          <cell r="AZ68" t="str">
            <v>Ahmed Saed Khalfan Al Gharibi</v>
          </cell>
          <cell r="BA68" t="str">
            <v>22-092043-20</v>
          </cell>
          <cell r="BB68" t="str">
            <v>OIB</v>
          </cell>
          <cell r="BC68" t="str">
            <v>Ibri</v>
          </cell>
          <cell r="BD68">
            <v>648.66266826923083</v>
          </cell>
        </row>
        <row r="69">
          <cell r="B69">
            <v>200</v>
          </cell>
          <cell r="C69" t="str">
            <v>Salim Humaid Ali Al Hinai</v>
          </cell>
          <cell r="D69" t="str">
            <v>Group Foreman/L.Driver</v>
          </cell>
          <cell r="E69" t="str">
            <v>09.06.04</v>
          </cell>
          <cell r="F69">
            <v>1.8572307692307692</v>
          </cell>
          <cell r="G69">
            <v>1.1607692307692308</v>
          </cell>
          <cell r="H69">
            <v>0</v>
          </cell>
          <cell r="I69">
            <v>52.5</v>
          </cell>
          <cell r="K69">
            <v>21</v>
          </cell>
          <cell r="L69">
            <v>9</v>
          </cell>
          <cell r="M69">
            <v>0</v>
          </cell>
          <cell r="N69">
            <v>0</v>
          </cell>
          <cell r="O69">
            <v>30</v>
          </cell>
          <cell r="P69">
            <v>61</v>
          </cell>
          <cell r="Q69">
            <v>1.8299999999999998</v>
          </cell>
          <cell r="R69">
            <v>160.96</v>
          </cell>
          <cell r="S69">
            <v>85</v>
          </cell>
          <cell r="T69">
            <v>2</v>
          </cell>
          <cell r="U69">
            <v>5</v>
          </cell>
          <cell r="V69">
            <v>4.5</v>
          </cell>
          <cell r="W69">
            <v>160.96</v>
          </cell>
          <cell r="X69">
            <v>85</v>
          </cell>
          <cell r="Y69">
            <v>2</v>
          </cell>
          <cell r="Z69">
            <v>5</v>
          </cell>
          <cell r="AA69">
            <v>60.940384615384616</v>
          </cell>
          <cell r="AB69">
            <v>94.5</v>
          </cell>
          <cell r="AD69">
            <v>0</v>
          </cell>
          <cell r="AH69">
            <v>0</v>
          </cell>
          <cell r="AI69">
            <v>0</v>
          </cell>
          <cell r="AJ69">
            <v>0</v>
          </cell>
          <cell r="AK69">
            <v>0</v>
          </cell>
          <cell r="AL69">
            <v>100.40653846153846</v>
          </cell>
          <cell r="AM69">
            <v>0</v>
          </cell>
          <cell r="AN69">
            <v>0</v>
          </cell>
          <cell r="AP69">
            <v>0</v>
          </cell>
          <cell r="AQ69">
            <v>508.80692307692306</v>
          </cell>
          <cell r="AR69">
            <v>10.462400000000001</v>
          </cell>
          <cell r="AT69">
            <v>10.462400000000001</v>
          </cell>
          <cell r="AU69">
            <v>498.34452307692305</v>
          </cell>
          <cell r="AX69">
            <v>200</v>
          </cell>
          <cell r="AZ69" t="str">
            <v>Salim Humaid Ali Al Hinai</v>
          </cell>
          <cell r="BA69" t="str">
            <v>1012-2057176</v>
          </cell>
          <cell r="BB69" t="str">
            <v>NBO</v>
          </cell>
          <cell r="BC69" t="str">
            <v>Ibri</v>
          </cell>
          <cell r="BD69">
            <v>498.34452307692305</v>
          </cell>
        </row>
        <row r="70">
          <cell r="B70">
            <v>204</v>
          </cell>
          <cell r="C70" t="str">
            <v>Mohamed Abdullah Said Al Mahrouqi</v>
          </cell>
          <cell r="D70" t="str">
            <v>Vib Operator</v>
          </cell>
          <cell r="E70" t="str">
            <v>07.06.04</v>
          </cell>
          <cell r="F70">
            <v>2.5059230769230769</v>
          </cell>
          <cell r="G70">
            <v>1.5662019230769231</v>
          </cell>
          <cell r="H70">
            <v>34</v>
          </cell>
          <cell r="I70">
            <v>183</v>
          </cell>
          <cell r="K70">
            <v>23</v>
          </cell>
          <cell r="L70">
            <v>7</v>
          </cell>
          <cell r="M70">
            <v>0</v>
          </cell>
          <cell r="N70">
            <v>0</v>
          </cell>
          <cell r="O70">
            <v>30</v>
          </cell>
          <cell r="P70">
            <v>65</v>
          </cell>
          <cell r="Q70">
            <v>1.95</v>
          </cell>
          <cell r="R70">
            <v>217.18</v>
          </cell>
          <cell r="S70">
            <v>120</v>
          </cell>
          <cell r="T70">
            <v>2</v>
          </cell>
          <cell r="U70">
            <v>5</v>
          </cell>
          <cell r="V70">
            <v>4.5</v>
          </cell>
          <cell r="W70">
            <v>217.18</v>
          </cell>
          <cell r="X70">
            <v>120</v>
          </cell>
          <cell r="Y70">
            <v>2</v>
          </cell>
          <cell r="Z70">
            <v>5</v>
          </cell>
          <cell r="AA70">
            <v>286.61495192307694</v>
          </cell>
          <cell r="AB70">
            <v>103.5</v>
          </cell>
          <cell r="AD70">
            <v>85.201384615384612</v>
          </cell>
          <cell r="AH70">
            <v>0</v>
          </cell>
          <cell r="AI70">
            <v>0</v>
          </cell>
          <cell r="AJ70">
            <v>0</v>
          </cell>
          <cell r="AK70">
            <v>0</v>
          </cell>
          <cell r="AL70">
            <v>0</v>
          </cell>
          <cell r="AM70">
            <v>255.60415384615385</v>
          </cell>
          <cell r="AN70">
            <v>27</v>
          </cell>
          <cell r="AP70">
            <v>123</v>
          </cell>
          <cell r="AQ70">
            <v>1225.1004903846156</v>
          </cell>
          <cell r="AR70">
            <v>14.116700000000002</v>
          </cell>
          <cell r="AT70">
            <v>14.116700000000002</v>
          </cell>
          <cell r="AU70">
            <v>1210.9837903846155</v>
          </cell>
          <cell r="AX70">
            <v>204</v>
          </cell>
          <cell r="AZ70" t="str">
            <v>Mohamed Abdullah Said Al Mahrouqi</v>
          </cell>
          <cell r="BA70" t="str">
            <v>28-024420-29</v>
          </cell>
          <cell r="BB70" t="str">
            <v>OIB</v>
          </cell>
          <cell r="BC70" t="str">
            <v>Adam</v>
          </cell>
          <cell r="BD70">
            <v>1210.9837903846155</v>
          </cell>
        </row>
        <row r="71">
          <cell r="B71">
            <v>206</v>
          </cell>
          <cell r="C71" t="str">
            <v>Azan Sulaiman Mohamed</v>
          </cell>
          <cell r="D71" t="str">
            <v>GPS Operator</v>
          </cell>
          <cell r="E71" t="str">
            <v>07.06.04</v>
          </cell>
          <cell r="F71">
            <v>2.0145</v>
          </cell>
          <cell r="G71">
            <v>1.2590625</v>
          </cell>
          <cell r="H71">
            <v>21</v>
          </cell>
          <cell r="I71">
            <v>35</v>
          </cell>
          <cell r="K71">
            <v>16</v>
          </cell>
          <cell r="L71">
            <v>14</v>
          </cell>
          <cell r="M71">
            <v>0</v>
          </cell>
          <cell r="N71">
            <v>0</v>
          </cell>
          <cell r="O71">
            <v>30</v>
          </cell>
          <cell r="P71">
            <v>57</v>
          </cell>
          <cell r="Q71">
            <v>1.71</v>
          </cell>
          <cell r="R71">
            <v>174.59</v>
          </cell>
          <cell r="S71">
            <v>120</v>
          </cell>
          <cell r="T71">
            <v>2</v>
          </cell>
          <cell r="U71">
            <v>5</v>
          </cell>
          <cell r="V71">
            <v>4.5</v>
          </cell>
          <cell r="W71">
            <v>174.59</v>
          </cell>
          <cell r="X71">
            <v>120</v>
          </cell>
          <cell r="Y71">
            <v>2</v>
          </cell>
          <cell r="Z71">
            <v>5</v>
          </cell>
          <cell r="AA71">
            <v>44.067187499999996</v>
          </cell>
          <cell r="AB71">
            <v>72</v>
          </cell>
          <cell r="AD71">
            <v>42.304499999999997</v>
          </cell>
          <cell r="AH71">
            <v>0</v>
          </cell>
          <cell r="AI71">
            <v>0</v>
          </cell>
          <cell r="AJ71">
            <v>0</v>
          </cell>
          <cell r="AK71">
            <v>0</v>
          </cell>
          <cell r="AL71">
            <v>15.108750000000001</v>
          </cell>
          <cell r="AM71">
            <v>126.9135</v>
          </cell>
          <cell r="AN71">
            <v>27</v>
          </cell>
          <cell r="AO71">
            <v>-11.34835</v>
          </cell>
          <cell r="AP71">
            <v>128</v>
          </cell>
          <cell r="AQ71">
            <v>745.63558750000004</v>
          </cell>
          <cell r="AR71">
            <v>11.34835</v>
          </cell>
          <cell r="AT71">
            <v>11.34835</v>
          </cell>
          <cell r="AU71">
            <v>734.28723750000006</v>
          </cell>
          <cell r="AV71" t="str">
            <v>One Month GOSI of October &amp; 5 Rials Ration of Oct</v>
          </cell>
          <cell r="AX71">
            <v>206</v>
          </cell>
          <cell r="AZ71" t="str">
            <v>Azan Sulaiman Mohamed</v>
          </cell>
          <cell r="BA71">
            <v>2037912929</v>
          </cell>
          <cell r="BB71" t="str">
            <v>OIB</v>
          </cell>
          <cell r="BC71" t="str">
            <v>Nizwa</v>
          </cell>
          <cell r="BD71">
            <v>734.28723750000006</v>
          </cell>
        </row>
        <row r="72">
          <cell r="B72">
            <v>207</v>
          </cell>
          <cell r="C72" t="str">
            <v>Seif Abdullah Seif</v>
          </cell>
          <cell r="D72" t="str">
            <v>Group Foreman/L.Driver</v>
          </cell>
          <cell r="E72" t="str">
            <v>07.06.04</v>
          </cell>
          <cell r="F72">
            <v>1.9055769230769233</v>
          </cell>
          <cell r="G72">
            <v>1.190985576923077</v>
          </cell>
          <cell r="H72">
            <v>21</v>
          </cell>
          <cell r="I72">
            <v>107.5</v>
          </cell>
          <cell r="K72">
            <v>23</v>
          </cell>
          <cell r="L72">
            <v>7</v>
          </cell>
          <cell r="M72">
            <v>0</v>
          </cell>
          <cell r="N72">
            <v>0</v>
          </cell>
          <cell r="O72">
            <v>30</v>
          </cell>
          <cell r="P72">
            <v>55</v>
          </cell>
          <cell r="Q72">
            <v>1.65</v>
          </cell>
          <cell r="R72">
            <v>165.15</v>
          </cell>
          <cell r="S72">
            <v>85</v>
          </cell>
          <cell r="T72">
            <v>2</v>
          </cell>
          <cell r="U72">
            <v>5</v>
          </cell>
          <cell r="V72">
            <v>4.5</v>
          </cell>
          <cell r="W72">
            <v>165.15</v>
          </cell>
          <cell r="X72">
            <v>85</v>
          </cell>
          <cell r="Y72">
            <v>2</v>
          </cell>
          <cell r="Z72">
            <v>5</v>
          </cell>
          <cell r="AA72">
            <v>128.03094951923077</v>
          </cell>
          <cell r="AB72">
            <v>103.5</v>
          </cell>
          <cell r="AD72">
            <v>40.017115384615387</v>
          </cell>
          <cell r="AH72">
            <v>0</v>
          </cell>
          <cell r="AI72">
            <v>0</v>
          </cell>
          <cell r="AJ72">
            <v>0</v>
          </cell>
          <cell r="AK72">
            <v>0</v>
          </cell>
          <cell r="AL72">
            <v>0</v>
          </cell>
          <cell r="AM72">
            <v>0</v>
          </cell>
          <cell r="AN72">
            <v>0</v>
          </cell>
          <cell r="AP72">
            <v>0</v>
          </cell>
          <cell r="AQ72">
            <v>528.6980649038461</v>
          </cell>
          <cell r="AR72">
            <v>10.73475</v>
          </cell>
          <cell r="AT72">
            <v>10.73475</v>
          </cell>
          <cell r="AU72">
            <v>517.96331490384614</v>
          </cell>
          <cell r="AX72">
            <v>207</v>
          </cell>
          <cell r="AZ72" t="str">
            <v>Seif Abdullah Seif</v>
          </cell>
          <cell r="BA72" t="str">
            <v>1010-262417-017</v>
          </cell>
          <cell r="BB72" t="str">
            <v>NBO</v>
          </cell>
          <cell r="BC72" t="str">
            <v>Nizwa</v>
          </cell>
          <cell r="BD72">
            <v>517.96331490384614</v>
          </cell>
        </row>
        <row r="73">
          <cell r="B73">
            <v>208</v>
          </cell>
          <cell r="C73" t="str">
            <v>Salim Said Saloum Al Ghafri</v>
          </cell>
          <cell r="D73" t="str">
            <v>Labour</v>
          </cell>
          <cell r="E73" t="str">
            <v>07.06.04</v>
          </cell>
          <cell r="F73">
            <v>1.788692307692308</v>
          </cell>
          <cell r="G73">
            <v>1.1179326923076924</v>
          </cell>
          <cell r="H73">
            <v>20</v>
          </cell>
          <cell r="I73">
            <v>74</v>
          </cell>
          <cell r="K73">
            <v>23</v>
          </cell>
          <cell r="L73">
            <v>7</v>
          </cell>
          <cell r="M73">
            <v>0</v>
          </cell>
          <cell r="N73">
            <v>0</v>
          </cell>
          <cell r="O73">
            <v>30</v>
          </cell>
          <cell r="P73">
            <v>56</v>
          </cell>
          <cell r="Q73">
            <v>1.68</v>
          </cell>
          <cell r="R73">
            <v>155.02000000000001</v>
          </cell>
          <cell r="S73">
            <v>85</v>
          </cell>
          <cell r="T73">
            <v>2</v>
          </cell>
          <cell r="U73">
            <v>5</v>
          </cell>
          <cell r="V73">
            <v>4.5</v>
          </cell>
          <cell r="W73">
            <v>155.02000000000001</v>
          </cell>
          <cell r="X73">
            <v>85</v>
          </cell>
          <cell r="Y73">
            <v>2</v>
          </cell>
          <cell r="Z73">
            <v>5</v>
          </cell>
          <cell r="AA73">
            <v>82.727019230769244</v>
          </cell>
          <cell r="AB73">
            <v>103.5</v>
          </cell>
          <cell r="AD73">
            <v>35.773846153846158</v>
          </cell>
          <cell r="AH73">
            <v>0</v>
          </cell>
          <cell r="AI73">
            <v>0</v>
          </cell>
          <cell r="AJ73">
            <v>0</v>
          </cell>
          <cell r="AK73">
            <v>0</v>
          </cell>
          <cell r="AL73">
            <v>8.9434615384615395</v>
          </cell>
          <cell r="AM73">
            <v>107.32153846153848</v>
          </cell>
          <cell r="AN73">
            <v>4.5</v>
          </cell>
          <cell r="AP73">
            <v>123</v>
          </cell>
          <cell r="AQ73">
            <v>712.78586538461536</v>
          </cell>
          <cell r="AR73">
            <v>10.076300000000002</v>
          </cell>
          <cell r="AT73">
            <v>10.076300000000002</v>
          </cell>
          <cell r="AU73">
            <v>702.70956538461542</v>
          </cell>
          <cell r="AX73">
            <v>208</v>
          </cell>
          <cell r="AZ73" t="str">
            <v>Salim Said Saloum Al Ghafri</v>
          </cell>
          <cell r="BA73" t="str">
            <v>22-090377-20</v>
          </cell>
          <cell r="BB73" t="str">
            <v>OIB</v>
          </cell>
          <cell r="BC73" t="str">
            <v>Ibri</v>
          </cell>
          <cell r="BD73">
            <v>702.70956538461542</v>
          </cell>
        </row>
        <row r="74">
          <cell r="B74">
            <v>210</v>
          </cell>
          <cell r="C74" t="str">
            <v>Musallam Salim Said Al Hinai</v>
          </cell>
          <cell r="D74" t="str">
            <v>Labour</v>
          </cell>
          <cell r="E74" t="str">
            <v>07.06.04</v>
          </cell>
          <cell r="F74">
            <v>1.7338846153846157</v>
          </cell>
          <cell r="G74">
            <v>1.0836778846153847</v>
          </cell>
          <cell r="H74">
            <v>21</v>
          </cell>
          <cell r="I74">
            <v>85</v>
          </cell>
          <cell r="K74">
            <v>16</v>
          </cell>
          <cell r="L74">
            <v>14</v>
          </cell>
          <cell r="M74">
            <v>0</v>
          </cell>
          <cell r="N74">
            <v>0</v>
          </cell>
          <cell r="O74">
            <v>30</v>
          </cell>
          <cell r="P74">
            <v>58</v>
          </cell>
          <cell r="Q74">
            <v>1.74</v>
          </cell>
          <cell r="R74">
            <v>150.27000000000001</v>
          </cell>
          <cell r="S74">
            <v>85</v>
          </cell>
          <cell r="T74">
            <v>2</v>
          </cell>
          <cell r="U74">
            <v>5</v>
          </cell>
          <cell r="V74">
            <v>4.5</v>
          </cell>
          <cell r="W74">
            <v>150.27000000000001</v>
          </cell>
          <cell r="X74">
            <v>85</v>
          </cell>
          <cell r="Y74">
            <v>2</v>
          </cell>
          <cell r="Z74">
            <v>5</v>
          </cell>
          <cell r="AA74">
            <v>92.112620192307702</v>
          </cell>
          <cell r="AB74">
            <v>72</v>
          </cell>
          <cell r="AD74">
            <v>36.411576923076929</v>
          </cell>
          <cell r="AH74">
            <v>0</v>
          </cell>
          <cell r="AI74">
            <v>0</v>
          </cell>
          <cell r="AJ74">
            <v>0</v>
          </cell>
          <cell r="AK74">
            <v>0</v>
          </cell>
          <cell r="AL74">
            <v>85.610552884615387</v>
          </cell>
          <cell r="AM74">
            <v>0</v>
          </cell>
          <cell r="AN74">
            <v>0</v>
          </cell>
          <cell r="AP74">
            <v>0</v>
          </cell>
          <cell r="AQ74">
            <v>528.40475000000004</v>
          </cell>
          <cell r="AR74">
            <v>9.7675500000000017</v>
          </cell>
          <cell r="AT74">
            <v>9.7675500000000017</v>
          </cell>
          <cell r="AU74">
            <v>518.63720000000001</v>
          </cell>
          <cell r="AX74">
            <v>210</v>
          </cell>
          <cell r="AZ74" t="str">
            <v>Musallam Salim Said Al Hinai</v>
          </cell>
          <cell r="BA74" t="str">
            <v>21-006762-29</v>
          </cell>
          <cell r="BB74" t="str">
            <v>OIB</v>
          </cell>
          <cell r="BC74" t="str">
            <v>Bahla</v>
          </cell>
          <cell r="BD74">
            <v>518.63720000000001</v>
          </cell>
        </row>
        <row r="75">
          <cell r="B75">
            <v>216</v>
          </cell>
          <cell r="C75" t="str">
            <v>Abdullah Sulaiman Taeeb Al Hinai</v>
          </cell>
          <cell r="D75" t="str">
            <v>Geophysical Asst/Cable</v>
          </cell>
          <cell r="E75" t="str">
            <v>07.06.04</v>
          </cell>
          <cell r="F75">
            <v>1.9663846153846154</v>
          </cell>
          <cell r="G75">
            <v>1.2289903846153847</v>
          </cell>
          <cell r="H75">
            <v>0</v>
          </cell>
          <cell r="I75">
            <v>84</v>
          </cell>
          <cell r="K75">
            <v>21</v>
          </cell>
          <cell r="L75">
            <v>9</v>
          </cell>
          <cell r="M75">
            <v>0</v>
          </cell>
          <cell r="N75">
            <v>0</v>
          </cell>
          <cell r="O75">
            <v>30</v>
          </cell>
          <cell r="P75">
            <v>58</v>
          </cell>
          <cell r="Q75">
            <v>1.74</v>
          </cell>
          <cell r="R75">
            <v>170.42</v>
          </cell>
          <cell r="S75">
            <v>85</v>
          </cell>
          <cell r="T75">
            <v>2</v>
          </cell>
          <cell r="U75">
            <v>5</v>
          </cell>
          <cell r="V75">
            <v>4.5</v>
          </cell>
          <cell r="W75">
            <v>170.42</v>
          </cell>
          <cell r="X75">
            <v>85</v>
          </cell>
          <cell r="Y75">
            <v>2</v>
          </cell>
          <cell r="Z75">
            <v>5</v>
          </cell>
          <cell r="AA75">
            <v>103.23519230769232</v>
          </cell>
          <cell r="AB75">
            <v>94.5</v>
          </cell>
          <cell r="AD75">
            <v>0</v>
          </cell>
          <cell r="AH75">
            <v>0</v>
          </cell>
          <cell r="AI75">
            <v>0</v>
          </cell>
          <cell r="AJ75">
            <v>0</v>
          </cell>
          <cell r="AK75">
            <v>0</v>
          </cell>
          <cell r="AL75">
            <v>54.075576923076923</v>
          </cell>
          <cell r="AM75">
            <v>141.57969230769231</v>
          </cell>
          <cell r="AN75">
            <v>27</v>
          </cell>
          <cell r="AP75">
            <v>123</v>
          </cell>
          <cell r="AQ75">
            <v>805.81046153846148</v>
          </cell>
          <cell r="AR75">
            <v>11.077299999999999</v>
          </cell>
          <cell r="AT75">
            <v>11.077299999999999</v>
          </cell>
          <cell r="AU75">
            <v>794.73316153846145</v>
          </cell>
          <cell r="AX75">
            <v>216</v>
          </cell>
          <cell r="AZ75" t="str">
            <v>Abdullah Sulaiman Taeeb Al Hinai</v>
          </cell>
          <cell r="BA75" t="str">
            <v>1012-246551-017</v>
          </cell>
          <cell r="BB75" t="str">
            <v>NBO</v>
          </cell>
          <cell r="BC75" t="str">
            <v>Ibri</v>
          </cell>
          <cell r="BD75">
            <v>794.73316153846145</v>
          </cell>
        </row>
        <row r="76">
          <cell r="B76">
            <v>217</v>
          </cell>
          <cell r="C76" t="str">
            <v>Salim Sulaiman Taeeb Al Hinai</v>
          </cell>
          <cell r="D76" t="str">
            <v>Vib Operator</v>
          </cell>
          <cell r="E76" t="str">
            <v>07.06.04</v>
          </cell>
          <cell r="F76">
            <v>2.3282307692307693</v>
          </cell>
          <cell r="G76">
            <v>1.4551442307692308</v>
          </cell>
          <cell r="H76">
            <v>0</v>
          </cell>
          <cell r="I76">
            <v>176</v>
          </cell>
          <cell r="K76">
            <v>21</v>
          </cell>
          <cell r="L76">
            <v>9</v>
          </cell>
          <cell r="M76">
            <v>0</v>
          </cell>
          <cell r="N76">
            <v>0</v>
          </cell>
          <cell r="O76">
            <v>30</v>
          </cell>
          <cell r="P76">
            <v>65</v>
          </cell>
          <cell r="Q76">
            <v>1.95</v>
          </cell>
          <cell r="R76">
            <v>201.78</v>
          </cell>
          <cell r="S76">
            <v>120</v>
          </cell>
          <cell r="T76">
            <v>2</v>
          </cell>
          <cell r="U76">
            <v>5</v>
          </cell>
          <cell r="V76">
            <v>4.5</v>
          </cell>
          <cell r="W76">
            <v>201.78</v>
          </cell>
          <cell r="X76">
            <v>120</v>
          </cell>
          <cell r="Y76">
            <v>2</v>
          </cell>
          <cell r="Z76">
            <v>5</v>
          </cell>
          <cell r="AA76">
            <v>256.10538461538465</v>
          </cell>
          <cell r="AB76">
            <v>94.5</v>
          </cell>
          <cell r="AD76">
            <v>0</v>
          </cell>
          <cell r="AH76">
            <v>0</v>
          </cell>
          <cell r="AI76">
            <v>0</v>
          </cell>
          <cell r="AJ76">
            <v>0</v>
          </cell>
          <cell r="AK76">
            <v>0</v>
          </cell>
          <cell r="AL76">
            <v>0</v>
          </cell>
          <cell r="AM76">
            <v>237.47953846153848</v>
          </cell>
          <cell r="AN76">
            <v>27</v>
          </cell>
          <cell r="AP76">
            <v>123</v>
          </cell>
          <cell r="AQ76">
            <v>1066.8649230769231</v>
          </cell>
          <cell r="AR76">
            <v>13.1157</v>
          </cell>
          <cell r="AT76">
            <v>13.1157</v>
          </cell>
          <cell r="AU76">
            <v>1053.749223076923</v>
          </cell>
          <cell r="AX76">
            <v>217</v>
          </cell>
          <cell r="AZ76" t="str">
            <v>Salim Sulaiman Taeeb Al Hinai</v>
          </cell>
          <cell r="BA76" t="str">
            <v>27-031814-20</v>
          </cell>
          <cell r="BB76" t="str">
            <v>OIB</v>
          </cell>
          <cell r="BC76" t="str">
            <v>Sleef</v>
          </cell>
          <cell r="BD76">
            <v>1053.749223076923</v>
          </cell>
        </row>
        <row r="77">
          <cell r="B77">
            <v>229</v>
          </cell>
          <cell r="C77" t="str">
            <v>Said Marhoun Said Al Hattali</v>
          </cell>
          <cell r="D77" t="str">
            <v>Vib Operator</v>
          </cell>
          <cell r="E77" t="str">
            <v>07.06.04</v>
          </cell>
          <cell r="F77">
            <v>2.5141153846153843</v>
          </cell>
          <cell r="G77">
            <v>1.5713221153846151</v>
          </cell>
          <cell r="H77">
            <v>34</v>
          </cell>
          <cell r="I77">
            <v>183</v>
          </cell>
          <cell r="K77">
            <v>23</v>
          </cell>
          <cell r="L77">
            <v>7</v>
          </cell>
          <cell r="M77">
            <v>0</v>
          </cell>
          <cell r="N77">
            <v>0</v>
          </cell>
          <cell r="O77">
            <v>30</v>
          </cell>
          <cell r="P77">
            <v>64</v>
          </cell>
          <cell r="Q77">
            <v>1.92</v>
          </cell>
          <cell r="R77">
            <v>217.89</v>
          </cell>
          <cell r="S77">
            <v>120</v>
          </cell>
          <cell r="T77">
            <v>2</v>
          </cell>
          <cell r="U77">
            <v>5</v>
          </cell>
          <cell r="V77">
            <v>4.5</v>
          </cell>
          <cell r="W77">
            <v>217.89</v>
          </cell>
          <cell r="X77">
            <v>120</v>
          </cell>
          <cell r="Y77">
            <v>2</v>
          </cell>
          <cell r="Z77">
            <v>5</v>
          </cell>
          <cell r="AA77">
            <v>287.55194711538456</v>
          </cell>
          <cell r="AB77">
            <v>103.5</v>
          </cell>
          <cell r="AD77">
            <v>85.479923076923072</v>
          </cell>
          <cell r="AH77">
            <v>0</v>
          </cell>
          <cell r="AI77">
            <v>0</v>
          </cell>
          <cell r="AJ77">
            <v>0</v>
          </cell>
          <cell r="AK77">
            <v>0</v>
          </cell>
          <cell r="AL77">
            <v>0</v>
          </cell>
          <cell r="AM77">
            <v>256.43976923076917</v>
          </cell>
          <cell r="AN77">
            <v>27</v>
          </cell>
          <cell r="AP77">
            <v>123</v>
          </cell>
          <cell r="AQ77">
            <v>1227.8616394230769</v>
          </cell>
          <cell r="AR77">
            <v>14.162849999999999</v>
          </cell>
          <cell r="AT77">
            <v>14.162849999999999</v>
          </cell>
          <cell r="AU77">
            <v>1213.698789423077</v>
          </cell>
          <cell r="AX77">
            <v>229</v>
          </cell>
          <cell r="AZ77" t="str">
            <v>Said Marhoun Said Al Hattali</v>
          </cell>
          <cell r="BA77" t="str">
            <v>129-10515-0084-018</v>
          </cell>
          <cell r="BB77" t="str">
            <v>Bank Muscat</v>
          </cell>
          <cell r="BC77" t="str">
            <v>Adam</v>
          </cell>
          <cell r="BD77">
            <v>1213.698789423077</v>
          </cell>
        </row>
        <row r="78">
          <cell r="B78">
            <v>230</v>
          </cell>
          <cell r="C78" t="str">
            <v>Sammi Eid Khamis Al Sawafi</v>
          </cell>
          <cell r="D78" t="str">
            <v>Labour</v>
          </cell>
          <cell r="E78" t="str">
            <v>07.06.04</v>
          </cell>
          <cell r="F78">
            <v>1.7066538461538463</v>
          </cell>
          <cell r="G78">
            <v>1.066658653846154</v>
          </cell>
          <cell r="H78">
            <v>24</v>
          </cell>
          <cell r="I78">
            <v>83</v>
          </cell>
          <cell r="K78">
            <v>16</v>
          </cell>
          <cell r="L78">
            <v>14</v>
          </cell>
          <cell r="M78">
            <v>0</v>
          </cell>
          <cell r="N78">
            <v>0</v>
          </cell>
          <cell r="O78">
            <v>30</v>
          </cell>
          <cell r="P78">
            <v>61</v>
          </cell>
          <cell r="Q78">
            <v>1.8299999999999998</v>
          </cell>
          <cell r="R78">
            <v>147.91</v>
          </cell>
          <cell r="S78">
            <v>85</v>
          </cell>
          <cell r="T78">
            <v>2</v>
          </cell>
          <cell r="U78">
            <v>5</v>
          </cell>
          <cell r="V78">
            <v>4.5</v>
          </cell>
          <cell r="W78">
            <v>147.91</v>
          </cell>
          <cell r="X78">
            <v>85</v>
          </cell>
          <cell r="Y78">
            <v>2</v>
          </cell>
          <cell r="Z78">
            <v>5</v>
          </cell>
          <cell r="AA78">
            <v>88.532668269230783</v>
          </cell>
          <cell r="AB78">
            <v>72</v>
          </cell>
          <cell r="AD78">
            <v>40.959692307692308</v>
          </cell>
          <cell r="AH78">
            <v>0</v>
          </cell>
          <cell r="AI78">
            <v>0</v>
          </cell>
          <cell r="AJ78">
            <v>0</v>
          </cell>
          <cell r="AK78">
            <v>0</v>
          </cell>
          <cell r="AL78">
            <v>124.79906250000002</v>
          </cell>
          <cell r="AM78">
            <v>0</v>
          </cell>
          <cell r="AN78">
            <v>0</v>
          </cell>
          <cell r="AP78">
            <v>0</v>
          </cell>
          <cell r="AQ78">
            <v>566.20142307692311</v>
          </cell>
          <cell r="AR78">
            <v>9.6141500000000004</v>
          </cell>
          <cell r="AT78">
            <v>9.6141500000000004</v>
          </cell>
          <cell r="AU78">
            <v>556.58727307692311</v>
          </cell>
          <cell r="AX78">
            <v>230</v>
          </cell>
          <cell r="AZ78" t="str">
            <v>Sammi Eid Khamis Al Sawafi</v>
          </cell>
          <cell r="BA78" t="str">
            <v>0119-133790084012</v>
          </cell>
          <cell r="BB78" t="str">
            <v>Bank Muscat</v>
          </cell>
          <cell r="BC78" t="str">
            <v>Al Dareez</v>
          </cell>
          <cell r="BD78">
            <v>556.58727307692311</v>
          </cell>
        </row>
        <row r="79">
          <cell r="B79">
            <v>231</v>
          </cell>
          <cell r="C79" t="str">
            <v>Nasser Sulaiyam Humaid Al Sawafi</v>
          </cell>
          <cell r="D79" t="str">
            <v>Labour / Driver</v>
          </cell>
          <cell r="E79" t="str">
            <v>07.06.04</v>
          </cell>
          <cell r="F79">
            <v>1.7511923076923079</v>
          </cell>
          <cell r="G79">
            <v>1.0944951923076924</v>
          </cell>
          <cell r="H79">
            <v>20</v>
          </cell>
          <cell r="I79">
            <v>46</v>
          </cell>
          <cell r="K79">
            <v>16</v>
          </cell>
          <cell r="L79">
            <v>14</v>
          </cell>
          <cell r="M79">
            <v>0</v>
          </cell>
          <cell r="N79">
            <v>0</v>
          </cell>
          <cell r="O79">
            <v>30</v>
          </cell>
          <cell r="P79">
            <v>55</v>
          </cell>
          <cell r="Q79">
            <v>1.65</v>
          </cell>
          <cell r="R79">
            <v>151.77000000000001</v>
          </cell>
          <cell r="S79">
            <v>85</v>
          </cell>
          <cell r="T79">
            <v>2</v>
          </cell>
          <cell r="U79">
            <v>5</v>
          </cell>
          <cell r="V79">
            <v>4.5</v>
          </cell>
          <cell r="W79">
            <v>151.77000000000001</v>
          </cell>
          <cell r="X79">
            <v>85</v>
          </cell>
          <cell r="Y79">
            <v>2</v>
          </cell>
          <cell r="Z79">
            <v>5</v>
          </cell>
          <cell r="AA79">
            <v>50.346778846153853</v>
          </cell>
          <cell r="AB79">
            <v>72</v>
          </cell>
          <cell r="AD79">
            <v>35.023846153846158</v>
          </cell>
          <cell r="AH79">
            <v>0</v>
          </cell>
          <cell r="AI79">
            <v>0</v>
          </cell>
          <cell r="AJ79">
            <v>0</v>
          </cell>
          <cell r="AK79">
            <v>0</v>
          </cell>
          <cell r="AL79">
            <v>52.535769230769233</v>
          </cell>
          <cell r="AM79">
            <v>105.07153846153848</v>
          </cell>
          <cell r="AN79">
            <v>22.5</v>
          </cell>
          <cell r="AP79">
            <v>123</v>
          </cell>
          <cell r="AQ79">
            <v>704.2479326923077</v>
          </cell>
          <cell r="AR79">
            <v>9.8650500000000019</v>
          </cell>
          <cell r="AT79">
            <v>9.8650500000000019</v>
          </cell>
          <cell r="AU79">
            <v>694.3828826923077</v>
          </cell>
          <cell r="AX79">
            <v>231</v>
          </cell>
          <cell r="AZ79" t="str">
            <v>Nasser Sulaiyam Humaid Al Sawafi</v>
          </cell>
          <cell r="BA79" t="str">
            <v>0119-133780084013</v>
          </cell>
          <cell r="BB79" t="str">
            <v>Bank Muscat</v>
          </cell>
          <cell r="BC79" t="str">
            <v>Al Dareez</v>
          </cell>
          <cell r="BD79">
            <v>694.3828826923077</v>
          </cell>
        </row>
        <row r="80">
          <cell r="B80">
            <v>234</v>
          </cell>
          <cell r="C80" t="str">
            <v>Humaid Hamoud Humaid Al Hinai</v>
          </cell>
          <cell r="D80" t="str">
            <v>Vib Operator</v>
          </cell>
          <cell r="E80" t="str">
            <v>07.06.04</v>
          </cell>
          <cell r="F80">
            <v>2.2817307692307693</v>
          </cell>
          <cell r="G80">
            <v>1.4260817307692308</v>
          </cell>
          <cell r="H80">
            <v>0</v>
          </cell>
          <cell r="I80">
            <v>176</v>
          </cell>
          <cell r="K80">
            <v>21</v>
          </cell>
          <cell r="L80">
            <v>9</v>
          </cell>
          <cell r="M80">
            <v>0</v>
          </cell>
          <cell r="N80">
            <v>0</v>
          </cell>
          <cell r="O80">
            <v>30</v>
          </cell>
          <cell r="P80">
            <v>66</v>
          </cell>
          <cell r="Q80">
            <v>1.98</v>
          </cell>
          <cell r="R80">
            <v>197.75</v>
          </cell>
          <cell r="S80">
            <v>120</v>
          </cell>
          <cell r="T80">
            <v>2</v>
          </cell>
          <cell r="U80">
            <v>5</v>
          </cell>
          <cell r="V80">
            <v>4.5</v>
          </cell>
          <cell r="W80">
            <v>197.75</v>
          </cell>
          <cell r="X80">
            <v>120</v>
          </cell>
          <cell r="Y80">
            <v>2</v>
          </cell>
          <cell r="Z80">
            <v>5</v>
          </cell>
          <cell r="AA80">
            <v>250.99038461538464</v>
          </cell>
          <cell r="AB80">
            <v>94.5</v>
          </cell>
          <cell r="AD80">
            <v>0</v>
          </cell>
          <cell r="AH80">
            <v>0</v>
          </cell>
          <cell r="AI80">
            <v>0</v>
          </cell>
          <cell r="AJ80">
            <v>0</v>
          </cell>
          <cell r="AK80">
            <v>0</v>
          </cell>
          <cell r="AL80">
            <v>-22.817307692307693</v>
          </cell>
          <cell r="AM80">
            <v>232.73653846153849</v>
          </cell>
          <cell r="AN80">
            <v>18</v>
          </cell>
          <cell r="AP80">
            <v>123</v>
          </cell>
          <cell r="AQ80">
            <v>1021.1596153846153</v>
          </cell>
          <cell r="AR80">
            <v>12.85375</v>
          </cell>
          <cell r="AT80">
            <v>12.85375</v>
          </cell>
          <cell r="AU80">
            <v>1008.3058653846153</v>
          </cell>
          <cell r="AX80">
            <v>234</v>
          </cell>
          <cell r="AZ80" t="str">
            <v>Humaid Hamoud Humaid Al Hinai</v>
          </cell>
          <cell r="BA80" t="str">
            <v>0052 16335 0084 018</v>
          </cell>
          <cell r="BB80" t="str">
            <v>Bank Muscat</v>
          </cell>
          <cell r="BC80" t="str">
            <v>Al Hamra</v>
          </cell>
          <cell r="BD80">
            <v>1008.3058653846153</v>
          </cell>
        </row>
        <row r="81">
          <cell r="B81">
            <v>235</v>
          </cell>
          <cell r="C81" t="str">
            <v>Nasser Hamed Suleiman Al Shaibani</v>
          </cell>
          <cell r="D81" t="str">
            <v>Vib Operator</v>
          </cell>
          <cell r="E81" t="str">
            <v>07.06.04</v>
          </cell>
          <cell r="F81">
            <v>2.2799999999999998</v>
          </cell>
          <cell r="G81">
            <v>1.4249999999999998</v>
          </cell>
          <cell r="H81">
            <v>0</v>
          </cell>
          <cell r="I81">
            <v>176</v>
          </cell>
          <cell r="K81">
            <v>21</v>
          </cell>
          <cell r="L81">
            <v>9</v>
          </cell>
          <cell r="M81">
            <v>0</v>
          </cell>
          <cell r="N81">
            <v>0</v>
          </cell>
          <cell r="O81">
            <v>30</v>
          </cell>
          <cell r="P81">
            <v>63</v>
          </cell>
          <cell r="Q81">
            <v>1.89</v>
          </cell>
          <cell r="R81">
            <v>197.6</v>
          </cell>
          <cell r="S81">
            <v>120</v>
          </cell>
          <cell r="T81">
            <v>2</v>
          </cell>
          <cell r="U81">
            <v>5</v>
          </cell>
          <cell r="V81">
            <v>4.5</v>
          </cell>
          <cell r="W81">
            <v>197.6</v>
          </cell>
          <cell r="X81">
            <v>120</v>
          </cell>
          <cell r="Y81">
            <v>2</v>
          </cell>
          <cell r="Z81">
            <v>5</v>
          </cell>
          <cell r="AA81">
            <v>250.79999999999995</v>
          </cell>
          <cell r="AB81">
            <v>94.5</v>
          </cell>
          <cell r="AD81">
            <v>0</v>
          </cell>
          <cell r="AH81">
            <v>0</v>
          </cell>
          <cell r="AI81">
            <v>0</v>
          </cell>
          <cell r="AJ81">
            <v>0</v>
          </cell>
          <cell r="AK81">
            <v>0</v>
          </cell>
          <cell r="AL81">
            <v>0</v>
          </cell>
          <cell r="AM81">
            <v>232.55999999999997</v>
          </cell>
          <cell r="AN81">
            <v>27</v>
          </cell>
          <cell r="AP81">
            <v>123</v>
          </cell>
          <cell r="AQ81">
            <v>1052.46</v>
          </cell>
          <cell r="AR81">
            <v>12.843999999999999</v>
          </cell>
          <cell r="AT81">
            <v>12.843999999999999</v>
          </cell>
          <cell r="AU81">
            <v>1039.616</v>
          </cell>
          <cell r="AX81">
            <v>235</v>
          </cell>
          <cell r="AZ81" t="str">
            <v>Nasser Hamed Suleiman Al Shaibani</v>
          </cell>
          <cell r="BA81" t="str">
            <v>1050-265925</v>
          </cell>
          <cell r="BB81" t="str">
            <v>NBO</v>
          </cell>
          <cell r="BC81" t="str">
            <v>Mabella</v>
          </cell>
          <cell r="BD81">
            <v>1039.616</v>
          </cell>
        </row>
        <row r="82">
          <cell r="B82">
            <v>236</v>
          </cell>
          <cell r="C82" t="str">
            <v>Sulaiman Mohamed Salman Al Hinai</v>
          </cell>
          <cell r="D82" t="str">
            <v>Labour</v>
          </cell>
          <cell r="E82" t="str">
            <v>12.05.04</v>
          </cell>
          <cell r="F82">
            <v>1.6885384615384615</v>
          </cell>
          <cell r="G82">
            <v>1.0553365384615385</v>
          </cell>
          <cell r="H82">
            <v>20</v>
          </cell>
          <cell r="I82">
            <v>38</v>
          </cell>
          <cell r="K82">
            <v>13</v>
          </cell>
          <cell r="L82">
            <v>17</v>
          </cell>
          <cell r="M82">
            <v>0</v>
          </cell>
          <cell r="N82">
            <v>0</v>
          </cell>
          <cell r="O82">
            <v>30</v>
          </cell>
          <cell r="P82">
            <v>56</v>
          </cell>
          <cell r="Q82">
            <v>1.68</v>
          </cell>
          <cell r="R82">
            <v>146.34</v>
          </cell>
          <cell r="S82">
            <v>85</v>
          </cell>
          <cell r="T82">
            <v>2</v>
          </cell>
          <cell r="U82">
            <v>5</v>
          </cell>
          <cell r="V82">
            <v>4.5</v>
          </cell>
          <cell r="W82">
            <v>146.34</v>
          </cell>
          <cell r="X82">
            <v>85</v>
          </cell>
          <cell r="Y82">
            <v>2</v>
          </cell>
          <cell r="Z82">
            <v>5</v>
          </cell>
          <cell r="AA82">
            <v>40.102788461538466</v>
          </cell>
          <cell r="AB82">
            <v>58.5</v>
          </cell>
          <cell r="AD82">
            <v>33.770769230769233</v>
          </cell>
          <cell r="AH82">
            <v>0</v>
          </cell>
          <cell r="AI82">
            <v>0</v>
          </cell>
          <cell r="AJ82">
            <v>0</v>
          </cell>
          <cell r="AK82">
            <v>0</v>
          </cell>
          <cell r="AL82">
            <v>67.541538461538465</v>
          </cell>
          <cell r="AM82">
            <v>0</v>
          </cell>
          <cell r="AN82">
            <v>0</v>
          </cell>
          <cell r="AP82">
            <v>0</v>
          </cell>
          <cell r="AQ82">
            <v>438.25509615384624</v>
          </cell>
          <cell r="AR82">
            <v>9.5121000000000002</v>
          </cell>
          <cell r="AT82">
            <v>9.5121000000000002</v>
          </cell>
          <cell r="AU82">
            <v>428.74299615384626</v>
          </cell>
          <cell r="AX82">
            <v>236</v>
          </cell>
          <cell r="AZ82" t="str">
            <v>Sulaiman Mohamed Salman Al Hinai</v>
          </cell>
          <cell r="BA82" t="str">
            <v>062-19180008401-8</v>
          </cell>
          <cell r="BB82" t="str">
            <v>Bank Muscat</v>
          </cell>
          <cell r="BC82" t="str">
            <v>Bahla</v>
          </cell>
          <cell r="BD82">
            <v>428.74299615384626</v>
          </cell>
        </row>
        <row r="83">
          <cell r="B83">
            <v>239</v>
          </cell>
          <cell r="C83" t="str">
            <v>Ahmed Ali Khamis Al Azri</v>
          </cell>
          <cell r="D83" t="str">
            <v>Light Drv / Bus Drv</v>
          </cell>
          <cell r="E83" t="str">
            <v>07.06.04</v>
          </cell>
          <cell r="F83">
            <v>1.7672307692307694</v>
          </cell>
          <cell r="G83">
            <v>1.1045192307692309</v>
          </cell>
          <cell r="H83">
            <v>21</v>
          </cell>
          <cell r="I83">
            <v>35</v>
          </cell>
          <cell r="K83">
            <v>16</v>
          </cell>
          <cell r="L83">
            <v>14</v>
          </cell>
          <cell r="M83">
            <v>0</v>
          </cell>
          <cell r="N83">
            <v>0</v>
          </cell>
          <cell r="O83">
            <v>30</v>
          </cell>
          <cell r="P83">
            <v>63</v>
          </cell>
          <cell r="Q83">
            <v>1.89</v>
          </cell>
          <cell r="R83">
            <v>153.16</v>
          </cell>
          <cell r="S83">
            <v>85</v>
          </cell>
          <cell r="T83">
            <v>2</v>
          </cell>
          <cell r="U83">
            <v>5</v>
          </cell>
          <cell r="V83">
            <v>4.5</v>
          </cell>
          <cell r="W83">
            <v>153.16</v>
          </cell>
          <cell r="X83">
            <v>85</v>
          </cell>
          <cell r="Y83">
            <v>2</v>
          </cell>
          <cell r="Z83">
            <v>5</v>
          </cell>
          <cell r="AA83">
            <v>38.658173076923077</v>
          </cell>
          <cell r="AB83">
            <v>72</v>
          </cell>
          <cell r="AD83">
            <v>37.111846153846159</v>
          </cell>
          <cell r="AH83">
            <v>0</v>
          </cell>
          <cell r="AI83">
            <v>0</v>
          </cell>
          <cell r="AJ83">
            <v>0</v>
          </cell>
          <cell r="AK83">
            <v>0</v>
          </cell>
          <cell r="AL83">
            <v>93.884134615384625</v>
          </cell>
          <cell r="AM83">
            <v>111.33553846153848</v>
          </cell>
          <cell r="AN83">
            <v>27</v>
          </cell>
          <cell r="AP83">
            <v>123</v>
          </cell>
          <cell r="AQ83">
            <v>748.14969230769236</v>
          </cell>
          <cell r="AR83">
            <v>9.9554000000000009</v>
          </cell>
          <cell r="AT83">
            <v>9.9554000000000009</v>
          </cell>
          <cell r="AU83">
            <v>738.19429230769231</v>
          </cell>
          <cell r="AX83">
            <v>239</v>
          </cell>
          <cell r="AZ83" t="str">
            <v>Ahmed Ali Khamis Al Azri</v>
          </cell>
          <cell r="BA83" t="str">
            <v>22-150437-20</v>
          </cell>
          <cell r="BB83" t="str">
            <v>OIB</v>
          </cell>
          <cell r="BC83" t="str">
            <v>Ibri</v>
          </cell>
          <cell r="BD83">
            <v>738.19429230769231</v>
          </cell>
        </row>
        <row r="84">
          <cell r="B84">
            <v>243</v>
          </cell>
          <cell r="C84" t="str">
            <v>Hilal Mohamed Nasser Al Kindi</v>
          </cell>
          <cell r="D84" t="str">
            <v>Asst.Journy Manager</v>
          </cell>
          <cell r="E84" t="str">
            <v>07.06.04</v>
          </cell>
          <cell r="F84">
            <v>1.7342307692307695</v>
          </cell>
          <cell r="G84">
            <v>1.083894230769231</v>
          </cell>
          <cell r="H84">
            <v>20</v>
          </cell>
          <cell r="I84">
            <v>65.5</v>
          </cell>
          <cell r="K84">
            <v>16</v>
          </cell>
          <cell r="L84">
            <v>14</v>
          </cell>
          <cell r="M84">
            <v>0</v>
          </cell>
          <cell r="N84">
            <v>0</v>
          </cell>
          <cell r="O84">
            <v>30</v>
          </cell>
          <cell r="P84">
            <v>85</v>
          </cell>
          <cell r="Q84">
            <v>2.5499999999999998</v>
          </cell>
          <cell r="R84">
            <v>150.30000000000001</v>
          </cell>
          <cell r="S84">
            <v>110</v>
          </cell>
          <cell r="T84">
            <v>2</v>
          </cell>
          <cell r="U84">
            <v>5</v>
          </cell>
          <cell r="V84">
            <v>4.5</v>
          </cell>
          <cell r="W84">
            <v>150.30000000000001</v>
          </cell>
          <cell r="X84">
            <v>110</v>
          </cell>
          <cell r="Y84">
            <v>2</v>
          </cell>
          <cell r="Z84">
            <v>5</v>
          </cell>
          <cell r="AA84">
            <v>70.99507211538463</v>
          </cell>
          <cell r="AB84">
            <v>72</v>
          </cell>
          <cell r="AD84">
            <v>34.684615384615391</v>
          </cell>
          <cell r="AH84">
            <v>0</v>
          </cell>
          <cell r="AI84">
            <v>0</v>
          </cell>
          <cell r="AJ84">
            <v>0</v>
          </cell>
          <cell r="AK84">
            <v>0</v>
          </cell>
          <cell r="AL84">
            <v>173.42307692307696</v>
          </cell>
          <cell r="AM84">
            <v>104.05384615384617</v>
          </cell>
          <cell r="AN84">
            <v>27</v>
          </cell>
          <cell r="AP84">
            <v>123</v>
          </cell>
          <cell r="AQ84">
            <v>872.45661057692314</v>
          </cell>
          <cell r="AR84">
            <v>9.7695000000000007</v>
          </cell>
          <cell r="AT84">
            <v>9.7695000000000007</v>
          </cell>
          <cell r="AU84">
            <v>862.68711057692315</v>
          </cell>
          <cell r="AV84" t="str">
            <v>Housing Allowance revised to 110 from 1/11/2008</v>
          </cell>
          <cell r="AX84">
            <v>243</v>
          </cell>
          <cell r="AZ84" t="str">
            <v>Hilal Mohamed Nasser Al Kindi</v>
          </cell>
          <cell r="BA84" t="str">
            <v>002-255826-035</v>
          </cell>
          <cell r="BB84" t="str">
            <v>HSBC</v>
          </cell>
          <cell r="BC84" t="str">
            <v>Ruwi</v>
          </cell>
          <cell r="BD84">
            <v>862.68711057692315</v>
          </cell>
        </row>
        <row r="85">
          <cell r="B85">
            <v>244</v>
          </cell>
          <cell r="C85" t="str">
            <v>Shihab Sulaiman Rashid Al Gharibi</v>
          </cell>
          <cell r="D85" t="str">
            <v>Vib Operator</v>
          </cell>
          <cell r="E85" t="str">
            <v>09.06.04</v>
          </cell>
          <cell r="F85">
            <v>2.4466153846153844</v>
          </cell>
          <cell r="G85">
            <v>1.5291346153846153</v>
          </cell>
          <cell r="H85">
            <v>34</v>
          </cell>
          <cell r="I85">
            <v>119</v>
          </cell>
          <cell r="K85">
            <v>16</v>
          </cell>
          <cell r="L85">
            <v>14</v>
          </cell>
          <cell r="M85">
            <v>0</v>
          </cell>
          <cell r="N85">
            <v>0</v>
          </cell>
          <cell r="O85">
            <v>30</v>
          </cell>
          <cell r="P85">
            <v>64</v>
          </cell>
          <cell r="Q85">
            <v>1.92</v>
          </cell>
          <cell r="R85">
            <v>212.04</v>
          </cell>
          <cell r="S85">
            <v>120</v>
          </cell>
          <cell r="T85">
            <v>2</v>
          </cell>
          <cell r="U85">
            <v>5</v>
          </cell>
          <cell r="V85">
            <v>4.5</v>
          </cell>
          <cell r="W85">
            <v>212.04</v>
          </cell>
          <cell r="X85">
            <v>120</v>
          </cell>
          <cell r="Y85">
            <v>2</v>
          </cell>
          <cell r="Z85">
            <v>5</v>
          </cell>
          <cell r="AA85">
            <v>181.96701923076921</v>
          </cell>
          <cell r="AB85">
            <v>72</v>
          </cell>
          <cell r="AD85">
            <v>83.18492307692307</v>
          </cell>
          <cell r="AH85">
            <v>0</v>
          </cell>
          <cell r="AI85">
            <v>0</v>
          </cell>
          <cell r="AJ85">
            <v>0</v>
          </cell>
          <cell r="AK85">
            <v>0</v>
          </cell>
          <cell r="AL85">
            <v>-36.699230769230766</v>
          </cell>
          <cell r="AM85">
            <v>249.55476923076921</v>
          </cell>
          <cell r="AN85">
            <v>13.5</v>
          </cell>
          <cell r="AP85">
            <v>123</v>
          </cell>
          <cell r="AQ85">
            <v>1025.5474807692308</v>
          </cell>
          <cell r="AR85">
            <v>13.7826</v>
          </cell>
          <cell r="AT85">
            <v>13.7826</v>
          </cell>
          <cell r="AU85">
            <v>1011.7648807692308</v>
          </cell>
          <cell r="AX85">
            <v>244</v>
          </cell>
          <cell r="AZ85" t="str">
            <v>Shihab Sulaiman Rashid Al Gharibi</v>
          </cell>
          <cell r="BA85" t="str">
            <v>0119-131250084019</v>
          </cell>
          <cell r="BB85" t="str">
            <v>Bank Muscat</v>
          </cell>
          <cell r="BC85" t="str">
            <v>Dareez</v>
          </cell>
          <cell r="BD85">
            <v>1011.7648807692308</v>
          </cell>
        </row>
        <row r="86">
          <cell r="B86">
            <v>245</v>
          </cell>
          <cell r="C86" t="str">
            <v>Mahmoud Mohammed Said Al Hashmi</v>
          </cell>
          <cell r="D86" t="str">
            <v>GPS Operator</v>
          </cell>
          <cell r="E86" t="str">
            <v>12.05.04</v>
          </cell>
          <cell r="F86">
            <v>1.974346153846154</v>
          </cell>
          <cell r="G86">
            <v>1.2339663461538461</v>
          </cell>
          <cell r="H86">
            <v>0</v>
          </cell>
          <cell r="I86">
            <v>56.5</v>
          </cell>
          <cell r="K86">
            <v>21</v>
          </cell>
          <cell r="L86">
            <v>9</v>
          </cell>
          <cell r="M86">
            <v>0</v>
          </cell>
          <cell r="N86">
            <v>0</v>
          </cell>
          <cell r="O86">
            <v>30</v>
          </cell>
          <cell r="P86">
            <v>55</v>
          </cell>
          <cell r="Q86">
            <v>1.65</v>
          </cell>
          <cell r="R86">
            <v>171.11</v>
          </cell>
          <cell r="S86">
            <v>120</v>
          </cell>
          <cell r="T86">
            <v>2</v>
          </cell>
          <cell r="U86">
            <v>5</v>
          </cell>
          <cell r="V86">
            <v>4.5</v>
          </cell>
          <cell r="W86">
            <v>171.11</v>
          </cell>
          <cell r="X86">
            <v>120</v>
          </cell>
          <cell r="Y86">
            <v>2</v>
          </cell>
          <cell r="Z86">
            <v>5</v>
          </cell>
          <cell r="AA86">
            <v>69.719098557692305</v>
          </cell>
          <cell r="AB86">
            <v>94.5</v>
          </cell>
          <cell r="AD86">
            <v>0</v>
          </cell>
          <cell r="AH86">
            <v>0</v>
          </cell>
          <cell r="AI86">
            <v>0</v>
          </cell>
          <cell r="AJ86">
            <v>0</v>
          </cell>
          <cell r="AK86">
            <v>0</v>
          </cell>
          <cell r="AL86">
            <v>0</v>
          </cell>
          <cell r="AM86">
            <v>124.3838076923077</v>
          </cell>
          <cell r="AN86">
            <v>27</v>
          </cell>
          <cell r="AP86">
            <v>123</v>
          </cell>
          <cell r="AQ86">
            <v>736.71290625000006</v>
          </cell>
          <cell r="AR86">
            <v>11.122150000000001</v>
          </cell>
          <cell r="AT86">
            <v>11.122150000000001</v>
          </cell>
          <cell r="AU86">
            <v>725.59075625000003</v>
          </cell>
          <cell r="AX86">
            <v>245</v>
          </cell>
          <cell r="AZ86" t="str">
            <v>Mahmoud Mohammed Said Al Hashmi</v>
          </cell>
          <cell r="BA86" t="str">
            <v>28-035822-29</v>
          </cell>
          <cell r="BB86" t="str">
            <v>OIB</v>
          </cell>
          <cell r="BC86" t="str">
            <v>Adam</v>
          </cell>
          <cell r="BD86">
            <v>725.59075625000003</v>
          </cell>
        </row>
        <row r="87">
          <cell r="B87">
            <v>248</v>
          </cell>
          <cell r="C87" t="str">
            <v>Salem Sultan Muhanna Al Amri</v>
          </cell>
          <cell r="D87" t="str">
            <v>Bus Driver</v>
          </cell>
          <cell r="E87" t="str">
            <v>07.06.04</v>
          </cell>
          <cell r="F87">
            <v>1.9538076923076924</v>
          </cell>
          <cell r="G87">
            <v>1.2211298076923076</v>
          </cell>
          <cell r="H87">
            <v>21</v>
          </cell>
          <cell r="I87">
            <v>66</v>
          </cell>
          <cell r="K87">
            <v>22</v>
          </cell>
          <cell r="L87">
            <v>8</v>
          </cell>
          <cell r="M87">
            <v>0</v>
          </cell>
          <cell r="N87">
            <v>0</v>
          </cell>
          <cell r="O87">
            <v>30</v>
          </cell>
          <cell r="P87">
            <v>63</v>
          </cell>
          <cell r="Q87">
            <v>1.89</v>
          </cell>
          <cell r="R87">
            <v>169.33</v>
          </cell>
          <cell r="S87">
            <v>85</v>
          </cell>
          <cell r="T87">
            <v>2</v>
          </cell>
          <cell r="U87">
            <v>5</v>
          </cell>
          <cell r="V87">
            <v>4.5</v>
          </cell>
          <cell r="W87">
            <v>169.33</v>
          </cell>
          <cell r="X87">
            <v>85</v>
          </cell>
          <cell r="Y87">
            <v>2</v>
          </cell>
          <cell r="Z87">
            <v>5</v>
          </cell>
          <cell r="AA87">
            <v>80.594567307692301</v>
          </cell>
          <cell r="AB87">
            <v>99</v>
          </cell>
          <cell r="AD87">
            <v>41.029961538461542</v>
          </cell>
          <cell r="AH87">
            <v>0</v>
          </cell>
          <cell r="AI87">
            <v>0</v>
          </cell>
          <cell r="AJ87">
            <v>0</v>
          </cell>
          <cell r="AK87">
            <v>0</v>
          </cell>
          <cell r="AL87">
            <v>155.08348557692307</v>
          </cell>
          <cell r="AM87">
            <v>0</v>
          </cell>
          <cell r="AN87">
            <v>0</v>
          </cell>
          <cell r="AP87">
            <v>0</v>
          </cell>
          <cell r="AQ87">
            <v>637.0380144230769</v>
          </cell>
          <cell r="AR87">
            <v>11.006450000000001</v>
          </cell>
          <cell r="AT87">
            <v>11.006450000000001</v>
          </cell>
          <cell r="AU87">
            <v>626.03156442307693</v>
          </cell>
          <cell r="AX87">
            <v>248</v>
          </cell>
          <cell r="AZ87" t="str">
            <v>Salem Sultan Muhanna Al Amri</v>
          </cell>
          <cell r="BA87" t="str">
            <v>21-741970-20</v>
          </cell>
          <cell r="BB87" t="str">
            <v>OIB</v>
          </cell>
          <cell r="BC87" t="str">
            <v>Bahla</v>
          </cell>
          <cell r="BD87">
            <v>626.03156442307693</v>
          </cell>
        </row>
        <row r="88">
          <cell r="B88">
            <v>249</v>
          </cell>
          <cell r="C88" t="str">
            <v>Saeed Hamed Said Al Gharibi</v>
          </cell>
          <cell r="D88" t="str">
            <v>Labour</v>
          </cell>
          <cell r="E88" t="str">
            <v>07.06.04</v>
          </cell>
          <cell r="F88">
            <v>1.8566538461538462</v>
          </cell>
          <cell r="G88">
            <v>1.160408653846154</v>
          </cell>
          <cell r="H88">
            <v>0</v>
          </cell>
          <cell r="I88">
            <v>0</v>
          </cell>
          <cell r="K88">
            <v>0</v>
          </cell>
          <cell r="L88">
            <v>0</v>
          </cell>
          <cell r="M88">
            <v>0</v>
          </cell>
          <cell r="N88">
            <v>0</v>
          </cell>
          <cell r="O88">
            <v>0</v>
          </cell>
          <cell r="P88">
            <v>57</v>
          </cell>
          <cell r="Q88">
            <v>1.71</v>
          </cell>
          <cell r="R88">
            <v>160.91</v>
          </cell>
          <cell r="S88">
            <v>85</v>
          </cell>
          <cell r="T88">
            <v>2</v>
          </cell>
          <cell r="U88">
            <v>5</v>
          </cell>
          <cell r="V88">
            <v>4.5</v>
          </cell>
          <cell r="W88">
            <v>0</v>
          </cell>
          <cell r="X88">
            <v>0</v>
          </cell>
          <cell r="Y88">
            <v>0</v>
          </cell>
          <cell r="Z88">
            <v>0</v>
          </cell>
          <cell r="AA88">
            <v>0</v>
          </cell>
          <cell r="AB88">
            <v>0</v>
          </cell>
          <cell r="AD88">
            <v>0</v>
          </cell>
          <cell r="AH88">
            <v>0</v>
          </cell>
          <cell r="AI88">
            <v>0</v>
          </cell>
          <cell r="AJ88">
            <v>0</v>
          </cell>
          <cell r="AK88">
            <v>0</v>
          </cell>
          <cell r="AL88">
            <v>0</v>
          </cell>
          <cell r="AM88">
            <v>0</v>
          </cell>
          <cell r="AN88">
            <v>0</v>
          </cell>
          <cell r="AP88">
            <v>0</v>
          </cell>
          <cell r="AQ88">
            <v>0</v>
          </cell>
          <cell r="AT88">
            <v>0</v>
          </cell>
          <cell r="AU88">
            <v>0</v>
          </cell>
          <cell r="AV88" t="str">
            <v>30 Days HLV</v>
          </cell>
          <cell r="AX88">
            <v>249</v>
          </cell>
          <cell r="AZ88" t="str">
            <v>Saeed Hamed Said Al Gharibi</v>
          </cell>
          <cell r="BA88" t="str">
            <v>0119-106680084017</v>
          </cell>
          <cell r="BB88" t="str">
            <v>Bank Muscat</v>
          </cell>
          <cell r="BC88" t="str">
            <v>Dareez</v>
          </cell>
          <cell r="BD88">
            <v>0</v>
          </cell>
        </row>
        <row r="89">
          <cell r="B89">
            <v>252</v>
          </cell>
          <cell r="C89" t="str">
            <v>Salem Masood Khalfan</v>
          </cell>
          <cell r="D89" t="str">
            <v>Labour</v>
          </cell>
          <cell r="E89" t="str">
            <v>07.06.04</v>
          </cell>
          <cell r="F89">
            <v>1.8132230769230768</v>
          </cell>
          <cell r="G89">
            <v>1.1332644230769231</v>
          </cell>
          <cell r="H89">
            <v>28</v>
          </cell>
          <cell r="I89">
            <v>120</v>
          </cell>
          <cell r="K89">
            <v>22</v>
          </cell>
          <cell r="L89">
            <v>8</v>
          </cell>
          <cell r="M89">
            <v>0</v>
          </cell>
          <cell r="N89">
            <v>0</v>
          </cell>
          <cell r="O89">
            <v>30</v>
          </cell>
          <cell r="P89">
            <v>67</v>
          </cell>
          <cell r="Q89">
            <v>2.0099999999999998</v>
          </cell>
          <cell r="R89">
            <v>157.14599999999999</v>
          </cell>
          <cell r="S89">
            <v>85</v>
          </cell>
          <cell r="T89">
            <v>2</v>
          </cell>
          <cell r="U89">
            <v>5</v>
          </cell>
          <cell r="V89">
            <v>4.5</v>
          </cell>
          <cell r="W89">
            <v>157.14599999999999</v>
          </cell>
          <cell r="X89">
            <v>85</v>
          </cell>
          <cell r="Y89">
            <v>2</v>
          </cell>
          <cell r="Z89">
            <v>5</v>
          </cell>
          <cell r="AA89">
            <v>135.99173076923077</v>
          </cell>
          <cell r="AB89">
            <v>99</v>
          </cell>
          <cell r="AD89">
            <v>50.770246153846152</v>
          </cell>
          <cell r="AH89">
            <v>0</v>
          </cell>
          <cell r="AI89">
            <v>0</v>
          </cell>
          <cell r="AJ89">
            <v>0</v>
          </cell>
          <cell r="AK89">
            <v>0</v>
          </cell>
          <cell r="AL89">
            <v>0</v>
          </cell>
          <cell r="AM89">
            <v>130.55206153846154</v>
          </cell>
          <cell r="AN89">
            <v>27</v>
          </cell>
          <cell r="AP89">
            <v>123</v>
          </cell>
          <cell r="AQ89">
            <v>815.46003846153849</v>
          </cell>
          <cell r="AR89">
            <v>10.21449</v>
          </cell>
          <cell r="AT89">
            <v>10.21449</v>
          </cell>
          <cell r="AU89">
            <v>805.24554846153853</v>
          </cell>
          <cell r="AX89">
            <v>252</v>
          </cell>
          <cell r="AZ89" t="str">
            <v>Salem Masood Khalfan</v>
          </cell>
          <cell r="BA89" t="str">
            <v>27-054477-20</v>
          </cell>
          <cell r="BB89" t="str">
            <v>OIB</v>
          </cell>
          <cell r="BC89" t="str">
            <v>Sleef-Ibri</v>
          </cell>
          <cell r="BD89">
            <v>805.24554846153853</v>
          </cell>
        </row>
        <row r="90">
          <cell r="B90">
            <v>253</v>
          </cell>
          <cell r="C90" t="str">
            <v>Suliyam Hamad Khalfan Al Yaqoubi</v>
          </cell>
          <cell r="D90" t="str">
            <v>Chain Crew Foreman</v>
          </cell>
          <cell r="E90" t="str">
            <v>03.06.04</v>
          </cell>
          <cell r="F90">
            <v>1.938576923076923</v>
          </cell>
          <cell r="G90">
            <v>1.2116105769230769</v>
          </cell>
          <cell r="H90">
            <v>21</v>
          </cell>
          <cell r="I90">
            <v>100.5</v>
          </cell>
          <cell r="K90">
            <v>23</v>
          </cell>
          <cell r="L90">
            <v>7</v>
          </cell>
          <cell r="M90">
            <v>0</v>
          </cell>
          <cell r="N90">
            <v>0</v>
          </cell>
          <cell r="O90">
            <v>30</v>
          </cell>
          <cell r="P90">
            <v>51</v>
          </cell>
          <cell r="Q90">
            <v>1.53</v>
          </cell>
          <cell r="R90">
            <v>168.01</v>
          </cell>
          <cell r="S90">
            <v>110</v>
          </cell>
          <cell r="T90">
            <v>2</v>
          </cell>
          <cell r="U90">
            <v>5</v>
          </cell>
          <cell r="V90">
            <v>4.5</v>
          </cell>
          <cell r="W90">
            <v>168.01</v>
          </cell>
          <cell r="X90">
            <v>110</v>
          </cell>
          <cell r="Y90">
            <v>2</v>
          </cell>
          <cell r="Z90">
            <v>5</v>
          </cell>
          <cell r="AA90">
            <v>121.76686298076923</v>
          </cell>
          <cell r="AB90">
            <v>103.5</v>
          </cell>
          <cell r="AD90">
            <v>40.710115384615385</v>
          </cell>
          <cell r="AH90">
            <v>0</v>
          </cell>
          <cell r="AI90">
            <v>0</v>
          </cell>
          <cell r="AJ90">
            <v>0</v>
          </cell>
          <cell r="AK90">
            <v>0</v>
          </cell>
          <cell r="AL90">
            <v>63.003750000000004</v>
          </cell>
          <cell r="AM90">
            <v>0</v>
          </cell>
          <cell r="AN90">
            <v>0</v>
          </cell>
          <cell r="AP90">
            <v>0</v>
          </cell>
          <cell r="AQ90">
            <v>613.9907283653846</v>
          </cell>
          <cell r="AR90">
            <v>10.92065</v>
          </cell>
          <cell r="AT90">
            <v>10.92065</v>
          </cell>
          <cell r="AU90">
            <v>603.07007836538457</v>
          </cell>
          <cell r="AX90">
            <v>253</v>
          </cell>
          <cell r="AZ90" t="str">
            <v>Suliyam Hamad Khalfan Al Yaqoubi</v>
          </cell>
          <cell r="BA90" t="str">
            <v>27-054469-20</v>
          </cell>
          <cell r="BB90" t="str">
            <v>OIB</v>
          </cell>
          <cell r="BC90" t="str">
            <v>Sleef</v>
          </cell>
          <cell r="BD90">
            <v>603.07007836538457</v>
          </cell>
        </row>
        <row r="91">
          <cell r="B91">
            <v>257</v>
          </cell>
          <cell r="C91" t="str">
            <v>Zayed Suliyam Said Al Hashmi</v>
          </cell>
          <cell r="D91" t="str">
            <v>Labour</v>
          </cell>
          <cell r="E91" t="str">
            <v>07.06.04</v>
          </cell>
          <cell r="F91">
            <v>1.8023076923076922</v>
          </cell>
          <cell r="G91">
            <v>1.1264423076923076</v>
          </cell>
          <cell r="H91">
            <v>0</v>
          </cell>
          <cell r="I91">
            <v>98</v>
          </cell>
          <cell r="K91">
            <v>21</v>
          </cell>
          <cell r="L91">
            <v>9</v>
          </cell>
          <cell r="M91">
            <v>0</v>
          </cell>
          <cell r="N91">
            <v>0</v>
          </cell>
          <cell r="O91">
            <v>30</v>
          </cell>
          <cell r="P91">
            <v>57</v>
          </cell>
          <cell r="Q91">
            <v>1.71</v>
          </cell>
          <cell r="R91">
            <v>156.19999999999999</v>
          </cell>
          <cell r="S91">
            <v>85</v>
          </cell>
          <cell r="T91">
            <v>2</v>
          </cell>
          <cell r="U91">
            <v>5</v>
          </cell>
          <cell r="V91">
            <v>4.5</v>
          </cell>
          <cell r="W91">
            <v>156.19999999999999</v>
          </cell>
          <cell r="X91">
            <v>85</v>
          </cell>
          <cell r="Y91">
            <v>2</v>
          </cell>
          <cell r="Z91">
            <v>5</v>
          </cell>
          <cell r="AA91">
            <v>110.39134615384614</v>
          </cell>
          <cell r="AB91">
            <v>94.5</v>
          </cell>
          <cell r="AD91">
            <v>0</v>
          </cell>
          <cell r="AH91">
            <v>0</v>
          </cell>
          <cell r="AI91">
            <v>0</v>
          </cell>
          <cell r="AJ91">
            <v>0</v>
          </cell>
          <cell r="AK91">
            <v>0</v>
          </cell>
          <cell r="AL91">
            <v>45.057692307692307</v>
          </cell>
          <cell r="AM91">
            <v>108.13846153846153</v>
          </cell>
          <cell r="AN91">
            <v>27</v>
          </cell>
          <cell r="AP91">
            <v>123</v>
          </cell>
          <cell r="AQ91">
            <v>756.28750000000002</v>
          </cell>
          <cell r="AR91">
            <v>10.153</v>
          </cell>
          <cell r="AT91">
            <v>10.153</v>
          </cell>
          <cell r="AU91">
            <v>746.1345</v>
          </cell>
          <cell r="AX91">
            <v>257</v>
          </cell>
          <cell r="AZ91" t="str">
            <v>Zayed Suliyam Said Al Hashmi</v>
          </cell>
          <cell r="BA91" t="str">
            <v>129-225800084018</v>
          </cell>
          <cell r="BB91" t="str">
            <v>Bank Muscat</v>
          </cell>
          <cell r="BC91" t="str">
            <v>Adam</v>
          </cell>
          <cell r="BD91">
            <v>746.1345</v>
          </cell>
        </row>
        <row r="92">
          <cell r="B92">
            <v>258</v>
          </cell>
          <cell r="C92" t="str">
            <v>Saleem Said Salmee Al Khusaibi</v>
          </cell>
          <cell r="D92" t="str">
            <v>Labour</v>
          </cell>
          <cell r="E92" t="str">
            <v>07.06.04</v>
          </cell>
          <cell r="F92">
            <v>1.7338846153846157</v>
          </cell>
          <cell r="G92">
            <v>1.0836778846153847</v>
          </cell>
          <cell r="H92">
            <v>0</v>
          </cell>
          <cell r="I92">
            <v>102</v>
          </cell>
          <cell r="K92">
            <v>21</v>
          </cell>
          <cell r="L92">
            <v>9</v>
          </cell>
          <cell r="M92">
            <v>0</v>
          </cell>
          <cell r="N92">
            <v>0</v>
          </cell>
          <cell r="O92">
            <v>30</v>
          </cell>
          <cell r="P92">
            <v>55</v>
          </cell>
          <cell r="Q92">
            <v>1.65</v>
          </cell>
          <cell r="R92">
            <v>150.27000000000001</v>
          </cell>
          <cell r="S92">
            <v>85</v>
          </cell>
          <cell r="T92">
            <v>2</v>
          </cell>
          <cell r="U92">
            <v>5</v>
          </cell>
          <cell r="V92">
            <v>4.5</v>
          </cell>
          <cell r="W92">
            <v>150.27000000000001</v>
          </cell>
          <cell r="X92">
            <v>85</v>
          </cell>
          <cell r="Y92">
            <v>2</v>
          </cell>
          <cell r="Z92">
            <v>5</v>
          </cell>
          <cell r="AA92">
            <v>110.53514423076925</v>
          </cell>
          <cell r="AB92">
            <v>94.5</v>
          </cell>
          <cell r="AD92">
            <v>0</v>
          </cell>
          <cell r="AH92">
            <v>0</v>
          </cell>
          <cell r="AI92">
            <v>0</v>
          </cell>
          <cell r="AJ92">
            <v>0</v>
          </cell>
          <cell r="AK92">
            <v>0</v>
          </cell>
          <cell r="AL92">
            <v>8.6694230769230778</v>
          </cell>
          <cell r="AM92">
            <v>0</v>
          </cell>
          <cell r="AN92">
            <v>0</v>
          </cell>
          <cell r="AP92">
            <v>0</v>
          </cell>
          <cell r="AQ92">
            <v>455.97456730769233</v>
          </cell>
          <cell r="AR92">
            <v>9.7675500000000017</v>
          </cell>
          <cell r="AT92">
            <v>9.7675500000000017</v>
          </cell>
          <cell r="AU92">
            <v>446.2070173076923</v>
          </cell>
          <cell r="AX92">
            <v>258</v>
          </cell>
          <cell r="AZ92" t="str">
            <v>Saleem Said Salmee Al Khusaibi</v>
          </cell>
          <cell r="BA92" t="str">
            <v>28-003325-20</v>
          </cell>
          <cell r="BB92" t="str">
            <v>OIB</v>
          </cell>
          <cell r="BC92" t="str">
            <v>Adam</v>
          </cell>
          <cell r="BD92">
            <v>446.2070173076923</v>
          </cell>
        </row>
        <row r="93">
          <cell r="B93">
            <v>260</v>
          </cell>
          <cell r="C93" t="str">
            <v>Qasam Khamis Sulaiyam</v>
          </cell>
          <cell r="D93" t="str">
            <v>GPS Operator</v>
          </cell>
          <cell r="E93" t="str">
            <v>12.05.04</v>
          </cell>
          <cell r="F93">
            <v>1.8176538461538463</v>
          </cell>
          <cell r="G93">
            <v>1.136033653846154</v>
          </cell>
          <cell r="H93">
            <v>21</v>
          </cell>
          <cell r="I93">
            <v>52.5</v>
          </cell>
          <cell r="K93">
            <v>23</v>
          </cell>
          <cell r="L93">
            <v>7</v>
          </cell>
          <cell r="M93">
            <v>0</v>
          </cell>
          <cell r="N93">
            <v>0</v>
          </cell>
          <cell r="O93">
            <v>30</v>
          </cell>
          <cell r="P93">
            <v>53</v>
          </cell>
          <cell r="Q93">
            <v>1.5899999999999999</v>
          </cell>
          <cell r="R93">
            <v>157.53</v>
          </cell>
          <cell r="S93">
            <v>120</v>
          </cell>
          <cell r="T93">
            <v>2</v>
          </cell>
          <cell r="U93">
            <v>5</v>
          </cell>
          <cell r="V93">
            <v>4.5</v>
          </cell>
          <cell r="W93">
            <v>157.53</v>
          </cell>
          <cell r="X93">
            <v>120</v>
          </cell>
          <cell r="Y93">
            <v>2</v>
          </cell>
          <cell r="Z93">
            <v>5</v>
          </cell>
          <cell r="AA93">
            <v>59.641766826923082</v>
          </cell>
          <cell r="AB93">
            <v>103.5</v>
          </cell>
          <cell r="AD93">
            <v>38.170730769230772</v>
          </cell>
          <cell r="AH93">
            <v>0</v>
          </cell>
          <cell r="AI93">
            <v>0</v>
          </cell>
          <cell r="AJ93">
            <v>0</v>
          </cell>
          <cell r="AK93">
            <v>0</v>
          </cell>
          <cell r="AL93">
            <v>5.1121514423076926</v>
          </cell>
          <cell r="AM93">
            <v>0</v>
          </cell>
          <cell r="AN93">
            <v>4.5</v>
          </cell>
          <cell r="AP93">
            <v>0</v>
          </cell>
          <cell r="AQ93">
            <v>495.45464903846153</v>
          </cell>
          <cell r="AR93">
            <v>10.23945</v>
          </cell>
          <cell r="AT93">
            <v>10.23945</v>
          </cell>
          <cell r="AU93">
            <v>485.21519903846155</v>
          </cell>
          <cell r="AX93">
            <v>260</v>
          </cell>
          <cell r="AZ93" t="str">
            <v>Qasam Khamis Sulaiyam</v>
          </cell>
          <cell r="BA93" t="str">
            <v>169-104460084-017</v>
          </cell>
          <cell r="BB93" t="str">
            <v>Bank Muscat</v>
          </cell>
          <cell r="BC93" t="str">
            <v>Murtafat</v>
          </cell>
          <cell r="BD93">
            <v>485.21519903846155</v>
          </cell>
        </row>
        <row r="94">
          <cell r="B94">
            <v>265</v>
          </cell>
          <cell r="C94" t="str">
            <v>Nasser Mohammed Said Al Rashdi</v>
          </cell>
          <cell r="D94" t="str">
            <v>Asst.HSE Advisor</v>
          </cell>
          <cell r="E94" t="str">
            <v>07.06.04</v>
          </cell>
          <cell r="F94">
            <v>1.7815384615384617</v>
          </cell>
          <cell r="G94">
            <v>1.1134615384615385</v>
          </cell>
          <cell r="H94">
            <v>0</v>
          </cell>
          <cell r="I94">
            <v>42</v>
          </cell>
          <cell r="K94">
            <v>21</v>
          </cell>
          <cell r="L94">
            <v>9</v>
          </cell>
          <cell r="M94">
            <v>0</v>
          </cell>
          <cell r="N94">
            <v>0</v>
          </cell>
          <cell r="O94">
            <v>30</v>
          </cell>
          <cell r="P94">
            <v>66</v>
          </cell>
          <cell r="Q94">
            <v>1.98</v>
          </cell>
          <cell r="R94">
            <v>154.4</v>
          </cell>
          <cell r="S94">
            <v>110</v>
          </cell>
          <cell r="T94">
            <v>2</v>
          </cell>
          <cell r="U94">
            <v>5</v>
          </cell>
          <cell r="V94">
            <v>4.5</v>
          </cell>
          <cell r="W94">
            <v>154.4</v>
          </cell>
          <cell r="X94">
            <v>110</v>
          </cell>
          <cell r="Y94">
            <v>2</v>
          </cell>
          <cell r="Z94">
            <v>5</v>
          </cell>
          <cell r="AA94">
            <v>46.765384615384619</v>
          </cell>
          <cell r="AB94">
            <v>94.5</v>
          </cell>
          <cell r="AD94">
            <v>0</v>
          </cell>
          <cell r="AH94">
            <v>0</v>
          </cell>
          <cell r="AI94">
            <v>0</v>
          </cell>
          <cell r="AJ94">
            <v>0</v>
          </cell>
          <cell r="AK94">
            <v>0</v>
          </cell>
          <cell r="AL94">
            <v>0</v>
          </cell>
          <cell r="AM94">
            <v>106.89230769230771</v>
          </cell>
          <cell r="AN94">
            <v>27</v>
          </cell>
          <cell r="AP94">
            <v>123</v>
          </cell>
          <cell r="AQ94">
            <v>669.55769230769226</v>
          </cell>
          <cell r="AR94">
            <v>10.036000000000001</v>
          </cell>
          <cell r="AT94">
            <v>10.036000000000001</v>
          </cell>
          <cell r="AU94">
            <v>659.52169230769232</v>
          </cell>
          <cell r="AV94" t="str">
            <v>Housing Allowance revised to 110 from 1/11/2008</v>
          </cell>
          <cell r="AX94">
            <v>265</v>
          </cell>
          <cell r="AZ94" t="str">
            <v>Nasser Mohammed Said Al Rashdi</v>
          </cell>
          <cell r="BA94" t="str">
            <v>0075184030084011</v>
          </cell>
          <cell r="BB94" t="str">
            <v>Bank Muscat</v>
          </cell>
          <cell r="BC94" t="str">
            <v>Al Amerat</v>
          </cell>
          <cell r="BD94">
            <v>659.52169230769232</v>
          </cell>
        </row>
        <row r="95">
          <cell r="B95">
            <v>266</v>
          </cell>
          <cell r="C95" t="str">
            <v>Hamoud Saif Bashar Al Sabqi</v>
          </cell>
          <cell r="D95" t="str">
            <v>Line Foreman(recording)</v>
          </cell>
          <cell r="E95" t="str">
            <v>07.06.04</v>
          </cell>
          <cell r="F95">
            <v>1.9646538461538463</v>
          </cell>
          <cell r="G95">
            <v>1.2279086538461539</v>
          </cell>
          <cell r="H95">
            <v>21</v>
          </cell>
          <cell r="I95">
            <v>61</v>
          </cell>
          <cell r="K95">
            <v>20</v>
          </cell>
          <cell r="L95">
            <v>10</v>
          </cell>
          <cell r="M95">
            <v>0</v>
          </cell>
          <cell r="N95">
            <v>0</v>
          </cell>
          <cell r="O95">
            <v>30</v>
          </cell>
          <cell r="P95">
            <v>65</v>
          </cell>
          <cell r="Q95">
            <v>1.95</v>
          </cell>
          <cell r="R95">
            <v>170.27</v>
          </cell>
          <cell r="S95">
            <v>120</v>
          </cell>
          <cell r="T95">
            <v>2</v>
          </cell>
          <cell r="U95">
            <v>5</v>
          </cell>
          <cell r="V95">
            <v>4.5</v>
          </cell>
          <cell r="W95">
            <v>170.27</v>
          </cell>
          <cell r="X95">
            <v>120</v>
          </cell>
          <cell r="Y95">
            <v>2</v>
          </cell>
          <cell r="Z95">
            <v>5</v>
          </cell>
          <cell r="AA95">
            <v>74.902427884615392</v>
          </cell>
          <cell r="AB95">
            <v>90</v>
          </cell>
          <cell r="AD95">
            <v>41.257730769230776</v>
          </cell>
          <cell r="AH95">
            <v>0</v>
          </cell>
          <cell r="AI95">
            <v>0</v>
          </cell>
          <cell r="AJ95">
            <v>0</v>
          </cell>
          <cell r="AK95">
            <v>0</v>
          </cell>
          <cell r="AL95">
            <v>47.274483173076923</v>
          </cell>
          <cell r="AM95">
            <v>0</v>
          </cell>
          <cell r="AN95">
            <v>4.5</v>
          </cell>
          <cell r="AP95">
            <v>0</v>
          </cell>
          <cell r="AQ95">
            <v>555.20464182692308</v>
          </cell>
          <cell r="AR95">
            <v>11.067550000000001</v>
          </cell>
          <cell r="AT95">
            <v>11.067550000000001</v>
          </cell>
          <cell r="AU95">
            <v>544.1370918269231</v>
          </cell>
          <cell r="AX95">
            <v>266</v>
          </cell>
          <cell r="AZ95" t="str">
            <v>Hamoud Saif Bashar Al Sabqi</v>
          </cell>
          <cell r="BA95" t="str">
            <v>21-618913-20</v>
          </cell>
          <cell r="BB95" t="str">
            <v>OIB</v>
          </cell>
          <cell r="BC95" t="str">
            <v>Bahla</v>
          </cell>
          <cell r="BD95">
            <v>544.1370918269231</v>
          </cell>
        </row>
        <row r="96">
          <cell r="B96">
            <v>268</v>
          </cell>
          <cell r="C96" t="str">
            <v>Mohammed Said Mehad Al Amri</v>
          </cell>
          <cell r="D96" t="str">
            <v>GPS Operator</v>
          </cell>
          <cell r="E96" t="str">
            <v>07.06.04</v>
          </cell>
          <cell r="F96">
            <v>1.9010769230769229</v>
          </cell>
          <cell r="G96">
            <v>1.1881730769230767</v>
          </cell>
          <cell r="H96">
            <v>0</v>
          </cell>
          <cell r="I96">
            <v>74.5</v>
          </cell>
          <cell r="K96">
            <v>20</v>
          </cell>
          <cell r="L96">
            <v>9</v>
          </cell>
          <cell r="M96">
            <v>0</v>
          </cell>
          <cell r="N96">
            <v>1</v>
          </cell>
          <cell r="O96">
            <v>29</v>
          </cell>
          <cell r="P96">
            <v>59</v>
          </cell>
          <cell r="Q96">
            <v>1.77</v>
          </cell>
          <cell r="R96">
            <v>164.76</v>
          </cell>
          <cell r="S96">
            <v>85</v>
          </cell>
          <cell r="T96">
            <v>2</v>
          </cell>
          <cell r="U96">
            <v>5</v>
          </cell>
          <cell r="V96">
            <v>4.5</v>
          </cell>
          <cell r="W96">
            <v>159.268</v>
          </cell>
          <cell r="X96">
            <v>82.166666666666671</v>
          </cell>
          <cell r="Y96">
            <v>1.9333333333333333</v>
          </cell>
          <cell r="Z96">
            <v>4.833333333333333</v>
          </cell>
          <cell r="AA96">
            <v>88.51889423076922</v>
          </cell>
          <cell r="AB96">
            <v>90</v>
          </cell>
          <cell r="AD96">
            <v>0</v>
          </cell>
          <cell r="AH96">
            <v>0</v>
          </cell>
          <cell r="AI96">
            <v>0</v>
          </cell>
          <cell r="AJ96">
            <v>0</v>
          </cell>
          <cell r="AK96">
            <v>0</v>
          </cell>
          <cell r="AL96">
            <v>11.881730769230767</v>
          </cell>
          <cell r="AM96">
            <v>119.76784615384614</v>
          </cell>
          <cell r="AN96">
            <v>45</v>
          </cell>
          <cell r="AP96">
            <v>123</v>
          </cell>
          <cell r="AQ96">
            <v>726.36980448717952</v>
          </cell>
          <cell r="AR96">
            <v>10.7094</v>
          </cell>
          <cell r="AT96">
            <v>10.7094</v>
          </cell>
          <cell r="AU96">
            <v>715.66040448717956</v>
          </cell>
          <cell r="AX96">
            <v>268</v>
          </cell>
          <cell r="AZ96" t="str">
            <v>Mohammed Said Mehad Al Amri</v>
          </cell>
          <cell r="BA96" t="str">
            <v>129-223540084012</v>
          </cell>
          <cell r="BB96" t="str">
            <v>Bank Muscat</v>
          </cell>
          <cell r="BC96" t="str">
            <v>Adam</v>
          </cell>
          <cell r="BD96">
            <v>715.66040448717956</v>
          </cell>
        </row>
        <row r="97">
          <cell r="B97">
            <v>272</v>
          </cell>
          <cell r="C97" t="str">
            <v>Jaber Musalem Salim Al Hinai</v>
          </cell>
          <cell r="D97" t="str">
            <v>Heavy Duty Driver</v>
          </cell>
          <cell r="E97" t="str">
            <v>07.06.04</v>
          </cell>
          <cell r="F97">
            <v>2.0319230769230767</v>
          </cell>
          <cell r="G97">
            <v>1.269951923076923</v>
          </cell>
          <cell r="H97">
            <v>0</v>
          </cell>
          <cell r="I97">
            <v>176</v>
          </cell>
          <cell r="K97">
            <v>21</v>
          </cell>
          <cell r="L97">
            <v>9</v>
          </cell>
          <cell r="M97">
            <v>0</v>
          </cell>
          <cell r="N97">
            <v>0</v>
          </cell>
          <cell r="O97">
            <v>30</v>
          </cell>
          <cell r="P97">
            <v>61</v>
          </cell>
          <cell r="Q97">
            <v>1.8299999999999998</v>
          </cell>
          <cell r="R97">
            <v>176.1</v>
          </cell>
          <cell r="S97">
            <v>120</v>
          </cell>
          <cell r="T97">
            <v>2</v>
          </cell>
          <cell r="U97">
            <v>5</v>
          </cell>
          <cell r="V97">
            <v>4.5</v>
          </cell>
          <cell r="W97">
            <v>176.1</v>
          </cell>
          <cell r="X97">
            <v>120</v>
          </cell>
          <cell r="Y97">
            <v>2</v>
          </cell>
          <cell r="Z97">
            <v>5</v>
          </cell>
          <cell r="AA97">
            <v>223.51153846153844</v>
          </cell>
          <cell r="AB97">
            <v>94.5</v>
          </cell>
          <cell r="AD97">
            <v>0</v>
          </cell>
          <cell r="AH97">
            <v>0</v>
          </cell>
          <cell r="AI97">
            <v>0</v>
          </cell>
          <cell r="AJ97">
            <v>0</v>
          </cell>
          <cell r="AK97">
            <v>0</v>
          </cell>
          <cell r="AL97">
            <v>52.068028846153844</v>
          </cell>
          <cell r="AM97">
            <v>128.01115384615383</v>
          </cell>
          <cell r="AN97">
            <v>31.5</v>
          </cell>
          <cell r="AP97">
            <v>123</v>
          </cell>
          <cell r="AQ97">
            <v>955.6907211538462</v>
          </cell>
          <cell r="AR97">
            <v>11.4465</v>
          </cell>
          <cell r="AT97">
            <v>11.4465</v>
          </cell>
          <cell r="AU97">
            <v>944.24422115384618</v>
          </cell>
          <cell r="AX97">
            <v>272</v>
          </cell>
          <cell r="AZ97" t="str">
            <v>Jaber Musalem Salim Al Hinai</v>
          </cell>
          <cell r="BA97" t="str">
            <v>002-077188-035</v>
          </cell>
          <cell r="BB97" t="str">
            <v>HSBC</v>
          </cell>
          <cell r="BC97" t="str">
            <v>Ruwi</v>
          </cell>
          <cell r="BD97">
            <v>944.24422115384618</v>
          </cell>
        </row>
        <row r="98">
          <cell r="B98">
            <v>273</v>
          </cell>
          <cell r="C98" t="str">
            <v>Zayed Said Khamis Al Qassabi</v>
          </cell>
          <cell r="D98" t="str">
            <v>Asst Junior Observer</v>
          </cell>
          <cell r="E98" t="str">
            <v>07.06.04</v>
          </cell>
          <cell r="F98">
            <v>1.988192307692308</v>
          </cell>
          <cell r="G98">
            <v>1.2426201923076925</v>
          </cell>
          <cell r="H98">
            <v>24</v>
          </cell>
          <cell r="I98">
            <v>128</v>
          </cell>
          <cell r="K98">
            <v>23</v>
          </cell>
          <cell r="L98">
            <v>7</v>
          </cell>
          <cell r="M98">
            <v>0</v>
          </cell>
          <cell r="N98">
            <v>0</v>
          </cell>
          <cell r="O98">
            <v>30</v>
          </cell>
          <cell r="P98">
            <v>70</v>
          </cell>
          <cell r="Q98">
            <v>2.1</v>
          </cell>
          <cell r="R98">
            <v>172.31</v>
          </cell>
          <cell r="S98">
            <v>120</v>
          </cell>
          <cell r="T98">
            <v>2</v>
          </cell>
          <cell r="U98">
            <v>5</v>
          </cell>
          <cell r="V98">
            <v>4.5</v>
          </cell>
          <cell r="W98">
            <v>172.31</v>
          </cell>
          <cell r="X98">
            <v>120</v>
          </cell>
          <cell r="Y98">
            <v>2</v>
          </cell>
          <cell r="Z98">
            <v>5</v>
          </cell>
          <cell r="AA98">
            <v>159.05538461538464</v>
          </cell>
          <cell r="AB98">
            <v>103.5</v>
          </cell>
          <cell r="AD98">
            <v>47.716615384615395</v>
          </cell>
          <cell r="AH98">
            <v>0</v>
          </cell>
          <cell r="AI98">
            <v>0</v>
          </cell>
          <cell r="AJ98">
            <v>0</v>
          </cell>
          <cell r="AK98">
            <v>0</v>
          </cell>
          <cell r="AL98">
            <v>106.24402644230771</v>
          </cell>
          <cell r="AM98">
            <v>143.14984615384617</v>
          </cell>
          <cell r="AN98">
            <v>27</v>
          </cell>
          <cell r="AP98">
            <v>123</v>
          </cell>
          <cell r="AQ98">
            <v>1008.9758725961539</v>
          </cell>
          <cell r="AR98">
            <v>11.200150000000001</v>
          </cell>
          <cell r="AT98">
            <v>11.200150000000001</v>
          </cell>
          <cell r="AU98">
            <v>997.77572259615386</v>
          </cell>
          <cell r="AX98">
            <v>273</v>
          </cell>
          <cell r="AZ98" t="str">
            <v>Zayed Said Khamis Al Qassabi</v>
          </cell>
          <cell r="BA98" t="str">
            <v>002-270502-035</v>
          </cell>
          <cell r="BB98" t="str">
            <v>HSBC</v>
          </cell>
          <cell r="BC98" t="str">
            <v>Ruwi</v>
          </cell>
          <cell r="BD98">
            <v>997.77572259615386</v>
          </cell>
        </row>
        <row r="99">
          <cell r="B99">
            <v>277</v>
          </cell>
          <cell r="C99" t="str">
            <v>Musabah Muslem Salim Al Hinai</v>
          </cell>
          <cell r="D99" t="str">
            <v>Labour</v>
          </cell>
          <cell r="E99" t="str">
            <v>07.06.04</v>
          </cell>
          <cell r="F99">
            <v>1.6659230769230768</v>
          </cell>
          <cell r="G99">
            <v>1.0412019230769229</v>
          </cell>
          <cell r="H99">
            <v>24</v>
          </cell>
          <cell r="I99">
            <v>90</v>
          </cell>
          <cell r="K99">
            <v>16</v>
          </cell>
          <cell r="L99">
            <v>14</v>
          </cell>
          <cell r="M99">
            <v>0</v>
          </cell>
          <cell r="N99">
            <v>0</v>
          </cell>
          <cell r="O99">
            <v>30</v>
          </cell>
          <cell r="P99">
            <v>54</v>
          </cell>
          <cell r="Q99">
            <v>1.6199999999999999</v>
          </cell>
          <cell r="R99">
            <v>144.38</v>
          </cell>
          <cell r="S99">
            <v>85</v>
          </cell>
          <cell r="T99">
            <v>2</v>
          </cell>
          <cell r="U99">
            <v>5</v>
          </cell>
          <cell r="V99">
            <v>4.5</v>
          </cell>
          <cell r="W99">
            <v>144.38</v>
          </cell>
          <cell r="X99">
            <v>85</v>
          </cell>
          <cell r="Y99">
            <v>2</v>
          </cell>
          <cell r="Z99">
            <v>5</v>
          </cell>
          <cell r="AA99">
            <v>93.70817307692306</v>
          </cell>
          <cell r="AB99">
            <v>72</v>
          </cell>
          <cell r="AD99">
            <v>39.982153846153842</v>
          </cell>
          <cell r="AH99">
            <v>0</v>
          </cell>
          <cell r="AI99">
            <v>0</v>
          </cell>
          <cell r="AJ99">
            <v>0</v>
          </cell>
          <cell r="AK99">
            <v>0</v>
          </cell>
          <cell r="AL99">
            <v>54.142499999999991</v>
          </cell>
          <cell r="AM99">
            <v>0</v>
          </cell>
          <cell r="AN99">
            <v>0</v>
          </cell>
          <cell r="AP99">
            <v>0</v>
          </cell>
          <cell r="AQ99">
            <v>496.21282692307688</v>
          </cell>
          <cell r="AR99">
            <v>9.3847000000000005</v>
          </cell>
          <cell r="AT99">
            <v>9.3847000000000005</v>
          </cell>
          <cell r="AU99">
            <v>486.82812692307687</v>
          </cell>
          <cell r="AX99">
            <v>277</v>
          </cell>
          <cell r="AZ99" t="str">
            <v>Musabah Muslem Salim Al Hinai</v>
          </cell>
          <cell r="BA99" t="str">
            <v>1019-234692-017</v>
          </cell>
          <cell r="BB99" t="str">
            <v>NBO</v>
          </cell>
          <cell r="BC99" t="str">
            <v>Bahla</v>
          </cell>
          <cell r="BD99">
            <v>486.82812692307687</v>
          </cell>
        </row>
        <row r="100">
          <cell r="B100">
            <v>278</v>
          </cell>
          <cell r="C100" t="str">
            <v>Ali Suleiman Saif Al Hashemi</v>
          </cell>
          <cell r="D100" t="str">
            <v>Labour</v>
          </cell>
          <cell r="E100" t="str">
            <v>07.06.04</v>
          </cell>
          <cell r="F100">
            <v>1.6568076923076922</v>
          </cell>
          <cell r="G100">
            <v>1.0355048076923077</v>
          </cell>
          <cell r="H100">
            <v>0</v>
          </cell>
          <cell r="I100">
            <v>112.5</v>
          </cell>
          <cell r="K100">
            <v>21</v>
          </cell>
          <cell r="L100">
            <v>9</v>
          </cell>
          <cell r="M100">
            <v>0</v>
          </cell>
          <cell r="N100">
            <v>0</v>
          </cell>
          <cell r="O100">
            <v>30</v>
          </cell>
          <cell r="P100">
            <v>55</v>
          </cell>
          <cell r="Q100">
            <v>1.65</v>
          </cell>
          <cell r="R100">
            <v>143.59</v>
          </cell>
          <cell r="S100">
            <v>85</v>
          </cell>
          <cell r="T100">
            <v>2</v>
          </cell>
          <cell r="U100">
            <v>5</v>
          </cell>
          <cell r="V100">
            <v>4.5</v>
          </cell>
          <cell r="W100">
            <v>143.59</v>
          </cell>
          <cell r="X100">
            <v>85</v>
          </cell>
          <cell r="Y100">
            <v>2</v>
          </cell>
          <cell r="Z100">
            <v>5</v>
          </cell>
          <cell r="AA100">
            <v>116.49429086538461</v>
          </cell>
          <cell r="AB100">
            <v>94.5</v>
          </cell>
          <cell r="AC100">
            <v>21</v>
          </cell>
          <cell r="AD100">
            <v>0</v>
          </cell>
          <cell r="AH100">
            <v>0</v>
          </cell>
          <cell r="AI100">
            <v>0</v>
          </cell>
          <cell r="AJ100">
            <v>0</v>
          </cell>
          <cell r="AK100">
            <v>0</v>
          </cell>
          <cell r="AL100">
            <v>28.994134615384617</v>
          </cell>
          <cell r="AM100">
            <v>0</v>
          </cell>
          <cell r="AN100">
            <v>0</v>
          </cell>
          <cell r="AP100">
            <v>0</v>
          </cell>
          <cell r="AQ100">
            <v>496.57842548076923</v>
          </cell>
          <cell r="AR100">
            <v>9.3333500000000011</v>
          </cell>
          <cell r="AT100">
            <v>9.3333500000000011</v>
          </cell>
          <cell r="AU100">
            <v>487.24507548076923</v>
          </cell>
          <cell r="AX100">
            <v>278</v>
          </cell>
          <cell r="AZ100" t="str">
            <v>Ali Suleiman Saif Al Hashemi</v>
          </cell>
          <cell r="BA100" t="str">
            <v>21-700810-29</v>
          </cell>
          <cell r="BB100" t="str">
            <v>OIB</v>
          </cell>
          <cell r="BC100" t="str">
            <v>Bahla</v>
          </cell>
          <cell r="BD100">
            <v>487.24507548076923</v>
          </cell>
        </row>
        <row r="101">
          <cell r="B101">
            <v>284</v>
          </cell>
          <cell r="C101" t="str">
            <v>Hamed Mohammed Nasser Al Muqbali</v>
          </cell>
          <cell r="D101" t="str">
            <v>Labour</v>
          </cell>
          <cell r="E101" t="str">
            <v>07.06.04</v>
          </cell>
          <cell r="F101">
            <v>1.6768846153846155</v>
          </cell>
          <cell r="G101">
            <v>1.0480528846153847</v>
          </cell>
          <cell r="H101">
            <v>0</v>
          </cell>
          <cell r="I101">
            <v>112</v>
          </cell>
          <cell r="K101">
            <v>21</v>
          </cell>
          <cell r="L101">
            <v>9</v>
          </cell>
          <cell r="M101">
            <v>0</v>
          </cell>
          <cell r="N101">
            <v>0</v>
          </cell>
          <cell r="O101">
            <v>30</v>
          </cell>
          <cell r="P101">
            <v>52</v>
          </cell>
          <cell r="Q101">
            <v>1.56</v>
          </cell>
          <cell r="R101">
            <v>145.33000000000001</v>
          </cell>
          <cell r="S101">
            <v>85</v>
          </cell>
          <cell r="T101">
            <v>2</v>
          </cell>
          <cell r="U101">
            <v>5</v>
          </cell>
          <cell r="V101">
            <v>4.5</v>
          </cell>
          <cell r="W101">
            <v>145.33000000000001</v>
          </cell>
          <cell r="X101">
            <v>85</v>
          </cell>
          <cell r="Y101">
            <v>2</v>
          </cell>
          <cell r="Z101">
            <v>5</v>
          </cell>
          <cell r="AA101">
            <v>117.38192307692309</v>
          </cell>
          <cell r="AB101">
            <v>94.5</v>
          </cell>
          <cell r="AD101">
            <v>0</v>
          </cell>
          <cell r="AH101">
            <v>0</v>
          </cell>
          <cell r="AI101">
            <v>0</v>
          </cell>
          <cell r="AJ101">
            <v>0</v>
          </cell>
          <cell r="AK101">
            <v>0</v>
          </cell>
          <cell r="AL101">
            <v>30.917560096153849</v>
          </cell>
          <cell r="AM101">
            <v>100.61307692307693</v>
          </cell>
          <cell r="AN101">
            <v>27</v>
          </cell>
          <cell r="AP101">
            <v>123</v>
          </cell>
          <cell r="AQ101">
            <v>730.74256009615385</v>
          </cell>
          <cell r="AR101">
            <v>9.4464500000000005</v>
          </cell>
          <cell r="AT101">
            <v>9.4464500000000005</v>
          </cell>
          <cell r="AU101">
            <v>721.29611009615382</v>
          </cell>
          <cell r="AX101">
            <v>284</v>
          </cell>
          <cell r="AZ101" t="str">
            <v>Hamed Mohammed Nasser Al Muqbali</v>
          </cell>
          <cell r="BA101" t="str">
            <v>1012-346301-017</v>
          </cell>
          <cell r="BB101" t="str">
            <v>NBO</v>
          </cell>
          <cell r="BC101" t="str">
            <v>Ibri</v>
          </cell>
          <cell r="BD101">
            <v>721.29611009615382</v>
          </cell>
        </row>
        <row r="102">
          <cell r="B102">
            <v>285</v>
          </cell>
          <cell r="C102" t="str">
            <v>Youseph Said Masoud Al Gharibi</v>
          </cell>
          <cell r="D102" t="str">
            <v>Labour</v>
          </cell>
          <cell r="E102" t="str">
            <v>07.06.04</v>
          </cell>
          <cell r="F102">
            <v>1.6796538461538462</v>
          </cell>
          <cell r="G102">
            <v>1.0497836538461538</v>
          </cell>
          <cell r="H102">
            <v>24</v>
          </cell>
          <cell r="I102">
            <v>147</v>
          </cell>
          <cell r="K102">
            <v>23</v>
          </cell>
          <cell r="L102">
            <v>7</v>
          </cell>
          <cell r="M102">
            <v>0</v>
          </cell>
          <cell r="N102">
            <v>0</v>
          </cell>
          <cell r="O102">
            <v>30</v>
          </cell>
          <cell r="P102">
            <v>55</v>
          </cell>
          <cell r="Q102">
            <v>1.65</v>
          </cell>
          <cell r="R102">
            <v>145.57</v>
          </cell>
          <cell r="S102">
            <v>85</v>
          </cell>
          <cell r="T102">
            <v>2</v>
          </cell>
          <cell r="U102">
            <v>5</v>
          </cell>
          <cell r="V102">
            <v>4.5</v>
          </cell>
          <cell r="W102">
            <v>145.57</v>
          </cell>
          <cell r="X102">
            <v>85</v>
          </cell>
          <cell r="Y102">
            <v>2</v>
          </cell>
          <cell r="Z102">
            <v>5</v>
          </cell>
          <cell r="AA102">
            <v>154.31819711538461</v>
          </cell>
          <cell r="AB102">
            <v>103.5</v>
          </cell>
          <cell r="AD102">
            <v>40.311692307692311</v>
          </cell>
          <cell r="AH102">
            <v>0</v>
          </cell>
          <cell r="AI102">
            <v>0</v>
          </cell>
          <cell r="AJ102">
            <v>0</v>
          </cell>
          <cell r="AK102">
            <v>0</v>
          </cell>
          <cell r="AL102">
            <v>39.891778846153841</v>
          </cell>
          <cell r="AM102">
            <v>0</v>
          </cell>
          <cell r="AN102">
            <v>0</v>
          </cell>
          <cell r="AP102">
            <v>0</v>
          </cell>
          <cell r="AQ102">
            <v>575.59166826923069</v>
          </cell>
          <cell r="AR102">
            <v>9.4620499999999996</v>
          </cell>
          <cell r="AT102">
            <v>9.4620499999999996</v>
          </cell>
          <cell r="AU102">
            <v>566.12961826923072</v>
          </cell>
          <cell r="AX102">
            <v>285</v>
          </cell>
          <cell r="AZ102" t="str">
            <v>Youseph Said Masoud Al Gharibi</v>
          </cell>
          <cell r="BA102" t="str">
            <v>119-110280084011</v>
          </cell>
          <cell r="BB102" t="str">
            <v>Bank Muscat</v>
          </cell>
          <cell r="BC102" t="str">
            <v>Dareez</v>
          </cell>
          <cell r="BD102">
            <v>566.12961826923072</v>
          </cell>
        </row>
        <row r="103">
          <cell r="B103">
            <v>287</v>
          </cell>
          <cell r="C103" t="str">
            <v>Fadhal Khamis Rashid Al Ghafri</v>
          </cell>
          <cell r="D103" t="str">
            <v>Asst Junior Observer</v>
          </cell>
          <cell r="E103" t="str">
            <v>07.06.04</v>
          </cell>
          <cell r="F103">
            <v>1.7837307692307691</v>
          </cell>
          <cell r="G103">
            <v>1.1148317307692306</v>
          </cell>
          <cell r="H103">
            <v>24</v>
          </cell>
          <cell r="I103">
            <v>174</v>
          </cell>
          <cell r="K103">
            <v>23</v>
          </cell>
          <cell r="L103">
            <v>7</v>
          </cell>
          <cell r="M103">
            <v>0</v>
          </cell>
          <cell r="N103">
            <v>0</v>
          </cell>
          <cell r="O103">
            <v>30</v>
          </cell>
          <cell r="P103">
            <v>67</v>
          </cell>
          <cell r="Q103">
            <v>2.0099999999999998</v>
          </cell>
          <cell r="R103">
            <v>154.59</v>
          </cell>
          <cell r="S103">
            <v>110</v>
          </cell>
          <cell r="T103">
            <v>2</v>
          </cell>
          <cell r="U103">
            <v>5</v>
          </cell>
          <cell r="V103">
            <v>4.5</v>
          </cell>
          <cell r="W103">
            <v>154.59</v>
          </cell>
          <cell r="X103">
            <v>110</v>
          </cell>
          <cell r="Y103">
            <v>2</v>
          </cell>
          <cell r="Z103">
            <v>5</v>
          </cell>
          <cell r="AA103">
            <v>193.98072115384613</v>
          </cell>
          <cell r="AB103">
            <v>103.5</v>
          </cell>
          <cell r="AD103">
            <v>42.809538461538459</v>
          </cell>
          <cell r="AH103">
            <v>0</v>
          </cell>
          <cell r="AI103">
            <v>0</v>
          </cell>
          <cell r="AJ103">
            <v>0</v>
          </cell>
          <cell r="AK103">
            <v>0</v>
          </cell>
          <cell r="AL103">
            <v>111.48317307692307</v>
          </cell>
          <cell r="AM103">
            <v>0</v>
          </cell>
          <cell r="AN103">
            <v>0</v>
          </cell>
          <cell r="AP103">
            <v>0</v>
          </cell>
          <cell r="AQ103">
            <v>723.3634326923077</v>
          </cell>
          <cell r="AR103">
            <v>10.048350000000001</v>
          </cell>
          <cell r="AT103">
            <v>10.048350000000001</v>
          </cell>
          <cell r="AU103">
            <v>713.31508269230767</v>
          </cell>
          <cell r="AV103" t="str">
            <v>Housing Allowance revised to 110 from 1/11/2008</v>
          </cell>
          <cell r="AX103">
            <v>287</v>
          </cell>
          <cell r="AZ103" t="str">
            <v>Fadhal Khamis Rashid Al Ghafri</v>
          </cell>
          <cell r="BA103" t="str">
            <v>0119-129270084010</v>
          </cell>
          <cell r="BB103" t="str">
            <v>Bank Muscat</v>
          </cell>
          <cell r="BC103" t="str">
            <v>Dareez</v>
          </cell>
          <cell r="BD103">
            <v>713.31508269230767</v>
          </cell>
        </row>
        <row r="104">
          <cell r="B104">
            <v>288</v>
          </cell>
          <cell r="C104" t="str">
            <v>Hamdan Hussein Obaid Al Daral</v>
          </cell>
          <cell r="D104" t="str">
            <v>Labour</v>
          </cell>
          <cell r="E104" t="str">
            <v>07.06.04</v>
          </cell>
          <cell r="F104">
            <v>1.657846153846154</v>
          </cell>
          <cell r="G104">
            <v>1.0361538461538462</v>
          </cell>
          <cell r="H104">
            <v>0</v>
          </cell>
          <cell r="I104">
            <v>52.5</v>
          </cell>
          <cell r="K104">
            <v>21</v>
          </cell>
          <cell r="L104">
            <v>9</v>
          </cell>
          <cell r="M104">
            <v>0</v>
          </cell>
          <cell r="N104">
            <v>0</v>
          </cell>
          <cell r="O104">
            <v>30</v>
          </cell>
          <cell r="P104">
            <v>57</v>
          </cell>
          <cell r="Q104">
            <v>1.71</v>
          </cell>
          <cell r="R104">
            <v>143.68</v>
          </cell>
          <cell r="S104">
            <v>85</v>
          </cell>
          <cell r="T104">
            <v>2</v>
          </cell>
          <cell r="U104">
            <v>5</v>
          </cell>
          <cell r="V104">
            <v>4.5</v>
          </cell>
          <cell r="W104">
            <v>143.68</v>
          </cell>
          <cell r="X104">
            <v>85</v>
          </cell>
          <cell r="Y104">
            <v>2</v>
          </cell>
          <cell r="Z104">
            <v>5</v>
          </cell>
          <cell r="AA104">
            <v>54.398076923076928</v>
          </cell>
          <cell r="AB104">
            <v>94.5</v>
          </cell>
          <cell r="AC104">
            <v>21</v>
          </cell>
          <cell r="AD104">
            <v>0</v>
          </cell>
          <cell r="AH104">
            <v>0</v>
          </cell>
          <cell r="AI104">
            <v>0</v>
          </cell>
          <cell r="AJ104">
            <v>0</v>
          </cell>
          <cell r="AK104">
            <v>0</v>
          </cell>
          <cell r="AL104">
            <v>0</v>
          </cell>
          <cell r="AM104">
            <v>0</v>
          </cell>
          <cell r="AN104">
            <v>0</v>
          </cell>
          <cell r="AP104">
            <v>0</v>
          </cell>
          <cell r="AQ104">
            <v>405.57807692307694</v>
          </cell>
          <cell r="AR104">
            <v>9.3391999999999999</v>
          </cell>
          <cell r="AT104">
            <v>9.3391999999999999</v>
          </cell>
          <cell r="AU104">
            <v>396.23887692307693</v>
          </cell>
          <cell r="AX104">
            <v>288</v>
          </cell>
          <cell r="AZ104" t="str">
            <v>Hamdan Hussein Obaid Al Daral</v>
          </cell>
          <cell r="BA104" t="str">
            <v>27-098789-01</v>
          </cell>
          <cell r="BB104" t="str">
            <v>OIB</v>
          </cell>
          <cell r="BC104" t="str">
            <v>Sleef</v>
          </cell>
          <cell r="BD104">
            <v>396.23887692307693</v>
          </cell>
        </row>
        <row r="105">
          <cell r="B105">
            <v>290</v>
          </cell>
          <cell r="C105" t="str">
            <v>Salim Ali Salim Al Gharibi</v>
          </cell>
          <cell r="D105" t="str">
            <v>Labour</v>
          </cell>
          <cell r="E105" t="str">
            <v>07.06.04</v>
          </cell>
          <cell r="F105">
            <v>1.6581923076923077</v>
          </cell>
          <cell r="G105">
            <v>1.0363701923076922</v>
          </cell>
          <cell r="H105">
            <v>0</v>
          </cell>
          <cell r="I105">
            <v>0</v>
          </cell>
          <cell r="K105">
            <v>0</v>
          </cell>
          <cell r="L105">
            <v>0</v>
          </cell>
          <cell r="M105">
            <v>0</v>
          </cell>
          <cell r="N105">
            <v>0</v>
          </cell>
          <cell r="O105">
            <v>0</v>
          </cell>
          <cell r="P105">
            <v>57</v>
          </cell>
          <cell r="Q105">
            <v>1.71</v>
          </cell>
          <cell r="R105">
            <v>143.71</v>
          </cell>
          <cell r="S105">
            <v>85</v>
          </cell>
          <cell r="T105">
            <v>2</v>
          </cell>
          <cell r="U105">
            <v>5</v>
          </cell>
          <cell r="V105">
            <v>4.5</v>
          </cell>
          <cell r="W105">
            <v>0</v>
          </cell>
          <cell r="X105">
            <v>0</v>
          </cell>
          <cell r="Y105">
            <v>0</v>
          </cell>
          <cell r="Z105">
            <v>0</v>
          </cell>
          <cell r="AA105">
            <v>0</v>
          </cell>
          <cell r="AB105">
            <v>0</v>
          </cell>
          <cell r="AD105">
            <v>0</v>
          </cell>
          <cell r="AH105">
            <v>0</v>
          </cell>
          <cell r="AI105">
            <v>0</v>
          </cell>
          <cell r="AJ105">
            <v>0</v>
          </cell>
          <cell r="AK105">
            <v>0</v>
          </cell>
          <cell r="AL105">
            <v>0</v>
          </cell>
          <cell r="AM105">
            <v>0</v>
          </cell>
          <cell r="AN105">
            <v>0</v>
          </cell>
          <cell r="AP105">
            <v>0</v>
          </cell>
          <cell r="AQ105">
            <v>0</v>
          </cell>
          <cell r="AT105">
            <v>0</v>
          </cell>
          <cell r="AU105">
            <v>0</v>
          </cell>
          <cell r="AV105" t="str">
            <v>30 Days HLV</v>
          </cell>
          <cell r="AX105">
            <v>290</v>
          </cell>
          <cell r="AZ105" t="str">
            <v>Salim Ali Salim Al Gharibi</v>
          </cell>
          <cell r="BA105" t="str">
            <v>002-254340-035</v>
          </cell>
          <cell r="BB105" t="str">
            <v>HSBC</v>
          </cell>
          <cell r="BC105" t="str">
            <v>Ruwi</v>
          </cell>
          <cell r="BD105">
            <v>0</v>
          </cell>
        </row>
        <row r="106">
          <cell r="B106">
            <v>292</v>
          </cell>
          <cell r="C106" t="str">
            <v>Suleman Ali Suleman Al Mahrouqi</v>
          </cell>
          <cell r="D106" t="str">
            <v>Heavy Duty Drv / W.T</v>
          </cell>
          <cell r="E106" t="str">
            <v>07.06.04</v>
          </cell>
          <cell r="F106">
            <v>2.3770384615384614</v>
          </cell>
          <cell r="G106">
            <v>1.4856490384615384</v>
          </cell>
          <cell r="H106">
            <v>24</v>
          </cell>
          <cell r="I106">
            <v>84</v>
          </cell>
          <cell r="K106">
            <v>23</v>
          </cell>
          <cell r="L106">
            <v>7</v>
          </cell>
          <cell r="M106">
            <v>0</v>
          </cell>
          <cell r="N106">
            <v>0</v>
          </cell>
          <cell r="O106">
            <v>30</v>
          </cell>
          <cell r="P106">
            <v>62</v>
          </cell>
          <cell r="Q106">
            <v>1.8599999999999999</v>
          </cell>
          <cell r="R106">
            <v>206.01</v>
          </cell>
          <cell r="S106">
            <v>120</v>
          </cell>
          <cell r="T106">
            <v>2</v>
          </cell>
          <cell r="U106">
            <v>5</v>
          </cell>
          <cell r="V106">
            <v>4.5</v>
          </cell>
          <cell r="W106">
            <v>206.01</v>
          </cell>
          <cell r="X106">
            <v>120</v>
          </cell>
          <cell r="Y106">
            <v>2</v>
          </cell>
          <cell r="Z106">
            <v>5</v>
          </cell>
          <cell r="AA106">
            <v>124.79451923076923</v>
          </cell>
          <cell r="AB106">
            <v>103.5</v>
          </cell>
          <cell r="AD106">
            <v>57.048923076923074</v>
          </cell>
          <cell r="AH106">
            <v>0</v>
          </cell>
          <cell r="AI106">
            <v>0</v>
          </cell>
          <cell r="AJ106">
            <v>0</v>
          </cell>
          <cell r="AK106">
            <v>0</v>
          </cell>
          <cell r="AL106">
            <v>0</v>
          </cell>
          <cell r="AM106">
            <v>171.14676923076922</v>
          </cell>
          <cell r="AN106">
            <v>27</v>
          </cell>
          <cell r="AP106">
            <v>123</v>
          </cell>
          <cell r="AQ106">
            <v>939.50021153846149</v>
          </cell>
          <cell r="AR106">
            <v>13.390649999999999</v>
          </cell>
          <cell r="AT106">
            <v>13.390649999999999</v>
          </cell>
          <cell r="AU106">
            <v>926.10956153846143</v>
          </cell>
          <cell r="AX106">
            <v>292</v>
          </cell>
          <cell r="AZ106" t="str">
            <v>Suleman Ali Suleman Al Mahrouqi</v>
          </cell>
          <cell r="BA106" t="str">
            <v>28-022267-20</v>
          </cell>
          <cell r="BB106" t="str">
            <v>OIB</v>
          </cell>
          <cell r="BC106" t="str">
            <v>Adam</v>
          </cell>
          <cell r="BD106">
            <v>926.10956153846143</v>
          </cell>
        </row>
        <row r="107">
          <cell r="B107">
            <v>293</v>
          </cell>
          <cell r="C107" t="str">
            <v>Qahtan Zaher Nasser Al Gharibi</v>
          </cell>
          <cell r="D107" t="str">
            <v>Vib Operator</v>
          </cell>
          <cell r="E107" t="str">
            <v>07.06.04</v>
          </cell>
          <cell r="F107">
            <v>1.9225384615384615</v>
          </cell>
          <cell r="G107">
            <v>1.2015865384615385</v>
          </cell>
          <cell r="H107">
            <v>34</v>
          </cell>
          <cell r="I107">
            <v>119</v>
          </cell>
          <cell r="K107">
            <v>16</v>
          </cell>
          <cell r="L107">
            <v>14</v>
          </cell>
          <cell r="M107">
            <v>0</v>
          </cell>
          <cell r="N107">
            <v>0</v>
          </cell>
          <cell r="O107">
            <v>30</v>
          </cell>
          <cell r="P107">
            <v>66</v>
          </cell>
          <cell r="Q107">
            <v>1.98</v>
          </cell>
          <cell r="R107">
            <v>166.62</v>
          </cell>
          <cell r="S107">
            <v>120</v>
          </cell>
          <cell r="T107">
            <v>2</v>
          </cell>
          <cell r="U107">
            <v>5</v>
          </cell>
          <cell r="V107">
            <v>4.5</v>
          </cell>
          <cell r="W107">
            <v>166.62</v>
          </cell>
          <cell r="X107">
            <v>120</v>
          </cell>
          <cell r="Y107">
            <v>2</v>
          </cell>
          <cell r="Z107">
            <v>5</v>
          </cell>
          <cell r="AA107">
            <v>142.98879807692308</v>
          </cell>
          <cell r="AB107">
            <v>72</v>
          </cell>
          <cell r="AD107">
            <v>65.366307692307686</v>
          </cell>
          <cell r="AH107">
            <v>0</v>
          </cell>
          <cell r="AI107">
            <v>0</v>
          </cell>
          <cell r="AJ107">
            <v>0</v>
          </cell>
          <cell r="AK107">
            <v>0</v>
          </cell>
          <cell r="AL107">
            <v>0</v>
          </cell>
          <cell r="AM107">
            <v>196.09892307692309</v>
          </cell>
          <cell r="AN107">
            <v>27</v>
          </cell>
          <cell r="AP107">
            <v>123</v>
          </cell>
          <cell r="AQ107">
            <v>920.07402884615385</v>
          </cell>
          <cell r="AR107">
            <v>10.830300000000001</v>
          </cell>
          <cell r="AT107">
            <v>10.830300000000001</v>
          </cell>
          <cell r="AU107">
            <v>909.24372884615389</v>
          </cell>
          <cell r="AX107">
            <v>293</v>
          </cell>
          <cell r="AZ107" t="str">
            <v>Qahtan Zaher Nasser Al Gharibi</v>
          </cell>
          <cell r="BA107" t="str">
            <v>11911141 0084 014</v>
          </cell>
          <cell r="BB107" t="str">
            <v>Bank Muscat</v>
          </cell>
          <cell r="BC107" t="str">
            <v>Dareez</v>
          </cell>
          <cell r="BD107">
            <v>909.24372884615389</v>
          </cell>
        </row>
        <row r="108">
          <cell r="B108">
            <v>295</v>
          </cell>
          <cell r="C108" t="str">
            <v>Ibrahim Salim Said Al Ghafri</v>
          </cell>
          <cell r="D108" t="str">
            <v>Labour</v>
          </cell>
          <cell r="E108" t="str">
            <v>07.06.04</v>
          </cell>
          <cell r="F108">
            <v>1.4953846153846153</v>
          </cell>
          <cell r="G108">
            <v>0.93461538461538463</v>
          </cell>
          <cell r="H108">
            <v>20</v>
          </cell>
          <cell r="I108">
            <v>74</v>
          </cell>
          <cell r="K108">
            <v>23</v>
          </cell>
          <cell r="L108">
            <v>7</v>
          </cell>
          <cell r="M108">
            <v>0</v>
          </cell>
          <cell r="N108">
            <v>0</v>
          </cell>
          <cell r="O108">
            <v>30</v>
          </cell>
          <cell r="P108">
            <v>57</v>
          </cell>
          <cell r="Q108">
            <v>1.71</v>
          </cell>
          <cell r="R108">
            <v>129.6</v>
          </cell>
          <cell r="S108">
            <v>85</v>
          </cell>
          <cell r="T108">
            <v>2</v>
          </cell>
          <cell r="U108">
            <v>5</v>
          </cell>
          <cell r="V108">
            <v>4.5</v>
          </cell>
          <cell r="W108">
            <v>129.6</v>
          </cell>
          <cell r="X108">
            <v>85</v>
          </cell>
          <cell r="Y108">
            <v>2</v>
          </cell>
          <cell r="Z108">
            <v>5</v>
          </cell>
          <cell r="AA108">
            <v>69.161538461538456</v>
          </cell>
          <cell r="AB108">
            <v>103.5</v>
          </cell>
          <cell r="AD108">
            <v>29.907692307692308</v>
          </cell>
          <cell r="AH108">
            <v>0</v>
          </cell>
          <cell r="AI108">
            <v>0</v>
          </cell>
          <cell r="AJ108">
            <v>0</v>
          </cell>
          <cell r="AK108">
            <v>0</v>
          </cell>
          <cell r="AL108">
            <v>29.907692307692308</v>
          </cell>
          <cell r="AM108">
            <v>0</v>
          </cell>
          <cell r="AN108">
            <v>0</v>
          </cell>
          <cell r="AP108">
            <v>0</v>
          </cell>
          <cell r="AQ108">
            <v>454.07692307692304</v>
          </cell>
          <cell r="AR108">
            <v>8.4239999999999995</v>
          </cell>
          <cell r="AT108">
            <v>8.4239999999999995</v>
          </cell>
          <cell r="AU108">
            <v>445.65292307692306</v>
          </cell>
          <cell r="AX108">
            <v>295</v>
          </cell>
          <cell r="AZ108" t="str">
            <v>Ibrahim Salim Said Al Ghafri</v>
          </cell>
          <cell r="BA108" t="str">
            <v>002-248763-035</v>
          </cell>
          <cell r="BB108" t="str">
            <v>HSBC</v>
          </cell>
          <cell r="BC108" t="str">
            <v>Ruwi</v>
          </cell>
          <cell r="BD108">
            <v>445.65292307692306</v>
          </cell>
        </row>
        <row r="109">
          <cell r="B109">
            <v>297</v>
          </cell>
          <cell r="C109" t="str">
            <v>Mohamed Saif Salim Al Sawafi</v>
          </cell>
          <cell r="D109" t="str">
            <v>Heavy Duty Driver</v>
          </cell>
          <cell r="E109" t="str">
            <v>07.06.04</v>
          </cell>
          <cell r="F109">
            <v>1.6880769230769233</v>
          </cell>
          <cell r="G109">
            <v>1.055048076923077</v>
          </cell>
          <cell r="H109">
            <v>21</v>
          </cell>
          <cell r="I109">
            <v>62</v>
          </cell>
          <cell r="K109">
            <v>23</v>
          </cell>
          <cell r="L109">
            <v>7</v>
          </cell>
          <cell r="M109">
            <v>0</v>
          </cell>
          <cell r="N109">
            <v>0</v>
          </cell>
          <cell r="O109">
            <v>30</v>
          </cell>
          <cell r="P109">
            <v>65</v>
          </cell>
          <cell r="Q109">
            <v>1.95</v>
          </cell>
          <cell r="R109">
            <v>146.30000000000001</v>
          </cell>
          <cell r="S109">
            <v>85</v>
          </cell>
          <cell r="T109">
            <v>2</v>
          </cell>
          <cell r="U109">
            <v>5</v>
          </cell>
          <cell r="V109">
            <v>4.5</v>
          </cell>
          <cell r="W109">
            <v>146.30000000000001</v>
          </cell>
          <cell r="X109">
            <v>85</v>
          </cell>
          <cell r="Y109">
            <v>2</v>
          </cell>
          <cell r="Z109">
            <v>5</v>
          </cell>
          <cell r="AA109">
            <v>65.412980769230771</v>
          </cell>
          <cell r="AB109">
            <v>103.5</v>
          </cell>
          <cell r="AD109">
            <v>35.449615384615392</v>
          </cell>
          <cell r="AH109">
            <v>0</v>
          </cell>
          <cell r="AI109">
            <v>0</v>
          </cell>
          <cell r="AJ109">
            <v>0</v>
          </cell>
          <cell r="AK109">
            <v>0</v>
          </cell>
          <cell r="AL109">
            <v>34.816586538461543</v>
          </cell>
          <cell r="AM109">
            <v>0</v>
          </cell>
          <cell r="AN109">
            <v>0</v>
          </cell>
          <cell r="AP109">
            <v>0</v>
          </cell>
          <cell r="AQ109">
            <v>477.47918269230775</v>
          </cell>
          <cell r="AR109">
            <v>9.509500000000001</v>
          </cell>
          <cell r="AT109">
            <v>9.509500000000001</v>
          </cell>
          <cell r="AU109">
            <v>467.96968269230774</v>
          </cell>
          <cell r="AX109">
            <v>297</v>
          </cell>
          <cell r="AZ109" t="str">
            <v>Mohamed Saif Salim Al Sawafi</v>
          </cell>
          <cell r="BA109" t="str">
            <v>002-254530-035</v>
          </cell>
          <cell r="BB109" t="str">
            <v>HSBC</v>
          </cell>
          <cell r="BC109" t="str">
            <v>Ruwi</v>
          </cell>
          <cell r="BD109">
            <v>467.96968269230774</v>
          </cell>
        </row>
        <row r="110">
          <cell r="B110">
            <v>299</v>
          </cell>
          <cell r="C110" t="str">
            <v xml:space="preserve">Ashraf Khanfar Bukheit Al Shukeily </v>
          </cell>
          <cell r="D110" t="str">
            <v>Labour</v>
          </cell>
          <cell r="E110" t="str">
            <v>07.06.04</v>
          </cell>
          <cell r="F110">
            <v>1.4912307692307694</v>
          </cell>
          <cell r="G110">
            <v>0.93201923076923088</v>
          </cell>
          <cell r="H110">
            <v>20</v>
          </cell>
          <cell r="I110">
            <v>74</v>
          </cell>
          <cell r="K110">
            <v>23</v>
          </cell>
          <cell r="L110">
            <v>7</v>
          </cell>
          <cell r="M110">
            <v>0</v>
          </cell>
          <cell r="N110">
            <v>0</v>
          </cell>
          <cell r="O110">
            <v>30</v>
          </cell>
          <cell r="P110">
            <v>52</v>
          </cell>
          <cell r="Q110">
            <v>1.56</v>
          </cell>
          <cell r="R110">
            <v>129.24</v>
          </cell>
          <cell r="S110">
            <v>85</v>
          </cell>
          <cell r="T110">
            <v>2</v>
          </cell>
          <cell r="U110">
            <v>5</v>
          </cell>
          <cell r="V110">
            <v>4.5</v>
          </cell>
          <cell r="W110">
            <v>129.24</v>
          </cell>
          <cell r="X110">
            <v>85</v>
          </cell>
          <cell r="Y110">
            <v>2</v>
          </cell>
          <cell r="Z110">
            <v>5</v>
          </cell>
          <cell r="AA110">
            <v>68.969423076923078</v>
          </cell>
          <cell r="AB110">
            <v>103.5</v>
          </cell>
          <cell r="AD110">
            <v>29.824615384615388</v>
          </cell>
          <cell r="AH110">
            <v>0</v>
          </cell>
          <cell r="AI110">
            <v>0</v>
          </cell>
          <cell r="AJ110">
            <v>0</v>
          </cell>
          <cell r="AK110">
            <v>0</v>
          </cell>
          <cell r="AL110">
            <v>0</v>
          </cell>
          <cell r="AM110">
            <v>0</v>
          </cell>
          <cell r="AN110">
            <v>0</v>
          </cell>
          <cell r="AP110">
            <v>0</v>
          </cell>
          <cell r="AQ110">
            <v>423.5340384615385</v>
          </cell>
          <cell r="AR110">
            <v>8.4006000000000007</v>
          </cell>
          <cell r="AT110">
            <v>8.4006000000000007</v>
          </cell>
          <cell r="AU110">
            <v>415.1334384615385</v>
          </cell>
          <cell r="AX110">
            <v>299</v>
          </cell>
          <cell r="AZ110" t="str">
            <v xml:space="preserve">Ashraf Khanfar Bukheit Al Shukeily </v>
          </cell>
          <cell r="BA110" t="str">
            <v>0062133220084010</v>
          </cell>
          <cell r="BB110" t="str">
            <v>Bank Muscat</v>
          </cell>
          <cell r="BC110" t="str">
            <v>Bahla</v>
          </cell>
          <cell r="BD110">
            <v>415.1334384615385</v>
          </cell>
        </row>
        <row r="111">
          <cell r="B111">
            <v>309</v>
          </cell>
          <cell r="C111" t="str">
            <v>Badar Khamis Salim Al Hattali</v>
          </cell>
          <cell r="D111" t="str">
            <v>Labour</v>
          </cell>
          <cell r="E111" t="str">
            <v>07.06.04</v>
          </cell>
          <cell r="F111">
            <v>1.4555769230769233</v>
          </cell>
          <cell r="G111">
            <v>0.90973557692307705</v>
          </cell>
          <cell r="H111">
            <v>24</v>
          </cell>
          <cell r="I111">
            <v>28</v>
          </cell>
          <cell r="K111">
            <v>9</v>
          </cell>
          <cell r="L111">
            <v>14</v>
          </cell>
          <cell r="M111">
            <v>0</v>
          </cell>
          <cell r="N111">
            <v>0</v>
          </cell>
          <cell r="O111">
            <v>23</v>
          </cell>
          <cell r="P111">
            <v>54</v>
          </cell>
          <cell r="Q111">
            <v>1.6199999999999999</v>
          </cell>
          <cell r="R111">
            <v>126.15</v>
          </cell>
          <cell r="S111">
            <v>85</v>
          </cell>
          <cell r="T111">
            <v>2</v>
          </cell>
          <cell r="U111">
            <v>5</v>
          </cell>
          <cell r="V111">
            <v>4.5</v>
          </cell>
          <cell r="W111">
            <v>96.715000000000003</v>
          </cell>
          <cell r="X111">
            <v>65.166666666666671</v>
          </cell>
          <cell r="Y111">
            <v>1.5333333333333332</v>
          </cell>
          <cell r="Z111">
            <v>3.833333333333333</v>
          </cell>
          <cell r="AA111">
            <v>25.472596153846158</v>
          </cell>
          <cell r="AB111">
            <v>40.5</v>
          </cell>
          <cell r="AD111">
            <v>34.933846153846162</v>
          </cell>
          <cell r="AH111">
            <v>0</v>
          </cell>
          <cell r="AI111">
            <v>0</v>
          </cell>
          <cell r="AJ111">
            <v>0</v>
          </cell>
          <cell r="AK111">
            <v>0</v>
          </cell>
          <cell r="AL111">
            <v>0</v>
          </cell>
          <cell r="AM111">
            <v>104.80153846153848</v>
          </cell>
          <cell r="AN111">
            <v>27</v>
          </cell>
          <cell r="AP111">
            <v>123</v>
          </cell>
          <cell r="AQ111">
            <v>522.95631410256419</v>
          </cell>
          <cell r="AR111">
            <v>8.1997499999999999</v>
          </cell>
          <cell r="AT111">
            <v>8.1997499999999999</v>
          </cell>
          <cell r="AU111">
            <v>514.7565641025642</v>
          </cell>
          <cell r="AX111">
            <v>309</v>
          </cell>
          <cell r="AZ111" t="str">
            <v>Badar Khamis Salim Al Hattali</v>
          </cell>
          <cell r="BA111" t="str">
            <v>002-279404-035</v>
          </cell>
          <cell r="BB111" t="str">
            <v>HSBC</v>
          </cell>
          <cell r="BC111" t="str">
            <v>Ruwi</v>
          </cell>
          <cell r="BD111">
            <v>514.7565641025642</v>
          </cell>
        </row>
        <row r="112">
          <cell r="B112">
            <v>314</v>
          </cell>
          <cell r="C112" t="str">
            <v>Tariq Said Saif Al Musalhi</v>
          </cell>
          <cell r="D112" t="str">
            <v>Vib Operator</v>
          </cell>
          <cell r="E112" t="str">
            <v>17.06.04</v>
          </cell>
          <cell r="F112">
            <v>1.9403076923076923</v>
          </cell>
          <cell r="G112">
            <v>1.2126923076923077</v>
          </cell>
          <cell r="H112">
            <v>34</v>
          </cell>
          <cell r="I112">
            <v>183</v>
          </cell>
          <cell r="K112">
            <v>23</v>
          </cell>
          <cell r="L112">
            <v>7</v>
          </cell>
          <cell r="M112">
            <v>0</v>
          </cell>
          <cell r="N112">
            <v>0</v>
          </cell>
          <cell r="O112">
            <v>30</v>
          </cell>
          <cell r="P112">
            <v>64</v>
          </cell>
          <cell r="Q112">
            <v>1.92</v>
          </cell>
          <cell r="R112">
            <v>168.16</v>
          </cell>
          <cell r="S112">
            <v>120</v>
          </cell>
          <cell r="T112">
            <v>2</v>
          </cell>
          <cell r="U112">
            <v>5</v>
          </cell>
          <cell r="V112">
            <v>4.5</v>
          </cell>
          <cell r="W112">
            <v>168.16</v>
          </cell>
          <cell r="X112">
            <v>120</v>
          </cell>
          <cell r="Y112">
            <v>2</v>
          </cell>
          <cell r="Z112">
            <v>5</v>
          </cell>
          <cell r="AA112">
            <v>221.92269230769233</v>
          </cell>
          <cell r="AB112">
            <v>103.5</v>
          </cell>
          <cell r="AD112">
            <v>65.970461538461535</v>
          </cell>
          <cell r="AH112">
            <v>0</v>
          </cell>
          <cell r="AI112">
            <v>0</v>
          </cell>
          <cell r="AJ112">
            <v>0</v>
          </cell>
          <cell r="AK112">
            <v>0</v>
          </cell>
          <cell r="AL112">
            <v>0</v>
          </cell>
          <cell r="AM112">
            <v>197.91138461538461</v>
          </cell>
          <cell r="AN112">
            <v>27</v>
          </cell>
          <cell r="AP112">
            <v>123</v>
          </cell>
          <cell r="AQ112">
            <v>1034.4645384615383</v>
          </cell>
          <cell r="AR112">
            <v>10.930400000000001</v>
          </cell>
          <cell r="AT112">
            <v>10.930400000000001</v>
          </cell>
          <cell r="AU112">
            <v>1023.5341384615383</v>
          </cell>
          <cell r="AX112">
            <v>314</v>
          </cell>
          <cell r="AZ112" t="str">
            <v>Tariq Said Saif Al Musalhi</v>
          </cell>
          <cell r="BA112" t="str">
            <v>06-312086-20</v>
          </cell>
          <cell r="BB112" t="str">
            <v>OIB</v>
          </cell>
          <cell r="BC112" t="str">
            <v>Quarum</v>
          </cell>
          <cell r="BD112">
            <v>1023.5341384615383</v>
          </cell>
        </row>
        <row r="113">
          <cell r="B113">
            <v>316</v>
          </cell>
          <cell r="C113" t="str">
            <v>Najeeb Salim Yaqoout Al Hattali</v>
          </cell>
          <cell r="D113" t="str">
            <v>Labour</v>
          </cell>
          <cell r="E113" t="str">
            <v>17.06.04</v>
          </cell>
          <cell r="F113">
            <v>1.4718461538461538</v>
          </cell>
          <cell r="G113">
            <v>0.91990384615384613</v>
          </cell>
          <cell r="H113">
            <v>20</v>
          </cell>
          <cell r="I113">
            <v>79.5</v>
          </cell>
          <cell r="K113">
            <v>23</v>
          </cell>
          <cell r="L113">
            <v>7</v>
          </cell>
          <cell r="M113">
            <v>0</v>
          </cell>
          <cell r="N113">
            <v>0</v>
          </cell>
          <cell r="O113">
            <v>30</v>
          </cell>
          <cell r="P113">
            <v>53</v>
          </cell>
          <cell r="Q113">
            <v>1.5899999999999999</v>
          </cell>
          <cell r="R113">
            <v>127.56</v>
          </cell>
          <cell r="S113">
            <v>85</v>
          </cell>
          <cell r="T113">
            <v>2</v>
          </cell>
          <cell r="U113">
            <v>5</v>
          </cell>
          <cell r="V113">
            <v>4.5</v>
          </cell>
          <cell r="W113">
            <v>127.55999999999999</v>
          </cell>
          <cell r="X113">
            <v>85</v>
          </cell>
          <cell r="Y113">
            <v>2</v>
          </cell>
          <cell r="Z113">
            <v>5</v>
          </cell>
          <cell r="AA113">
            <v>73.13235576923077</v>
          </cell>
          <cell r="AB113">
            <v>103.5</v>
          </cell>
          <cell r="AD113">
            <v>29.436923076923076</v>
          </cell>
          <cell r="AH113">
            <v>0</v>
          </cell>
          <cell r="AI113">
            <v>0</v>
          </cell>
          <cell r="AJ113">
            <v>0</v>
          </cell>
          <cell r="AK113">
            <v>0</v>
          </cell>
          <cell r="AL113">
            <v>-5.5194230769230765</v>
          </cell>
          <cell r="AM113">
            <v>88.310769230769225</v>
          </cell>
          <cell r="AN113">
            <v>13.5</v>
          </cell>
          <cell r="AP113">
            <v>123</v>
          </cell>
          <cell r="AQ113">
            <v>644.92062499999997</v>
          </cell>
          <cell r="AR113">
            <v>8.2914000000000012</v>
          </cell>
          <cell r="AT113">
            <v>8.2914000000000012</v>
          </cell>
          <cell r="AU113">
            <v>636.62922500000002</v>
          </cell>
          <cell r="AX113">
            <v>316</v>
          </cell>
          <cell r="AZ113" t="str">
            <v>Najeeb Salim Yaqoout Al Hattali</v>
          </cell>
          <cell r="BA113" t="str">
            <v>001083534035</v>
          </cell>
          <cell r="BB113" t="str">
            <v>HSBC</v>
          </cell>
          <cell r="BC113" t="str">
            <v>Al Qurum</v>
          </cell>
          <cell r="BD113">
            <v>636.62922500000002</v>
          </cell>
        </row>
        <row r="114">
          <cell r="B114">
            <v>317</v>
          </cell>
          <cell r="C114" t="str">
            <v>Dawoud Sulaiman Said Al Marhouqi</v>
          </cell>
          <cell r="D114" t="str">
            <v>Labour</v>
          </cell>
          <cell r="E114" t="str">
            <v>17.06.04</v>
          </cell>
          <cell r="F114">
            <v>1.4749615384615384</v>
          </cell>
          <cell r="G114">
            <v>0.92185096153846158</v>
          </cell>
          <cell r="H114">
            <v>21</v>
          </cell>
          <cell r="I114">
            <v>52.5</v>
          </cell>
          <cell r="K114">
            <v>23</v>
          </cell>
          <cell r="L114">
            <v>7</v>
          </cell>
          <cell r="M114">
            <v>0</v>
          </cell>
          <cell r="N114">
            <v>0</v>
          </cell>
          <cell r="O114">
            <v>30</v>
          </cell>
          <cell r="P114">
            <v>58</v>
          </cell>
          <cell r="Q114">
            <v>1.74</v>
          </cell>
          <cell r="R114">
            <v>127.83</v>
          </cell>
          <cell r="S114">
            <v>85</v>
          </cell>
          <cell r="T114">
            <v>2</v>
          </cell>
          <cell r="U114">
            <v>5</v>
          </cell>
          <cell r="V114">
            <v>4.5</v>
          </cell>
          <cell r="W114">
            <v>127.83</v>
          </cell>
          <cell r="X114">
            <v>85</v>
          </cell>
          <cell r="Y114">
            <v>2</v>
          </cell>
          <cell r="Z114">
            <v>5</v>
          </cell>
          <cell r="AA114">
            <v>48.397175480769235</v>
          </cell>
          <cell r="AB114">
            <v>103.5</v>
          </cell>
          <cell r="AC114">
            <v>23</v>
          </cell>
          <cell r="AD114">
            <v>30.974192307692306</v>
          </cell>
          <cell r="AH114">
            <v>0</v>
          </cell>
          <cell r="AI114">
            <v>0</v>
          </cell>
          <cell r="AJ114">
            <v>0</v>
          </cell>
          <cell r="AK114">
            <v>0</v>
          </cell>
          <cell r="AL114">
            <v>26.272752403846155</v>
          </cell>
          <cell r="AM114">
            <v>0</v>
          </cell>
          <cell r="AN114">
            <v>0</v>
          </cell>
          <cell r="AP114">
            <v>0</v>
          </cell>
          <cell r="AQ114">
            <v>451.97412019230768</v>
          </cell>
          <cell r="AR114">
            <v>8.3089499999999994</v>
          </cell>
          <cell r="AT114">
            <v>8.3089499999999994</v>
          </cell>
          <cell r="AU114">
            <v>443.6651701923077</v>
          </cell>
          <cell r="AX114">
            <v>317</v>
          </cell>
          <cell r="AZ114" t="str">
            <v>Dawoud Sulaiman Said Al Marhouqi</v>
          </cell>
          <cell r="BA114" t="str">
            <v>129208920084015</v>
          </cell>
          <cell r="BB114" t="str">
            <v>Bank Muscat</v>
          </cell>
          <cell r="BC114" t="str">
            <v>Adam</v>
          </cell>
          <cell r="BD114">
            <v>443.6651701923077</v>
          </cell>
        </row>
        <row r="115">
          <cell r="B115">
            <v>320</v>
          </cell>
          <cell r="C115" t="str">
            <v>Mohammed Saleh Ali Al Hina'i</v>
          </cell>
          <cell r="D115" t="str">
            <v>Asst.Junior Observer</v>
          </cell>
          <cell r="E115" t="str">
            <v>17.06.04</v>
          </cell>
          <cell r="F115">
            <v>1.5</v>
          </cell>
          <cell r="G115">
            <v>0.9375</v>
          </cell>
          <cell r="H115">
            <v>0</v>
          </cell>
          <cell r="I115">
            <v>187</v>
          </cell>
          <cell r="K115">
            <v>21</v>
          </cell>
          <cell r="L115">
            <v>9</v>
          </cell>
          <cell r="M115">
            <v>0</v>
          </cell>
          <cell r="N115">
            <v>0</v>
          </cell>
          <cell r="O115">
            <v>30</v>
          </cell>
          <cell r="P115">
            <v>67</v>
          </cell>
          <cell r="Q115">
            <v>2.0099999999999998</v>
          </cell>
          <cell r="R115">
            <v>130</v>
          </cell>
          <cell r="S115">
            <v>110</v>
          </cell>
          <cell r="T115">
            <v>2</v>
          </cell>
          <cell r="U115">
            <v>5</v>
          </cell>
          <cell r="V115">
            <v>4.5</v>
          </cell>
          <cell r="W115">
            <v>130</v>
          </cell>
          <cell r="X115">
            <v>110</v>
          </cell>
          <cell r="Y115">
            <v>2</v>
          </cell>
          <cell r="Z115">
            <v>5</v>
          </cell>
          <cell r="AA115">
            <v>175.3125</v>
          </cell>
          <cell r="AB115">
            <v>94.5</v>
          </cell>
          <cell r="AD115">
            <v>0</v>
          </cell>
          <cell r="AH115">
            <v>0</v>
          </cell>
          <cell r="AI115">
            <v>0</v>
          </cell>
          <cell r="AJ115">
            <v>0</v>
          </cell>
          <cell r="AK115">
            <v>0</v>
          </cell>
          <cell r="AL115">
            <v>52.5</v>
          </cell>
          <cell r="AM115">
            <v>0</v>
          </cell>
          <cell r="AN115">
            <v>0</v>
          </cell>
          <cell r="AP115">
            <v>0</v>
          </cell>
          <cell r="AQ115">
            <v>569.3125</v>
          </cell>
          <cell r="AR115">
            <v>8.4500000000000011</v>
          </cell>
          <cell r="AT115">
            <v>8.4500000000000011</v>
          </cell>
          <cell r="AU115">
            <v>560.86249999999995</v>
          </cell>
          <cell r="AV115" t="str">
            <v>Housing Allowance revised to 110 Basic 130 from 1/11/2008</v>
          </cell>
          <cell r="AX115">
            <v>320</v>
          </cell>
          <cell r="AZ115" t="str">
            <v>Mohammed Saleh Ali Al Hina'i</v>
          </cell>
          <cell r="BA115" t="str">
            <v>27-148857-20</v>
          </cell>
          <cell r="BB115" t="str">
            <v>OIB</v>
          </cell>
          <cell r="BC115" t="str">
            <v>Sleef</v>
          </cell>
          <cell r="BD115">
            <v>560.86249999999995</v>
          </cell>
        </row>
        <row r="116">
          <cell r="B116">
            <v>321</v>
          </cell>
          <cell r="C116" t="str">
            <v>Hamoud Ali Salim Al Hina'i</v>
          </cell>
          <cell r="D116" t="str">
            <v>Labour</v>
          </cell>
          <cell r="E116" t="str">
            <v>17.06.04</v>
          </cell>
          <cell r="F116">
            <v>1.4721923076923076</v>
          </cell>
          <cell r="G116">
            <v>0.92012019230769226</v>
          </cell>
          <cell r="H116">
            <v>0</v>
          </cell>
          <cell r="I116">
            <v>119.5</v>
          </cell>
          <cell r="K116">
            <v>21</v>
          </cell>
          <cell r="L116">
            <v>9</v>
          </cell>
          <cell r="M116">
            <v>0</v>
          </cell>
          <cell r="N116">
            <v>0</v>
          </cell>
          <cell r="O116">
            <v>30</v>
          </cell>
          <cell r="P116">
            <v>53</v>
          </cell>
          <cell r="Q116">
            <v>1.5899999999999999</v>
          </cell>
          <cell r="R116">
            <v>127.59</v>
          </cell>
          <cell r="S116">
            <v>85</v>
          </cell>
          <cell r="T116">
            <v>2</v>
          </cell>
          <cell r="U116">
            <v>5</v>
          </cell>
          <cell r="V116">
            <v>4.5</v>
          </cell>
          <cell r="W116">
            <v>127.59</v>
          </cell>
          <cell r="X116">
            <v>85</v>
          </cell>
          <cell r="Y116">
            <v>2</v>
          </cell>
          <cell r="Z116">
            <v>5</v>
          </cell>
          <cell r="AA116">
            <v>109.95436298076922</v>
          </cell>
          <cell r="AB116">
            <v>94.5</v>
          </cell>
          <cell r="AD116">
            <v>0</v>
          </cell>
          <cell r="AH116">
            <v>0</v>
          </cell>
          <cell r="AI116">
            <v>0</v>
          </cell>
          <cell r="AJ116">
            <v>0</v>
          </cell>
          <cell r="AK116">
            <v>0</v>
          </cell>
          <cell r="AL116">
            <v>21.162764423076922</v>
          </cell>
          <cell r="AM116">
            <v>88.331538461538457</v>
          </cell>
          <cell r="AN116">
            <v>27</v>
          </cell>
          <cell r="AP116">
            <v>123</v>
          </cell>
          <cell r="AQ116">
            <v>683.53866586538459</v>
          </cell>
          <cell r="AR116">
            <v>8.2933500000000002</v>
          </cell>
          <cell r="AT116">
            <v>8.2933500000000002</v>
          </cell>
          <cell r="AU116">
            <v>675.24531586538455</v>
          </cell>
          <cell r="AX116">
            <v>321</v>
          </cell>
          <cell r="AZ116" t="str">
            <v>Hamoud Ali Salim Al Hina'i</v>
          </cell>
          <cell r="BA116" t="str">
            <v>062-199280084013</v>
          </cell>
          <cell r="BB116" t="str">
            <v>Bank Muscat</v>
          </cell>
          <cell r="BC116" t="str">
            <v>Bahla</v>
          </cell>
          <cell r="BD116">
            <v>675.24531586538455</v>
          </cell>
        </row>
        <row r="117">
          <cell r="B117">
            <v>322</v>
          </cell>
          <cell r="C117" t="str">
            <v>Mustafa Khanfar Bukheit Al Shekili</v>
          </cell>
          <cell r="D117" t="str">
            <v>Labour</v>
          </cell>
          <cell r="E117" t="str">
            <v>17.06.04</v>
          </cell>
          <cell r="F117">
            <v>1.4791153846153846</v>
          </cell>
          <cell r="G117">
            <v>0.92444711538461544</v>
          </cell>
          <cell r="H117">
            <v>24</v>
          </cell>
          <cell r="I117">
            <v>91.5</v>
          </cell>
          <cell r="K117">
            <v>26</v>
          </cell>
          <cell r="L117">
            <v>4</v>
          </cell>
          <cell r="M117">
            <v>0</v>
          </cell>
          <cell r="N117">
            <v>0</v>
          </cell>
          <cell r="O117">
            <v>30</v>
          </cell>
          <cell r="P117">
            <v>68</v>
          </cell>
          <cell r="Q117">
            <v>2.04</v>
          </cell>
          <cell r="R117">
            <v>128.19</v>
          </cell>
          <cell r="S117">
            <v>85</v>
          </cell>
          <cell r="T117">
            <v>2</v>
          </cell>
          <cell r="U117">
            <v>5</v>
          </cell>
          <cell r="V117">
            <v>4.5</v>
          </cell>
          <cell r="W117">
            <v>128.19</v>
          </cell>
          <cell r="X117">
            <v>85</v>
          </cell>
          <cell r="Y117">
            <v>2</v>
          </cell>
          <cell r="Z117">
            <v>5</v>
          </cell>
          <cell r="AA117">
            <v>84.586911057692319</v>
          </cell>
          <cell r="AB117">
            <v>117</v>
          </cell>
          <cell r="AD117">
            <v>35.498769230769227</v>
          </cell>
          <cell r="AH117">
            <v>0</v>
          </cell>
          <cell r="AI117">
            <v>0</v>
          </cell>
          <cell r="AJ117">
            <v>0</v>
          </cell>
          <cell r="AK117">
            <v>0</v>
          </cell>
          <cell r="AL117">
            <v>60.089062500000004</v>
          </cell>
          <cell r="AM117">
            <v>106.4963076923077</v>
          </cell>
          <cell r="AN117">
            <v>13.5</v>
          </cell>
          <cell r="AP117">
            <v>123</v>
          </cell>
          <cell r="AQ117">
            <v>760.36105048076922</v>
          </cell>
          <cell r="AR117">
            <v>8.3323499999999999</v>
          </cell>
          <cell r="AT117">
            <v>8.3323499999999999</v>
          </cell>
          <cell r="AU117">
            <v>752.0287004807692</v>
          </cell>
          <cell r="AX117">
            <v>322</v>
          </cell>
          <cell r="AZ117" t="str">
            <v>Mustafa Khanfar Bukheit Al Shekili</v>
          </cell>
          <cell r="BA117" t="str">
            <v>62-145710084015</v>
          </cell>
          <cell r="BB117" t="str">
            <v>Bank Muscat</v>
          </cell>
          <cell r="BC117" t="str">
            <v>Bahla</v>
          </cell>
          <cell r="BD117">
            <v>752.0287004807692</v>
          </cell>
        </row>
        <row r="118">
          <cell r="B118">
            <v>323</v>
          </cell>
          <cell r="C118" t="str">
            <v>Said Batti Ziyad Al Ghfri</v>
          </cell>
          <cell r="D118" t="str">
            <v>Labour</v>
          </cell>
          <cell r="E118" t="str">
            <v>17.06.04</v>
          </cell>
          <cell r="F118">
            <v>1.4735769230769231</v>
          </cell>
          <cell r="G118">
            <v>0.92098557692307692</v>
          </cell>
          <cell r="H118">
            <v>0</v>
          </cell>
          <cell r="I118">
            <v>84</v>
          </cell>
          <cell r="K118">
            <v>21</v>
          </cell>
          <cell r="L118">
            <v>9</v>
          </cell>
          <cell r="M118">
            <v>0</v>
          </cell>
          <cell r="N118">
            <v>0</v>
          </cell>
          <cell r="O118">
            <v>30</v>
          </cell>
          <cell r="P118">
            <v>55</v>
          </cell>
          <cell r="Q118">
            <v>1.65</v>
          </cell>
          <cell r="R118">
            <v>127.71</v>
          </cell>
          <cell r="S118">
            <v>85</v>
          </cell>
          <cell r="T118">
            <v>2</v>
          </cell>
          <cell r="U118">
            <v>5</v>
          </cell>
          <cell r="V118">
            <v>4.5</v>
          </cell>
          <cell r="W118">
            <v>127.71</v>
          </cell>
          <cell r="X118">
            <v>85</v>
          </cell>
          <cell r="Y118">
            <v>2</v>
          </cell>
          <cell r="Z118">
            <v>5</v>
          </cell>
          <cell r="AA118">
            <v>77.362788461538457</v>
          </cell>
          <cell r="AB118">
            <v>94.5</v>
          </cell>
          <cell r="AD118">
            <v>0</v>
          </cell>
          <cell r="AH118">
            <v>0</v>
          </cell>
          <cell r="AI118">
            <v>0</v>
          </cell>
          <cell r="AJ118">
            <v>0</v>
          </cell>
          <cell r="AK118">
            <v>0</v>
          </cell>
          <cell r="AL118">
            <v>40.523365384615381</v>
          </cell>
          <cell r="AM118">
            <v>0</v>
          </cell>
          <cell r="AN118">
            <v>0</v>
          </cell>
          <cell r="AP118">
            <v>0</v>
          </cell>
          <cell r="AQ118">
            <v>432.09615384615381</v>
          </cell>
          <cell r="AR118">
            <v>8.3011499999999998</v>
          </cell>
          <cell r="AT118">
            <v>8.3011499999999998</v>
          </cell>
          <cell r="AU118">
            <v>423.7950038461538</v>
          </cell>
          <cell r="AX118">
            <v>323</v>
          </cell>
          <cell r="AZ118" t="str">
            <v>Said Batti Ziyad Al Ghfri</v>
          </cell>
          <cell r="BA118">
            <v>2257285320</v>
          </cell>
          <cell r="BB118" t="str">
            <v>OIB</v>
          </cell>
          <cell r="BC118" t="str">
            <v>Ibri</v>
          </cell>
          <cell r="BD118">
            <v>423.7950038461538</v>
          </cell>
        </row>
        <row r="119">
          <cell r="B119">
            <v>326</v>
          </cell>
          <cell r="C119" t="str">
            <v>Mohammed Salim Ghanim Al Ghafri</v>
          </cell>
          <cell r="D119" t="str">
            <v>Asst.Junior Observer</v>
          </cell>
          <cell r="E119" t="str">
            <v>17.06.04</v>
          </cell>
          <cell r="F119">
            <v>1.5941538461538463</v>
          </cell>
          <cell r="G119">
            <v>0.99634615384615388</v>
          </cell>
          <cell r="H119">
            <v>0</v>
          </cell>
          <cell r="I119">
            <v>264</v>
          </cell>
          <cell r="K119">
            <v>21</v>
          </cell>
          <cell r="L119">
            <v>9</v>
          </cell>
          <cell r="M119">
            <v>0</v>
          </cell>
          <cell r="N119">
            <v>0</v>
          </cell>
          <cell r="O119">
            <v>30</v>
          </cell>
          <cell r="P119">
            <v>67</v>
          </cell>
          <cell r="Q119">
            <v>2.0099999999999998</v>
          </cell>
          <cell r="R119">
            <v>138.16</v>
          </cell>
          <cell r="S119">
            <v>110</v>
          </cell>
          <cell r="T119">
            <v>2</v>
          </cell>
          <cell r="U119">
            <v>5</v>
          </cell>
          <cell r="V119">
            <v>4.5</v>
          </cell>
          <cell r="W119">
            <v>138.16</v>
          </cell>
          <cell r="X119">
            <v>110</v>
          </cell>
          <cell r="Y119">
            <v>2</v>
          </cell>
          <cell r="Z119">
            <v>5</v>
          </cell>
          <cell r="AA119">
            <v>263.0353846153846</v>
          </cell>
          <cell r="AB119">
            <v>94.5</v>
          </cell>
          <cell r="AD119">
            <v>0</v>
          </cell>
          <cell r="AH119">
            <v>0</v>
          </cell>
          <cell r="AI119">
            <v>0</v>
          </cell>
          <cell r="AJ119">
            <v>0</v>
          </cell>
          <cell r="AK119">
            <v>0</v>
          </cell>
          <cell r="AL119">
            <v>107.60538461538462</v>
          </cell>
          <cell r="AM119">
            <v>0</v>
          </cell>
          <cell r="AN119">
            <v>18</v>
          </cell>
          <cell r="AP119">
            <v>0</v>
          </cell>
          <cell r="AQ119">
            <v>738.30076923076922</v>
          </cell>
          <cell r="AR119">
            <v>8.9803999999999995</v>
          </cell>
          <cell r="AT119">
            <v>8.9803999999999995</v>
          </cell>
          <cell r="AU119">
            <v>729.32036923076919</v>
          </cell>
          <cell r="AV119" t="str">
            <v>Housing Allowance revised to 110 from 1/11/2008</v>
          </cell>
          <cell r="AX119">
            <v>326</v>
          </cell>
          <cell r="AZ119" t="str">
            <v>Mohammed Salim Ghanim Al Ghafri</v>
          </cell>
          <cell r="BA119" t="str">
            <v>119-120980084013</v>
          </cell>
          <cell r="BB119" t="str">
            <v>Bank Muscat</v>
          </cell>
          <cell r="BC119" t="str">
            <v>Al-Dareeze</v>
          </cell>
          <cell r="BD119">
            <v>729.32036923076919</v>
          </cell>
        </row>
        <row r="120">
          <cell r="B120">
            <v>328</v>
          </cell>
          <cell r="C120" t="str">
            <v>Khalid Yassir Talib Al Nassri</v>
          </cell>
          <cell r="D120" t="str">
            <v>Asst.Junior Observer</v>
          </cell>
          <cell r="E120" t="str">
            <v>23.06.04</v>
          </cell>
          <cell r="F120">
            <v>1.5938076923076923</v>
          </cell>
          <cell r="G120">
            <v>0.99612980769230763</v>
          </cell>
          <cell r="H120">
            <v>24</v>
          </cell>
          <cell r="I120">
            <v>110</v>
          </cell>
          <cell r="K120">
            <v>16</v>
          </cell>
          <cell r="L120">
            <v>14</v>
          </cell>
          <cell r="M120">
            <v>0</v>
          </cell>
          <cell r="N120">
            <v>0</v>
          </cell>
          <cell r="O120">
            <v>30</v>
          </cell>
          <cell r="P120">
            <v>68</v>
          </cell>
          <cell r="Q120">
            <v>2.04</v>
          </cell>
          <cell r="R120">
            <v>138.13</v>
          </cell>
          <cell r="S120">
            <v>85</v>
          </cell>
          <cell r="T120">
            <v>2</v>
          </cell>
          <cell r="U120">
            <v>5</v>
          </cell>
          <cell r="V120">
            <v>4.5</v>
          </cell>
          <cell r="W120">
            <v>138.13</v>
          </cell>
          <cell r="X120">
            <v>85</v>
          </cell>
          <cell r="Y120">
            <v>2</v>
          </cell>
          <cell r="Z120">
            <v>5</v>
          </cell>
          <cell r="AA120">
            <v>109.57427884615385</v>
          </cell>
          <cell r="AB120">
            <v>72</v>
          </cell>
          <cell r="AD120">
            <v>38.251384615384616</v>
          </cell>
          <cell r="AH120">
            <v>0</v>
          </cell>
          <cell r="AI120">
            <v>0</v>
          </cell>
          <cell r="AJ120">
            <v>0</v>
          </cell>
          <cell r="AK120">
            <v>0</v>
          </cell>
          <cell r="AL120">
            <v>112.06460336538461</v>
          </cell>
          <cell r="AM120">
            <v>0</v>
          </cell>
          <cell r="AN120">
            <v>0</v>
          </cell>
          <cell r="AP120">
            <v>0</v>
          </cell>
          <cell r="AQ120">
            <v>562.02026682692303</v>
          </cell>
          <cell r="AR120">
            <v>8.9784500000000005</v>
          </cell>
          <cell r="AT120">
            <v>8.9784500000000005</v>
          </cell>
          <cell r="AU120">
            <v>553.04181682692308</v>
          </cell>
          <cell r="AX120">
            <v>328</v>
          </cell>
          <cell r="AZ120" t="str">
            <v>Khalid Yassir Talib Al Nassri</v>
          </cell>
          <cell r="BA120" t="str">
            <v>62-140820084018</v>
          </cell>
          <cell r="BB120" t="str">
            <v>Bank Muscat</v>
          </cell>
          <cell r="BC120" t="str">
            <v>Bahla</v>
          </cell>
          <cell r="BD120">
            <v>553.04181682692308</v>
          </cell>
        </row>
        <row r="121">
          <cell r="B121">
            <v>329</v>
          </cell>
          <cell r="C121" t="str">
            <v>Said Salim Aamir Al Harrsi</v>
          </cell>
          <cell r="D121" t="str">
            <v>Labour</v>
          </cell>
          <cell r="E121" t="str">
            <v>23.06.04</v>
          </cell>
          <cell r="F121">
            <v>1.4728846153846156</v>
          </cell>
          <cell r="G121">
            <v>0.92055288461538476</v>
          </cell>
          <cell r="H121">
            <v>20</v>
          </cell>
          <cell r="I121">
            <v>58</v>
          </cell>
          <cell r="K121">
            <v>16</v>
          </cell>
          <cell r="L121">
            <v>14</v>
          </cell>
          <cell r="M121">
            <v>0</v>
          </cell>
          <cell r="N121">
            <v>0</v>
          </cell>
          <cell r="O121">
            <v>30</v>
          </cell>
          <cell r="P121">
            <v>54</v>
          </cell>
          <cell r="Q121">
            <v>1.6199999999999999</v>
          </cell>
          <cell r="R121">
            <v>127.65</v>
          </cell>
          <cell r="S121">
            <v>85</v>
          </cell>
          <cell r="T121">
            <v>2</v>
          </cell>
          <cell r="U121">
            <v>5</v>
          </cell>
          <cell r="V121">
            <v>4.5</v>
          </cell>
          <cell r="W121">
            <v>127.64999999999999</v>
          </cell>
          <cell r="X121">
            <v>85</v>
          </cell>
          <cell r="Y121">
            <v>2</v>
          </cell>
          <cell r="Z121">
            <v>5</v>
          </cell>
          <cell r="AA121">
            <v>53.392067307692315</v>
          </cell>
          <cell r="AB121">
            <v>72</v>
          </cell>
          <cell r="AD121">
            <v>29.457692307692312</v>
          </cell>
          <cell r="AH121">
            <v>0</v>
          </cell>
          <cell r="AI121">
            <v>0</v>
          </cell>
          <cell r="AJ121">
            <v>0</v>
          </cell>
          <cell r="AK121">
            <v>0</v>
          </cell>
          <cell r="AL121">
            <v>55.233173076923087</v>
          </cell>
          <cell r="AM121">
            <v>88.373076923076937</v>
          </cell>
          <cell r="AN121">
            <v>27</v>
          </cell>
          <cell r="AP121">
            <v>123</v>
          </cell>
          <cell r="AQ121">
            <v>668.10600961538455</v>
          </cell>
          <cell r="AR121">
            <v>8.29725</v>
          </cell>
          <cell r="AT121">
            <v>8.29725</v>
          </cell>
          <cell r="AU121">
            <v>659.80875961538459</v>
          </cell>
          <cell r="AX121">
            <v>329</v>
          </cell>
          <cell r="AZ121" t="str">
            <v>Said Salim Aamir Al Harrsi</v>
          </cell>
          <cell r="BA121" t="str">
            <v>21-734769-20</v>
          </cell>
          <cell r="BB121" t="str">
            <v>OIB</v>
          </cell>
          <cell r="BC121" t="str">
            <v>Bahla</v>
          </cell>
          <cell r="BD121">
            <v>659.80875961538459</v>
          </cell>
        </row>
        <row r="122">
          <cell r="B122">
            <v>331</v>
          </cell>
          <cell r="C122" t="str">
            <v>Zaid Abdullah Salim Al Attabi</v>
          </cell>
          <cell r="D122" t="str">
            <v>Labour</v>
          </cell>
          <cell r="E122" t="str">
            <v>28.07.04</v>
          </cell>
          <cell r="F122">
            <v>1.4739230769230769</v>
          </cell>
          <cell r="G122">
            <v>0.92120192307692306</v>
          </cell>
          <cell r="H122">
            <v>20</v>
          </cell>
          <cell r="I122">
            <v>28</v>
          </cell>
          <cell r="K122">
            <v>16</v>
          </cell>
          <cell r="L122">
            <v>14</v>
          </cell>
          <cell r="M122">
            <v>0</v>
          </cell>
          <cell r="N122">
            <v>0</v>
          </cell>
          <cell r="O122">
            <v>30</v>
          </cell>
          <cell r="P122">
            <v>55</v>
          </cell>
          <cell r="Q122">
            <v>1.65</v>
          </cell>
          <cell r="R122">
            <v>127.74</v>
          </cell>
          <cell r="S122">
            <v>85</v>
          </cell>
          <cell r="T122">
            <v>2</v>
          </cell>
          <cell r="U122">
            <v>5</v>
          </cell>
          <cell r="V122">
            <v>4.5</v>
          </cell>
          <cell r="W122">
            <v>127.74</v>
          </cell>
          <cell r="X122">
            <v>85</v>
          </cell>
          <cell r="Y122">
            <v>2</v>
          </cell>
          <cell r="Z122">
            <v>5</v>
          </cell>
          <cell r="AA122">
            <v>25.793653846153845</v>
          </cell>
          <cell r="AB122">
            <v>72</v>
          </cell>
          <cell r="AD122">
            <v>29.478461538461538</v>
          </cell>
          <cell r="AH122">
            <v>0</v>
          </cell>
          <cell r="AI122">
            <v>0</v>
          </cell>
          <cell r="AJ122">
            <v>0</v>
          </cell>
          <cell r="AK122">
            <v>0</v>
          </cell>
          <cell r="AL122">
            <v>0</v>
          </cell>
          <cell r="AM122">
            <v>0</v>
          </cell>
          <cell r="AN122">
            <v>0</v>
          </cell>
          <cell r="AP122">
            <v>0</v>
          </cell>
          <cell r="AQ122">
            <v>347.01211538461541</v>
          </cell>
          <cell r="AR122">
            <v>8.3031000000000006</v>
          </cell>
          <cell r="AT122">
            <v>8.3031000000000006</v>
          </cell>
          <cell r="AU122">
            <v>338.70901538461544</v>
          </cell>
          <cell r="AX122">
            <v>331</v>
          </cell>
          <cell r="AZ122" t="str">
            <v>Zaid Abdullah Salim Al Attabi</v>
          </cell>
          <cell r="BA122" t="str">
            <v>62-14912 008401-4</v>
          </cell>
          <cell r="BB122" t="str">
            <v>Bank Muscat</v>
          </cell>
          <cell r="BC122" t="str">
            <v>Bahla</v>
          </cell>
          <cell r="BD122">
            <v>338.70901538461544</v>
          </cell>
        </row>
        <row r="123">
          <cell r="B123">
            <v>336</v>
          </cell>
          <cell r="C123" t="str">
            <v>Suliman Suliyum Salim Al Daral</v>
          </cell>
          <cell r="D123" t="str">
            <v>Vib Operator</v>
          </cell>
          <cell r="E123" t="str">
            <v>17-07-04</v>
          </cell>
          <cell r="F123">
            <v>2.4707307692307694</v>
          </cell>
          <cell r="G123">
            <v>1.5442067307692309</v>
          </cell>
          <cell r="H123">
            <v>34</v>
          </cell>
          <cell r="I123">
            <v>119</v>
          </cell>
          <cell r="K123">
            <v>16</v>
          </cell>
          <cell r="L123">
            <v>14</v>
          </cell>
          <cell r="M123">
            <v>0</v>
          </cell>
          <cell r="N123">
            <v>0</v>
          </cell>
          <cell r="O123">
            <v>30</v>
          </cell>
          <cell r="P123">
            <v>62</v>
          </cell>
          <cell r="Q123">
            <v>1.8599999999999999</v>
          </cell>
          <cell r="R123">
            <v>214.13</v>
          </cell>
          <cell r="S123">
            <v>120</v>
          </cell>
          <cell r="T123">
            <v>2</v>
          </cell>
          <cell r="U123">
            <v>5</v>
          </cell>
          <cell r="V123">
            <v>4.5</v>
          </cell>
          <cell r="W123">
            <v>214.13</v>
          </cell>
          <cell r="X123">
            <v>120</v>
          </cell>
          <cell r="Y123">
            <v>2</v>
          </cell>
          <cell r="Z123">
            <v>5</v>
          </cell>
          <cell r="AA123">
            <v>183.76060096153847</v>
          </cell>
          <cell r="AB123">
            <v>72</v>
          </cell>
          <cell r="AD123">
            <v>84.004846153846159</v>
          </cell>
          <cell r="AH123">
            <v>0</v>
          </cell>
          <cell r="AI123">
            <v>0</v>
          </cell>
          <cell r="AJ123">
            <v>0</v>
          </cell>
          <cell r="AK123">
            <v>0</v>
          </cell>
          <cell r="AL123">
            <v>0</v>
          </cell>
          <cell r="AM123">
            <v>0</v>
          </cell>
          <cell r="AN123">
            <v>0</v>
          </cell>
          <cell r="AP123">
            <v>0</v>
          </cell>
          <cell r="AQ123">
            <v>680.89544711538463</v>
          </cell>
          <cell r="AR123">
            <v>13.91845</v>
          </cell>
          <cell r="AT123">
            <v>13.91845</v>
          </cell>
          <cell r="AU123">
            <v>666.97699711538462</v>
          </cell>
          <cell r="AX123">
            <v>336</v>
          </cell>
          <cell r="AZ123" t="str">
            <v>Suliman Suliyum Salim Al Daral</v>
          </cell>
          <cell r="BA123" t="str">
            <v>27-002518-20</v>
          </cell>
          <cell r="BB123" t="str">
            <v>OIB</v>
          </cell>
          <cell r="BC123" t="str">
            <v>Sleef</v>
          </cell>
          <cell r="BD123">
            <v>666.97699711538462</v>
          </cell>
        </row>
        <row r="124">
          <cell r="B124">
            <v>338</v>
          </cell>
          <cell r="C124" t="str">
            <v>Ahmed Saif Muhana Al Hashmy</v>
          </cell>
          <cell r="D124" t="str">
            <v>Auto Electrician</v>
          </cell>
          <cell r="E124" t="str">
            <v>28/07/04</v>
          </cell>
          <cell r="F124">
            <v>1.5</v>
          </cell>
          <cell r="G124">
            <v>0.9375</v>
          </cell>
          <cell r="H124">
            <v>20</v>
          </cell>
          <cell r="I124">
            <v>28</v>
          </cell>
          <cell r="K124">
            <v>16</v>
          </cell>
          <cell r="L124">
            <v>14</v>
          </cell>
          <cell r="M124">
            <v>0</v>
          </cell>
          <cell r="N124">
            <v>0</v>
          </cell>
          <cell r="O124">
            <v>30</v>
          </cell>
          <cell r="P124">
            <v>67</v>
          </cell>
          <cell r="Q124">
            <v>2.0099999999999998</v>
          </cell>
          <cell r="R124">
            <v>130</v>
          </cell>
          <cell r="S124">
            <v>110</v>
          </cell>
          <cell r="T124">
            <v>2</v>
          </cell>
          <cell r="U124">
            <v>5</v>
          </cell>
          <cell r="V124">
            <v>4.5</v>
          </cell>
          <cell r="W124">
            <v>130</v>
          </cell>
          <cell r="X124">
            <v>110</v>
          </cell>
          <cell r="Y124">
            <v>2</v>
          </cell>
          <cell r="Z124">
            <v>5</v>
          </cell>
          <cell r="AA124">
            <v>26.25</v>
          </cell>
          <cell r="AB124">
            <v>72</v>
          </cell>
          <cell r="AD124">
            <v>30</v>
          </cell>
          <cell r="AH124">
            <v>0</v>
          </cell>
          <cell r="AI124">
            <v>0</v>
          </cell>
          <cell r="AJ124">
            <v>0</v>
          </cell>
          <cell r="AK124">
            <v>0</v>
          </cell>
          <cell r="AL124">
            <v>117.1875</v>
          </cell>
          <cell r="AM124">
            <v>90</v>
          </cell>
          <cell r="AN124">
            <v>27</v>
          </cell>
          <cell r="AP124">
            <v>123</v>
          </cell>
          <cell r="AQ124">
            <v>732.4375</v>
          </cell>
          <cell r="AR124">
            <v>8.4500000000000011</v>
          </cell>
          <cell r="AT124">
            <v>8.4500000000000011</v>
          </cell>
          <cell r="AU124">
            <v>723.98749999999995</v>
          </cell>
          <cell r="AX124">
            <v>338</v>
          </cell>
          <cell r="AZ124" t="str">
            <v>Ahmed Saif Muhana Al Hashmy</v>
          </cell>
          <cell r="BA124" t="str">
            <v>041-234920084021</v>
          </cell>
          <cell r="BB124" t="str">
            <v>Bank Muscat</v>
          </cell>
          <cell r="BC124" t="str">
            <v xml:space="preserve"> Al Rustaq</v>
          </cell>
          <cell r="BD124">
            <v>723.98749999999995</v>
          </cell>
        </row>
        <row r="125">
          <cell r="B125">
            <v>339</v>
          </cell>
          <cell r="C125" t="str">
            <v>Soud Salim Ali Abri</v>
          </cell>
          <cell r="D125" t="str">
            <v>Auto Electrician</v>
          </cell>
          <cell r="E125" t="str">
            <v>28-07-04</v>
          </cell>
          <cell r="F125">
            <v>1.5</v>
          </cell>
          <cell r="G125">
            <v>0.9375</v>
          </cell>
          <cell r="H125">
            <v>0</v>
          </cell>
          <cell r="I125">
            <v>38</v>
          </cell>
          <cell r="K125">
            <v>20</v>
          </cell>
          <cell r="L125">
            <v>9</v>
          </cell>
          <cell r="M125">
            <v>0</v>
          </cell>
          <cell r="N125">
            <v>1</v>
          </cell>
          <cell r="O125">
            <v>29</v>
          </cell>
          <cell r="P125">
            <v>64</v>
          </cell>
          <cell r="Q125">
            <v>1.92</v>
          </cell>
          <cell r="R125">
            <v>130</v>
          </cell>
          <cell r="S125">
            <v>110</v>
          </cell>
          <cell r="T125">
            <v>2</v>
          </cell>
          <cell r="U125">
            <v>5</v>
          </cell>
          <cell r="V125">
            <v>4.5</v>
          </cell>
          <cell r="W125">
            <v>125.66666666666666</v>
          </cell>
          <cell r="X125">
            <v>106.33333333333333</v>
          </cell>
          <cell r="Y125">
            <v>1.9333333333333333</v>
          </cell>
          <cell r="Z125">
            <v>4.833333333333333</v>
          </cell>
          <cell r="AA125">
            <v>35.625</v>
          </cell>
          <cell r="AB125">
            <v>90</v>
          </cell>
          <cell r="AD125">
            <v>0</v>
          </cell>
          <cell r="AH125">
            <v>0</v>
          </cell>
          <cell r="AI125">
            <v>0</v>
          </cell>
          <cell r="AJ125">
            <v>0</v>
          </cell>
          <cell r="AK125">
            <v>0</v>
          </cell>
          <cell r="AL125">
            <v>50.625</v>
          </cell>
          <cell r="AM125">
            <v>0</v>
          </cell>
          <cell r="AN125">
            <v>0</v>
          </cell>
          <cell r="AP125">
            <v>0</v>
          </cell>
          <cell r="AQ125">
            <v>415.01666666666665</v>
          </cell>
          <cell r="AR125">
            <v>8.4500000000000011</v>
          </cell>
          <cell r="AT125">
            <v>8.4500000000000011</v>
          </cell>
          <cell r="AU125">
            <v>406.56666666666666</v>
          </cell>
          <cell r="AX125">
            <v>339</v>
          </cell>
          <cell r="AZ125" t="str">
            <v>Soud Salim Ali Abri</v>
          </cell>
          <cell r="BA125" t="str">
            <v>133-131200084015</v>
          </cell>
          <cell r="BB125" t="str">
            <v>Bank Muscat</v>
          </cell>
          <cell r="BC125" t="str">
            <v>Firq</v>
          </cell>
          <cell r="BD125">
            <v>406.56666666666666</v>
          </cell>
        </row>
        <row r="126">
          <cell r="B126">
            <v>348</v>
          </cell>
          <cell r="C126" t="str">
            <v>Ali Saleh Hamood Al Amri</v>
          </cell>
          <cell r="D126" t="str">
            <v>GPS Operator</v>
          </cell>
          <cell r="E126" t="str">
            <v>13-12-04</v>
          </cell>
          <cell r="F126">
            <v>1.8200769230769231</v>
          </cell>
          <cell r="G126">
            <v>1.137548076923077</v>
          </cell>
          <cell r="H126">
            <v>0</v>
          </cell>
          <cell r="I126">
            <v>39.5</v>
          </cell>
          <cell r="K126">
            <v>18</v>
          </cell>
          <cell r="L126">
            <v>12</v>
          </cell>
          <cell r="M126">
            <v>0</v>
          </cell>
          <cell r="N126">
            <v>0</v>
          </cell>
          <cell r="O126">
            <v>30</v>
          </cell>
          <cell r="P126">
            <v>57</v>
          </cell>
          <cell r="Q126">
            <v>1.71</v>
          </cell>
          <cell r="R126">
            <v>157.74</v>
          </cell>
          <cell r="S126">
            <v>110</v>
          </cell>
          <cell r="T126">
            <v>2</v>
          </cell>
          <cell r="U126">
            <v>5</v>
          </cell>
          <cell r="V126">
            <v>4.5</v>
          </cell>
          <cell r="W126">
            <v>157.74</v>
          </cell>
          <cell r="X126">
            <v>110</v>
          </cell>
          <cell r="Y126">
            <v>2</v>
          </cell>
          <cell r="Z126">
            <v>5</v>
          </cell>
          <cell r="AA126">
            <v>44.933149038461544</v>
          </cell>
          <cell r="AB126">
            <v>81</v>
          </cell>
          <cell r="AD126">
            <v>0</v>
          </cell>
          <cell r="AH126">
            <v>0</v>
          </cell>
          <cell r="AI126">
            <v>0</v>
          </cell>
          <cell r="AJ126">
            <v>0</v>
          </cell>
          <cell r="AK126">
            <v>0</v>
          </cell>
          <cell r="AL126">
            <v>35.26399038461539</v>
          </cell>
          <cell r="AM126">
            <v>114.66484615384616</v>
          </cell>
          <cell r="AN126">
            <v>27</v>
          </cell>
          <cell r="AO126">
            <v>-10.253100000000002</v>
          </cell>
          <cell r="AP126">
            <v>128</v>
          </cell>
          <cell r="AQ126">
            <v>695.34888557692307</v>
          </cell>
          <cell r="AR126">
            <v>10.253100000000002</v>
          </cell>
          <cell r="AT126">
            <v>10.253100000000002</v>
          </cell>
          <cell r="AU126">
            <v>685.09578557692305</v>
          </cell>
          <cell r="AV126" t="str">
            <v>One Month GOSI of October &amp; 5 Rials Ration of Oct</v>
          </cell>
          <cell r="AX126">
            <v>348</v>
          </cell>
          <cell r="AZ126" t="str">
            <v>Ali Saleh Hamood Al Amri</v>
          </cell>
          <cell r="BA126" t="str">
            <v>67-104927-01</v>
          </cell>
          <cell r="BB126" t="str">
            <v>OIB</v>
          </cell>
          <cell r="BC126" t="str">
            <v>Mudhaibi</v>
          </cell>
          <cell r="BD126">
            <v>685.09578557692305</v>
          </cell>
        </row>
        <row r="127">
          <cell r="B127">
            <v>354</v>
          </cell>
          <cell r="C127" t="str">
            <v>Suliman Humaid Zaher Al Madi</v>
          </cell>
          <cell r="D127" t="str">
            <v>Labour</v>
          </cell>
          <cell r="E127" t="str">
            <v>01-12-2005</v>
          </cell>
          <cell r="F127">
            <v>1.424076923076923</v>
          </cell>
          <cell r="G127">
            <v>0.89004807692307686</v>
          </cell>
          <cell r="H127">
            <v>0</v>
          </cell>
          <cell r="I127">
            <v>108.5</v>
          </cell>
          <cell r="K127">
            <v>21</v>
          </cell>
          <cell r="L127">
            <v>9</v>
          </cell>
          <cell r="M127">
            <v>0</v>
          </cell>
          <cell r="N127">
            <v>0</v>
          </cell>
          <cell r="O127">
            <v>30</v>
          </cell>
          <cell r="P127">
            <v>61</v>
          </cell>
          <cell r="Q127">
            <v>1.8299999999999998</v>
          </cell>
          <cell r="R127">
            <v>123.42</v>
          </cell>
          <cell r="S127">
            <v>85</v>
          </cell>
          <cell r="T127">
            <v>2</v>
          </cell>
          <cell r="U127">
            <v>5</v>
          </cell>
          <cell r="V127">
            <v>4.5</v>
          </cell>
          <cell r="W127">
            <v>123.42</v>
          </cell>
          <cell r="X127">
            <v>85</v>
          </cell>
          <cell r="Y127">
            <v>2</v>
          </cell>
          <cell r="Z127">
            <v>5</v>
          </cell>
          <cell r="AA127">
            <v>96.570216346153842</v>
          </cell>
          <cell r="AB127">
            <v>94.5</v>
          </cell>
          <cell r="AC127">
            <v>21</v>
          </cell>
          <cell r="AD127">
            <v>0</v>
          </cell>
          <cell r="AH127">
            <v>0</v>
          </cell>
          <cell r="AI127">
            <v>0</v>
          </cell>
          <cell r="AJ127">
            <v>0</v>
          </cell>
          <cell r="AK127">
            <v>0</v>
          </cell>
          <cell r="AL127">
            <v>-2.225120192307692</v>
          </cell>
          <cell r="AM127">
            <v>89.716846153846149</v>
          </cell>
          <cell r="AN127">
            <v>27</v>
          </cell>
          <cell r="AP127">
            <v>123</v>
          </cell>
          <cell r="AQ127">
            <v>664.98194230769229</v>
          </cell>
          <cell r="AR127">
            <v>8.0222999999999995</v>
          </cell>
          <cell r="AT127">
            <v>8.0222999999999995</v>
          </cell>
          <cell r="AU127">
            <v>656.95964230769232</v>
          </cell>
          <cell r="AX127" t="str">
            <v>354</v>
          </cell>
          <cell r="AZ127" t="str">
            <v>Suliman Humaid Zaher Al Madi</v>
          </cell>
          <cell r="BA127" t="str">
            <v>014316289 0084014</v>
          </cell>
          <cell r="BB127" t="str">
            <v>Bank Muscat</v>
          </cell>
          <cell r="BC127" t="str">
            <v>Mabella</v>
          </cell>
          <cell r="BD127">
            <v>656.95964230769232</v>
          </cell>
        </row>
        <row r="128">
          <cell r="B128">
            <v>355</v>
          </cell>
          <cell r="C128" t="str">
            <v>Abdullah Khamis Salim Al Harrrasi</v>
          </cell>
          <cell r="D128" t="str">
            <v>Labour</v>
          </cell>
          <cell r="E128" t="str">
            <v>01-12-2005</v>
          </cell>
          <cell r="F128">
            <v>1.4213076923076924</v>
          </cell>
          <cell r="G128">
            <v>0.88831730769230777</v>
          </cell>
          <cell r="H128">
            <v>0</v>
          </cell>
          <cell r="I128">
            <v>84.5</v>
          </cell>
          <cell r="K128">
            <v>19</v>
          </cell>
          <cell r="L128">
            <v>9</v>
          </cell>
          <cell r="M128">
            <v>0</v>
          </cell>
          <cell r="N128">
            <v>2</v>
          </cell>
          <cell r="O128">
            <v>28</v>
          </cell>
          <cell r="P128">
            <v>55</v>
          </cell>
          <cell r="Q128">
            <v>1.65</v>
          </cell>
          <cell r="R128">
            <v>123.18</v>
          </cell>
          <cell r="S128">
            <v>85</v>
          </cell>
          <cell r="T128">
            <v>2</v>
          </cell>
          <cell r="U128">
            <v>5</v>
          </cell>
          <cell r="V128">
            <v>4.5</v>
          </cell>
          <cell r="W128">
            <v>114.96799999999999</v>
          </cell>
          <cell r="X128">
            <v>79.333333333333343</v>
          </cell>
          <cell r="Y128">
            <v>1.8666666666666667</v>
          </cell>
          <cell r="Z128">
            <v>4.6666666666666661</v>
          </cell>
          <cell r="AA128">
            <v>75.062812500000007</v>
          </cell>
          <cell r="AB128">
            <v>85.5</v>
          </cell>
          <cell r="AD128">
            <v>0</v>
          </cell>
          <cell r="AH128">
            <v>0</v>
          </cell>
          <cell r="AI128">
            <v>0</v>
          </cell>
          <cell r="AJ128">
            <v>0</v>
          </cell>
          <cell r="AK128">
            <v>0</v>
          </cell>
          <cell r="AL128">
            <v>0</v>
          </cell>
          <cell r="AM128">
            <v>85.278461538461542</v>
          </cell>
          <cell r="AN128">
            <v>27</v>
          </cell>
          <cell r="AP128">
            <v>123</v>
          </cell>
          <cell r="AQ128">
            <v>596.67594070512826</v>
          </cell>
          <cell r="AR128">
            <v>8.0067000000000004</v>
          </cell>
          <cell r="AT128">
            <v>8.0067000000000004</v>
          </cell>
          <cell r="AU128">
            <v>588.66924070512823</v>
          </cell>
          <cell r="AX128" t="str">
            <v>355</v>
          </cell>
          <cell r="AZ128" t="str">
            <v>Abdullah Khamis Salim Al Harrrasi</v>
          </cell>
          <cell r="BA128" t="str">
            <v>049-189910084018</v>
          </cell>
          <cell r="BB128" t="str">
            <v>Bank Muscat</v>
          </cell>
          <cell r="BC128" t="str">
            <v>Nizwa-Firq</v>
          </cell>
          <cell r="BD128">
            <v>588.66924070512823</v>
          </cell>
        </row>
        <row r="129">
          <cell r="B129">
            <v>356</v>
          </cell>
          <cell r="C129" t="str">
            <v>Adil Khalfan Salim Al Rijbi</v>
          </cell>
          <cell r="D129" t="str">
            <v>Labour</v>
          </cell>
          <cell r="E129" t="str">
            <v>01-12-2005</v>
          </cell>
          <cell r="F129">
            <v>1.4206153846153846</v>
          </cell>
          <cell r="G129">
            <v>0.88788461538461538</v>
          </cell>
          <cell r="H129">
            <v>20</v>
          </cell>
          <cell r="I129">
            <v>52</v>
          </cell>
          <cell r="K129">
            <v>16</v>
          </cell>
          <cell r="L129">
            <v>14</v>
          </cell>
          <cell r="M129">
            <v>0</v>
          </cell>
          <cell r="N129">
            <v>0</v>
          </cell>
          <cell r="O129">
            <v>30</v>
          </cell>
          <cell r="P129">
            <v>54</v>
          </cell>
          <cell r="Q129">
            <v>1.6199999999999999</v>
          </cell>
          <cell r="R129">
            <v>123.12</v>
          </cell>
          <cell r="S129">
            <v>85</v>
          </cell>
          <cell r="T129">
            <v>2</v>
          </cell>
          <cell r="U129">
            <v>5</v>
          </cell>
          <cell r="V129">
            <v>4.5</v>
          </cell>
          <cell r="W129">
            <v>123.12</v>
          </cell>
          <cell r="X129">
            <v>85</v>
          </cell>
          <cell r="Y129">
            <v>2</v>
          </cell>
          <cell r="Z129">
            <v>5</v>
          </cell>
          <cell r="AA129">
            <v>46.17</v>
          </cell>
          <cell r="AB129">
            <v>72</v>
          </cell>
          <cell r="AD129">
            <v>28.412307692307692</v>
          </cell>
          <cell r="AH129">
            <v>0</v>
          </cell>
          <cell r="AI129">
            <v>0</v>
          </cell>
          <cell r="AJ129">
            <v>0</v>
          </cell>
          <cell r="AK129">
            <v>0</v>
          </cell>
          <cell r="AL129">
            <v>53.273076923076921</v>
          </cell>
          <cell r="AM129">
            <v>85.236923076923077</v>
          </cell>
          <cell r="AN129">
            <v>27</v>
          </cell>
          <cell r="AP129">
            <v>123</v>
          </cell>
          <cell r="AQ129">
            <v>650.21230769230772</v>
          </cell>
          <cell r="AR129">
            <v>8.0028000000000006</v>
          </cell>
          <cell r="AT129">
            <v>8.0028000000000006</v>
          </cell>
          <cell r="AU129">
            <v>642.20950769230774</v>
          </cell>
          <cell r="AX129" t="str">
            <v>356</v>
          </cell>
          <cell r="AZ129" t="str">
            <v>Adil Khalfan Salim Al Rijbi</v>
          </cell>
          <cell r="BA129" t="str">
            <v>1019-403489-017</v>
          </cell>
          <cell r="BB129" t="str">
            <v>NBO</v>
          </cell>
          <cell r="BC129" t="str">
            <v>Bahla</v>
          </cell>
          <cell r="BD129">
            <v>642.20950769230774</v>
          </cell>
        </row>
        <row r="130">
          <cell r="B130">
            <v>359</v>
          </cell>
          <cell r="C130" t="str">
            <v>Hamed Ali Saif Al Hinai</v>
          </cell>
          <cell r="D130" t="str">
            <v>Asst.Junior Observer</v>
          </cell>
          <cell r="E130" t="str">
            <v>01-12-2005</v>
          </cell>
          <cell r="F130">
            <v>1.5</v>
          </cell>
          <cell r="G130">
            <v>0.9375</v>
          </cell>
          <cell r="H130">
            <v>0</v>
          </cell>
          <cell r="I130">
            <v>219</v>
          </cell>
          <cell r="K130">
            <v>21</v>
          </cell>
          <cell r="L130">
            <v>9</v>
          </cell>
          <cell r="M130">
            <v>0</v>
          </cell>
          <cell r="N130">
            <v>0</v>
          </cell>
          <cell r="O130">
            <v>30</v>
          </cell>
          <cell r="P130">
            <v>67</v>
          </cell>
          <cell r="Q130">
            <v>2.0099999999999998</v>
          </cell>
          <cell r="R130">
            <v>130</v>
          </cell>
          <cell r="S130">
            <v>110</v>
          </cell>
          <cell r="T130">
            <v>2</v>
          </cell>
          <cell r="U130">
            <v>5</v>
          </cell>
          <cell r="V130">
            <v>4.5</v>
          </cell>
          <cell r="W130">
            <v>130</v>
          </cell>
          <cell r="X130">
            <v>110</v>
          </cell>
          <cell r="Y130">
            <v>2</v>
          </cell>
          <cell r="Z130">
            <v>5</v>
          </cell>
          <cell r="AA130">
            <v>205.3125</v>
          </cell>
          <cell r="AB130">
            <v>94.5</v>
          </cell>
          <cell r="AD130">
            <v>0</v>
          </cell>
          <cell r="AH130">
            <v>0</v>
          </cell>
          <cell r="AI130">
            <v>0</v>
          </cell>
          <cell r="AJ130">
            <v>0</v>
          </cell>
          <cell r="AK130">
            <v>0</v>
          </cell>
          <cell r="AL130">
            <v>52.5</v>
          </cell>
          <cell r="AM130">
            <v>0</v>
          </cell>
          <cell r="AN130">
            <v>0</v>
          </cell>
          <cell r="AP130">
            <v>0</v>
          </cell>
          <cell r="AQ130">
            <v>599.3125</v>
          </cell>
          <cell r="AR130">
            <v>8.4500000000000011</v>
          </cell>
          <cell r="AT130">
            <v>8.4500000000000011</v>
          </cell>
          <cell r="AU130">
            <v>590.86249999999995</v>
          </cell>
          <cell r="AV130" t="str">
            <v>Housing Allowance revised to 110 &amp; Basic 130 from 1/11/2008</v>
          </cell>
          <cell r="AX130" t="str">
            <v>359</v>
          </cell>
          <cell r="AZ130" t="str">
            <v>Hamed Ali Saif Al Hinai</v>
          </cell>
          <cell r="BA130" t="str">
            <v>20-382545-01</v>
          </cell>
          <cell r="BB130" t="str">
            <v>OIB</v>
          </cell>
          <cell r="BC130" t="str">
            <v>Nizwa</v>
          </cell>
          <cell r="BD130">
            <v>590.86249999999995</v>
          </cell>
        </row>
        <row r="131">
          <cell r="B131">
            <v>360</v>
          </cell>
          <cell r="C131" t="str">
            <v>Hani Salim Abdullah Al Sharouqi</v>
          </cell>
          <cell r="D131" t="str">
            <v>Labour</v>
          </cell>
          <cell r="E131" t="str">
            <v>01-12-2005</v>
          </cell>
          <cell r="F131">
            <v>1.4223461538461539</v>
          </cell>
          <cell r="G131">
            <v>0.88896634615384618</v>
          </cell>
          <cell r="H131">
            <v>20</v>
          </cell>
          <cell r="I131">
            <v>42</v>
          </cell>
          <cell r="K131">
            <v>23</v>
          </cell>
          <cell r="L131">
            <v>7</v>
          </cell>
          <cell r="M131">
            <v>0</v>
          </cell>
          <cell r="N131">
            <v>0</v>
          </cell>
          <cell r="O131">
            <v>30</v>
          </cell>
          <cell r="P131">
            <v>56</v>
          </cell>
          <cell r="Q131">
            <v>1.68</v>
          </cell>
          <cell r="R131">
            <v>123.27</v>
          </cell>
          <cell r="S131">
            <v>85</v>
          </cell>
          <cell r="T131">
            <v>2</v>
          </cell>
          <cell r="U131">
            <v>5</v>
          </cell>
          <cell r="V131">
            <v>4.5</v>
          </cell>
          <cell r="W131">
            <v>123.27</v>
          </cell>
          <cell r="X131">
            <v>85</v>
          </cell>
          <cell r="Y131">
            <v>2</v>
          </cell>
          <cell r="Z131">
            <v>5</v>
          </cell>
          <cell r="AA131">
            <v>37.336586538461539</v>
          </cell>
          <cell r="AB131">
            <v>103.5</v>
          </cell>
          <cell r="AD131">
            <v>28.446923076923078</v>
          </cell>
          <cell r="AH131">
            <v>0</v>
          </cell>
          <cell r="AI131">
            <v>0</v>
          </cell>
          <cell r="AJ131">
            <v>0</v>
          </cell>
          <cell r="AK131">
            <v>0</v>
          </cell>
          <cell r="AL131">
            <v>0</v>
          </cell>
          <cell r="AM131">
            <v>85.34076923076924</v>
          </cell>
          <cell r="AN131">
            <v>27</v>
          </cell>
          <cell r="AP131">
            <v>123</v>
          </cell>
          <cell r="AQ131">
            <v>619.89427884615384</v>
          </cell>
          <cell r="AR131">
            <v>8.0125499999999992</v>
          </cell>
          <cell r="AT131">
            <v>8.0125499999999992</v>
          </cell>
          <cell r="AU131">
            <v>611.88172884615381</v>
          </cell>
          <cell r="AX131" t="str">
            <v>360</v>
          </cell>
          <cell r="AZ131" t="str">
            <v>Hani Salim Abdullah Al Sharouqi</v>
          </cell>
          <cell r="BA131" t="str">
            <v>028-25487-0084-015</v>
          </cell>
          <cell r="BB131" t="str">
            <v>Bank Muscat</v>
          </cell>
          <cell r="BC131" t="str">
            <v>Al Khoudh</v>
          </cell>
          <cell r="BD131">
            <v>611.88172884615381</v>
          </cell>
        </row>
        <row r="132">
          <cell r="B132">
            <v>361</v>
          </cell>
          <cell r="C132" t="str">
            <v>Hassan Mohammed Johar Al Ghafri</v>
          </cell>
          <cell r="D132" t="str">
            <v>Labour</v>
          </cell>
          <cell r="E132" t="str">
            <v>01-12-2005</v>
          </cell>
          <cell r="F132">
            <v>1.4233846153846152</v>
          </cell>
          <cell r="G132">
            <v>0.88961538461538447</v>
          </cell>
          <cell r="H132">
            <v>20</v>
          </cell>
          <cell r="I132">
            <v>58</v>
          </cell>
          <cell r="K132">
            <v>23</v>
          </cell>
          <cell r="L132">
            <v>7</v>
          </cell>
          <cell r="M132">
            <v>0</v>
          </cell>
          <cell r="N132">
            <v>0</v>
          </cell>
          <cell r="O132">
            <v>30</v>
          </cell>
          <cell r="P132">
            <v>56</v>
          </cell>
          <cell r="Q132">
            <v>1.68</v>
          </cell>
          <cell r="R132">
            <v>123.36</v>
          </cell>
          <cell r="S132">
            <v>85</v>
          </cell>
          <cell r="T132">
            <v>2</v>
          </cell>
          <cell r="U132">
            <v>5</v>
          </cell>
          <cell r="V132">
            <v>4.5</v>
          </cell>
          <cell r="W132">
            <v>123.36</v>
          </cell>
          <cell r="X132">
            <v>85</v>
          </cell>
          <cell r="Y132">
            <v>2</v>
          </cell>
          <cell r="Z132">
            <v>5</v>
          </cell>
          <cell r="AA132">
            <v>51.597692307692299</v>
          </cell>
          <cell r="AB132">
            <v>103.5</v>
          </cell>
          <cell r="AD132">
            <v>28.467692307692303</v>
          </cell>
          <cell r="AH132">
            <v>0</v>
          </cell>
          <cell r="AI132">
            <v>0</v>
          </cell>
          <cell r="AJ132">
            <v>0</v>
          </cell>
          <cell r="AK132">
            <v>0</v>
          </cell>
          <cell r="AL132">
            <v>0</v>
          </cell>
          <cell r="AM132">
            <v>0</v>
          </cell>
          <cell r="AN132">
            <v>0</v>
          </cell>
          <cell r="AP132">
            <v>0</v>
          </cell>
          <cell r="AQ132">
            <v>398.92538461538459</v>
          </cell>
          <cell r="AR132">
            <v>8.0183999999999997</v>
          </cell>
          <cell r="AT132">
            <v>8.0183999999999997</v>
          </cell>
          <cell r="AU132">
            <v>390.9069846153846</v>
          </cell>
          <cell r="AX132" t="str">
            <v>361</v>
          </cell>
          <cell r="AZ132" t="str">
            <v>Hassan Mohammed Johar Al Ghafri</v>
          </cell>
          <cell r="BA132" t="str">
            <v>062-142770084012</v>
          </cell>
          <cell r="BB132" t="str">
            <v>Bank Muscat</v>
          </cell>
          <cell r="BC132" t="str">
            <v>Bahla</v>
          </cell>
          <cell r="BD132">
            <v>390.9069846153846</v>
          </cell>
        </row>
        <row r="133">
          <cell r="B133">
            <v>362</v>
          </cell>
          <cell r="C133" t="str">
            <v>Hilal Hamed Said Al Faraqani</v>
          </cell>
          <cell r="D133" t="str">
            <v>Labour</v>
          </cell>
          <cell r="E133" t="str">
            <v>01-12-2005</v>
          </cell>
          <cell r="F133">
            <v>1.4230384615384615</v>
          </cell>
          <cell r="G133">
            <v>0.88939903846153845</v>
          </cell>
          <cell r="H133">
            <v>21</v>
          </cell>
          <cell r="I133">
            <v>52.5</v>
          </cell>
          <cell r="K133">
            <v>23</v>
          </cell>
          <cell r="L133">
            <v>7</v>
          </cell>
          <cell r="M133">
            <v>0</v>
          </cell>
          <cell r="N133">
            <v>0</v>
          </cell>
          <cell r="O133">
            <v>30</v>
          </cell>
          <cell r="P133">
            <v>57</v>
          </cell>
          <cell r="Q133">
            <v>1.71</v>
          </cell>
          <cell r="R133">
            <v>123.33</v>
          </cell>
          <cell r="S133">
            <v>85</v>
          </cell>
          <cell r="T133">
            <v>2</v>
          </cell>
          <cell r="U133">
            <v>5</v>
          </cell>
          <cell r="V133">
            <v>4.5</v>
          </cell>
          <cell r="W133">
            <v>123.33</v>
          </cell>
          <cell r="X133">
            <v>85</v>
          </cell>
          <cell r="Y133">
            <v>2</v>
          </cell>
          <cell r="Z133">
            <v>5</v>
          </cell>
          <cell r="AA133">
            <v>46.693449519230768</v>
          </cell>
          <cell r="AB133">
            <v>103.5</v>
          </cell>
          <cell r="AC133">
            <v>23</v>
          </cell>
          <cell r="AD133">
            <v>29.883807692307691</v>
          </cell>
          <cell r="AH133">
            <v>0</v>
          </cell>
          <cell r="AI133">
            <v>0</v>
          </cell>
          <cell r="AJ133">
            <v>0</v>
          </cell>
          <cell r="AK133">
            <v>0</v>
          </cell>
          <cell r="AL133">
            <v>0</v>
          </cell>
          <cell r="AM133">
            <v>89.651423076923066</v>
          </cell>
          <cell r="AN133">
            <v>27</v>
          </cell>
          <cell r="AP133">
            <v>123</v>
          </cell>
          <cell r="AQ133">
            <v>658.05868028846157</v>
          </cell>
          <cell r="AR133">
            <v>8.0164500000000007</v>
          </cell>
          <cell r="AT133">
            <v>8.0164500000000007</v>
          </cell>
          <cell r="AU133">
            <v>650.04223028846161</v>
          </cell>
          <cell r="AV133" t="str">
            <v>Account No Changed</v>
          </cell>
          <cell r="AX133" t="str">
            <v>362</v>
          </cell>
          <cell r="AZ133" t="str">
            <v>Hilal Hamed Said Al Faraqani</v>
          </cell>
          <cell r="BA133" t="str">
            <v>0128-16729-0084-011</v>
          </cell>
          <cell r="BB133" t="str">
            <v>Bank Muscat</v>
          </cell>
          <cell r="BC133" t="str">
            <v>Nizwa Souq</v>
          </cell>
          <cell r="BD133">
            <v>650.04223028846161</v>
          </cell>
        </row>
        <row r="134">
          <cell r="B134">
            <v>363</v>
          </cell>
          <cell r="C134" t="str">
            <v>Imad Musabah Ziyad Al Ghafri</v>
          </cell>
          <cell r="D134" t="str">
            <v>Labour</v>
          </cell>
          <cell r="E134" t="str">
            <v>01-12-2005</v>
          </cell>
          <cell r="F134">
            <v>1.4192307692307693</v>
          </cell>
          <cell r="G134">
            <v>0.88701923076923084</v>
          </cell>
          <cell r="H134">
            <v>20</v>
          </cell>
          <cell r="I134">
            <v>74</v>
          </cell>
          <cell r="K134">
            <v>23</v>
          </cell>
          <cell r="L134">
            <v>7</v>
          </cell>
          <cell r="M134">
            <v>0</v>
          </cell>
          <cell r="N134">
            <v>0</v>
          </cell>
          <cell r="O134">
            <v>30</v>
          </cell>
          <cell r="P134">
            <v>51</v>
          </cell>
          <cell r="Q134">
            <v>1.53</v>
          </cell>
          <cell r="R134">
            <v>123</v>
          </cell>
          <cell r="S134">
            <v>85</v>
          </cell>
          <cell r="T134">
            <v>2</v>
          </cell>
          <cell r="U134">
            <v>5</v>
          </cell>
          <cell r="V134">
            <v>4.5</v>
          </cell>
          <cell r="W134">
            <v>122.99999999999999</v>
          </cell>
          <cell r="X134">
            <v>85</v>
          </cell>
          <cell r="Y134">
            <v>2</v>
          </cell>
          <cell r="Z134">
            <v>5</v>
          </cell>
          <cell r="AA134">
            <v>65.63942307692308</v>
          </cell>
          <cell r="AB134">
            <v>103.5</v>
          </cell>
          <cell r="AD134">
            <v>28.384615384615387</v>
          </cell>
          <cell r="AH134">
            <v>0</v>
          </cell>
          <cell r="AI134">
            <v>0</v>
          </cell>
          <cell r="AJ134">
            <v>0</v>
          </cell>
          <cell r="AK134">
            <v>0</v>
          </cell>
          <cell r="AL134">
            <v>28.384615384615387</v>
          </cell>
          <cell r="AM134">
            <v>0</v>
          </cell>
          <cell r="AN134">
            <v>0</v>
          </cell>
          <cell r="AP134">
            <v>0</v>
          </cell>
          <cell r="AQ134">
            <v>440.90865384615381</v>
          </cell>
          <cell r="AR134">
            <v>7.9950000000000001</v>
          </cell>
          <cell r="AT134">
            <v>7.9950000000000001</v>
          </cell>
          <cell r="AU134">
            <v>432.91365384615381</v>
          </cell>
          <cell r="AV134" t="str">
            <v>Account No Changed</v>
          </cell>
          <cell r="AX134" t="str">
            <v>363</v>
          </cell>
          <cell r="AZ134" t="str">
            <v>Imad Musabah Ziyad Al Ghafri</v>
          </cell>
          <cell r="BA134" t="str">
            <v>002-306397-035</v>
          </cell>
          <cell r="BB134" t="str">
            <v>HSBC</v>
          </cell>
          <cell r="BC134" t="str">
            <v>Ruwi</v>
          </cell>
          <cell r="BD134">
            <v>432.91365384615381</v>
          </cell>
        </row>
        <row r="135">
          <cell r="B135">
            <v>364</v>
          </cell>
          <cell r="C135" t="str">
            <v>Issa Abdullah Muftah Al Ghafri</v>
          </cell>
          <cell r="D135" t="str">
            <v>Labour</v>
          </cell>
          <cell r="E135" t="str">
            <v>01-12-2005</v>
          </cell>
          <cell r="F135">
            <v>1.4185384615384615</v>
          </cell>
          <cell r="G135">
            <v>0.88658653846153845</v>
          </cell>
          <cell r="H135">
            <v>20</v>
          </cell>
          <cell r="I135">
            <v>14</v>
          </cell>
          <cell r="K135">
            <v>9</v>
          </cell>
          <cell r="L135">
            <v>21</v>
          </cell>
          <cell r="M135">
            <v>0</v>
          </cell>
          <cell r="N135">
            <v>0</v>
          </cell>
          <cell r="O135">
            <v>30</v>
          </cell>
          <cell r="P135">
            <v>46</v>
          </cell>
          <cell r="Q135">
            <v>1.38</v>
          </cell>
          <cell r="R135">
            <v>122.94</v>
          </cell>
          <cell r="S135">
            <v>85</v>
          </cell>
          <cell r="T135">
            <v>2</v>
          </cell>
          <cell r="U135">
            <v>5</v>
          </cell>
          <cell r="V135">
            <v>4.5</v>
          </cell>
          <cell r="W135">
            <v>122.94</v>
          </cell>
          <cell r="X135">
            <v>85</v>
          </cell>
          <cell r="Y135">
            <v>2</v>
          </cell>
          <cell r="Z135">
            <v>5</v>
          </cell>
          <cell r="AA135">
            <v>12.412211538461538</v>
          </cell>
          <cell r="AB135">
            <v>40.5</v>
          </cell>
          <cell r="AD135">
            <v>28.370769230769231</v>
          </cell>
          <cell r="AH135">
            <v>0</v>
          </cell>
          <cell r="AI135">
            <v>0</v>
          </cell>
          <cell r="AJ135">
            <v>0</v>
          </cell>
          <cell r="AK135">
            <v>0</v>
          </cell>
          <cell r="AL135">
            <v>0</v>
          </cell>
          <cell r="AM135">
            <v>0</v>
          </cell>
          <cell r="AN135">
            <v>0</v>
          </cell>
          <cell r="AP135">
            <v>0</v>
          </cell>
          <cell r="AQ135">
            <v>296.22298076923079</v>
          </cell>
          <cell r="AR135">
            <v>7.9911000000000003</v>
          </cell>
          <cell r="AT135">
            <v>7.9911000000000003</v>
          </cell>
          <cell r="AU135">
            <v>288.23188076923077</v>
          </cell>
          <cell r="AX135" t="str">
            <v>364</v>
          </cell>
          <cell r="AZ135" t="str">
            <v>Issa Abdullah Muftah Al Ghafri</v>
          </cell>
          <cell r="BA135" t="str">
            <v>062-17386-0084-013</v>
          </cell>
          <cell r="BB135" t="str">
            <v>Bank Muscat</v>
          </cell>
          <cell r="BC135" t="str">
            <v>Bahla</v>
          </cell>
          <cell r="BD135">
            <v>288.23188076923077</v>
          </cell>
        </row>
        <row r="136">
          <cell r="B136">
            <v>365</v>
          </cell>
          <cell r="C136" t="str">
            <v>Mahmoud Nasser Ali Al Hinai</v>
          </cell>
          <cell r="D136" t="str">
            <v>Labour</v>
          </cell>
          <cell r="E136" t="str">
            <v>01-12-2005</v>
          </cell>
          <cell r="F136">
            <v>1.4209615384615386</v>
          </cell>
          <cell r="G136">
            <v>0.88810096153846163</v>
          </cell>
          <cell r="H136">
            <v>0</v>
          </cell>
          <cell r="I136">
            <v>116.5</v>
          </cell>
          <cell r="K136">
            <v>21</v>
          </cell>
          <cell r="L136">
            <v>9</v>
          </cell>
          <cell r="M136">
            <v>0</v>
          </cell>
          <cell r="N136">
            <v>0</v>
          </cell>
          <cell r="O136">
            <v>30</v>
          </cell>
          <cell r="P136">
            <v>54</v>
          </cell>
          <cell r="Q136">
            <v>1.6199999999999999</v>
          </cell>
          <cell r="R136">
            <v>123.15</v>
          </cell>
          <cell r="S136">
            <v>85</v>
          </cell>
          <cell r="T136">
            <v>2</v>
          </cell>
          <cell r="U136">
            <v>5</v>
          </cell>
          <cell r="V136">
            <v>4.5</v>
          </cell>
          <cell r="W136">
            <v>123.15</v>
          </cell>
          <cell r="X136">
            <v>85</v>
          </cell>
          <cell r="Y136">
            <v>2</v>
          </cell>
          <cell r="Z136">
            <v>5</v>
          </cell>
          <cell r="AA136">
            <v>103.46376201923078</v>
          </cell>
          <cell r="AB136">
            <v>94.5</v>
          </cell>
          <cell r="AD136">
            <v>0</v>
          </cell>
          <cell r="AH136">
            <v>0</v>
          </cell>
          <cell r="AI136">
            <v>0</v>
          </cell>
          <cell r="AJ136">
            <v>0</v>
          </cell>
          <cell r="AK136">
            <v>0</v>
          </cell>
          <cell r="AL136">
            <v>40.852644230769236</v>
          </cell>
          <cell r="AM136">
            <v>85.257692307692309</v>
          </cell>
          <cell r="AN136">
            <v>27</v>
          </cell>
          <cell r="AP136">
            <v>123</v>
          </cell>
          <cell r="AQ136">
            <v>689.22409855769229</v>
          </cell>
          <cell r="AR136">
            <v>8.0047500000000014</v>
          </cell>
          <cell r="AT136">
            <v>8.0047500000000014</v>
          </cell>
          <cell r="AU136">
            <v>681.21934855769223</v>
          </cell>
          <cell r="AX136" t="str">
            <v>365</v>
          </cell>
          <cell r="AZ136" t="str">
            <v>Mahmoud Nasser Ali Al Hinai</v>
          </cell>
          <cell r="BA136" t="str">
            <v>27-162874-20</v>
          </cell>
          <cell r="BB136" t="str">
            <v>OIB</v>
          </cell>
          <cell r="BC136" t="str">
            <v>Ibri-Sleef</v>
          </cell>
          <cell r="BD136">
            <v>681.21934855769223</v>
          </cell>
        </row>
        <row r="137">
          <cell r="B137">
            <v>366</v>
          </cell>
          <cell r="C137" t="str">
            <v>Khalid Yaqoub Mohammed Al Housni</v>
          </cell>
          <cell r="D137" t="str">
            <v>Labour</v>
          </cell>
          <cell r="E137" t="str">
            <v>01-12-2005</v>
          </cell>
          <cell r="F137">
            <v>1.4247692307692308</v>
          </cell>
          <cell r="G137">
            <v>0.89048076923076924</v>
          </cell>
          <cell r="H137">
            <v>21</v>
          </cell>
          <cell r="I137">
            <v>52.5</v>
          </cell>
          <cell r="K137">
            <v>23</v>
          </cell>
          <cell r="L137">
            <v>7</v>
          </cell>
          <cell r="M137">
            <v>0</v>
          </cell>
          <cell r="N137">
            <v>0</v>
          </cell>
          <cell r="O137">
            <v>30</v>
          </cell>
          <cell r="P137">
            <v>58</v>
          </cell>
          <cell r="Q137">
            <v>1.74</v>
          </cell>
          <cell r="R137">
            <v>123.48</v>
          </cell>
          <cell r="S137">
            <v>85</v>
          </cell>
          <cell r="T137">
            <v>2</v>
          </cell>
          <cell r="U137">
            <v>5</v>
          </cell>
          <cell r="V137">
            <v>4.5</v>
          </cell>
          <cell r="W137">
            <v>123.48000000000002</v>
          </cell>
          <cell r="X137">
            <v>85</v>
          </cell>
          <cell r="Y137">
            <v>2</v>
          </cell>
          <cell r="Z137">
            <v>5</v>
          </cell>
          <cell r="AA137">
            <v>46.750240384615388</v>
          </cell>
          <cell r="AB137">
            <v>103.5</v>
          </cell>
          <cell r="AC137">
            <v>23</v>
          </cell>
          <cell r="AD137">
            <v>29.920153846153845</v>
          </cell>
          <cell r="AH137">
            <v>0</v>
          </cell>
          <cell r="AI137">
            <v>0</v>
          </cell>
          <cell r="AJ137">
            <v>0</v>
          </cell>
          <cell r="AK137">
            <v>0</v>
          </cell>
          <cell r="AL137">
            <v>-2.226201923076923</v>
          </cell>
          <cell r="AM137">
            <v>89.760461538461541</v>
          </cell>
          <cell r="AN137">
            <v>27</v>
          </cell>
          <cell r="AP137">
            <v>123</v>
          </cell>
          <cell r="AQ137">
            <v>656.18465384615388</v>
          </cell>
          <cell r="AR137">
            <v>8.0262000000000011</v>
          </cell>
          <cell r="AT137">
            <v>8.0262000000000011</v>
          </cell>
          <cell r="AU137">
            <v>648.15845384615386</v>
          </cell>
          <cell r="AX137" t="str">
            <v>366</v>
          </cell>
          <cell r="AZ137" t="str">
            <v>Khalid Yaqoub Mohammed Al Housni</v>
          </cell>
          <cell r="BA137" t="str">
            <v>49-190310084019</v>
          </cell>
          <cell r="BB137" t="str">
            <v>Bank Muscat</v>
          </cell>
          <cell r="BC137" t="str">
            <v>Firq</v>
          </cell>
          <cell r="BD137">
            <v>648.15845384615386</v>
          </cell>
        </row>
        <row r="138">
          <cell r="B138">
            <v>367</v>
          </cell>
          <cell r="C138" t="str">
            <v>Waleed Khamis Mohammed Al Yaqoubi</v>
          </cell>
          <cell r="D138" t="str">
            <v>Labour</v>
          </cell>
          <cell r="E138" t="str">
            <v>01-12-2005</v>
          </cell>
          <cell r="F138">
            <v>1.4216538461538462</v>
          </cell>
          <cell r="G138">
            <v>0.8885336538461539</v>
          </cell>
          <cell r="H138">
            <v>20</v>
          </cell>
          <cell r="I138">
            <v>22</v>
          </cell>
          <cell r="K138">
            <v>14</v>
          </cell>
          <cell r="L138">
            <v>14</v>
          </cell>
          <cell r="M138">
            <v>0</v>
          </cell>
          <cell r="N138">
            <v>2</v>
          </cell>
          <cell r="O138">
            <v>28</v>
          </cell>
          <cell r="P138">
            <v>55</v>
          </cell>
          <cell r="Q138">
            <v>1.65</v>
          </cell>
          <cell r="R138">
            <v>123.21</v>
          </cell>
          <cell r="S138">
            <v>85</v>
          </cell>
          <cell r="T138">
            <v>2</v>
          </cell>
          <cell r="U138">
            <v>5</v>
          </cell>
          <cell r="V138">
            <v>4.5</v>
          </cell>
          <cell r="W138">
            <v>114.99600000000001</v>
          </cell>
          <cell r="X138">
            <v>79.333333333333343</v>
          </cell>
          <cell r="Y138">
            <v>1.8666666666666667</v>
          </cell>
          <cell r="Z138">
            <v>4.6666666666666661</v>
          </cell>
          <cell r="AA138">
            <v>19.547740384615388</v>
          </cell>
          <cell r="AB138">
            <v>63</v>
          </cell>
          <cell r="AD138">
            <v>28.433076923076925</v>
          </cell>
          <cell r="AH138">
            <v>0</v>
          </cell>
          <cell r="AI138">
            <v>0</v>
          </cell>
          <cell r="AJ138">
            <v>0</v>
          </cell>
          <cell r="AK138">
            <v>0</v>
          </cell>
          <cell r="AL138">
            <v>0</v>
          </cell>
          <cell r="AM138">
            <v>0</v>
          </cell>
          <cell r="AN138">
            <v>0</v>
          </cell>
          <cell r="AP138">
            <v>0</v>
          </cell>
          <cell r="AQ138">
            <v>311.84348397435895</v>
          </cell>
          <cell r="AR138">
            <v>8.0086499999999994</v>
          </cell>
          <cell r="AT138">
            <v>8.0086499999999994</v>
          </cell>
          <cell r="AU138">
            <v>303.83483397435896</v>
          </cell>
          <cell r="AX138" t="str">
            <v>367</v>
          </cell>
          <cell r="AZ138" t="str">
            <v>Waleed Khamis Mohammed Al Yaqoubi</v>
          </cell>
          <cell r="BA138" t="str">
            <v>002- 251270-035</v>
          </cell>
          <cell r="BB138" t="str">
            <v>HSBC</v>
          </cell>
          <cell r="BC138" t="str">
            <v>Ruwi</v>
          </cell>
          <cell r="BD138">
            <v>303.83483397435896</v>
          </cell>
        </row>
        <row r="139">
          <cell r="B139">
            <v>368</v>
          </cell>
          <cell r="C139" t="str">
            <v>Saleh Ali Amur Al Hinai</v>
          </cell>
          <cell r="D139" t="str">
            <v>Labour</v>
          </cell>
          <cell r="E139" t="str">
            <v>01-12-2005</v>
          </cell>
          <cell r="F139">
            <v>1.4230384615384615</v>
          </cell>
          <cell r="G139">
            <v>0.88939903846153845</v>
          </cell>
          <cell r="H139">
            <v>24</v>
          </cell>
          <cell r="I139">
            <v>56</v>
          </cell>
          <cell r="K139">
            <v>16</v>
          </cell>
          <cell r="L139">
            <v>14</v>
          </cell>
          <cell r="M139">
            <v>0</v>
          </cell>
          <cell r="N139">
            <v>0</v>
          </cell>
          <cell r="O139">
            <v>30</v>
          </cell>
          <cell r="P139">
            <v>58</v>
          </cell>
          <cell r="Q139">
            <v>1.74</v>
          </cell>
          <cell r="R139">
            <v>123.33</v>
          </cell>
          <cell r="S139">
            <v>85</v>
          </cell>
          <cell r="T139">
            <v>2</v>
          </cell>
          <cell r="U139">
            <v>5</v>
          </cell>
          <cell r="V139">
            <v>4.5</v>
          </cell>
          <cell r="W139">
            <v>123.33</v>
          </cell>
          <cell r="X139">
            <v>85</v>
          </cell>
          <cell r="Y139">
            <v>2</v>
          </cell>
          <cell r="Z139">
            <v>5</v>
          </cell>
          <cell r="AA139">
            <v>49.80634615384615</v>
          </cell>
          <cell r="AB139">
            <v>72</v>
          </cell>
          <cell r="AD139">
            <v>34.152923076923074</v>
          </cell>
          <cell r="AH139">
            <v>0</v>
          </cell>
          <cell r="AI139">
            <v>0</v>
          </cell>
          <cell r="AJ139">
            <v>0</v>
          </cell>
          <cell r="AK139">
            <v>0</v>
          </cell>
          <cell r="AL139">
            <v>78.711814903846147</v>
          </cell>
          <cell r="AM139">
            <v>102.45876923076922</v>
          </cell>
          <cell r="AN139">
            <v>27</v>
          </cell>
          <cell r="AP139">
            <v>123</v>
          </cell>
          <cell r="AQ139">
            <v>702.45985336538456</v>
          </cell>
          <cell r="AR139">
            <v>8.0164500000000007</v>
          </cell>
          <cell r="AT139">
            <v>8.0164500000000007</v>
          </cell>
          <cell r="AU139">
            <v>694.4434033653846</v>
          </cell>
          <cell r="AX139" t="str">
            <v>368</v>
          </cell>
          <cell r="AZ139" t="str">
            <v>Saleh Ali Amur Al Hinai</v>
          </cell>
          <cell r="BA139" t="str">
            <v>062-191590084015</v>
          </cell>
          <cell r="BB139" t="str">
            <v>Bank Muscat</v>
          </cell>
          <cell r="BC139" t="str">
            <v>Bahla</v>
          </cell>
          <cell r="BD139">
            <v>694.4434033653846</v>
          </cell>
        </row>
        <row r="140">
          <cell r="B140">
            <v>369</v>
          </cell>
          <cell r="C140" t="str">
            <v>Suleiman Salam Manin Al Rashid</v>
          </cell>
          <cell r="D140" t="str">
            <v>Labour</v>
          </cell>
          <cell r="E140" t="str">
            <v>01-12-2005</v>
          </cell>
          <cell r="F140">
            <v>1.4258076923076923</v>
          </cell>
          <cell r="G140">
            <v>0.89112980769230776</v>
          </cell>
          <cell r="H140">
            <v>24</v>
          </cell>
          <cell r="I140">
            <v>110</v>
          </cell>
          <cell r="K140">
            <v>16</v>
          </cell>
          <cell r="L140">
            <v>14</v>
          </cell>
          <cell r="M140">
            <v>0</v>
          </cell>
          <cell r="N140">
            <v>0</v>
          </cell>
          <cell r="O140">
            <v>30</v>
          </cell>
          <cell r="P140">
            <v>67</v>
          </cell>
          <cell r="Q140">
            <v>2.0099999999999998</v>
          </cell>
          <cell r="R140">
            <v>123.57</v>
          </cell>
          <cell r="S140">
            <v>85</v>
          </cell>
          <cell r="T140">
            <v>2</v>
          </cell>
          <cell r="U140">
            <v>5</v>
          </cell>
          <cell r="V140">
            <v>4.5</v>
          </cell>
          <cell r="W140">
            <v>123.57</v>
          </cell>
          <cell r="X140">
            <v>85</v>
          </cell>
          <cell r="Y140">
            <v>2</v>
          </cell>
          <cell r="Z140">
            <v>5</v>
          </cell>
          <cell r="AA140">
            <v>98.024278846153848</v>
          </cell>
          <cell r="AB140">
            <v>72</v>
          </cell>
          <cell r="AD140">
            <v>34.219384615384612</v>
          </cell>
          <cell r="AH140">
            <v>0</v>
          </cell>
          <cell r="AI140">
            <v>0</v>
          </cell>
          <cell r="AJ140">
            <v>0</v>
          </cell>
          <cell r="AK140">
            <v>0</v>
          </cell>
          <cell r="AL140">
            <v>0</v>
          </cell>
          <cell r="AM140">
            <v>102.65815384615385</v>
          </cell>
          <cell r="AN140">
            <v>27</v>
          </cell>
          <cell r="AO140">
            <v>-8.0320499999999999</v>
          </cell>
          <cell r="AP140">
            <v>128</v>
          </cell>
          <cell r="AQ140">
            <v>669.43976730769225</v>
          </cell>
          <cell r="AR140">
            <v>8.0320499999999999</v>
          </cell>
          <cell r="AT140">
            <v>8.0320499999999999</v>
          </cell>
          <cell r="AU140">
            <v>661.40771730769222</v>
          </cell>
          <cell r="AV140" t="str">
            <v>One Month GOSI of October &amp; 5 Rials Ration of Oct</v>
          </cell>
          <cell r="AX140" t="str">
            <v>369</v>
          </cell>
          <cell r="AZ140" t="str">
            <v>Suleiman Salam Manin Al Rashid</v>
          </cell>
          <cell r="BA140" t="str">
            <v>049-179530084017</v>
          </cell>
          <cell r="BB140" t="str">
            <v>Bank Muscat</v>
          </cell>
          <cell r="BC140" t="str">
            <v>Nizwa-Firq</v>
          </cell>
          <cell r="BD140">
            <v>661.40771730769222</v>
          </cell>
        </row>
        <row r="141">
          <cell r="B141">
            <v>370</v>
          </cell>
          <cell r="C141" t="str">
            <v>Taqi Obaid Khadoom</v>
          </cell>
          <cell r="D141" t="str">
            <v>Labour/Camp</v>
          </cell>
          <cell r="E141" t="str">
            <v>01-12-2005</v>
          </cell>
          <cell r="F141">
            <v>1.4199230769230768</v>
          </cell>
          <cell r="G141">
            <v>0.887451923076923</v>
          </cell>
          <cell r="H141">
            <v>20</v>
          </cell>
          <cell r="I141">
            <v>28</v>
          </cell>
          <cell r="K141">
            <v>12</v>
          </cell>
          <cell r="L141">
            <v>18</v>
          </cell>
          <cell r="M141">
            <v>0</v>
          </cell>
          <cell r="N141">
            <v>0</v>
          </cell>
          <cell r="O141">
            <v>30</v>
          </cell>
          <cell r="P141">
            <v>48</v>
          </cell>
          <cell r="Q141">
            <v>1.44</v>
          </cell>
          <cell r="R141">
            <v>123.06</v>
          </cell>
          <cell r="S141">
            <v>85</v>
          </cell>
          <cell r="T141">
            <v>2</v>
          </cell>
          <cell r="U141">
            <v>5</v>
          </cell>
          <cell r="V141">
            <v>4.5</v>
          </cell>
          <cell r="W141">
            <v>123.06</v>
          </cell>
          <cell r="X141">
            <v>85</v>
          </cell>
          <cell r="Y141">
            <v>2</v>
          </cell>
          <cell r="Z141">
            <v>5</v>
          </cell>
          <cell r="AA141">
            <v>24.848653846153844</v>
          </cell>
          <cell r="AB141">
            <v>54</v>
          </cell>
          <cell r="AD141">
            <v>28.398461538461536</v>
          </cell>
          <cell r="AH141">
            <v>-7.9393548387096775</v>
          </cell>
          <cell r="AI141">
            <v>-5.4838709677419351</v>
          </cell>
          <cell r="AJ141">
            <v>-0.12903225806451613</v>
          </cell>
          <cell r="AK141">
            <v>-0.32258064516129031</v>
          </cell>
          <cell r="AL141">
            <v>15.974134615384614</v>
          </cell>
          <cell r="AM141">
            <v>0</v>
          </cell>
          <cell r="AN141">
            <v>-13.5</v>
          </cell>
          <cell r="AP141">
            <v>0</v>
          </cell>
          <cell r="AQ141">
            <v>310.90641129032258</v>
          </cell>
          <cell r="AR141">
            <v>7.9989000000000008</v>
          </cell>
          <cell r="AT141">
            <v>7.9989000000000008</v>
          </cell>
          <cell r="AU141">
            <v>302.90751129032259</v>
          </cell>
          <cell r="AX141" t="str">
            <v>370</v>
          </cell>
          <cell r="AZ141" t="str">
            <v>Taqi Obaid Khadoom</v>
          </cell>
          <cell r="BA141" t="str">
            <v>10-121416-20</v>
          </cell>
          <cell r="BB141" t="str">
            <v>OIB</v>
          </cell>
          <cell r="BC141" t="str">
            <v>Seeb</v>
          </cell>
          <cell r="BD141">
            <v>302.90751129032259</v>
          </cell>
        </row>
        <row r="142">
          <cell r="B142">
            <v>371</v>
          </cell>
          <cell r="C142" t="str">
            <v>Hilal Marzouq Salmeen Al Ghafri</v>
          </cell>
          <cell r="D142" t="str">
            <v>Labour</v>
          </cell>
          <cell r="E142" t="str">
            <v>01-12-2005</v>
          </cell>
          <cell r="F142">
            <v>1.4192307692307693</v>
          </cell>
          <cell r="G142">
            <v>0.88701923076923084</v>
          </cell>
          <cell r="H142">
            <v>20</v>
          </cell>
          <cell r="I142">
            <v>28</v>
          </cell>
          <cell r="K142">
            <v>16</v>
          </cell>
          <cell r="L142">
            <v>14</v>
          </cell>
          <cell r="M142">
            <v>0</v>
          </cell>
          <cell r="N142">
            <v>0</v>
          </cell>
          <cell r="O142">
            <v>30</v>
          </cell>
          <cell r="P142">
            <v>48</v>
          </cell>
          <cell r="Q142">
            <v>1.44</v>
          </cell>
          <cell r="R142">
            <v>123</v>
          </cell>
          <cell r="S142">
            <v>85</v>
          </cell>
          <cell r="T142">
            <v>2</v>
          </cell>
          <cell r="U142">
            <v>5</v>
          </cell>
          <cell r="V142">
            <v>4.5</v>
          </cell>
          <cell r="W142">
            <v>122.99999999999999</v>
          </cell>
          <cell r="X142">
            <v>85</v>
          </cell>
          <cell r="Y142">
            <v>2</v>
          </cell>
          <cell r="Z142">
            <v>5</v>
          </cell>
          <cell r="AA142">
            <v>24.836538461538463</v>
          </cell>
          <cell r="AB142">
            <v>72</v>
          </cell>
          <cell r="AD142">
            <v>28.384615384615387</v>
          </cell>
          <cell r="AH142">
            <v>0</v>
          </cell>
          <cell r="AI142">
            <v>0</v>
          </cell>
          <cell r="AJ142">
            <v>0</v>
          </cell>
          <cell r="AK142">
            <v>0</v>
          </cell>
          <cell r="AL142">
            <v>0</v>
          </cell>
          <cell r="AM142">
            <v>0</v>
          </cell>
          <cell r="AN142">
            <v>0</v>
          </cell>
          <cell r="AP142">
            <v>0</v>
          </cell>
          <cell r="AQ142">
            <v>340.22115384615381</v>
          </cell>
          <cell r="AR142">
            <v>7.9950000000000001</v>
          </cell>
          <cell r="AT142">
            <v>7.9950000000000001</v>
          </cell>
          <cell r="AU142">
            <v>332.22615384615381</v>
          </cell>
          <cell r="AX142" t="str">
            <v>371</v>
          </cell>
          <cell r="AZ142" t="str">
            <v>Hilal Marzouq Salmeen Al Ghafri</v>
          </cell>
          <cell r="BA142" t="str">
            <v>119-120200084018</v>
          </cell>
          <cell r="BB142" t="str">
            <v>Bank Muscat</v>
          </cell>
          <cell r="BC142" t="str">
            <v>Ibri-Dareeze</v>
          </cell>
          <cell r="BD142">
            <v>332.22615384615381</v>
          </cell>
        </row>
        <row r="143">
          <cell r="B143">
            <v>372</v>
          </cell>
          <cell r="C143" t="str">
            <v>Ismail Ali Said Al Busaidi</v>
          </cell>
          <cell r="D143" t="str">
            <v>Labour</v>
          </cell>
          <cell r="E143" t="str">
            <v>01-12-2005</v>
          </cell>
          <cell r="F143">
            <v>1.4233846153846152</v>
          </cell>
          <cell r="G143">
            <v>0.88961538461538447</v>
          </cell>
          <cell r="H143">
            <v>0</v>
          </cell>
          <cell r="I143">
            <v>52.5</v>
          </cell>
          <cell r="K143">
            <v>21</v>
          </cell>
          <cell r="L143">
            <v>9</v>
          </cell>
          <cell r="M143">
            <v>0</v>
          </cell>
          <cell r="N143">
            <v>0</v>
          </cell>
          <cell r="O143">
            <v>30</v>
          </cell>
          <cell r="P143">
            <v>54</v>
          </cell>
          <cell r="Q143">
            <v>1.6199999999999999</v>
          </cell>
          <cell r="R143">
            <v>123.36</v>
          </cell>
          <cell r="S143">
            <v>85</v>
          </cell>
          <cell r="T143">
            <v>2</v>
          </cell>
          <cell r="U143">
            <v>5</v>
          </cell>
          <cell r="V143">
            <v>4.5</v>
          </cell>
          <cell r="W143">
            <v>123.36</v>
          </cell>
          <cell r="X143">
            <v>85</v>
          </cell>
          <cell r="Y143">
            <v>2</v>
          </cell>
          <cell r="Z143">
            <v>5</v>
          </cell>
          <cell r="AA143">
            <v>46.704807692307682</v>
          </cell>
          <cell r="AB143">
            <v>94.5</v>
          </cell>
          <cell r="AC143">
            <v>21</v>
          </cell>
          <cell r="AD143">
            <v>0</v>
          </cell>
          <cell r="AH143">
            <v>0</v>
          </cell>
          <cell r="AI143">
            <v>0</v>
          </cell>
          <cell r="AJ143">
            <v>0</v>
          </cell>
          <cell r="AK143">
            <v>0</v>
          </cell>
          <cell r="AL143">
            <v>0</v>
          </cell>
          <cell r="AM143">
            <v>89.673230769230756</v>
          </cell>
          <cell r="AN143">
            <v>27</v>
          </cell>
          <cell r="AP143">
            <v>123</v>
          </cell>
          <cell r="AQ143">
            <v>617.23803846153851</v>
          </cell>
          <cell r="AR143">
            <v>8.0183999999999997</v>
          </cell>
          <cell r="AT143">
            <v>8.0183999999999997</v>
          </cell>
          <cell r="AU143">
            <v>609.21963846153847</v>
          </cell>
          <cell r="AX143" t="str">
            <v>372</v>
          </cell>
          <cell r="AZ143" t="str">
            <v>Ismail Ali Said Al Busaidi</v>
          </cell>
          <cell r="BA143" t="str">
            <v>133-142330084015</v>
          </cell>
          <cell r="BB143" t="str">
            <v>Bank Muscat</v>
          </cell>
          <cell r="BC143" t="str">
            <v>Firq</v>
          </cell>
          <cell r="BD143">
            <v>609.21963846153847</v>
          </cell>
        </row>
        <row r="144">
          <cell r="B144">
            <v>373</v>
          </cell>
          <cell r="C144" t="str">
            <v>Ahmed Suleiman Said Al Mahrouqi</v>
          </cell>
          <cell r="D144" t="str">
            <v>Heavy Duty Driver</v>
          </cell>
          <cell r="E144" t="str">
            <v>01-12-2005</v>
          </cell>
          <cell r="F144">
            <v>1.5373846153846156</v>
          </cell>
          <cell r="G144">
            <v>0.96086538461538473</v>
          </cell>
          <cell r="H144">
            <v>21</v>
          </cell>
          <cell r="I144">
            <v>132.5</v>
          </cell>
          <cell r="K144">
            <v>23</v>
          </cell>
          <cell r="L144">
            <v>7</v>
          </cell>
          <cell r="M144">
            <v>0</v>
          </cell>
          <cell r="N144">
            <v>0</v>
          </cell>
          <cell r="O144">
            <v>30</v>
          </cell>
          <cell r="P144">
            <v>54</v>
          </cell>
          <cell r="Q144">
            <v>1.6199999999999999</v>
          </cell>
          <cell r="R144">
            <v>133.24</v>
          </cell>
          <cell r="S144">
            <v>85</v>
          </cell>
          <cell r="T144">
            <v>2</v>
          </cell>
          <cell r="U144">
            <v>5</v>
          </cell>
          <cell r="V144">
            <v>4.5</v>
          </cell>
          <cell r="W144">
            <v>133.24</v>
          </cell>
          <cell r="X144">
            <v>85</v>
          </cell>
          <cell r="Y144">
            <v>2</v>
          </cell>
          <cell r="Z144">
            <v>5</v>
          </cell>
          <cell r="AA144">
            <v>127.31466346153847</v>
          </cell>
          <cell r="AB144">
            <v>103.5</v>
          </cell>
          <cell r="AD144">
            <v>32.285076923076929</v>
          </cell>
          <cell r="AH144">
            <v>0</v>
          </cell>
          <cell r="AI144">
            <v>0</v>
          </cell>
          <cell r="AJ144">
            <v>0</v>
          </cell>
          <cell r="AK144">
            <v>0</v>
          </cell>
          <cell r="AL144">
            <v>19.217307692307696</v>
          </cell>
          <cell r="AM144">
            <v>0</v>
          </cell>
          <cell r="AN144">
            <v>0</v>
          </cell>
          <cell r="AP144">
            <v>0</v>
          </cell>
          <cell r="AQ144">
            <v>507.55704807692314</v>
          </cell>
          <cell r="AR144">
            <v>8.6606000000000005</v>
          </cell>
          <cell r="AT144">
            <v>8.6606000000000005</v>
          </cell>
          <cell r="AU144">
            <v>498.89644807692315</v>
          </cell>
          <cell r="AX144" t="str">
            <v>373</v>
          </cell>
          <cell r="AZ144" t="str">
            <v>Ahmed Suleiman Said Al Mahrouqi</v>
          </cell>
          <cell r="BA144" t="str">
            <v>129-106550084014</v>
          </cell>
          <cell r="BB144" t="str">
            <v>Bank Muscat</v>
          </cell>
          <cell r="BC144" t="str">
            <v>Adam</v>
          </cell>
          <cell r="BD144">
            <v>498.89644807692315</v>
          </cell>
        </row>
        <row r="145">
          <cell r="B145">
            <v>374</v>
          </cell>
          <cell r="C145" t="str">
            <v>Dawood Mohammed Azan Al Qasmi</v>
          </cell>
          <cell r="D145" t="str">
            <v>Asst Junior Observer</v>
          </cell>
          <cell r="E145" t="str">
            <v>01-12-2005</v>
          </cell>
          <cell r="F145">
            <v>1.5422307692307693</v>
          </cell>
          <cell r="G145">
            <v>0.96389423076923086</v>
          </cell>
          <cell r="H145">
            <v>24</v>
          </cell>
          <cell r="I145">
            <v>192.5</v>
          </cell>
          <cell r="K145">
            <v>23</v>
          </cell>
          <cell r="L145">
            <v>7</v>
          </cell>
          <cell r="M145">
            <v>0</v>
          </cell>
          <cell r="N145">
            <v>0</v>
          </cell>
          <cell r="O145">
            <v>30</v>
          </cell>
          <cell r="P145">
            <v>67</v>
          </cell>
          <cell r="Q145">
            <v>2.0099999999999998</v>
          </cell>
          <cell r="R145">
            <v>133.66</v>
          </cell>
          <cell r="S145">
            <v>85</v>
          </cell>
          <cell r="T145">
            <v>2</v>
          </cell>
          <cell r="U145">
            <v>5</v>
          </cell>
          <cell r="V145">
            <v>4.5</v>
          </cell>
          <cell r="W145">
            <v>133.66</v>
          </cell>
          <cell r="X145">
            <v>85</v>
          </cell>
          <cell r="Y145">
            <v>2</v>
          </cell>
          <cell r="Z145">
            <v>5</v>
          </cell>
          <cell r="AA145">
            <v>185.54963942307694</v>
          </cell>
          <cell r="AB145">
            <v>103.5</v>
          </cell>
          <cell r="AD145">
            <v>37.01353846153846</v>
          </cell>
          <cell r="AH145">
            <v>0</v>
          </cell>
          <cell r="AI145">
            <v>0</v>
          </cell>
          <cell r="AJ145">
            <v>0</v>
          </cell>
          <cell r="AK145">
            <v>0</v>
          </cell>
          <cell r="AL145">
            <v>40.483557692307699</v>
          </cell>
          <cell r="AM145">
            <v>0</v>
          </cell>
          <cell r="AN145">
            <v>0</v>
          </cell>
          <cell r="AP145">
            <v>0</v>
          </cell>
          <cell r="AQ145">
            <v>592.20673557692317</v>
          </cell>
          <cell r="AR145">
            <v>8.6879000000000008</v>
          </cell>
          <cell r="AT145">
            <v>8.6879000000000008</v>
          </cell>
          <cell r="AU145">
            <v>583.51883557692315</v>
          </cell>
          <cell r="AX145" t="str">
            <v>374</v>
          </cell>
          <cell r="AZ145" t="str">
            <v>Dawood Mohammed Azan Al Qasmi</v>
          </cell>
          <cell r="BA145" t="str">
            <v>002-254464-035</v>
          </cell>
          <cell r="BB145" t="str">
            <v>HSBC</v>
          </cell>
          <cell r="BC145" t="str">
            <v>Ruwi</v>
          </cell>
          <cell r="BD145">
            <v>583.51883557692315</v>
          </cell>
        </row>
        <row r="146">
          <cell r="B146">
            <v>377</v>
          </cell>
          <cell r="C146" t="str">
            <v>Salim Khalfan Salim Al Rajibi</v>
          </cell>
          <cell r="D146" t="str">
            <v>Labour</v>
          </cell>
          <cell r="E146">
            <v>38724</v>
          </cell>
          <cell r="F146">
            <v>1.4226923076923077</v>
          </cell>
          <cell r="G146">
            <v>0.88918269230769231</v>
          </cell>
          <cell r="H146">
            <v>21</v>
          </cell>
          <cell r="I146">
            <v>55</v>
          </cell>
          <cell r="K146">
            <v>16</v>
          </cell>
          <cell r="L146">
            <v>14</v>
          </cell>
          <cell r="M146">
            <v>0</v>
          </cell>
          <cell r="N146">
            <v>0</v>
          </cell>
          <cell r="O146">
            <v>30</v>
          </cell>
          <cell r="P146">
            <v>56</v>
          </cell>
          <cell r="Q146">
            <v>1.68</v>
          </cell>
          <cell r="R146">
            <v>123.3</v>
          </cell>
          <cell r="S146">
            <v>85</v>
          </cell>
          <cell r="T146">
            <v>2</v>
          </cell>
          <cell r="U146">
            <v>5</v>
          </cell>
          <cell r="V146">
            <v>4.5</v>
          </cell>
          <cell r="W146">
            <v>123.30000000000001</v>
          </cell>
          <cell r="X146">
            <v>85</v>
          </cell>
          <cell r="Y146">
            <v>2</v>
          </cell>
          <cell r="Z146">
            <v>5</v>
          </cell>
          <cell r="AA146">
            <v>48.90504807692308</v>
          </cell>
          <cell r="AB146">
            <v>72</v>
          </cell>
          <cell r="AC146">
            <v>16</v>
          </cell>
          <cell r="AD146">
            <v>29.876538461538463</v>
          </cell>
          <cell r="AH146">
            <v>0</v>
          </cell>
          <cell r="AI146">
            <v>0</v>
          </cell>
          <cell r="AJ146">
            <v>0</v>
          </cell>
          <cell r="AK146">
            <v>0</v>
          </cell>
          <cell r="AL146">
            <v>39.568629807692311</v>
          </cell>
          <cell r="AM146">
            <v>89.629615384615391</v>
          </cell>
          <cell r="AN146">
            <v>18</v>
          </cell>
          <cell r="AP146">
            <v>123</v>
          </cell>
          <cell r="AQ146">
            <v>652.27983173076927</v>
          </cell>
          <cell r="AR146">
            <v>8.0145</v>
          </cell>
          <cell r="AT146">
            <v>8.0145</v>
          </cell>
          <cell r="AU146">
            <v>644.26533173076928</v>
          </cell>
          <cell r="AX146">
            <v>377</v>
          </cell>
          <cell r="AZ146" t="str">
            <v>Salim Khalfan Salim Al Rajibi</v>
          </cell>
          <cell r="BA146" t="str">
            <v>002-254522-035</v>
          </cell>
          <cell r="BB146" t="str">
            <v>HSBC</v>
          </cell>
          <cell r="BC146" t="str">
            <v>Ruwi</v>
          </cell>
          <cell r="BD146">
            <v>644.26533173076928</v>
          </cell>
        </row>
        <row r="147">
          <cell r="B147">
            <v>378</v>
          </cell>
          <cell r="C147" t="str">
            <v>Al Sabaa Juma Al Sabaa Al Jadeedi</v>
          </cell>
          <cell r="D147" t="str">
            <v>Labour</v>
          </cell>
          <cell r="E147">
            <v>38724</v>
          </cell>
          <cell r="F147">
            <v>1.4223461538461539</v>
          </cell>
          <cell r="G147">
            <v>0.88896634615384618</v>
          </cell>
          <cell r="H147">
            <v>20</v>
          </cell>
          <cell r="I147">
            <v>28</v>
          </cell>
          <cell r="K147">
            <v>16</v>
          </cell>
          <cell r="L147">
            <v>0</v>
          </cell>
          <cell r="M147">
            <v>0</v>
          </cell>
          <cell r="N147">
            <v>0</v>
          </cell>
          <cell r="O147">
            <v>16</v>
          </cell>
          <cell r="P147">
            <v>58</v>
          </cell>
          <cell r="Q147">
            <v>1.74</v>
          </cell>
          <cell r="R147">
            <v>123.27</v>
          </cell>
          <cell r="S147">
            <v>85</v>
          </cell>
          <cell r="T147">
            <v>2</v>
          </cell>
          <cell r="U147">
            <v>5</v>
          </cell>
          <cell r="V147">
            <v>4.5</v>
          </cell>
          <cell r="W147">
            <v>65.744</v>
          </cell>
          <cell r="X147">
            <v>45.333333333333336</v>
          </cell>
          <cell r="Y147">
            <v>1.0666666666666667</v>
          </cell>
          <cell r="Z147">
            <v>2.6666666666666665</v>
          </cell>
          <cell r="AA147">
            <v>24.891057692307694</v>
          </cell>
          <cell r="AB147">
            <v>72</v>
          </cell>
          <cell r="AD147">
            <v>28.446923076923078</v>
          </cell>
          <cell r="AH147">
            <v>0</v>
          </cell>
          <cell r="AI147">
            <v>0</v>
          </cell>
          <cell r="AJ147">
            <v>0</v>
          </cell>
          <cell r="AK147">
            <v>0</v>
          </cell>
          <cell r="AL147">
            <v>0</v>
          </cell>
          <cell r="AM147">
            <v>85.34076923076924</v>
          </cell>
          <cell r="AN147">
            <v>27</v>
          </cell>
          <cell r="AP147">
            <v>123</v>
          </cell>
          <cell r="AQ147">
            <v>475.48941666666667</v>
          </cell>
          <cell r="AR147">
            <v>8.0125499999999992</v>
          </cell>
          <cell r="AT147">
            <v>8.0125499999999992</v>
          </cell>
          <cell r="AU147">
            <v>467.47686666666669</v>
          </cell>
          <cell r="AX147">
            <v>378</v>
          </cell>
          <cell r="AZ147" t="str">
            <v>Al Sabaa Juma Al Sabaa Al Jadeedi</v>
          </cell>
          <cell r="BA147" t="str">
            <v>62-130560084012</v>
          </cell>
          <cell r="BB147" t="str">
            <v>Bank Muscat</v>
          </cell>
          <cell r="BC147" t="str">
            <v>Bahla</v>
          </cell>
          <cell r="BD147">
            <v>467.47686666666669</v>
          </cell>
        </row>
        <row r="148">
          <cell r="B148">
            <v>381</v>
          </cell>
          <cell r="C148" t="str">
            <v>Youseph Abdullah Bukheit Al Ghafri</v>
          </cell>
          <cell r="D148" t="str">
            <v>Labour</v>
          </cell>
          <cell r="E148">
            <v>38724</v>
          </cell>
          <cell r="F148">
            <v>1.4192307692307693</v>
          </cell>
          <cell r="G148">
            <v>0.88701923076923084</v>
          </cell>
          <cell r="H148">
            <v>0</v>
          </cell>
          <cell r="I148">
            <v>42</v>
          </cell>
          <cell r="K148">
            <v>21</v>
          </cell>
          <cell r="L148">
            <v>9</v>
          </cell>
          <cell r="M148">
            <v>0</v>
          </cell>
          <cell r="N148">
            <v>0</v>
          </cell>
          <cell r="O148">
            <v>30</v>
          </cell>
          <cell r="P148">
            <v>50</v>
          </cell>
          <cell r="Q148">
            <v>1.5</v>
          </cell>
          <cell r="R148">
            <v>123</v>
          </cell>
          <cell r="S148">
            <v>85</v>
          </cell>
          <cell r="T148">
            <v>2</v>
          </cell>
          <cell r="U148">
            <v>5</v>
          </cell>
          <cell r="V148">
            <v>4.5</v>
          </cell>
          <cell r="W148">
            <v>122.99999999999999</v>
          </cell>
          <cell r="X148">
            <v>85</v>
          </cell>
          <cell r="Y148">
            <v>2</v>
          </cell>
          <cell r="Z148">
            <v>5</v>
          </cell>
          <cell r="AA148">
            <v>37.254807692307693</v>
          </cell>
          <cell r="AB148">
            <v>94.5</v>
          </cell>
          <cell r="AD148">
            <v>0</v>
          </cell>
          <cell r="AH148">
            <v>0</v>
          </cell>
          <cell r="AI148">
            <v>0</v>
          </cell>
          <cell r="AJ148">
            <v>0</v>
          </cell>
          <cell r="AK148">
            <v>0</v>
          </cell>
          <cell r="AL148">
            <v>0</v>
          </cell>
          <cell r="AM148">
            <v>85.15384615384616</v>
          </cell>
          <cell r="AN148">
            <v>27</v>
          </cell>
          <cell r="AP148">
            <v>123</v>
          </cell>
          <cell r="AQ148">
            <v>581.90865384615381</v>
          </cell>
          <cell r="AR148">
            <v>7.9950000000000001</v>
          </cell>
          <cell r="AT148">
            <v>7.9950000000000001</v>
          </cell>
          <cell r="AU148">
            <v>573.91365384615381</v>
          </cell>
          <cell r="AX148">
            <v>381</v>
          </cell>
          <cell r="AZ148" t="str">
            <v>Youseph Abdullah Bukheit Al Ghafri</v>
          </cell>
          <cell r="BA148" t="str">
            <v>119-130240084011</v>
          </cell>
          <cell r="BB148" t="str">
            <v>Bank Muscat</v>
          </cell>
          <cell r="BC148" t="str">
            <v>Al Dareez</v>
          </cell>
          <cell r="BD148">
            <v>573.91365384615381</v>
          </cell>
        </row>
        <row r="149">
          <cell r="B149">
            <v>382</v>
          </cell>
          <cell r="C149" t="str">
            <v>Mohammed Suliman Said Al Qasmi</v>
          </cell>
          <cell r="D149" t="str">
            <v>Labour</v>
          </cell>
          <cell r="E149">
            <v>38724</v>
          </cell>
          <cell r="F149">
            <v>1.4213076923076924</v>
          </cell>
          <cell r="G149">
            <v>0.88831730769230777</v>
          </cell>
          <cell r="H149">
            <v>20</v>
          </cell>
          <cell r="I149">
            <v>77</v>
          </cell>
          <cell r="K149">
            <v>23</v>
          </cell>
          <cell r="L149">
            <v>7</v>
          </cell>
          <cell r="M149">
            <v>0</v>
          </cell>
          <cell r="N149">
            <v>0</v>
          </cell>
          <cell r="O149">
            <v>30</v>
          </cell>
          <cell r="P149">
            <v>53</v>
          </cell>
          <cell r="Q149">
            <v>1.5899999999999999</v>
          </cell>
          <cell r="R149">
            <v>123.18</v>
          </cell>
          <cell r="S149">
            <v>85</v>
          </cell>
          <cell r="T149">
            <v>2</v>
          </cell>
          <cell r="U149">
            <v>5</v>
          </cell>
          <cell r="V149">
            <v>4.5</v>
          </cell>
          <cell r="W149">
            <v>123.17999999999999</v>
          </cell>
          <cell r="X149">
            <v>85</v>
          </cell>
          <cell r="Y149">
            <v>2</v>
          </cell>
          <cell r="Z149">
            <v>5</v>
          </cell>
          <cell r="AA149">
            <v>68.400432692307703</v>
          </cell>
          <cell r="AB149">
            <v>103.5</v>
          </cell>
          <cell r="AD149">
            <v>28.426153846153849</v>
          </cell>
          <cell r="AH149">
            <v>0</v>
          </cell>
          <cell r="AI149">
            <v>0</v>
          </cell>
          <cell r="AJ149">
            <v>0</v>
          </cell>
          <cell r="AK149">
            <v>0</v>
          </cell>
          <cell r="AL149">
            <v>7.1065384615384621</v>
          </cell>
          <cell r="AM149">
            <v>85.278461538461542</v>
          </cell>
          <cell r="AN149">
            <v>27</v>
          </cell>
          <cell r="AP149">
            <v>123</v>
          </cell>
          <cell r="AQ149">
            <v>657.89158653846152</v>
          </cell>
          <cell r="AR149">
            <v>8.0067000000000004</v>
          </cell>
          <cell r="AT149">
            <v>8.0067000000000004</v>
          </cell>
          <cell r="AU149">
            <v>649.8848865384615</v>
          </cell>
          <cell r="AX149">
            <v>382</v>
          </cell>
          <cell r="AZ149" t="str">
            <v>Mohammed Suliman Said Al Qasmi</v>
          </cell>
          <cell r="BA149" t="str">
            <v>043-182740084-016</v>
          </cell>
          <cell r="BB149" t="str">
            <v>Bank Muscat</v>
          </cell>
          <cell r="BC149" t="str">
            <v>Fanja</v>
          </cell>
          <cell r="BD149">
            <v>649.8848865384615</v>
          </cell>
        </row>
        <row r="150">
          <cell r="B150">
            <v>384</v>
          </cell>
          <cell r="C150" t="str">
            <v>Yousuf Musabah Ghanim Al Ghafri</v>
          </cell>
          <cell r="D150" t="str">
            <v>Labour</v>
          </cell>
          <cell r="E150">
            <v>38724</v>
          </cell>
          <cell r="F150">
            <v>1.4199230769230768</v>
          </cell>
          <cell r="G150">
            <v>0.887451923076923</v>
          </cell>
          <cell r="H150">
            <v>20</v>
          </cell>
          <cell r="I150">
            <v>18</v>
          </cell>
          <cell r="K150">
            <v>12</v>
          </cell>
          <cell r="L150">
            <v>18</v>
          </cell>
          <cell r="M150">
            <v>0</v>
          </cell>
          <cell r="N150">
            <v>0</v>
          </cell>
          <cell r="O150">
            <v>30</v>
          </cell>
          <cell r="P150">
            <v>52</v>
          </cell>
          <cell r="Q150">
            <v>1.56</v>
          </cell>
          <cell r="R150">
            <v>123.06</v>
          </cell>
          <cell r="S150">
            <v>85</v>
          </cell>
          <cell r="T150">
            <v>2</v>
          </cell>
          <cell r="U150">
            <v>5</v>
          </cell>
          <cell r="V150">
            <v>4.5</v>
          </cell>
          <cell r="W150">
            <v>123.06</v>
          </cell>
          <cell r="X150">
            <v>85</v>
          </cell>
          <cell r="Y150">
            <v>2</v>
          </cell>
          <cell r="Z150">
            <v>5</v>
          </cell>
          <cell r="AA150">
            <v>15.974134615384614</v>
          </cell>
          <cell r="AB150">
            <v>54</v>
          </cell>
          <cell r="AD150">
            <v>28.398461538461536</v>
          </cell>
          <cell r="AH150">
            <v>0</v>
          </cell>
          <cell r="AI150">
            <v>0</v>
          </cell>
          <cell r="AJ150">
            <v>0</v>
          </cell>
          <cell r="AK150">
            <v>0</v>
          </cell>
          <cell r="AL150">
            <v>0</v>
          </cell>
          <cell r="AM150">
            <v>85.195384615384611</v>
          </cell>
          <cell r="AN150">
            <v>27</v>
          </cell>
          <cell r="AP150">
            <v>123</v>
          </cell>
          <cell r="AQ150">
            <v>548.62798076923082</v>
          </cell>
          <cell r="AR150">
            <v>7.9989000000000008</v>
          </cell>
          <cell r="AT150">
            <v>7.9989000000000008</v>
          </cell>
          <cell r="AU150">
            <v>540.62908076923077</v>
          </cell>
          <cell r="AX150">
            <v>384</v>
          </cell>
          <cell r="AZ150" t="str">
            <v>Yousuf Musabah Ghanim Al Ghafri</v>
          </cell>
          <cell r="BA150" t="str">
            <v>119-129190084010</v>
          </cell>
          <cell r="BB150" t="str">
            <v>Bank Muscat</v>
          </cell>
          <cell r="BC150" t="str">
            <v>Al Dareez</v>
          </cell>
          <cell r="BD150">
            <v>540.62908076923077</v>
          </cell>
        </row>
        <row r="151">
          <cell r="B151">
            <v>385</v>
          </cell>
          <cell r="C151" t="str">
            <v>Nasser Sulaiman Hamood Al Tabahi</v>
          </cell>
          <cell r="D151" t="str">
            <v>Labour</v>
          </cell>
          <cell r="E151">
            <v>38724</v>
          </cell>
          <cell r="F151">
            <v>1.4192307692307693</v>
          </cell>
          <cell r="G151">
            <v>0.88701923076923084</v>
          </cell>
          <cell r="H151">
            <v>0</v>
          </cell>
          <cell r="I151">
            <v>0</v>
          </cell>
          <cell r="K151">
            <v>0</v>
          </cell>
          <cell r="L151">
            <v>0</v>
          </cell>
          <cell r="M151">
            <v>0</v>
          </cell>
          <cell r="N151">
            <v>0</v>
          </cell>
          <cell r="O151">
            <v>0</v>
          </cell>
          <cell r="P151">
            <v>50</v>
          </cell>
          <cell r="Q151">
            <v>1.5</v>
          </cell>
          <cell r="R151">
            <v>123</v>
          </cell>
          <cell r="S151">
            <v>85</v>
          </cell>
          <cell r="T151">
            <v>2</v>
          </cell>
          <cell r="U151">
            <v>5</v>
          </cell>
          <cell r="V151">
            <v>4.5</v>
          </cell>
          <cell r="W151">
            <v>0</v>
          </cell>
          <cell r="X151">
            <v>0</v>
          </cell>
          <cell r="Y151">
            <v>0</v>
          </cell>
          <cell r="Z151">
            <v>0</v>
          </cell>
          <cell r="AA151">
            <v>0</v>
          </cell>
          <cell r="AB151">
            <v>0</v>
          </cell>
          <cell r="AD151">
            <v>0</v>
          </cell>
          <cell r="AH151">
            <v>0</v>
          </cell>
          <cell r="AI151">
            <v>0</v>
          </cell>
          <cell r="AJ151">
            <v>0</v>
          </cell>
          <cell r="AK151">
            <v>0</v>
          </cell>
          <cell r="AL151">
            <v>0</v>
          </cell>
          <cell r="AM151">
            <v>0</v>
          </cell>
          <cell r="AN151">
            <v>0</v>
          </cell>
          <cell r="AP151">
            <v>0</v>
          </cell>
          <cell r="AQ151">
            <v>0</v>
          </cell>
          <cell r="AT151">
            <v>0</v>
          </cell>
          <cell r="AU151">
            <v>0</v>
          </cell>
          <cell r="AV151" t="str">
            <v>30 Days HLV</v>
          </cell>
          <cell r="AX151">
            <v>385</v>
          </cell>
          <cell r="AZ151" t="str">
            <v>Nasser Sulaiman Hamood Al Tabahi</v>
          </cell>
          <cell r="BA151" t="str">
            <v>0065-23317-0084-016</v>
          </cell>
          <cell r="BB151" t="str">
            <v>Bank Muscat</v>
          </cell>
          <cell r="BC151" t="str">
            <v>Ruwi</v>
          </cell>
          <cell r="BD151">
            <v>0</v>
          </cell>
        </row>
        <row r="152">
          <cell r="B152">
            <v>386</v>
          </cell>
          <cell r="C152" t="str">
            <v>Saif Hamood Yasir Al Harrasi</v>
          </cell>
          <cell r="D152" t="str">
            <v>Labour</v>
          </cell>
          <cell r="E152">
            <v>38724</v>
          </cell>
          <cell r="F152">
            <v>1.4209615384615386</v>
          </cell>
          <cell r="G152">
            <v>0.88810096153846163</v>
          </cell>
          <cell r="H152">
            <v>21</v>
          </cell>
          <cell r="I152">
            <v>52.5</v>
          </cell>
          <cell r="K152">
            <v>23</v>
          </cell>
          <cell r="L152">
            <v>7</v>
          </cell>
          <cell r="M152">
            <v>0</v>
          </cell>
          <cell r="N152">
            <v>0</v>
          </cell>
          <cell r="O152">
            <v>30</v>
          </cell>
          <cell r="P152">
            <v>53</v>
          </cell>
          <cell r="Q152">
            <v>1.5899999999999999</v>
          </cell>
          <cell r="R152">
            <v>123.15</v>
          </cell>
          <cell r="S152">
            <v>85</v>
          </cell>
          <cell r="T152">
            <v>2</v>
          </cell>
          <cell r="U152">
            <v>5</v>
          </cell>
          <cell r="V152">
            <v>4.5</v>
          </cell>
          <cell r="W152">
            <v>123.15</v>
          </cell>
          <cell r="X152">
            <v>85</v>
          </cell>
          <cell r="Y152">
            <v>2</v>
          </cell>
          <cell r="Z152">
            <v>5</v>
          </cell>
          <cell r="AA152">
            <v>46.625300480769234</v>
          </cell>
          <cell r="AB152">
            <v>103.5</v>
          </cell>
          <cell r="AC152">
            <v>23</v>
          </cell>
          <cell r="AD152">
            <v>29.840192307692313</v>
          </cell>
          <cell r="AH152">
            <v>0</v>
          </cell>
          <cell r="AI152">
            <v>0</v>
          </cell>
          <cell r="AJ152">
            <v>0</v>
          </cell>
          <cell r="AK152">
            <v>0</v>
          </cell>
          <cell r="AL152">
            <v>5.3286057692307693</v>
          </cell>
          <cell r="AM152">
            <v>0</v>
          </cell>
          <cell r="AN152">
            <v>0</v>
          </cell>
          <cell r="AP152">
            <v>0</v>
          </cell>
          <cell r="AQ152">
            <v>423.44409855769231</v>
          </cell>
          <cell r="AR152">
            <v>8.0047500000000014</v>
          </cell>
          <cell r="AT152">
            <v>8.0047500000000014</v>
          </cell>
          <cell r="AU152">
            <v>415.43934855769231</v>
          </cell>
          <cell r="AX152">
            <v>386</v>
          </cell>
          <cell r="AZ152" t="str">
            <v>Saif Hamood Yasir Al Harrasi</v>
          </cell>
          <cell r="BA152" t="str">
            <v>062-181000084-018</v>
          </cell>
          <cell r="BB152" t="str">
            <v>Bank Muscat</v>
          </cell>
          <cell r="BC152" t="str">
            <v>Bahla</v>
          </cell>
          <cell r="BD152">
            <v>415.43934855769231</v>
          </cell>
        </row>
        <row r="153">
          <cell r="B153">
            <v>387</v>
          </cell>
          <cell r="C153" t="str">
            <v>Yasir Abdullah Rashid Al Kalbani</v>
          </cell>
          <cell r="D153" t="str">
            <v>Labour</v>
          </cell>
          <cell r="E153">
            <v>38724</v>
          </cell>
          <cell r="F153">
            <v>1.4209615384615386</v>
          </cell>
          <cell r="G153">
            <v>0.88810096153846163</v>
          </cell>
          <cell r="H153">
            <v>0</v>
          </cell>
          <cell r="I153">
            <v>0</v>
          </cell>
          <cell r="K153">
            <v>0</v>
          </cell>
          <cell r="L153">
            <v>0</v>
          </cell>
          <cell r="M153">
            <v>0</v>
          </cell>
          <cell r="N153">
            <v>0</v>
          </cell>
          <cell r="O153">
            <v>0</v>
          </cell>
          <cell r="P153">
            <v>54</v>
          </cell>
          <cell r="Q153">
            <v>1.6199999999999999</v>
          </cell>
          <cell r="R153">
            <v>123.15</v>
          </cell>
          <cell r="S153">
            <v>85</v>
          </cell>
          <cell r="T153">
            <v>2</v>
          </cell>
          <cell r="U153">
            <v>5</v>
          </cell>
          <cell r="V153">
            <v>4.5</v>
          </cell>
          <cell r="W153">
            <v>0</v>
          </cell>
          <cell r="X153">
            <v>0</v>
          </cell>
          <cell r="Y153">
            <v>0</v>
          </cell>
          <cell r="Z153">
            <v>0</v>
          </cell>
          <cell r="AA153">
            <v>0</v>
          </cell>
          <cell r="AB153">
            <v>0</v>
          </cell>
          <cell r="AD153">
            <v>0</v>
          </cell>
          <cell r="AH153">
            <v>0</v>
          </cell>
          <cell r="AI153">
            <v>0</v>
          </cell>
          <cell r="AJ153">
            <v>0</v>
          </cell>
          <cell r="AK153">
            <v>0</v>
          </cell>
          <cell r="AL153">
            <v>0</v>
          </cell>
          <cell r="AM153">
            <v>0</v>
          </cell>
          <cell r="AN153">
            <v>0</v>
          </cell>
          <cell r="AP153">
            <v>0</v>
          </cell>
          <cell r="AQ153">
            <v>0</v>
          </cell>
          <cell r="AT153">
            <v>0</v>
          </cell>
          <cell r="AU153">
            <v>0</v>
          </cell>
          <cell r="AV153" t="str">
            <v>30 Days HLV</v>
          </cell>
          <cell r="AX153">
            <v>387</v>
          </cell>
          <cell r="AZ153" t="str">
            <v>Yasir Abdullah Rashid Al Kalbani</v>
          </cell>
          <cell r="BA153" t="str">
            <v>014-1117590084-015</v>
          </cell>
          <cell r="BB153" t="str">
            <v>Bank Muscat</v>
          </cell>
          <cell r="BD153">
            <v>0</v>
          </cell>
        </row>
        <row r="154">
          <cell r="B154">
            <v>388</v>
          </cell>
          <cell r="C154" t="str">
            <v>Jamal Abdullah Khalfan Al Sharji</v>
          </cell>
          <cell r="D154" t="str">
            <v>Labour</v>
          </cell>
          <cell r="E154">
            <v>38724</v>
          </cell>
          <cell r="F154">
            <v>1.4213076923076924</v>
          </cell>
          <cell r="G154">
            <v>0.88831730769230777</v>
          </cell>
          <cell r="H154">
            <v>0</v>
          </cell>
          <cell r="I154">
            <v>134.5</v>
          </cell>
          <cell r="K154">
            <v>19</v>
          </cell>
          <cell r="L154">
            <v>9</v>
          </cell>
          <cell r="M154">
            <v>0</v>
          </cell>
          <cell r="N154">
            <v>2</v>
          </cell>
          <cell r="O154">
            <v>28</v>
          </cell>
          <cell r="P154">
            <v>54</v>
          </cell>
          <cell r="Q154">
            <v>1.6199999999999999</v>
          </cell>
          <cell r="R154">
            <v>123.18</v>
          </cell>
          <cell r="S154">
            <v>85</v>
          </cell>
          <cell r="T154">
            <v>2</v>
          </cell>
          <cell r="U154">
            <v>5</v>
          </cell>
          <cell r="V154">
            <v>4.5</v>
          </cell>
          <cell r="W154">
            <v>114.96799999999999</v>
          </cell>
          <cell r="X154">
            <v>79.333333333333343</v>
          </cell>
          <cell r="Y154">
            <v>1.8666666666666667</v>
          </cell>
          <cell r="Z154">
            <v>4.6666666666666661</v>
          </cell>
          <cell r="AA154">
            <v>119.47867788461539</v>
          </cell>
          <cell r="AB154">
            <v>85.5</v>
          </cell>
          <cell r="AD154">
            <v>0</v>
          </cell>
          <cell r="AH154">
            <v>0</v>
          </cell>
          <cell r="AI154">
            <v>0</v>
          </cell>
          <cell r="AJ154">
            <v>0</v>
          </cell>
          <cell r="AK154">
            <v>0</v>
          </cell>
          <cell r="AL154">
            <v>10.659807692307693</v>
          </cell>
          <cell r="AM154">
            <v>0</v>
          </cell>
          <cell r="AN154">
            <v>0</v>
          </cell>
          <cell r="AP154">
            <v>0</v>
          </cell>
          <cell r="AQ154">
            <v>416.47315224358977</v>
          </cell>
          <cell r="AR154">
            <v>8.0067000000000004</v>
          </cell>
          <cell r="AT154">
            <v>8.0067000000000004</v>
          </cell>
          <cell r="AU154">
            <v>408.46645224358974</v>
          </cell>
          <cell r="AX154">
            <v>388</v>
          </cell>
          <cell r="AZ154" t="str">
            <v>Jamal Abdullah Khalfan Al Sharji</v>
          </cell>
          <cell r="BA154" t="str">
            <v>075-169470084-017</v>
          </cell>
          <cell r="BB154" t="str">
            <v>Bank Muscat</v>
          </cell>
          <cell r="BC154" t="str">
            <v>Al Amerat</v>
          </cell>
          <cell r="BD154">
            <v>408.46645224358974</v>
          </cell>
        </row>
        <row r="155">
          <cell r="B155">
            <v>389</v>
          </cell>
          <cell r="C155" t="str">
            <v>Mohammed Ali Said Al Mahrouqi</v>
          </cell>
          <cell r="D155" t="str">
            <v>Labour</v>
          </cell>
          <cell r="E155">
            <v>38724</v>
          </cell>
          <cell r="F155">
            <v>1.4206153846153846</v>
          </cell>
          <cell r="G155">
            <v>0.88788461538461538</v>
          </cell>
          <cell r="H155">
            <v>20</v>
          </cell>
          <cell r="I155">
            <v>44</v>
          </cell>
          <cell r="K155">
            <v>14</v>
          </cell>
          <cell r="L155">
            <v>16</v>
          </cell>
          <cell r="M155">
            <v>0</v>
          </cell>
          <cell r="N155">
            <v>0</v>
          </cell>
          <cell r="O155">
            <v>30</v>
          </cell>
          <cell r="P155">
            <v>54</v>
          </cell>
          <cell r="Q155">
            <v>1.6199999999999999</v>
          </cell>
          <cell r="R155">
            <v>123.12</v>
          </cell>
          <cell r="S155">
            <v>85</v>
          </cell>
          <cell r="T155">
            <v>2</v>
          </cell>
          <cell r="U155">
            <v>5</v>
          </cell>
          <cell r="V155">
            <v>4.5</v>
          </cell>
          <cell r="W155">
            <v>123.12</v>
          </cell>
          <cell r="X155">
            <v>85</v>
          </cell>
          <cell r="Y155">
            <v>2</v>
          </cell>
          <cell r="Z155">
            <v>5</v>
          </cell>
          <cell r="AA155">
            <v>39.066923076923075</v>
          </cell>
          <cell r="AB155">
            <v>63</v>
          </cell>
          <cell r="AD155">
            <v>28.412307692307692</v>
          </cell>
          <cell r="AH155">
            <v>0</v>
          </cell>
          <cell r="AI155">
            <v>0</v>
          </cell>
          <cell r="AJ155">
            <v>0</v>
          </cell>
          <cell r="AK155">
            <v>0</v>
          </cell>
          <cell r="AL155">
            <v>49.721538461538458</v>
          </cell>
          <cell r="AM155">
            <v>0</v>
          </cell>
          <cell r="AN155">
            <v>0</v>
          </cell>
          <cell r="AP155">
            <v>0</v>
          </cell>
          <cell r="AQ155">
            <v>395.32076923076926</v>
          </cell>
          <cell r="AR155">
            <v>8.0028000000000006</v>
          </cell>
          <cell r="AT155">
            <v>8.0028000000000006</v>
          </cell>
          <cell r="AU155">
            <v>387.31796923076928</v>
          </cell>
          <cell r="AX155">
            <v>389</v>
          </cell>
          <cell r="AZ155" t="str">
            <v>Mohammed Ali Said Al Mahrouqi</v>
          </cell>
          <cell r="BA155" t="str">
            <v>28-092534-20</v>
          </cell>
          <cell r="BB155" t="str">
            <v>OIB</v>
          </cell>
          <cell r="BC155" t="str">
            <v>Adam</v>
          </cell>
          <cell r="BD155">
            <v>387.31796923076928</v>
          </cell>
        </row>
        <row r="156">
          <cell r="B156">
            <v>390</v>
          </cell>
          <cell r="C156" t="str">
            <v>Salim Mubarak Hamed Al Shaibani</v>
          </cell>
          <cell r="D156" t="str">
            <v>Asst Junior Observer</v>
          </cell>
          <cell r="E156">
            <v>38724</v>
          </cell>
          <cell r="F156">
            <v>1.5418846153846153</v>
          </cell>
          <cell r="G156">
            <v>0.96367788461538462</v>
          </cell>
          <cell r="H156">
            <v>24</v>
          </cell>
          <cell r="I156">
            <v>110</v>
          </cell>
          <cell r="K156">
            <v>16</v>
          </cell>
          <cell r="L156">
            <v>14</v>
          </cell>
          <cell r="M156">
            <v>0</v>
          </cell>
          <cell r="N156">
            <v>0</v>
          </cell>
          <cell r="O156">
            <v>30</v>
          </cell>
          <cell r="P156">
            <v>67</v>
          </cell>
          <cell r="Q156">
            <v>2.0099999999999998</v>
          </cell>
          <cell r="R156">
            <v>133.63</v>
          </cell>
          <cell r="S156">
            <v>85</v>
          </cell>
          <cell r="T156">
            <v>2</v>
          </cell>
          <cell r="U156">
            <v>5</v>
          </cell>
          <cell r="V156">
            <v>4.5</v>
          </cell>
          <cell r="W156">
            <v>133.63</v>
          </cell>
          <cell r="X156">
            <v>85</v>
          </cell>
          <cell r="Y156">
            <v>2</v>
          </cell>
          <cell r="Z156">
            <v>5</v>
          </cell>
          <cell r="AA156">
            <v>106.00456730769231</v>
          </cell>
          <cell r="AB156">
            <v>72</v>
          </cell>
          <cell r="AD156">
            <v>37.005230769230764</v>
          </cell>
          <cell r="AH156">
            <v>0</v>
          </cell>
          <cell r="AI156">
            <v>0</v>
          </cell>
          <cell r="AJ156">
            <v>0</v>
          </cell>
          <cell r="AK156">
            <v>0</v>
          </cell>
          <cell r="AL156">
            <v>122.86893028846154</v>
          </cell>
          <cell r="AM156">
            <v>111.01569230769231</v>
          </cell>
          <cell r="AN156">
            <v>27</v>
          </cell>
          <cell r="AP156">
            <v>123</v>
          </cell>
          <cell r="AQ156">
            <v>824.52442067307697</v>
          </cell>
          <cell r="AR156">
            <v>8.6859500000000001</v>
          </cell>
          <cell r="AT156">
            <v>8.6859500000000001</v>
          </cell>
          <cell r="AU156">
            <v>815.83847067307693</v>
          </cell>
          <cell r="AX156">
            <v>390</v>
          </cell>
          <cell r="AZ156" t="str">
            <v>Salim Mubarak Hamed Al Shaibani</v>
          </cell>
          <cell r="BA156" t="str">
            <v>28-024644-20</v>
          </cell>
          <cell r="BB156" t="str">
            <v>OIB</v>
          </cell>
          <cell r="BC156" t="str">
            <v>Adam</v>
          </cell>
          <cell r="BD156">
            <v>815.83847067307693</v>
          </cell>
        </row>
        <row r="157">
          <cell r="B157">
            <v>391</v>
          </cell>
          <cell r="C157" t="str">
            <v>Hilal Khalfan Ghalib Al Qasmi</v>
          </cell>
          <cell r="D157" t="str">
            <v>Labour</v>
          </cell>
          <cell r="E157">
            <v>38724</v>
          </cell>
          <cell r="F157">
            <v>1.4209615384615386</v>
          </cell>
          <cell r="G157">
            <v>0.88810096153846163</v>
          </cell>
          <cell r="H157">
            <v>0</v>
          </cell>
          <cell r="I157">
            <v>32</v>
          </cell>
          <cell r="K157">
            <v>16</v>
          </cell>
          <cell r="L157">
            <v>11</v>
          </cell>
          <cell r="M157">
            <v>3</v>
          </cell>
          <cell r="N157">
            <v>0</v>
          </cell>
          <cell r="O157">
            <v>30</v>
          </cell>
          <cell r="P157">
            <v>54</v>
          </cell>
          <cell r="Q157">
            <v>1.6199999999999999</v>
          </cell>
          <cell r="R157">
            <v>123.15</v>
          </cell>
          <cell r="S157">
            <v>85</v>
          </cell>
          <cell r="T157">
            <v>2</v>
          </cell>
          <cell r="U157">
            <v>5</v>
          </cell>
          <cell r="V157">
            <v>4.5</v>
          </cell>
          <cell r="W157">
            <v>123.15</v>
          </cell>
          <cell r="X157">
            <v>85</v>
          </cell>
          <cell r="Y157">
            <v>2</v>
          </cell>
          <cell r="Z157">
            <v>5</v>
          </cell>
          <cell r="AA157">
            <v>28.419230769230772</v>
          </cell>
          <cell r="AB157">
            <v>72</v>
          </cell>
          <cell r="AD157">
            <v>0</v>
          </cell>
          <cell r="AH157">
            <v>0</v>
          </cell>
          <cell r="AI157">
            <v>0</v>
          </cell>
          <cell r="AJ157">
            <v>0</v>
          </cell>
          <cell r="AK157">
            <v>0</v>
          </cell>
          <cell r="AL157">
            <v>-3.5524038461538465</v>
          </cell>
          <cell r="AM157">
            <v>85.257692307692309</v>
          </cell>
          <cell r="AN157">
            <v>22.5</v>
          </cell>
          <cell r="AP157">
            <v>123</v>
          </cell>
          <cell r="AQ157">
            <v>542.77451923076933</v>
          </cell>
          <cell r="AR157">
            <v>8.0047500000000014</v>
          </cell>
          <cell r="AT157">
            <v>8.0047500000000014</v>
          </cell>
          <cell r="AU157">
            <v>534.76976923076927</v>
          </cell>
          <cell r="AX157">
            <v>391</v>
          </cell>
          <cell r="AZ157" t="str">
            <v>Hilal Khalfan Ghalib Al Qasmi</v>
          </cell>
          <cell r="BA157" t="str">
            <v>34-81737 0084-015</v>
          </cell>
          <cell r="BB157" t="str">
            <v>Bank Muscat</v>
          </cell>
          <cell r="BC157" t="str">
            <v>Seeb</v>
          </cell>
          <cell r="BD157">
            <v>534.76976923076927</v>
          </cell>
        </row>
        <row r="158">
          <cell r="B158">
            <v>392</v>
          </cell>
          <cell r="C158" t="str">
            <v>Moosa Musabah Khalfan Al Ghafri</v>
          </cell>
          <cell r="D158" t="str">
            <v>Radio Operater</v>
          </cell>
          <cell r="E158">
            <v>38724</v>
          </cell>
          <cell r="F158">
            <v>1.4368846153846155</v>
          </cell>
          <cell r="G158">
            <v>0.89805288461538468</v>
          </cell>
          <cell r="H158">
            <v>20</v>
          </cell>
          <cell r="I158">
            <v>97.5</v>
          </cell>
          <cell r="K158">
            <v>23</v>
          </cell>
          <cell r="L158">
            <v>7</v>
          </cell>
          <cell r="M158">
            <v>0</v>
          </cell>
          <cell r="N158">
            <v>0</v>
          </cell>
          <cell r="O158">
            <v>30</v>
          </cell>
          <cell r="P158">
            <v>88</v>
          </cell>
          <cell r="Q158">
            <v>2.6399999999999997</v>
          </cell>
          <cell r="R158">
            <v>124.53</v>
          </cell>
          <cell r="S158">
            <v>100</v>
          </cell>
          <cell r="T158">
            <v>2</v>
          </cell>
          <cell r="U158">
            <v>5</v>
          </cell>
          <cell r="V158">
            <v>4.5</v>
          </cell>
          <cell r="W158">
            <v>124.53</v>
          </cell>
          <cell r="X158">
            <v>100</v>
          </cell>
          <cell r="Y158">
            <v>2</v>
          </cell>
          <cell r="Z158">
            <v>5</v>
          </cell>
          <cell r="AA158">
            <v>87.560156250000006</v>
          </cell>
          <cell r="AB158">
            <v>103.5</v>
          </cell>
          <cell r="AD158">
            <v>28.73769230769231</v>
          </cell>
          <cell r="AH158">
            <v>0</v>
          </cell>
          <cell r="AI158">
            <v>0</v>
          </cell>
          <cell r="AJ158">
            <v>0</v>
          </cell>
          <cell r="AK158">
            <v>0</v>
          </cell>
          <cell r="AL158">
            <v>32.778930288461538</v>
          </cell>
          <cell r="AM158">
            <v>0</v>
          </cell>
          <cell r="AN158">
            <v>0</v>
          </cell>
          <cell r="AP158">
            <v>0</v>
          </cell>
          <cell r="AQ158">
            <v>484.10677884615387</v>
          </cell>
          <cell r="AR158">
            <v>8.0944500000000001</v>
          </cell>
          <cell r="AT158">
            <v>8.0944500000000001</v>
          </cell>
          <cell r="AU158">
            <v>476.01232884615388</v>
          </cell>
          <cell r="AV158" t="str">
            <v>Housing Allowance revised to 100 from 1/11/2008</v>
          </cell>
          <cell r="AX158">
            <v>392</v>
          </cell>
          <cell r="AZ158" t="str">
            <v>Moosa Musabah Khalfan Al Ghafri</v>
          </cell>
          <cell r="BA158" t="str">
            <v>27-183276-20</v>
          </cell>
          <cell r="BB158" t="str">
            <v>OIB</v>
          </cell>
          <cell r="BC158" t="str">
            <v>Ibri</v>
          </cell>
          <cell r="BD158">
            <v>476.01232884615388</v>
          </cell>
        </row>
        <row r="159">
          <cell r="B159">
            <v>393</v>
          </cell>
          <cell r="C159" t="str">
            <v>Abdullah Said Khamis Al Qasasibi</v>
          </cell>
          <cell r="D159" t="str">
            <v>Labour</v>
          </cell>
          <cell r="E159">
            <v>38724</v>
          </cell>
          <cell r="F159">
            <v>1.4230384615384615</v>
          </cell>
          <cell r="G159">
            <v>0.88939903846153845</v>
          </cell>
          <cell r="H159">
            <v>0</v>
          </cell>
          <cell r="I159">
            <v>102</v>
          </cell>
          <cell r="K159">
            <v>21</v>
          </cell>
          <cell r="L159">
            <v>9</v>
          </cell>
          <cell r="M159">
            <v>0</v>
          </cell>
          <cell r="N159">
            <v>0</v>
          </cell>
          <cell r="O159">
            <v>30</v>
          </cell>
          <cell r="P159">
            <v>58</v>
          </cell>
          <cell r="Q159">
            <v>1.74</v>
          </cell>
          <cell r="R159">
            <v>123.33</v>
          </cell>
          <cell r="S159">
            <v>85</v>
          </cell>
          <cell r="T159">
            <v>2</v>
          </cell>
          <cell r="U159">
            <v>5</v>
          </cell>
          <cell r="V159">
            <v>4.5</v>
          </cell>
          <cell r="W159">
            <v>123.33</v>
          </cell>
          <cell r="X159">
            <v>85</v>
          </cell>
          <cell r="Y159">
            <v>2</v>
          </cell>
          <cell r="Z159">
            <v>5</v>
          </cell>
          <cell r="AA159">
            <v>90.718701923076921</v>
          </cell>
          <cell r="AB159">
            <v>94.5</v>
          </cell>
          <cell r="AD159">
            <v>0</v>
          </cell>
          <cell r="AH159">
            <v>0</v>
          </cell>
          <cell r="AI159">
            <v>0</v>
          </cell>
          <cell r="AJ159">
            <v>0</v>
          </cell>
          <cell r="AK159">
            <v>0</v>
          </cell>
          <cell r="AL159">
            <v>24.903173076923075</v>
          </cell>
          <cell r="AM159">
            <v>85.382307692307691</v>
          </cell>
          <cell r="AN159">
            <v>27</v>
          </cell>
          <cell r="AP159">
            <v>123</v>
          </cell>
          <cell r="AQ159">
            <v>660.83418269230765</v>
          </cell>
          <cell r="AR159">
            <v>8.0164500000000007</v>
          </cell>
          <cell r="AT159">
            <v>8.0164500000000007</v>
          </cell>
          <cell r="AU159">
            <v>652.81773269230769</v>
          </cell>
          <cell r="AX159">
            <v>393</v>
          </cell>
          <cell r="AZ159" t="str">
            <v>Abdullah Said Khamis Al Qasasibi</v>
          </cell>
          <cell r="BA159" t="str">
            <v>62-13418-008401-5</v>
          </cell>
          <cell r="BB159" t="str">
            <v>Bank Muscat</v>
          </cell>
          <cell r="BC159" t="str">
            <v>Bahla</v>
          </cell>
          <cell r="BD159">
            <v>652.81773269230769</v>
          </cell>
        </row>
        <row r="160">
          <cell r="B160">
            <v>394</v>
          </cell>
          <cell r="C160" t="str">
            <v>Husni Mubarak Hamed Al Asmi</v>
          </cell>
          <cell r="D160" t="str">
            <v>Labour</v>
          </cell>
          <cell r="E160" t="str">
            <v>19/8/2006</v>
          </cell>
          <cell r="F160">
            <v>1.4195769230769233</v>
          </cell>
          <cell r="G160">
            <v>0.88723557692307708</v>
          </cell>
          <cell r="H160">
            <v>0</v>
          </cell>
          <cell r="I160">
            <v>112.5</v>
          </cell>
          <cell r="K160">
            <v>21</v>
          </cell>
          <cell r="L160">
            <v>9</v>
          </cell>
          <cell r="M160">
            <v>0</v>
          </cell>
          <cell r="N160">
            <v>0</v>
          </cell>
          <cell r="O160">
            <v>30</v>
          </cell>
          <cell r="P160">
            <v>52</v>
          </cell>
          <cell r="Q160">
            <v>1.56</v>
          </cell>
          <cell r="R160">
            <v>123.03</v>
          </cell>
          <cell r="S160">
            <v>85</v>
          </cell>
          <cell r="T160">
            <v>2</v>
          </cell>
          <cell r="U160">
            <v>5</v>
          </cell>
          <cell r="V160">
            <v>4.5</v>
          </cell>
          <cell r="W160">
            <v>123.03</v>
          </cell>
          <cell r="X160">
            <v>85</v>
          </cell>
          <cell r="Y160">
            <v>2</v>
          </cell>
          <cell r="Z160">
            <v>5</v>
          </cell>
          <cell r="AA160">
            <v>99.814002403846175</v>
          </cell>
          <cell r="AB160">
            <v>94.5</v>
          </cell>
          <cell r="AC160">
            <v>21</v>
          </cell>
          <cell r="AD160">
            <v>0</v>
          </cell>
          <cell r="AH160">
            <v>0</v>
          </cell>
          <cell r="AI160">
            <v>0</v>
          </cell>
          <cell r="AJ160">
            <v>0</v>
          </cell>
          <cell r="AK160">
            <v>0</v>
          </cell>
          <cell r="AL160">
            <v>24.842596153846159</v>
          </cell>
          <cell r="AM160">
            <v>89.433346153846173</v>
          </cell>
          <cell r="AN160">
            <v>27</v>
          </cell>
          <cell r="AP160">
            <v>123</v>
          </cell>
          <cell r="AQ160">
            <v>694.61994471153844</v>
          </cell>
          <cell r="AR160">
            <v>7.99695</v>
          </cell>
          <cell r="AT160">
            <v>7.99695</v>
          </cell>
          <cell r="AU160">
            <v>686.62299471153847</v>
          </cell>
          <cell r="AX160">
            <v>394</v>
          </cell>
          <cell r="AZ160" t="str">
            <v>Husni Mubarak Hamed Al Asmi</v>
          </cell>
          <cell r="BA160" t="str">
            <v>002-255818-035</v>
          </cell>
          <cell r="BB160" t="str">
            <v>HSBC</v>
          </cell>
          <cell r="BC160" t="str">
            <v>Ruwi</v>
          </cell>
          <cell r="BD160">
            <v>686.62299471153847</v>
          </cell>
        </row>
        <row r="161">
          <cell r="B161">
            <v>395</v>
          </cell>
          <cell r="C161" t="str">
            <v>Khalid Said Khalfan Al Ghafri</v>
          </cell>
          <cell r="D161" t="str">
            <v>Labour</v>
          </cell>
          <cell r="E161">
            <v>38724</v>
          </cell>
          <cell r="F161">
            <v>1.4199230769230768</v>
          </cell>
          <cell r="G161">
            <v>0.887451923076923</v>
          </cell>
          <cell r="H161">
            <v>21</v>
          </cell>
          <cell r="I161">
            <v>84.5</v>
          </cell>
          <cell r="K161">
            <v>23</v>
          </cell>
          <cell r="L161">
            <v>7</v>
          </cell>
          <cell r="M161">
            <v>0</v>
          </cell>
          <cell r="N161">
            <v>0</v>
          </cell>
          <cell r="O161">
            <v>30</v>
          </cell>
          <cell r="P161">
            <v>52</v>
          </cell>
          <cell r="Q161">
            <v>1.56</v>
          </cell>
          <cell r="R161">
            <v>123.06</v>
          </cell>
          <cell r="S161">
            <v>85</v>
          </cell>
          <cell r="T161">
            <v>2</v>
          </cell>
          <cell r="U161">
            <v>5</v>
          </cell>
          <cell r="V161">
            <v>4.5</v>
          </cell>
          <cell r="W161">
            <v>123.06</v>
          </cell>
          <cell r="X161">
            <v>85</v>
          </cell>
          <cell r="Y161">
            <v>2</v>
          </cell>
          <cell r="Z161">
            <v>5</v>
          </cell>
          <cell r="AA161">
            <v>74.989687499999988</v>
          </cell>
          <cell r="AB161">
            <v>103.5</v>
          </cell>
          <cell r="AC161">
            <v>23</v>
          </cell>
          <cell r="AD161">
            <v>29.818384615384613</v>
          </cell>
          <cell r="AH161">
            <v>0</v>
          </cell>
          <cell r="AI161">
            <v>0</v>
          </cell>
          <cell r="AJ161">
            <v>0</v>
          </cell>
          <cell r="AK161">
            <v>0</v>
          </cell>
          <cell r="AL161">
            <v>0</v>
          </cell>
          <cell r="AM161">
            <v>89.455153846153834</v>
          </cell>
          <cell r="AN161">
            <v>27</v>
          </cell>
          <cell r="AP161">
            <v>123</v>
          </cell>
          <cell r="AQ161">
            <v>685.82322596153847</v>
          </cell>
          <cell r="AR161">
            <v>7.9989000000000008</v>
          </cell>
          <cell r="AT161">
            <v>7.9989000000000008</v>
          </cell>
          <cell r="AU161">
            <v>677.82432596153842</v>
          </cell>
          <cell r="AX161">
            <v>395</v>
          </cell>
          <cell r="AZ161" t="str">
            <v>Khalid Said Khalfan Al Ghafri</v>
          </cell>
          <cell r="BA161" t="str">
            <v>119-130830084019</v>
          </cell>
          <cell r="BB161" t="str">
            <v>Bank Muscat</v>
          </cell>
          <cell r="BC161" t="str">
            <v>Al Dareez</v>
          </cell>
          <cell r="BD161">
            <v>677.82432596153842</v>
          </cell>
        </row>
        <row r="162">
          <cell r="B162">
            <v>396</v>
          </cell>
          <cell r="C162" t="str">
            <v>Ali Saif Hamed Al Hinai</v>
          </cell>
          <cell r="D162" t="str">
            <v>Labour</v>
          </cell>
          <cell r="E162">
            <v>38724</v>
          </cell>
          <cell r="F162">
            <v>1.4258076923076923</v>
          </cell>
          <cell r="G162">
            <v>0.89112980769230776</v>
          </cell>
          <cell r="H162">
            <v>0</v>
          </cell>
          <cell r="I162">
            <v>88.5</v>
          </cell>
          <cell r="K162">
            <v>19</v>
          </cell>
          <cell r="L162">
            <v>11</v>
          </cell>
          <cell r="M162">
            <v>0</v>
          </cell>
          <cell r="N162">
            <v>0</v>
          </cell>
          <cell r="O162">
            <v>30</v>
          </cell>
          <cell r="P162">
            <v>62</v>
          </cell>
          <cell r="Q162">
            <v>1.8599999999999999</v>
          </cell>
          <cell r="R162">
            <v>123.57</v>
          </cell>
          <cell r="S162">
            <v>85</v>
          </cell>
          <cell r="T162">
            <v>2</v>
          </cell>
          <cell r="U162">
            <v>5</v>
          </cell>
          <cell r="V162">
            <v>4.5</v>
          </cell>
          <cell r="W162">
            <v>123.57</v>
          </cell>
          <cell r="X162">
            <v>85</v>
          </cell>
          <cell r="Y162">
            <v>2</v>
          </cell>
          <cell r="Z162">
            <v>5</v>
          </cell>
          <cell r="AA162">
            <v>78.864987980769243</v>
          </cell>
          <cell r="AB162">
            <v>85.5</v>
          </cell>
          <cell r="AD162">
            <v>0</v>
          </cell>
          <cell r="AH162">
            <v>0</v>
          </cell>
          <cell r="AI162">
            <v>0</v>
          </cell>
          <cell r="AJ162">
            <v>0</v>
          </cell>
          <cell r="AK162">
            <v>0</v>
          </cell>
          <cell r="AL162">
            <v>35.645192307692312</v>
          </cell>
          <cell r="AM162">
            <v>5.7032307692307693</v>
          </cell>
          <cell r="AN162">
            <v>0</v>
          </cell>
          <cell r="AP162">
            <v>0</v>
          </cell>
          <cell r="AQ162">
            <v>421.28341105769226</v>
          </cell>
          <cell r="AR162">
            <v>8.0320499999999999</v>
          </cell>
          <cell r="AT162">
            <v>8.0320499999999999</v>
          </cell>
          <cell r="AU162">
            <v>413.25136105769224</v>
          </cell>
          <cell r="AX162">
            <v>396</v>
          </cell>
          <cell r="AZ162" t="str">
            <v>Ali Saif Hamed Al Hinai</v>
          </cell>
          <cell r="BA162" t="str">
            <v>1019-516950-017</v>
          </cell>
          <cell r="BB162" t="str">
            <v>NBO</v>
          </cell>
          <cell r="BC162" t="str">
            <v>Bahla</v>
          </cell>
          <cell r="BD162">
            <v>413.25136105769224</v>
          </cell>
        </row>
        <row r="163">
          <cell r="B163">
            <v>397</v>
          </cell>
          <cell r="C163" t="str">
            <v>Naji Bati Said Al Ghafri</v>
          </cell>
          <cell r="D163" t="str">
            <v>Labour</v>
          </cell>
          <cell r="E163">
            <v>38724</v>
          </cell>
          <cell r="F163">
            <v>1.4216538461538462</v>
          </cell>
          <cell r="G163">
            <v>0.8885336538461539</v>
          </cell>
          <cell r="H163">
            <v>21</v>
          </cell>
          <cell r="I163">
            <v>52.5</v>
          </cell>
          <cell r="K163">
            <v>23</v>
          </cell>
          <cell r="L163">
            <v>7</v>
          </cell>
          <cell r="M163">
            <v>0</v>
          </cell>
          <cell r="N163">
            <v>0</v>
          </cell>
          <cell r="O163">
            <v>30</v>
          </cell>
          <cell r="P163">
            <v>55</v>
          </cell>
          <cell r="Q163">
            <v>1.65</v>
          </cell>
          <cell r="R163">
            <v>123.21</v>
          </cell>
          <cell r="S163">
            <v>85</v>
          </cell>
          <cell r="T163">
            <v>2</v>
          </cell>
          <cell r="U163">
            <v>5</v>
          </cell>
          <cell r="V163">
            <v>4.5</v>
          </cell>
          <cell r="W163">
            <v>123.21000000000001</v>
          </cell>
          <cell r="X163">
            <v>85</v>
          </cell>
          <cell r="Y163">
            <v>2</v>
          </cell>
          <cell r="Z163">
            <v>5</v>
          </cell>
          <cell r="AA163">
            <v>46.648016826923083</v>
          </cell>
          <cell r="AB163">
            <v>103.5</v>
          </cell>
          <cell r="AC163">
            <v>23</v>
          </cell>
          <cell r="AD163">
            <v>29.85473076923077</v>
          </cell>
          <cell r="AH163">
            <v>0</v>
          </cell>
          <cell r="AI163">
            <v>0</v>
          </cell>
          <cell r="AJ163">
            <v>0</v>
          </cell>
          <cell r="AK163">
            <v>0</v>
          </cell>
          <cell r="AL163">
            <v>32.875745192307697</v>
          </cell>
          <cell r="AM163">
            <v>89.564192307692309</v>
          </cell>
          <cell r="AN163">
            <v>40.5</v>
          </cell>
          <cell r="AP163">
            <v>123</v>
          </cell>
          <cell r="AQ163">
            <v>704.15268509615385</v>
          </cell>
          <cell r="AR163">
            <v>8.0086499999999994</v>
          </cell>
          <cell r="AT163">
            <v>8.0086499999999994</v>
          </cell>
          <cell r="AU163">
            <v>696.14403509615386</v>
          </cell>
          <cell r="AX163">
            <v>397</v>
          </cell>
          <cell r="AZ163" t="str">
            <v>Naji Bati Said Al Ghafri</v>
          </cell>
          <cell r="BA163" t="str">
            <v>0133047242500</v>
          </cell>
          <cell r="BB163" t="str">
            <v>Bank Dhofar</v>
          </cell>
          <cell r="BC163" t="str">
            <v>Bahla</v>
          </cell>
          <cell r="BD163">
            <v>696.14403509615386</v>
          </cell>
        </row>
        <row r="164">
          <cell r="B164">
            <v>398</v>
          </cell>
          <cell r="C164" t="str">
            <v>Said Suliman Abdullah Al Mahrouqi</v>
          </cell>
          <cell r="D164" t="str">
            <v>Labour</v>
          </cell>
          <cell r="E164">
            <v>38724</v>
          </cell>
          <cell r="F164">
            <v>1.4213076923076924</v>
          </cell>
          <cell r="G164">
            <v>0.88831730769230777</v>
          </cell>
          <cell r="H164">
            <v>0</v>
          </cell>
          <cell r="I164">
            <v>90</v>
          </cell>
          <cell r="K164">
            <v>20</v>
          </cell>
          <cell r="L164">
            <v>9</v>
          </cell>
          <cell r="M164">
            <v>0</v>
          </cell>
          <cell r="N164">
            <v>1</v>
          </cell>
          <cell r="O164">
            <v>29</v>
          </cell>
          <cell r="P164">
            <v>54</v>
          </cell>
          <cell r="Q164">
            <v>1.6199999999999999</v>
          </cell>
          <cell r="R164">
            <v>123.18</v>
          </cell>
          <cell r="S164">
            <v>85</v>
          </cell>
          <cell r="T164">
            <v>2</v>
          </cell>
          <cell r="U164">
            <v>5</v>
          </cell>
          <cell r="V164">
            <v>4.5</v>
          </cell>
          <cell r="W164">
            <v>119.074</v>
          </cell>
          <cell r="X164">
            <v>82.166666666666671</v>
          </cell>
          <cell r="Y164">
            <v>1.9333333333333333</v>
          </cell>
          <cell r="Z164">
            <v>4.833333333333333</v>
          </cell>
          <cell r="AA164">
            <v>79.948557692307702</v>
          </cell>
          <cell r="AB164">
            <v>90</v>
          </cell>
          <cell r="AD164">
            <v>0</v>
          </cell>
          <cell r="AH164">
            <v>0</v>
          </cell>
          <cell r="AI164">
            <v>0</v>
          </cell>
          <cell r="AJ164">
            <v>0</v>
          </cell>
          <cell r="AK164">
            <v>0</v>
          </cell>
          <cell r="AL164">
            <v>14.213076923076924</v>
          </cell>
          <cell r="AM164">
            <v>85.278461538461542</v>
          </cell>
          <cell r="AN164">
            <v>27</v>
          </cell>
          <cell r="AP164">
            <v>123</v>
          </cell>
          <cell r="AQ164">
            <v>627.44742948717953</v>
          </cell>
          <cell r="AR164">
            <v>8.0067000000000004</v>
          </cell>
          <cell r="AT164">
            <v>8.0067000000000004</v>
          </cell>
          <cell r="AU164">
            <v>619.44072948717951</v>
          </cell>
          <cell r="AX164">
            <v>398</v>
          </cell>
          <cell r="AZ164" t="str">
            <v>Said Suliman Abdullah Al Mahrouqi</v>
          </cell>
          <cell r="BA164" t="str">
            <v>0023 822910084 011</v>
          </cell>
          <cell r="BB164" t="str">
            <v>Bank Muscat</v>
          </cell>
          <cell r="BC164" t="str">
            <v>Ruwi</v>
          </cell>
          <cell r="BD164">
            <v>619.44072948717951</v>
          </cell>
        </row>
        <row r="165">
          <cell r="B165">
            <v>400</v>
          </cell>
          <cell r="C165" t="str">
            <v>Nasser Suliman Sabaa Al Hinai</v>
          </cell>
          <cell r="D165" t="str">
            <v>Labour</v>
          </cell>
          <cell r="E165">
            <v>38724</v>
          </cell>
          <cell r="F165">
            <v>1.4206153846153846</v>
          </cell>
          <cell r="G165">
            <v>0.88788461538461538</v>
          </cell>
          <cell r="H165">
            <v>20</v>
          </cell>
          <cell r="I165">
            <v>22</v>
          </cell>
          <cell r="K165">
            <v>13</v>
          </cell>
          <cell r="L165">
            <v>14</v>
          </cell>
          <cell r="M165">
            <v>0</v>
          </cell>
          <cell r="N165">
            <v>0</v>
          </cell>
          <cell r="O165">
            <v>27</v>
          </cell>
          <cell r="P165">
            <v>53</v>
          </cell>
          <cell r="Q165">
            <v>1.5899999999999999</v>
          </cell>
          <cell r="R165">
            <v>123.12</v>
          </cell>
          <cell r="S165">
            <v>85</v>
          </cell>
          <cell r="T165">
            <v>2</v>
          </cell>
          <cell r="U165">
            <v>5</v>
          </cell>
          <cell r="V165">
            <v>4.5</v>
          </cell>
          <cell r="W165">
            <v>110.80800000000001</v>
          </cell>
          <cell r="X165">
            <v>76.5</v>
          </cell>
          <cell r="Y165">
            <v>1.8</v>
          </cell>
          <cell r="Z165">
            <v>4.5</v>
          </cell>
          <cell r="AA165">
            <v>19.533461538461538</v>
          </cell>
          <cell r="AB165">
            <v>58.5</v>
          </cell>
          <cell r="AD165">
            <v>28.412307692307692</v>
          </cell>
          <cell r="AH165">
            <v>0</v>
          </cell>
          <cell r="AI165">
            <v>0</v>
          </cell>
          <cell r="AJ165">
            <v>0</v>
          </cell>
          <cell r="AK165">
            <v>0</v>
          </cell>
          <cell r="AL165">
            <v>0</v>
          </cell>
          <cell r="AM165">
            <v>85.236923076923077</v>
          </cell>
          <cell r="AN165">
            <v>27</v>
          </cell>
          <cell r="AO165">
            <v>-8.0028000000000006</v>
          </cell>
          <cell r="AP165">
            <v>128</v>
          </cell>
          <cell r="AQ165">
            <v>532.28789230769235</v>
          </cell>
          <cell r="AR165">
            <v>8.0028000000000006</v>
          </cell>
          <cell r="AT165">
            <v>8.0028000000000006</v>
          </cell>
          <cell r="AU165">
            <v>524.28509230769237</v>
          </cell>
          <cell r="AV165" t="str">
            <v>One Month GOSI of October &amp; 5 Rials Ration of Oct</v>
          </cell>
          <cell r="AX165">
            <v>400</v>
          </cell>
          <cell r="AZ165" t="str">
            <v>Nasser Suliman Sabaa Al Hinai</v>
          </cell>
          <cell r="BA165" t="str">
            <v>118-212910084-010</v>
          </cell>
          <cell r="BB165" t="str">
            <v>Bank Muscat</v>
          </cell>
          <cell r="BC165" t="str">
            <v>Al-Jubail</v>
          </cell>
          <cell r="BD165">
            <v>524.28509230769237</v>
          </cell>
        </row>
        <row r="166">
          <cell r="B166">
            <v>401</v>
          </cell>
          <cell r="C166" t="str">
            <v>Malik Khalifa Said Al Shohoomi</v>
          </cell>
          <cell r="D166" t="str">
            <v>Mechanic</v>
          </cell>
          <cell r="E166">
            <v>38724</v>
          </cell>
          <cell r="F166">
            <v>1.5</v>
          </cell>
          <cell r="G166">
            <v>0.9375</v>
          </cell>
          <cell r="H166">
            <v>0</v>
          </cell>
          <cell r="I166">
            <v>38</v>
          </cell>
          <cell r="K166">
            <v>20</v>
          </cell>
          <cell r="L166">
            <v>10</v>
          </cell>
          <cell r="M166">
            <v>0</v>
          </cell>
          <cell r="N166">
            <v>0</v>
          </cell>
          <cell r="O166">
            <v>30</v>
          </cell>
          <cell r="P166">
            <v>66</v>
          </cell>
          <cell r="Q166">
            <v>1.98</v>
          </cell>
          <cell r="R166">
            <v>130</v>
          </cell>
          <cell r="S166">
            <v>110</v>
          </cell>
          <cell r="T166">
            <v>2</v>
          </cell>
          <cell r="U166">
            <v>5</v>
          </cell>
          <cell r="V166">
            <v>4.5</v>
          </cell>
          <cell r="W166">
            <v>130</v>
          </cell>
          <cell r="X166">
            <v>110</v>
          </cell>
          <cell r="Y166">
            <v>2</v>
          </cell>
          <cell r="Z166">
            <v>5</v>
          </cell>
          <cell r="AA166">
            <v>35.625</v>
          </cell>
          <cell r="AB166">
            <v>90</v>
          </cell>
          <cell r="AD166">
            <v>0</v>
          </cell>
          <cell r="AH166">
            <v>0</v>
          </cell>
          <cell r="AI166">
            <v>0</v>
          </cell>
          <cell r="AJ166">
            <v>0</v>
          </cell>
          <cell r="AK166">
            <v>0</v>
          </cell>
          <cell r="AL166">
            <v>53.4375</v>
          </cell>
          <cell r="AM166">
            <v>90</v>
          </cell>
          <cell r="AN166">
            <v>27</v>
          </cell>
          <cell r="AP166">
            <v>123</v>
          </cell>
          <cell r="AQ166">
            <v>666.0625</v>
          </cell>
          <cell r="AR166">
            <v>8.4500000000000011</v>
          </cell>
          <cell r="AT166">
            <v>8.4500000000000011</v>
          </cell>
          <cell r="AU166">
            <v>657.61249999999995</v>
          </cell>
          <cell r="AX166">
            <v>401</v>
          </cell>
          <cell r="AZ166" t="str">
            <v>Malik Khalifa Said Al Shohoomi</v>
          </cell>
          <cell r="BA166">
            <v>2258071601</v>
          </cell>
          <cell r="BB166" t="str">
            <v>OIB</v>
          </cell>
          <cell r="BC166" t="str">
            <v>Ibri</v>
          </cell>
          <cell r="BD166">
            <v>657.61249999999995</v>
          </cell>
        </row>
        <row r="167">
          <cell r="B167">
            <v>406</v>
          </cell>
          <cell r="C167" t="str">
            <v>Abdullah Nasser Saif Khamis</v>
          </cell>
          <cell r="D167" t="str">
            <v>Labour</v>
          </cell>
          <cell r="E167">
            <v>38758</v>
          </cell>
          <cell r="F167">
            <v>1.406423076923077</v>
          </cell>
          <cell r="G167">
            <v>0.87901442307692312</v>
          </cell>
          <cell r="H167">
            <v>20</v>
          </cell>
          <cell r="I167">
            <v>28</v>
          </cell>
          <cell r="K167">
            <v>16</v>
          </cell>
          <cell r="L167">
            <v>14</v>
          </cell>
          <cell r="M167">
            <v>0</v>
          </cell>
          <cell r="N167">
            <v>0</v>
          </cell>
          <cell r="O167">
            <v>30</v>
          </cell>
          <cell r="P167">
            <v>63</v>
          </cell>
          <cell r="Q167">
            <v>1.89</v>
          </cell>
          <cell r="R167">
            <v>121.89</v>
          </cell>
          <cell r="S167">
            <v>85</v>
          </cell>
          <cell r="T167">
            <v>2</v>
          </cell>
          <cell r="U167">
            <v>5</v>
          </cell>
          <cell r="V167">
            <v>4.5</v>
          </cell>
          <cell r="W167">
            <v>121.88999999999999</v>
          </cell>
          <cell r="X167">
            <v>85</v>
          </cell>
          <cell r="Y167">
            <v>2</v>
          </cell>
          <cell r="Z167">
            <v>5</v>
          </cell>
          <cell r="AA167">
            <v>24.612403846153846</v>
          </cell>
          <cell r="AB167">
            <v>72</v>
          </cell>
          <cell r="AD167">
            <v>28.12846153846154</v>
          </cell>
          <cell r="AH167">
            <v>0</v>
          </cell>
          <cell r="AI167">
            <v>0</v>
          </cell>
          <cell r="AJ167">
            <v>0</v>
          </cell>
          <cell r="AK167">
            <v>0</v>
          </cell>
          <cell r="AL167">
            <v>0</v>
          </cell>
          <cell r="AM167">
            <v>0</v>
          </cell>
          <cell r="AN167">
            <v>0</v>
          </cell>
          <cell r="AP167">
            <v>0</v>
          </cell>
          <cell r="AQ167">
            <v>338.63086538461533</v>
          </cell>
          <cell r="AR167">
            <v>7.9228500000000004</v>
          </cell>
          <cell r="AT167">
            <v>7.9228500000000004</v>
          </cell>
          <cell r="AU167">
            <v>330.70801538461535</v>
          </cell>
          <cell r="AX167">
            <v>406</v>
          </cell>
          <cell r="AZ167" t="str">
            <v>Abdullah Nasser Saif Khamis</v>
          </cell>
          <cell r="BA167" t="str">
            <v>062-186080084013</v>
          </cell>
          <cell r="BB167" t="str">
            <v>Bank Muscat</v>
          </cell>
          <cell r="BC167" t="str">
            <v>Bahla</v>
          </cell>
          <cell r="BD167">
            <v>330.70801538461535</v>
          </cell>
        </row>
        <row r="168">
          <cell r="B168">
            <v>407</v>
          </cell>
          <cell r="C168" t="str">
            <v>Abdullah Musabah Jamil Al Rashid</v>
          </cell>
          <cell r="D168" t="str">
            <v>Labour</v>
          </cell>
          <cell r="E168" t="str">
            <v>23/9/2006</v>
          </cell>
          <cell r="F168">
            <v>1.4033076923076924</v>
          </cell>
          <cell r="G168">
            <v>0.87706730769230767</v>
          </cell>
          <cell r="H168">
            <v>20</v>
          </cell>
          <cell r="I168">
            <v>103</v>
          </cell>
          <cell r="K168">
            <v>22</v>
          </cell>
          <cell r="L168">
            <v>8</v>
          </cell>
          <cell r="M168">
            <v>0</v>
          </cell>
          <cell r="N168">
            <v>0</v>
          </cell>
          <cell r="O168">
            <v>30</v>
          </cell>
          <cell r="P168">
            <v>54</v>
          </cell>
          <cell r="Q168">
            <v>1.6199999999999999</v>
          </cell>
          <cell r="R168">
            <v>121.62</v>
          </cell>
          <cell r="S168">
            <v>85</v>
          </cell>
          <cell r="T168">
            <v>2</v>
          </cell>
          <cell r="U168">
            <v>5</v>
          </cell>
          <cell r="V168">
            <v>4.5</v>
          </cell>
          <cell r="W168">
            <v>121.62</v>
          </cell>
          <cell r="X168">
            <v>85</v>
          </cell>
          <cell r="Y168">
            <v>2</v>
          </cell>
          <cell r="Z168">
            <v>5</v>
          </cell>
          <cell r="AA168">
            <v>90.337932692307689</v>
          </cell>
          <cell r="AB168">
            <v>99</v>
          </cell>
          <cell r="AD168">
            <v>28.066153846153846</v>
          </cell>
          <cell r="AH168">
            <v>0</v>
          </cell>
          <cell r="AI168">
            <v>0</v>
          </cell>
          <cell r="AJ168">
            <v>0</v>
          </cell>
          <cell r="AK168">
            <v>0</v>
          </cell>
          <cell r="AL168">
            <v>32.451490384615383</v>
          </cell>
          <cell r="AM168">
            <v>0</v>
          </cell>
          <cell r="AN168">
            <v>0</v>
          </cell>
          <cell r="AP168">
            <v>0</v>
          </cell>
          <cell r="AQ168">
            <v>463.47557692307691</v>
          </cell>
          <cell r="AR168">
            <v>7.9053000000000004</v>
          </cell>
          <cell r="AT168">
            <v>7.9053000000000004</v>
          </cell>
          <cell r="AU168">
            <v>455.5702769230769</v>
          </cell>
          <cell r="AX168">
            <v>407</v>
          </cell>
          <cell r="AZ168" t="str">
            <v>Abdullah Musabah Jamil Al Rashid</v>
          </cell>
          <cell r="BA168" t="str">
            <v>128-131900084019</v>
          </cell>
          <cell r="BB168" t="str">
            <v>Bank Muscat</v>
          </cell>
          <cell r="BC168" t="str">
            <v>Nizwa</v>
          </cell>
          <cell r="BD168">
            <v>455.5702769230769</v>
          </cell>
        </row>
        <row r="169">
          <cell r="B169">
            <v>408</v>
          </cell>
          <cell r="C169" t="str">
            <v>Khalil Sulaiman Al Balushi</v>
          </cell>
          <cell r="D169" t="str">
            <v>Labour</v>
          </cell>
          <cell r="E169" t="str">
            <v>30/9/2006</v>
          </cell>
          <cell r="F169">
            <v>1.3846153846153846</v>
          </cell>
          <cell r="G169">
            <v>0.86538461538461542</v>
          </cell>
          <cell r="H169">
            <v>0</v>
          </cell>
          <cell r="I169">
            <v>0</v>
          </cell>
          <cell r="K169">
            <v>0</v>
          </cell>
          <cell r="L169">
            <v>0</v>
          </cell>
          <cell r="M169">
            <v>0</v>
          </cell>
          <cell r="N169">
            <v>30</v>
          </cell>
          <cell r="O169">
            <v>0</v>
          </cell>
          <cell r="Q169">
            <v>0</v>
          </cell>
          <cell r="R169">
            <v>120</v>
          </cell>
          <cell r="S169">
            <v>85</v>
          </cell>
          <cell r="T169">
            <v>2</v>
          </cell>
          <cell r="U169">
            <v>5</v>
          </cell>
          <cell r="V169">
            <v>4.5</v>
          </cell>
          <cell r="W169">
            <v>0</v>
          </cell>
          <cell r="X169">
            <v>0</v>
          </cell>
          <cell r="Y169">
            <v>0</v>
          </cell>
          <cell r="Z169">
            <v>0</v>
          </cell>
          <cell r="AA169">
            <v>0</v>
          </cell>
          <cell r="AB169">
            <v>0</v>
          </cell>
          <cell r="AD169">
            <v>0</v>
          </cell>
          <cell r="AH169">
            <v>0</v>
          </cell>
          <cell r="AI169">
            <v>0</v>
          </cell>
          <cell r="AJ169">
            <v>0</v>
          </cell>
          <cell r="AK169">
            <v>0</v>
          </cell>
          <cell r="AL169">
            <v>0</v>
          </cell>
          <cell r="AM169">
            <v>0</v>
          </cell>
          <cell r="AN169">
            <v>0</v>
          </cell>
          <cell r="AP169">
            <v>0</v>
          </cell>
          <cell r="AQ169">
            <v>0</v>
          </cell>
          <cell r="AT169">
            <v>0</v>
          </cell>
          <cell r="AU169">
            <v>0</v>
          </cell>
          <cell r="AX169">
            <v>408</v>
          </cell>
          <cell r="AZ169" t="str">
            <v>Khalil Sulaiman Al Balushi</v>
          </cell>
          <cell r="BA169" t="str">
            <v>002261311001</v>
          </cell>
          <cell r="BB169" t="str">
            <v>HSBC</v>
          </cell>
          <cell r="BC169" t="str">
            <v>Ruwi</v>
          </cell>
          <cell r="BD169">
            <v>0</v>
          </cell>
        </row>
        <row r="170">
          <cell r="B170">
            <v>409</v>
          </cell>
          <cell r="C170" t="str">
            <v>Ali Salim Rashid Al Habsi</v>
          </cell>
          <cell r="D170" t="str">
            <v>Labour</v>
          </cell>
          <cell r="E170">
            <v>38729</v>
          </cell>
          <cell r="F170">
            <v>1.4026153846153846</v>
          </cell>
          <cell r="G170">
            <v>0.8766346153846154</v>
          </cell>
          <cell r="H170">
            <v>20</v>
          </cell>
          <cell r="I170">
            <v>52</v>
          </cell>
          <cell r="K170">
            <v>16</v>
          </cell>
          <cell r="L170">
            <v>14</v>
          </cell>
          <cell r="M170">
            <v>0</v>
          </cell>
          <cell r="N170">
            <v>0</v>
          </cell>
          <cell r="O170">
            <v>30</v>
          </cell>
          <cell r="P170">
            <v>52</v>
          </cell>
          <cell r="Q170">
            <v>1.56</v>
          </cell>
          <cell r="R170">
            <v>121.56</v>
          </cell>
          <cell r="S170">
            <v>85</v>
          </cell>
          <cell r="T170">
            <v>2</v>
          </cell>
          <cell r="U170">
            <v>5</v>
          </cell>
          <cell r="V170">
            <v>4.5</v>
          </cell>
          <cell r="W170">
            <v>121.56000000000002</v>
          </cell>
          <cell r="X170">
            <v>85</v>
          </cell>
          <cell r="Y170">
            <v>2</v>
          </cell>
          <cell r="Z170">
            <v>5</v>
          </cell>
          <cell r="AA170">
            <v>45.585000000000001</v>
          </cell>
          <cell r="AB170">
            <v>72</v>
          </cell>
          <cell r="AD170">
            <v>28.052307692307693</v>
          </cell>
          <cell r="AH170">
            <v>0</v>
          </cell>
          <cell r="AI170">
            <v>0</v>
          </cell>
          <cell r="AJ170">
            <v>0</v>
          </cell>
          <cell r="AK170">
            <v>0</v>
          </cell>
          <cell r="AL170">
            <v>52.598076923076924</v>
          </cell>
          <cell r="AM170">
            <v>0</v>
          </cell>
          <cell r="AN170">
            <v>0</v>
          </cell>
          <cell r="AP170">
            <v>0</v>
          </cell>
          <cell r="AQ170">
            <v>411.79538461538459</v>
          </cell>
          <cell r="AR170">
            <v>7.9014000000000006</v>
          </cell>
          <cell r="AT170">
            <v>7.9014000000000006</v>
          </cell>
          <cell r="AU170">
            <v>403.89398461538457</v>
          </cell>
          <cell r="AX170">
            <v>409</v>
          </cell>
          <cell r="AZ170" t="str">
            <v>Ali Salim Rashid Al Habsi</v>
          </cell>
          <cell r="BA170" t="str">
            <v>60-141553-20</v>
          </cell>
          <cell r="BB170" t="str">
            <v>OIB</v>
          </cell>
          <cell r="BC170" t="str">
            <v>Ibra</v>
          </cell>
          <cell r="BD170">
            <v>403.89398461538457</v>
          </cell>
        </row>
        <row r="171">
          <cell r="B171">
            <v>411</v>
          </cell>
          <cell r="C171" t="str">
            <v>Sulaiman Nasser Said Al Harasi</v>
          </cell>
          <cell r="D171" t="str">
            <v>Labour</v>
          </cell>
          <cell r="E171" t="str">
            <v>30/9/2006</v>
          </cell>
          <cell r="F171">
            <v>1.4029615384615384</v>
          </cell>
          <cell r="G171">
            <v>0.87685096153846143</v>
          </cell>
          <cell r="H171">
            <v>20</v>
          </cell>
          <cell r="I171">
            <v>28</v>
          </cell>
          <cell r="K171">
            <v>16</v>
          </cell>
          <cell r="L171">
            <v>14</v>
          </cell>
          <cell r="M171">
            <v>0</v>
          </cell>
          <cell r="N171">
            <v>0</v>
          </cell>
          <cell r="O171">
            <v>30</v>
          </cell>
          <cell r="P171">
            <v>53</v>
          </cell>
          <cell r="Q171">
            <v>1.5899999999999999</v>
          </cell>
          <cell r="R171">
            <v>121.59</v>
          </cell>
          <cell r="S171">
            <v>85</v>
          </cell>
          <cell r="T171">
            <v>2</v>
          </cell>
          <cell r="U171">
            <v>5</v>
          </cell>
          <cell r="V171">
            <v>4.5</v>
          </cell>
          <cell r="W171">
            <v>121.59</v>
          </cell>
          <cell r="X171">
            <v>85</v>
          </cell>
          <cell r="Y171">
            <v>2</v>
          </cell>
          <cell r="Z171">
            <v>5</v>
          </cell>
          <cell r="AA171">
            <v>24.55182692307692</v>
          </cell>
          <cell r="AB171">
            <v>72</v>
          </cell>
          <cell r="AD171">
            <v>28.059230769230766</v>
          </cell>
          <cell r="AH171">
            <v>0</v>
          </cell>
          <cell r="AI171">
            <v>0</v>
          </cell>
          <cell r="AJ171">
            <v>0</v>
          </cell>
          <cell r="AK171">
            <v>0</v>
          </cell>
          <cell r="AL171">
            <v>0</v>
          </cell>
          <cell r="AM171">
            <v>0</v>
          </cell>
          <cell r="AN171">
            <v>0</v>
          </cell>
          <cell r="AP171">
            <v>0</v>
          </cell>
          <cell r="AQ171">
            <v>338.2010576923077</v>
          </cell>
          <cell r="AR171">
            <v>7.9033500000000005</v>
          </cell>
          <cell r="AT171">
            <v>7.9033500000000005</v>
          </cell>
          <cell r="AU171">
            <v>330.29770769230771</v>
          </cell>
          <cell r="AX171">
            <v>411</v>
          </cell>
          <cell r="AZ171" t="str">
            <v>Sulaiman Nasser Said Al Harasi</v>
          </cell>
          <cell r="BA171" t="str">
            <v>0133-153990084013</v>
          </cell>
          <cell r="BB171" t="str">
            <v>Bank Muscat</v>
          </cell>
          <cell r="BC171" t="str">
            <v>Firq</v>
          </cell>
          <cell r="BD171">
            <v>330.29770769230771</v>
          </cell>
        </row>
        <row r="172">
          <cell r="B172">
            <v>413</v>
          </cell>
          <cell r="C172" t="str">
            <v>Ahmed Sulaiman Nasser Al Hinai</v>
          </cell>
          <cell r="D172" t="str">
            <v>Labour</v>
          </cell>
          <cell r="E172" t="str">
            <v>30/9/2006</v>
          </cell>
          <cell r="F172">
            <v>1.4033076923076924</v>
          </cell>
          <cell r="G172">
            <v>0.87706730769230767</v>
          </cell>
          <cell r="H172">
            <v>0</v>
          </cell>
          <cell r="I172">
            <v>6</v>
          </cell>
          <cell r="K172">
            <v>4</v>
          </cell>
          <cell r="L172">
            <v>17</v>
          </cell>
          <cell r="M172">
            <v>0</v>
          </cell>
          <cell r="N172">
            <v>9</v>
          </cell>
          <cell r="O172">
            <v>21</v>
          </cell>
          <cell r="P172">
            <v>54</v>
          </cell>
          <cell r="Q172">
            <v>1.6199999999999999</v>
          </cell>
          <cell r="R172">
            <v>121.62</v>
          </cell>
          <cell r="S172">
            <v>85</v>
          </cell>
          <cell r="T172">
            <v>2</v>
          </cell>
          <cell r="U172">
            <v>5</v>
          </cell>
          <cell r="V172">
            <v>4.5</v>
          </cell>
          <cell r="W172">
            <v>85.134</v>
          </cell>
          <cell r="X172">
            <v>59.5</v>
          </cell>
          <cell r="Y172">
            <v>1.4</v>
          </cell>
          <cell r="Z172">
            <v>3.5</v>
          </cell>
          <cell r="AA172">
            <v>5.2624038461538465</v>
          </cell>
          <cell r="AB172">
            <v>18</v>
          </cell>
          <cell r="AD172">
            <v>0</v>
          </cell>
          <cell r="AH172">
            <v>0</v>
          </cell>
          <cell r="AI172">
            <v>0</v>
          </cell>
          <cell r="AJ172">
            <v>0</v>
          </cell>
          <cell r="AK172">
            <v>0</v>
          </cell>
          <cell r="AL172">
            <v>56.132307692307691</v>
          </cell>
          <cell r="AM172">
            <v>84.198461538461544</v>
          </cell>
          <cell r="AN172">
            <v>27</v>
          </cell>
          <cell r="AP172">
            <v>123</v>
          </cell>
          <cell r="AQ172">
            <v>463.1271730769231</v>
          </cell>
          <cell r="AR172">
            <v>7.9053000000000004</v>
          </cell>
          <cell r="AT172">
            <v>7.9053000000000004</v>
          </cell>
          <cell r="AU172">
            <v>455.22187307692309</v>
          </cell>
          <cell r="AX172">
            <v>413</v>
          </cell>
          <cell r="AZ172" t="str">
            <v>Ahmed Sulaiman Nasser Al Hinai</v>
          </cell>
          <cell r="BA172" t="str">
            <v>0062170690084018</v>
          </cell>
          <cell r="BB172" t="str">
            <v>Bank Muscat</v>
          </cell>
          <cell r="BC172" t="str">
            <v>Bahla</v>
          </cell>
          <cell r="BD172">
            <v>455.22187307692309</v>
          </cell>
        </row>
        <row r="173">
          <cell r="B173">
            <v>414</v>
          </cell>
          <cell r="C173" t="str">
            <v>Hamed Khalifa Salim Al Hinai</v>
          </cell>
          <cell r="D173" t="str">
            <v>Labour</v>
          </cell>
          <cell r="E173" t="str">
            <v>30/9/2006</v>
          </cell>
          <cell r="F173">
            <v>1.4022692307692308</v>
          </cell>
          <cell r="G173">
            <v>0.87641826923076926</v>
          </cell>
          <cell r="H173">
            <v>20</v>
          </cell>
          <cell r="I173">
            <v>76</v>
          </cell>
          <cell r="K173">
            <v>16</v>
          </cell>
          <cell r="L173">
            <v>14</v>
          </cell>
          <cell r="M173">
            <v>0</v>
          </cell>
          <cell r="N173">
            <v>0</v>
          </cell>
          <cell r="O173">
            <v>30</v>
          </cell>
          <cell r="P173">
            <v>51</v>
          </cell>
          <cell r="Q173">
            <v>1.53</v>
          </cell>
          <cell r="R173">
            <v>121.53</v>
          </cell>
          <cell r="S173">
            <v>85</v>
          </cell>
          <cell r="T173">
            <v>2</v>
          </cell>
          <cell r="U173">
            <v>5</v>
          </cell>
          <cell r="V173">
            <v>4.5</v>
          </cell>
          <cell r="W173">
            <v>121.53</v>
          </cell>
          <cell r="X173">
            <v>85</v>
          </cell>
          <cell r="Y173">
            <v>2</v>
          </cell>
          <cell r="Z173">
            <v>5</v>
          </cell>
          <cell r="AA173">
            <v>66.607788461538462</v>
          </cell>
          <cell r="AB173">
            <v>72</v>
          </cell>
          <cell r="AD173">
            <v>28.045384615384616</v>
          </cell>
          <cell r="AH173">
            <v>0</v>
          </cell>
          <cell r="AI173">
            <v>0</v>
          </cell>
          <cell r="AJ173">
            <v>0</v>
          </cell>
          <cell r="AK173">
            <v>0</v>
          </cell>
          <cell r="AL173">
            <v>115.68721153846154</v>
          </cell>
          <cell r="AM173">
            <v>84.136153846153846</v>
          </cell>
          <cell r="AN173">
            <v>27</v>
          </cell>
          <cell r="AP173">
            <v>123</v>
          </cell>
          <cell r="AQ173">
            <v>730.00653846153841</v>
          </cell>
          <cell r="AR173">
            <v>7.8994500000000007</v>
          </cell>
          <cell r="AT173">
            <v>7.8994500000000007</v>
          </cell>
          <cell r="AU173">
            <v>722.10708846153841</v>
          </cell>
          <cell r="AX173">
            <v>414</v>
          </cell>
          <cell r="AZ173" t="str">
            <v>Hamed Khalifa Salim Al Hinai</v>
          </cell>
          <cell r="BA173" t="str">
            <v>002-251874-035</v>
          </cell>
          <cell r="BB173" t="str">
            <v>HSBC</v>
          </cell>
          <cell r="BC173" t="str">
            <v>Ruwi</v>
          </cell>
          <cell r="BD173">
            <v>722.10708846153841</v>
          </cell>
        </row>
        <row r="174">
          <cell r="B174">
            <v>415</v>
          </cell>
          <cell r="C174" t="str">
            <v>Amjad Sulaiman Saif Al Mahrouqi</v>
          </cell>
          <cell r="D174" t="str">
            <v>Labour</v>
          </cell>
          <cell r="E174" t="str">
            <v>30/9/2006</v>
          </cell>
          <cell r="F174">
            <v>1.4029615384615384</v>
          </cell>
          <cell r="G174">
            <v>0.87685096153846143</v>
          </cell>
          <cell r="H174">
            <v>20</v>
          </cell>
          <cell r="I174">
            <v>61</v>
          </cell>
          <cell r="K174">
            <v>20</v>
          </cell>
          <cell r="L174">
            <v>7</v>
          </cell>
          <cell r="M174">
            <v>2</v>
          </cell>
          <cell r="N174">
            <v>1</v>
          </cell>
          <cell r="O174">
            <v>29</v>
          </cell>
          <cell r="P174">
            <v>53</v>
          </cell>
          <cell r="Q174">
            <v>1.5899999999999999</v>
          </cell>
          <cell r="R174">
            <v>121.59</v>
          </cell>
          <cell r="S174">
            <v>85</v>
          </cell>
          <cell r="T174">
            <v>2</v>
          </cell>
          <cell r="U174">
            <v>5</v>
          </cell>
          <cell r="V174">
            <v>4.5</v>
          </cell>
          <cell r="W174">
            <v>117.53699999999999</v>
          </cell>
          <cell r="X174">
            <v>82.166666666666671</v>
          </cell>
          <cell r="Y174">
            <v>1.9333333333333333</v>
          </cell>
          <cell r="Z174">
            <v>4.833333333333333</v>
          </cell>
          <cell r="AA174">
            <v>53.487908653846148</v>
          </cell>
          <cell r="AB174">
            <v>90</v>
          </cell>
          <cell r="AD174">
            <v>28.059230769230766</v>
          </cell>
          <cell r="AH174">
            <v>0</v>
          </cell>
          <cell r="AI174">
            <v>0</v>
          </cell>
          <cell r="AJ174">
            <v>0</v>
          </cell>
          <cell r="AK174">
            <v>0</v>
          </cell>
          <cell r="AL174">
            <v>17.537019230769229</v>
          </cell>
          <cell r="AM174">
            <v>84.177692307692297</v>
          </cell>
          <cell r="AN174">
            <v>27</v>
          </cell>
          <cell r="AP174">
            <v>123</v>
          </cell>
          <cell r="AQ174">
            <v>629.73218429487179</v>
          </cell>
          <cell r="AR174">
            <v>7.9033500000000005</v>
          </cell>
          <cell r="AT174">
            <v>7.9033500000000005</v>
          </cell>
          <cell r="AU174">
            <v>621.82883429487174</v>
          </cell>
          <cell r="AX174">
            <v>415</v>
          </cell>
          <cell r="AZ174" t="str">
            <v>Amjad Sulaiman Saif Al Mahrouqi</v>
          </cell>
          <cell r="BA174" t="str">
            <v>28-064731-20</v>
          </cell>
          <cell r="BB174" t="str">
            <v>OIB</v>
          </cell>
          <cell r="BC174" t="str">
            <v>Adam</v>
          </cell>
          <cell r="BD174">
            <v>621.82883429487174</v>
          </cell>
        </row>
        <row r="175">
          <cell r="B175">
            <v>417</v>
          </cell>
          <cell r="C175" t="str">
            <v>Talal Ali Abdullah Al Manai</v>
          </cell>
          <cell r="D175" t="str">
            <v>Labour</v>
          </cell>
          <cell r="E175" t="str">
            <v>30/9/2006</v>
          </cell>
          <cell r="F175">
            <v>1.4036538461538464</v>
          </cell>
          <cell r="G175">
            <v>0.87728365384615392</v>
          </cell>
          <cell r="H175">
            <v>0</v>
          </cell>
          <cell r="I175">
            <v>76.5</v>
          </cell>
          <cell r="K175">
            <v>21</v>
          </cell>
          <cell r="L175">
            <v>9</v>
          </cell>
          <cell r="M175">
            <v>0</v>
          </cell>
          <cell r="N175">
            <v>0</v>
          </cell>
          <cell r="O175">
            <v>30</v>
          </cell>
          <cell r="P175">
            <v>55</v>
          </cell>
          <cell r="Q175">
            <v>1.65</v>
          </cell>
          <cell r="R175">
            <v>121.65</v>
          </cell>
          <cell r="S175">
            <v>85</v>
          </cell>
          <cell r="T175">
            <v>2</v>
          </cell>
          <cell r="U175">
            <v>5</v>
          </cell>
          <cell r="V175">
            <v>4.5</v>
          </cell>
          <cell r="W175">
            <v>121.65000000000002</v>
          </cell>
          <cell r="X175">
            <v>85</v>
          </cell>
          <cell r="Y175">
            <v>2</v>
          </cell>
          <cell r="Z175">
            <v>5</v>
          </cell>
          <cell r="AA175">
            <v>67.112199519230771</v>
          </cell>
          <cell r="AB175">
            <v>94.5</v>
          </cell>
          <cell r="AC175">
            <v>21</v>
          </cell>
          <cell r="AD175">
            <v>0</v>
          </cell>
          <cell r="AH175">
            <v>0</v>
          </cell>
          <cell r="AI175">
            <v>0</v>
          </cell>
          <cell r="AJ175">
            <v>0</v>
          </cell>
          <cell r="AK175">
            <v>0</v>
          </cell>
          <cell r="AL175">
            <v>21.054807692307694</v>
          </cell>
          <cell r="AM175">
            <v>88.430192307692323</v>
          </cell>
          <cell r="AN175">
            <v>27</v>
          </cell>
          <cell r="AP175">
            <v>123</v>
          </cell>
          <cell r="AQ175">
            <v>655.74719951923089</v>
          </cell>
          <cell r="AR175">
            <v>7.9072500000000003</v>
          </cell>
          <cell r="AT175">
            <v>7.9072500000000003</v>
          </cell>
          <cell r="AU175">
            <v>647.83994951923091</v>
          </cell>
          <cell r="AX175">
            <v>417</v>
          </cell>
          <cell r="AZ175" t="str">
            <v>Talal Ali Abdullah Al Manai</v>
          </cell>
          <cell r="BA175" t="str">
            <v>57-173470084011</v>
          </cell>
          <cell r="BB175" t="str">
            <v>Bank Muscat</v>
          </cell>
          <cell r="BC175" t="str">
            <v>Al-Buraimi</v>
          </cell>
          <cell r="BD175">
            <v>647.83994951923091</v>
          </cell>
        </row>
        <row r="176">
          <cell r="B176">
            <v>418</v>
          </cell>
          <cell r="C176" t="str">
            <v>Sultan Mohammed Rashid Al Shukaili</v>
          </cell>
          <cell r="D176" t="str">
            <v>Labour</v>
          </cell>
          <cell r="E176" t="str">
            <v>30/9/2006</v>
          </cell>
          <cell r="F176">
            <v>1.4046923076923077</v>
          </cell>
          <cell r="G176">
            <v>0.87793269230769233</v>
          </cell>
          <cell r="H176">
            <v>20</v>
          </cell>
          <cell r="I176">
            <v>28</v>
          </cell>
          <cell r="K176">
            <v>16</v>
          </cell>
          <cell r="L176">
            <v>14</v>
          </cell>
          <cell r="M176">
            <v>0</v>
          </cell>
          <cell r="N176">
            <v>0</v>
          </cell>
          <cell r="O176">
            <v>30</v>
          </cell>
          <cell r="P176">
            <v>58</v>
          </cell>
          <cell r="Q176">
            <v>1.74</v>
          </cell>
          <cell r="R176">
            <v>121.74</v>
          </cell>
          <cell r="S176">
            <v>85</v>
          </cell>
          <cell r="T176">
            <v>2</v>
          </cell>
          <cell r="U176">
            <v>5</v>
          </cell>
          <cell r="V176">
            <v>4.5</v>
          </cell>
          <cell r="W176">
            <v>121.74</v>
          </cell>
          <cell r="X176">
            <v>85</v>
          </cell>
          <cell r="Y176">
            <v>2</v>
          </cell>
          <cell r="Z176">
            <v>5</v>
          </cell>
          <cell r="AA176">
            <v>24.582115384615385</v>
          </cell>
          <cell r="AB176">
            <v>72</v>
          </cell>
          <cell r="AD176">
            <v>28.093846153846155</v>
          </cell>
          <cell r="AH176">
            <v>0</v>
          </cell>
          <cell r="AI176">
            <v>0</v>
          </cell>
          <cell r="AJ176">
            <v>0</v>
          </cell>
          <cell r="AK176">
            <v>0</v>
          </cell>
          <cell r="AL176">
            <v>83.403605769230765</v>
          </cell>
          <cell r="AM176">
            <v>84.28153846153846</v>
          </cell>
          <cell r="AN176">
            <v>27</v>
          </cell>
          <cell r="AP176">
            <v>123</v>
          </cell>
          <cell r="AQ176">
            <v>656.10110576923068</v>
          </cell>
          <cell r="AR176">
            <v>7.9131</v>
          </cell>
          <cell r="AT176">
            <v>7.9131</v>
          </cell>
          <cell r="AU176">
            <v>648.1880057692307</v>
          </cell>
          <cell r="AX176">
            <v>418</v>
          </cell>
          <cell r="AZ176" t="str">
            <v>Sultan Mohammed Rashid Al Shukaili</v>
          </cell>
          <cell r="BA176">
            <v>191113200084017</v>
          </cell>
          <cell r="BB176" t="str">
            <v>Bank Muscat</v>
          </cell>
          <cell r="BC176" t="str">
            <v>Bahla</v>
          </cell>
          <cell r="BD176">
            <v>648.1880057692307</v>
          </cell>
        </row>
        <row r="177">
          <cell r="B177">
            <v>419</v>
          </cell>
          <cell r="C177" t="str">
            <v>Adil Mohammed Said Al Mahrouqi</v>
          </cell>
          <cell r="D177" t="str">
            <v>Asst.Mechanic</v>
          </cell>
          <cell r="E177">
            <v>38729</v>
          </cell>
          <cell r="F177">
            <v>1.4423076923076923</v>
          </cell>
          <cell r="G177">
            <v>0.90144230769230771</v>
          </cell>
          <cell r="H177">
            <v>20</v>
          </cell>
          <cell r="I177">
            <v>28</v>
          </cell>
          <cell r="K177">
            <v>16</v>
          </cell>
          <cell r="L177">
            <v>14</v>
          </cell>
          <cell r="M177">
            <v>0</v>
          </cell>
          <cell r="N177">
            <v>0</v>
          </cell>
          <cell r="O177">
            <v>30</v>
          </cell>
          <cell r="P177">
            <v>66</v>
          </cell>
          <cell r="Q177">
            <v>1.98</v>
          </cell>
          <cell r="R177">
            <v>125</v>
          </cell>
          <cell r="S177">
            <v>100</v>
          </cell>
          <cell r="T177">
            <v>2</v>
          </cell>
          <cell r="U177">
            <v>5</v>
          </cell>
          <cell r="V177">
            <v>4.5</v>
          </cell>
          <cell r="W177">
            <v>125.00000000000001</v>
          </cell>
          <cell r="X177">
            <v>100</v>
          </cell>
          <cell r="Y177">
            <v>2</v>
          </cell>
          <cell r="Z177">
            <v>5</v>
          </cell>
          <cell r="AA177">
            <v>25.240384615384617</v>
          </cell>
          <cell r="AB177">
            <v>72</v>
          </cell>
          <cell r="AD177">
            <v>28.846153846153847</v>
          </cell>
          <cell r="AH177">
            <v>0</v>
          </cell>
          <cell r="AI177">
            <v>0</v>
          </cell>
          <cell r="AJ177">
            <v>0</v>
          </cell>
          <cell r="AK177">
            <v>0</v>
          </cell>
          <cell r="AL177">
            <v>110.87740384615385</v>
          </cell>
          <cell r="AM177">
            <v>86.538461538461533</v>
          </cell>
          <cell r="AN177">
            <v>27</v>
          </cell>
          <cell r="AP177">
            <v>123</v>
          </cell>
          <cell r="AQ177">
            <v>705.50240384615392</v>
          </cell>
          <cell r="AR177">
            <v>8.125</v>
          </cell>
          <cell r="AT177">
            <v>8.125</v>
          </cell>
          <cell r="AU177">
            <v>697.37740384615392</v>
          </cell>
          <cell r="AX177">
            <v>419</v>
          </cell>
          <cell r="AZ177" t="str">
            <v>Adil Mohammed Said Al Mahrouqi</v>
          </cell>
          <cell r="BA177">
            <v>129292330084013</v>
          </cell>
          <cell r="BB177" t="str">
            <v>Bank Muscat</v>
          </cell>
          <cell r="BC177" t="str">
            <v>Adam</v>
          </cell>
          <cell r="BD177">
            <v>697.37740384615392</v>
          </cell>
        </row>
        <row r="178">
          <cell r="B178">
            <v>421</v>
          </cell>
          <cell r="C178" t="str">
            <v>Yousef Said Ali Al Amri</v>
          </cell>
          <cell r="D178" t="str">
            <v>Vib Operator</v>
          </cell>
          <cell r="E178">
            <v>39084</v>
          </cell>
          <cell r="F178">
            <v>2.2144615384615385</v>
          </cell>
          <cell r="G178">
            <v>1.3840384615384616</v>
          </cell>
          <cell r="H178">
            <v>34</v>
          </cell>
          <cell r="I178">
            <v>119</v>
          </cell>
          <cell r="K178">
            <v>16</v>
          </cell>
          <cell r="L178">
            <v>14</v>
          </cell>
          <cell r="M178">
            <v>0</v>
          </cell>
          <cell r="N178">
            <v>0</v>
          </cell>
          <cell r="O178">
            <v>30</v>
          </cell>
          <cell r="P178">
            <v>64</v>
          </cell>
          <cell r="Q178">
            <v>1.92</v>
          </cell>
          <cell r="R178">
            <v>191.92</v>
          </cell>
          <cell r="S178">
            <v>120</v>
          </cell>
          <cell r="T178">
            <v>2</v>
          </cell>
          <cell r="U178">
            <v>5</v>
          </cell>
          <cell r="V178">
            <v>4.5</v>
          </cell>
          <cell r="W178">
            <v>191.92</v>
          </cell>
          <cell r="X178">
            <v>120</v>
          </cell>
          <cell r="Y178">
            <v>2</v>
          </cell>
          <cell r="Z178">
            <v>5</v>
          </cell>
          <cell r="AA178">
            <v>164.70057692307694</v>
          </cell>
          <cell r="AB178">
            <v>72</v>
          </cell>
          <cell r="AD178">
            <v>75.291692307692301</v>
          </cell>
          <cell r="AH178">
            <v>0</v>
          </cell>
          <cell r="AI178">
            <v>0</v>
          </cell>
          <cell r="AJ178">
            <v>0</v>
          </cell>
          <cell r="AK178">
            <v>0</v>
          </cell>
          <cell r="AL178">
            <v>0</v>
          </cell>
          <cell r="AM178">
            <v>225.87507692307693</v>
          </cell>
          <cell r="AN178">
            <v>27</v>
          </cell>
          <cell r="AP178">
            <v>123</v>
          </cell>
          <cell r="AQ178">
            <v>1006.7873461538461</v>
          </cell>
          <cell r="AR178">
            <v>12.4748</v>
          </cell>
          <cell r="AT178">
            <v>12.4748</v>
          </cell>
          <cell r="AU178">
            <v>994.31254615384614</v>
          </cell>
          <cell r="AX178">
            <v>421</v>
          </cell>
          <cell r="AZ178" t="str">
            <v>Yousef Said Ali Al Amri</v>
          </cell>
          <cell r="BA178" t="str">
            <v>131-176040084010</v>
          </cell>
          <cell r="BB178" t="str">
            <v>Bank Muscat</v>
          </cell>
          <cell r="BC178" t="str">
            <v>Sinaw</v>
          </cell>
          <cell r="BD178">
            <v>994.31254615384614</v>
          </cell>
        </row>
        <row r="179">
          <cell r="B179">
            <v>422</v>
          </cell>
          <cell r="C179" t="str">
            <v>Mohammed Hamed Suwaidan</v>
          </cell>
          <cell r="D179" t="str">
            <v>Vib Operator</v>
          </cell>
          <cell r="E179">
            <v>39084</v>
          </cell>
          <cell r="F179">
            <v>2.2144615384615385</v>
          </cell>
          <cell r="G179">
            <v>1.3840384615384616</v>
          </cell>
          <cell r="H179">
            <v>0</v>
          </cell>
          <cell r="I179">
            <v>152</v>
          </cell>
          <cell r="K179">
            <v>18</v>
          </cell>
          <cell r="L179">
            <v>12</v>
          </cell>
          <cell r="M179">
            <v>0</v>
          </cell>
          <cell r="N179">
            <v>0</v>
          </cell>
          <cell r="O179">
            <v>30</v>
          </cell>
          <cell r="P179">
            <v>64</v>
          </cell>
          <cell r="Q179">
            <v>1.92</v>
          </cell>
          <cell r="R179">
            <v>191.92</v>
          </cell>
          <cell r="S179">
            <v>120</v>
          </cell>
          <cell r="T179">
            <v>2</v>
          </cell>
          <cell r="U179">
            <v>5</v>
          </cell>
          <cell r="V179">
            <v>4.5</v>
          </cell>
          <cell r="W179">
            <v>191.92</v>
          </cell>
          <cell r="X179">
            <v>120</v>
          </cell>
          <cell r="Y179">
            <v>2</v>
          </cell>
          <cell r="Z179">
            <v>5</v>
          </cell>
          <cell r="AA179">
            <v>210.37384615384616</v>
          </cell>
          <cell r="AB179">
            <v>81</v>
          </cell>
          <cell r="AD179">
            <v>0</v>
          </cell>
          <cell r="AH179">
            <v>0</v>
          </cell>
          <cell r="AI179">
            <v>0</v>
          </cell>
          <cell r="AJ179">
            <v>0</v>
          </cell>
          <cell r="AK179">
            <v>0</v>
          </cell>
          <cell r="AL179">
            <v>0</v>
          </cell>
          <cell r="AM179">
            <v>225.87507692307693</v>
          </cell>
          <cell r="AN179">
            <v>27</v>
          </cell>
          <cell r="AP179">
            <v>123</v>
          </cell>
          <cell r="AQ179">
            <v>986.16892307692297</v>
          </cell>
          <cell r="AR179">
            <v>12.4748</v>
          </cell>
          <cell r="AT179">
            <v>12.4748</v>
          </cell>
          <cell r="AU179">
            <v>973.69412307692301</v>
          </cell>
          <cell r="AX179">
            <v>422</v>
          </cell>
          <cell r="AZ179" t="str">
            <v>Mohammed Hamed Suwaidan</v>
          </cell>
          <cell r="BA179" t="str">
            <v>128150240084016</v>
          </cell>
          <cell r="BB179" t="str">
            <v>Bank Muscat</v>
          </cell>
          <cell r="BC179" t="str">
            <v>Dhakiliya</v>
          </cell>
          <cell r="BD179">
            <v>973.69412307692301</v>
          </cell>
        </row>
        <row r="180">
          <cell r="B180">
            <v>423</v>
          </cell>
          <cell r="C180" t="str">
            <v>Touyel Eid Hamed Al Darai</v>
          </cell>
          <cell r="D180" t="str">
            <v>Vib Operator</v>
          </cell>
          <cell r="E180">
            <v>39084</v>
          </cell>
          <cell r="F180">
            <v>2.2144615384615385</v>
          </cell>
          <cell r="G180">
            <v>1.3840384615384616</v>
          </cell>
          <cell r="H180">
            <v>34</v>
          </cell>
          <cell r="I180">
            <v>166</v>
          </cell>
          <cell r="K180">
            <v>21</v>
          </cell>
          <cell r="L180">
            <v>9</v>
          </cell>
          <cell r="M180">
            <v>0</v>
          </cell>
          <cell r="N180">
            <v>0</v>
          </cell>
          <cell r="O180">
            <v>30</v>
          </cell>
          <cell r="P180">
            <v>64</v>
          </cell>
          <cell r="Q180">
            <v>1.92</v>
          </cell>
          <cell r="R180">
            <v>191.92</v>
          </cell>
          <cell r="S180">
            <v>120</v>
          </cell>
          <cell r="T180">
            <v>2</v>
          </cell>
          <cell r="U180">
            <v>5</v>
          </cell>
          <cell r="V180">
            <v>4.5</v>
          </cell>
          <cell r="W180">
            <v>191.92</v>
          </cell>
          <cell r="X180">
            <v>120</v>
          </cell>
          <cell r="Y180">
            <v>2</v>
          </cell>
          <cell r="Z180">
            <v>5</v>
          </cell>
          <cell r="AA180">
            <v>229.7503846153846</v>
          </cell>
          <cell r="AB180">
            <v>94.5</v>
          </cell>
          <cell r="AD180">
            <v>75.291692307692301</v>
          </cell>
          <cell r="AH180">
            <v>0</v>
          </cell>
          <cell r="AI180">
            <v>0</v>
          </cell>
          <cell r="AJ180">
            <v>0</v>
          </cell>
          <cell r="AK180">
            <v>0</v>
          </cell>
          <cell r="AL180">
            <v>0</v>
          </cell>
          <cell r="AM180">
            <v>225.87507692307693</v>
          </cell>
          <cell r="AN180">
            <v>27</v>
          </cell>
          <cell r="AP180">
            <v>123</v>
          </cell>
          <cell r="AQ180">
            <v>1094.3371538461538</v>
          </cell>
          <cell r="AR180">
            <v>12.4748</v>
          </cell>
          <cell r="AT180">
            <v>12.4748</v>
          </cell>
          <cell r="AU180">
            <v>1081.8623538461538</v>
          </cell>
          <cell r="AX180">
            <v>423</v>
          </cell>
          <cell r="AZ180" t="str">
            <v>Touyel Eid Hamed Al Darai</v>
          </cell>
          <cell r="BA180" t="str">
            <v>0062-16078008401</v>
          </cell>
          <cell r="BB180" t="str">
            <v>Bank Muscat</v>
          </cell>
          <cell r="BC180" t="str">
            <v>Bahla</v>
          </cell>
          <cell r="BD180">
            <v>1081.8623538461538</v>
          </cell>
        </row>
        <row r="181">
          <cell r="B181">
            <v>424</v>
          </cell>
          <cell r="C181" t="str">
            <v>Awadh Marzouq Abdullah Al Darai</v>
          </cell>
          <cell r="D181" t="str">
            <v>Heavy Duty Driver</v>
          </cell>
          <cell r="E181">
            <v>39448</v>
          </cell>
          <cell r="F181">
            <v>1.7307692307692308</v>
          </cell>
          <cell r="G181">
            <v>1.0817307692307692</v>
          </cell>
          <cell r="H181">
            <v>21</v>
          </cell>
          <cell r="I181">
            <v>50</v>
          </cell>
          <cell r="K181">
            <v>15</v>
          </cell>
          <cell r="L181">
            <v>15</v>
          </cell>
          <cell r="M181">
            <v>0</v>
          </cell>
          <cell r="N181">
            <v>0</v>
          </cell>
          <cell r="O181">
            <v>30</v>
          </cell>
          <cell r="Q181">
            <v>0</v>
          </cell>
          <cell r="R181">
            <v>150</v>
          </cell>
          <cell r="S181">
            <v>85</v>
          </cell>
          <cell r="T181">
            <v>2</v>
          </cell>
          <cell r="U181">
            <v>5</v>
          </cell>
          <cell r="V181">
            <v>4.5</v>
          </cell>
          <cell r="W181">
            <v>150</v>
          </cell>
          <cell r="X181">
            <v>85</v>
          </cell>
          <cell r="Y181">
            <v>2</v>
          </cell>
          <cell r="Z181">
            <v>5</v>
          </cell>
          <cell r="AA181">
            <v>54.08653846153846</v>
          </cell>
          <cell r="AB181">
            <v>67.5</v>
          </cell>
          <cell r="AD181">
            <v>36.346153846153847</v>
          </cell>
          <cell r="AH181">
            <v>0</v>
          </cell>
          <cell r="AI181">
            <v>0</v>
          </cell>
          <cell r="AJ181">
            <v>0</v>
          </cell>
          <cell r="AK181">
            <v>0</v>
          </cell>
          <cell r="AL181">
            <v>69.230769230769226</v>
          </cell>
          <cell r="AM181">
            <v>0</v>
          </cell>
          <cell r="AN181">
            <v>0</v>
          </cell>
          <cell r="AP181">
            <v>0</v>
          </cell>
          <cell r="AQ181">
            <v>469.16346153846155</v>
          </cell>
          <cell r="AR181">
            <v>9.75</v>
          </cell>
          <cell r="AT181">
            <v>9.75</v>
          </cell>
          <cell r="AU181">
            <v>459.41346153846155</v>
          </cell>
          <cell r="AX181">
            <v>424</v>
          </cell>
          <cell r="AZ181" t="str">
            <v>Awadh Marzouq Abdullah Al Darai</v>
          </cell>
          <cell r="BA181" t="str">
            <v>062-113340084010</v>
          </cell>
          <cell r="BB181" t="str">
            <v>Bank Muscat</v>
          </cell>
          <cell r="BC181" t="str">
            <v>Bahla</v>
          </cell>
          <cell r="BD181">
            <v>459.41346153846155</v>
          </cell>
        </row>
        <row r="182">
          <cell r="B182">
            <v>425</v>
          </cell>
          <cell r="C182" t="str">
            <v>Khalifa Ali Salim Al Mani</v>
          </cell>
          <cell r="D182" t="str">
            <v>Heavy Duty Driver</v>
          </cell>
          <cell r="E182">
            <v>39448</v>
          </cell>
          <cell r="F182">
            <v>1.7307692307692308</v>
          </cell>
          <cell r="G182">
            <v>1.0817307692307692</v>
          </cell>
          <cell r="H182">
            <v>0</v>
          </cell>
          <cell r="I182">
            <v>120.5</v>
          </cell>
          <cell r="K182">
            <v>21</v>
          </cell>
          <cell r="L182">
            <v>9</v>
          </cell>
          <cell r="M182">
            <v>0</v>
          </cell>
          <cell r="N182">
            <v>0</v>
          </cell>
          <cell r="O182">
            <v>30</v>
          </cell>
          <cell r="Q182">
            <v>0</v>
          </cell>
          <cell r="R182">
            <v>150</v>
          </cell>
          <cell r="S182">
            <v>85</v>
          </cell>
          <cell r="T182">
            <v>2</v>
          </cell>
          <cell r="U182">
            <v>5</v>
          </cell>
          <cell r="V182">
            <v>4.5</v>
          </cell>
          <cell r="W182">
            <v>150</v>
          </cell>
          <cell r="X182">
            <v>85</v>
          </cell>
          <cell r="Y182">
            <v>2</v>
          </cell>
          <cell r="Z182">
            <v>5</v>
          </cell>
          <cell r="AA182">
            <v>130.34855769230768</v>
          </cell>
          <cell r="AB182">
            <v>94.5</v>
          </cell>
          <cell r="AD182">
            <v>0</v>
          </cell>
          <cell r="AH182">
            <v>0</v>
          </cell>
          <cell r="AI182">
            <v>0</v>
          </cell>
          <cell r="AJ182">
            <v>0</v>
          </cell>
          <cell r="AK182">
            <v>0</v>
          </cell>
          <cell r="AL182">
            <v>30.288461538461537</v>
          </cell>
          <cell r="AM182">
            <v>109.03846153846155</v>
          </cell>
          <cell r="AN182">
            <v>27</v>
          </cell>
          <cell r="AP182">
            <v>123</v>
          </cell>
          <cell r="AQ182">
            <v>756.17548076923072</v>
          </cell>
          <cell r="AR182">
            <v>9.75</v>
          </cell>
          <cell r="AT182">
            <v>9.75</v>
          </cell>
          <cell r="AU182">
            <v>746.42548076923072</v>
          </cell>
          <cell r="AX182">
            <v>425</v>
          </cell>
          <cell r="AZ182" t="str">
            <v>Khalifa Ali Salim Al Mani</v>
          </cell>
          <cell r="BA182" t="str">
            <v>002-262038-035</v>
          </cell>
          <cell r="BB182" t="str">
            <v>HSBC</v>
          </cell>
          <cell r="BC182" t="str">
            <v>Ruwi</v>
          </cell>
          <cell r="BD182">
            <v>746.42548076923072</v>
          </cell>
        </row>
        <row r="183">
          <cell r="B183">
            <v>426</v>
          </cell>
          <cell r="C183" t="str">
            <v>Moosa Mubarak Habib Al Hadi</v>
          </cell>
          <cell r="D183" t="str">
            <v>Labour</v>
          </cell>
          <cell r="E183">
            <v>39448</v>
          </cell>
          <cell r="F183">
            <v>1.3846153846153846</v>
          </cell>
          <cell r="G183">
            <v>0.86538461538461542</v>
          </cell>
          <cell r="H183">
            <v>0</v>
          </cell>
          <cell r="I183">
            <v>41</v>
          </cell>
          <cell r="K183">
            <v>10</v>
          </cell>
          <cell r="L183">
            <v>20</v>
          </cell>
          <cell r="M183">
            <v>0</v>
          </cell>
          <cell r="N183">
            <v>0</v>
          </cell>
          <cell r="O183">
            <v>30</v>
          </cell>
          <cell r="Q183">
            <v>0</v>
          </cell>
          <cell r="R183">
            <v>120</v>
          </cell>
          <cell r="S183">
            <v>85</v>
          </cell>
          <cell r="T183">
            <v>2</v>
          </cell>
          <cell r="U183">
            <v>5</v>
          </cell>
          <cell r="V183">
            <v>4.5</v>
          </cell>
          <cell r="W183">
            <v>120</v>
          </cell>
          <cell r="X183">
            <v>85</v>
          </cell>
          <cell r="Y183">
            <v>2</v>
          </cell>
          <cell r="Z183">
            <v>5</v>
          </cell>
          <cell r="AA183">
            <v>35.480769230769234</v>
          </cell>
          <cell r="AB183">
            <v>45</v>
          </cell>
          <cell r="AC183">
            <v>10</v>
          </cell>
          <cell r="AD183">
            <v>0</v>
          </cell>
          <cell r="AH183">
            <v>0</v>
          </cell>
          <cell r="AI183">
            <v>0</v>
          </cell>
          <cell r="AJ183">
            <v>0</v>
          </cell>
          <cell r="AK183">
            <v>0</v>
          </cell>
          <cell r="AL183">
            <v>27.692307692307693</v>
          </cell>
          <cell r="AM183">
            <v>0</v>
          </cell>
          <cell r="AN183">
            <v>0</v>
          </cell>
          <cell r="AP183">
            <v>0</v>
          </cell>
          <cell r="AQ183">
            <v>330.17307692307691</v>
          </cell>
          <cell r="AR183">
            <v>7.8000000000000007</v>
          </cell>
          <cell r="AT183">
            <v>7.8000000000000007</v>
          </cell>
          <cell r="AU183">
            <v>322.37307692307689</v>
          </cell>
          <cell r="AX183">
            <v>426</v>
          </cell>
          <cell r="AZ183" t="str">
            <v>Moosa Mubarak Habib Al Hadi</v>
          </cell>
          <cell r="BA183" t="str">
            <v>0075-205610084015</v>
          </cell>
          <cell r="BB183" t="str">
            <v>Bank Muscat</v>
          </cell>
          <cell r="BC183" t="str">
            <v>Al Amerat</v>
          </cell>
          <cell r="BD183">
            <v>322.37307692307689</v>
          </cell>
        </row>
        <row r="184">
          <cell r="B184">
            <v>427</v>
          </cell>
          <cell r="C184" t="str">
            <v>Said Dheeb Saif Al Manai</v>
          </cell>
          <cell r="D184" t="str">
            <v>Labour</v>
          </cell>
          <cell r="E184">
            <v>39783</v>
          </cell>
          <cell r="F184">
            <v>1.3846153846153846</v>
          </cell>
          <cell r="G184">
            <v>0.86538461538461542</v>
          </cell>
          <cell r="H184">
            <v>0</v>
          </cell>
          <cell r="I184">
            <v>112.5</v>
          </cell>
          <cell r="K184">
            <v>21</v>
          </cell>
          <cell r="L184">
            <v>9</v>
          </cell>
          <cell r="M184">
            <v>0</v>
          </cell>
          <cell r="N184">
            <v>0</v>
          </cell>
          <cell r="O184">
            <v>30</v>
          </cell>
          <cell r="Q184">
            <v>0</v>
          </cell>
          <cell r="R184">
            <v>120</v>
          </cell>
          <cell r="S184">
            <v>85</v>
          </cell>
          <cell r="T184">
            <v>2</v>
          </cell>
          <cell r="U184">
            <v>5</v>
          </cell>
          <cell r="V184">
            <v>4.5</v>
          </cell>
          <cell r="W184">
            <v>120</v>
          </cell>
          <cell r="X184">
            <v>85</v>
          </cell>
          <cell r="Y184">
            <v>2</v>
          </cell>
          <cell r="Z184">
            <v>5</v>
          </cell>
          <cell r="AA184">
            <v>97.355769230769241</v>
          </cell>
          <cell r="AB184">
            <v>94.5</v>
          </cell>
          <cell r="AC184">
            <v>21</v>
          </cell>
          <cell r="AD184">
            <v>0</v>
          </cell>
          <cell r="AH184">
            <v>0</v>
          </cell>
          <cell r="AI184">
            <v>0</v>
          </cell>
          <cell r="AJ184">
            <v>0</v>
          </cell>
          <cell r="AK184">
            <v>0</v>
          </cell>
          <cell r="AL184">
            <v>24.230769230769234</v>
          </cell>
          <cell r="AM184">
            <v>87.230769230769226</v>
          </cell>
          <cell r="AN184">
            <v>27</v>
          </cell>
          <cell r="AP184">
            <v>123</v>
          </cell>
          <cell r="AQ184">
            <v>686.31730769230762</v>
          </cell>
          <cell r="AR184">
            <v>7.8000000000000007</v>
          </cell>
          <cell r="AT184">
            <v>7.8000000000000007</v>
          </cell>
          <cell r="AU184">
            <v>678.51730769230767</v>
          </cell>
          <cell r="AX184">
            <v>427</v>
          </cell>
          <cell r="AZ184" t="str">
            <v>Said Dheeb Saif Al Manai</v>
          </cell>
          <cell r="BA184" t="str">
            <v>0062-148980084010</v>
          </cell>
          <cell r="BB184" t="str">
            <v>Bank Muscat</v>
          </cell>
          <cell r="BC184" t="str">
            <v>Bahla</v>
          </cell>
          <cell r="BD184">
            <v>678.51730769230767</v>
          </cell>
        </row>
        <row r="185">
          <cell r="B185">
            <v>429</v>
          </cell>
          <cell r="C185" t="str">
            <v>Sulaiman Hamdan Salim Al Hinai</v>
          </cell>
          <cell r="D185" t="str">
            <v>Mechanic</v>
          </cell>
          <cell r="E185">
            <v>39448</v>
          </cell>
          <cell r="F185">
            <v>1.5</v>
          </cell>
          <cell r="G185">
            <v>0.9375</v>
          </cell>
          <cell r="H185">
            <v>10</v>
          </cell>
          <cell r="I185">
            <v>36</v>
          </cell>
          <cell r="K185">
            <v>19</v>
          </cell>
          <cell r="L185">
            <v>11</v>
          </cell>
          <cell r="M185">
            <v>0</v>
          </cell>
          <cell r="N185">
            <v>0</v>
          </cell>
          <cell r="O185">
            <v>30</v>
          </cell>
          <cell r="Q185">
            <v>0</v>
          </cell>
          <cell r="R185">
            <v>130</v>
          </cell>
          <cell r="S185">
            <v>110</v>
          </cell>
          <cell r="T185">
            <v>2</v>
          </cell>
          <cell r="U185">
            <v>5</v>
          </cell>
          <cell r="V185">
            <v>4.5</v>
          </cell>
          <cell r="W185">
            <v>130</v>
          </cell>
          <cell r="X185">
            <v>110</v>
          </cell>
          <cell r="Y185">
            <v>2</v>
          </cell>
          <cell r="Z185">
            <v>5</v>
          </cell>
          <cell r="AA185">
            <v>33.75</v>
          </cell>
          <cell r="AB185">
            <v>85.5</v>
          </cell>
          <cell r="AD185">
            <v>15</v>
          </cell>
          <cell r="AH185">
            <v>0</v>
          </cell>
          <cell r="AI185">
            <v>0</v>
          </cell>
          <cell r="AJ185">
            <v>0</v>
          </cell>
          <cell r="AK185">
            <v>0</v>
          </cell>
          <cell r="AL185">
            <v>154.6875</v>
          </cell>
          <cell r="AM185">
            <v>0</v>
          </cell>
          <cell r="AN185">
            <v>0</v>
          </cell>
          <cell r="AP185">
            <v>0</v>
          </cell>
          <cell r="AQ185">
            <v>535.9375</v>
          </cell>
          <cell r="AR185">
            <v>8.4500000000000011</v>
          </cell>
          <cell r="AT185">
            <v>8.4500000000000011</v>
          </cell>
          <cell r="AU185">
            <v>527.48749999999995</v>
          </cell>
          <cell r="AV185" t="str">
            <v>Housing Allowance revised to 100 &amp; Basic 130 from 1/11/2008</v>
          </cell>
          <cell r="AX185">
            <v>429</v>
          </cell>
          <cell r="AZ185" t="str">
            <v>Sulaiman Hamdan Salim Al Hinai</v>
          </cell>
          <cell r="BA185" t="str">
            <v>118-271500084018</v>
          </cell>
          <cell r="BB185" t="str">
            <v>Bank Muscat</v>
          </cell>
          <cell r="BC185" t="str">
            <v>Al-Jubail</v>
          </cell>
          <cell r="BD185">
            <v>527.48749999999995</v>
          </cell>
        </row>
        <row r="186">
          <cell r="B186">
            <v>433</v>
          </cell>
          <cell r="C186" t="str">
            <v>Said Eid Al Dara'I</v>
          </cell>
          <cell r="D186" t="str">
            <v>Labour</v>
          </cell>
          <cell r="E186">
            <v>39620</v>
          </cell>
          <cell r="F186">
            <v>1.3846153846153846</v>
          </cell>
          <cell r="G186">
            <v>0.86538461538461542</v>
          </cell>
          <cell r="H186">
            <v>0</v>
          </cell>
          <cell r="I186">
            <v>112.5</v>
          </cell>
          <cell r="K186">
            <v>21</v>
          </cell>
          <cell r="L186">
            <v>9</v>
          </cell>
          <cell r="M186">
            <v>0</v>
          </cell>
          <cell r="N186">
            <v>0</v>
          </cell>
          <cell r="O186">
            <v>30</v>
          </cell>
          <cell r="Q186">
            <v>0</v>
          </cell>
          <cell r="R186">
            <v>120</v>
          </cell>
          <cell r="S186">
            <v>85</v>
          </cell>
          <cell r="T186">
            <v>2</v>
          </cell>
          <cell r="U186">
            <v>5</v>
          </cell>
          <cell r="V186">
            <v>4.5</v>
          </cell>
          <cell r="W186">
            <v>120</v>
          </cell>
          <cell r="X186">
            <v>85</v>
          </cell>
          <cell r="Y186">
            <v>2</v>
          </cell>
          <cell r="Z186">
            <v>5</v>
          </cell>
          <cell r="AA186">
            <v>97.355769230769241</v>
          </cell>
          <cell r="AB186">
            <v>94.5</v>
          </cell>
          <cell r="AC186">
            <v>21</v>
          </cell>
          <cell r="AD186">
            <v>0</v>
          </cell>
          <cell r="AH186">
            <v>0</v>
          </cell>
          <cell r="AI186">
            <v>0</v>
          </cell>
          <cell r="AJ186">
            <v>0</v>
          </cell>
          <cell r="AK186">
            <v>0</v>
          </cell>
          <cell r="AL186">
            <v>18.60576923076923</v>
          </cell>
          <cell r="AM186">
            <v>87.230769230769226</v>
          </cell>
          <cell r="AN186">
            <v>22.5</v>
          </cell>
          <cell r="AP186">
            <v>123</v>
          </cell>
          <cell r="AQ186">
            <v>676.19230769230762</v>
          </cell>
          <cell r="AR186">
            <v>7.8000000000000007</v>
          </cell>
          <cell r="AT186">
            <v>7.8000000000000007</v>
          </cell>
          <cell r="AU186">
            <v>668.39230769230767</v>
          </cell>
          <cell r="AX186">
            <v>433</v>
          </cell>
          <cell r="AZ186" t="str">
            <v>Said Eid Al Dara'I</v>
          </cell>
          <cell r="BA186" t="str">
            <v>62-133460084011</v>
          </cell>
          <cell r="BB186" t="str">
            <v>Bank Muscat</v>
          </cell>
          <cell r="BD186">
            <v>668.39230769230767</v>
          </cell>
        </row>
        <row r="187">
          <cell r="B187">
            <v>434</v>
          </cell>
          <cell r="C187" t="str">
            <v>Talal Said Abdullah Sidery</v>
          </cell>
          <cell r="D187" t="str">
            <v>Labour</v>
          </cell>
          <cell r="E187">
            <v>39620</v>
          </cell>
          <cell r="F187">
            <v>1.3846153846153846</v>
          </cell>
          <cell r="G187">
            <v>0.86538461538461542</v>
          </cell>
          <cell r="H187">
            <v>0</v>
          </cell>
          <cell r="I187">
            <v>112.5</v>
          </cell>
          <cell r="K187">
            <v>21</v>
          </cell>
          <cell r="L187">
            <v>9</v>
          </cell>
          <cell r="M187">
            <v>0</v>
          </cell>
          <cell r="N187">
            <v>0</v>
          </cell>
          <cell r="O187">
            <v>30</v>
          </cell>
          <cell r="Q187">
            <v>0</v>
          </cell>
          <cell r="R187">
            <v>120</v>
          </cell>
          <cell r="S187">
            <v>85</v>
          </cell>
          <cell r="T187">
            <v>2</v>
          </cell>
          <cell r="U187">
            <v>5</v>
          </cell>
          <cell r="V187">
            <v>4.5</v>
          </cell>
          <cell r="W187">
            <v>120</v>
          </cell>
          <cell r="X187">
            <v>85</v>
          </cell>
          <cell r="Y187">
            <v>2</v>
          </cell>
          <cell r="Z187">
            <v>5</v>
          </cell>
          <cell r="AA187">
            <v>97.355769230769241</v>
          </cell>
          <cell r="AB187">
            <v>94.5</v>
          </cell>
          <cell r="AC187">
            <v>21</v>
          </cell>
          <cell r="AD187">
            <v>0</v>
          </cell>
          <cell r="AG187">
            <v>18</v>
          </cell>
          <cell r="AH187">
            <v>0</v>
          </cell>
          <cell r="AI187">
            <v>0</v>
          </cell>
          <cell r="AJ187">
            <v>0</v>
          </cell>
          <cell r="AK187">
            <v>0</v>
          </cell>
          <cell r="AL187">
            <v>24.230769230769234</v>
          </cell>
          <cell r="AM187">
            <v>87.230769230769226</v>
          </cell>
          <cell r="AN187">
            <v>27</v>
          </cell>
          <cell r="AP187">
            <v>123</v>
          </cell>
          <cell r="AQ187">
            <v>704.31730769230762</v>
          </cell>
          <cell r="AR187">
            <v>7.8000000000000007</v>
          </cell>
          <cell r="AT187">
            <v>7.8000000000000007</v>
          </cell>
          <cell r="AU187">
            <v>696.51730769230767</v>
          </cell>
          <cell r="AX187">
            <v>434</v>
          </cell>
          <cell r="AZ187" t="str">
            <v>Talal Said Abdullah Sidery</v>
          </cell>
          <cell r="BA187" t="str">
            <v>073 16049 0084 015</v>
          </cell>
          <cell r="BB187" t="str">
            <v>Bank Muscat</v>
          </cell>
          <cell r="BD187">
            <v>696.51730769230767</v>
          </cell>
        </row>
        <row r="188">
          <cell r="B188">
            <v>435</v>
          </cell>
          <cell r="C188" t="str">
            <v>Marhoon Salim Fadhil Al Siyabi</v>
          </cell>
          <cell r="D188" t="str">
            <v>Labour / Driver</v>
          </cell>
          <cell r="E188">
            <v>39630</v>
          </cell>
          <cell r="F188">
            <v>1.3846153846153846</v>
          </cell>
          <cell r="G188">
            <v>0.86538461538461542</v>
          </cell>
          <cell r="H188">
            <v>21</v>
          </cell>
          <cell r="I188">
            <v>57</v>
          </cell>
          <cell r="K188">
            <v>20</v>
          </cell>
          <cell r="L188">
            <v>10</v>
          </cell>
          <cell r="M188">
            <v>0</v>
          </cell>
          <cell r="N188">
            <v>0</v>
          </cell>
          <cell r="O188">
            <v>30</v>
          </cell>
          <cell r="Q188">
            <v>0</v>
          </cell>
          <cell r="R188">
            <v>120</v>
          </cell>
          <cell r="S188">
            <v>85</v>
          </cell>
          <cell r="T188">
            <v>2</v>
          </cell>
          <cell r="U188">
            <v>5</v>
          </cell>
          <cell r="V188">
            <v>4.5</v>
          </cell>
          <cell r="W188">
            <v>120</v>
          </cell>
          <cell r="X188">
            <v>85</v>
          </cell>
          <cell r="Y188">
            <v>2</v>
          </cell>
          <cell r="Z188">
            <v>5</v>
          </cell>
          <cell r="AA188">
            <v>49.32692307692308</v>
          </cell>
          <cell r="AB188">
            <v>90</v>
          </cell>
          <cell r="AC188">
            <v>20</v>
          </cell>
          <cell r="AD188">
            <v>29.076923076923077</v>
          </cell>
          <cell r="AH188">
            <v>0</v>
          </cell>
          <cell r="AI188">
            <v>0</v>
          </cell>
          <cell r="AJ188">
            <v>0</v>
          </cell>
          <cell r="AK188">
            <v>0</v>
          </cell>
          <cell r="AL188">
            <v>17.307692307692307</v>
          </cell>
          <cell r="AM188">
            <v>87.230769230769226</v>
          </cell>
          <cell r="AN188">
            <v>27</v>
          </cell>
          <cell r="AP188">
            <v>123</v>
          </cell>
          <cell r="AQ188">
            <v>654.94230769230774</v>
          </cell>
          <cell r="AR188">
            <v>7.8000000000000007</v>
          </cell>
          <cell r="AT188">
            <v>7.8000000000000007</v>
          </cell>
          <cell r="AU188">
            <v>647.14230769230778</v>
          </cell>
          <cell r="AX188">
            <v>435</v>
          </cell>
          <cell r="AZ188" t="str">
            <v>Marhoon Salim Fadhil Al Siyabi</v>
          </cell>
          <cell r="BA188" t="str">
            <v>043233580084016</v>
          </cell>
          <cell r="BB188" t="str">
            <v>Bank Muscat</v>
          </cell>
          <cell r="BD188">
            <v>647.14230769230778</v>
          </cell>
        </row>
        <row r="189">
          <cell r="B189">
            <v>436</v>
          </cell>
          <cell r="C189" t="str">
            <v>Khalifa Khamis Abdullah Al Ghafri</v>
          </cell>
          <cell r="D189" t="str">
            <v>Labour / Driver</v>
          </cell>
          <cell r="E189">
            <v>39630</v>
          </cell>
          <cell r="F189">
            <v>1.3846153846153846</v>
          </cell>
          <cell r="G189">
            <v>0.86538461538461542</v>
          </cell>
          <cell r="H189">
            <v>21</v>
          </cell>
          <cell r="I189">
            <v>84.5</v>
          </cell>
          <cell r="K189">
            <v>23</v>
          </cell>
          <cell r="L189">
            <v>7</v>
          </cell>
          <cell r="M189">
            <v>0</v>
          </cell>
          <cell r="N189">
            <v>0</v>
          </cell>
          <cell r="O189">
            <v>30</v>
          </cell>
          <cell r="Q189">
            <v>0</v>
          </cell>
          <cell r="R189">
            <v>120</v>
          </cell>
          <cell r="S189">
            <v>85</v>
          </cell>
          <cell r="T189">
            <v>2</v>
          </cell>
          <cell r="U189">
            <v>5</v>
          </cell>
          <cell r="V189">
            <v>4.5</v>
          </cell>
          <cell r="W189">
            <v>120</v>
          </cell>
          <cell r="X189">
            <v>85</v>
          </cell>
          <cell r="Y189">
            <v>2</v>
          </cell>
          <cell r="Z189">
            <v>5</v>
          </cell>
          <cell r="AA189">
            <v>73.125</v>
          </cell>
          <cell r="AB189">
            <v>103.5</v>
          </cell>
          <cell r="AC189">
            <v>23</v>
          </cell>
          <cell r="AD189">
            <v>29.076923076923077</v>
          </cell>
          <cell r="AH189">
            <v>0</v>
          </cell>
          <cell r="AI189">
            <v>0</v>
          </cell>
          <cell r="AJ189">
            <v>0</v>
          </cell>
          <cell r="AK189">
            <v>0</v>
          </cell>
          <cell r="AL189">
            <v>24.230769230769234</v>
          </cell>
          <cell r="AM189">
            <v>0</v>
          </cell>
          <cell r="AN189">
            <v>0</v>
          </cell>
          <cell r="AP189">
            <v>0</v>
          </cell>
          <cell r="AQ189">
            <v>464.93269230769232</v>
          </cell>
          <cell r="AR189">
            <v>7.8000000000000007</v>
          </cell>
          <cell r="AT189">
            <v>7.8000000000000007</v>
          </cell>
          <cell r="AU189">
            <v>457.13269230769231</v>
          </cell>
          <cell r="AX189">
            <v>436</v>
          </cell>
          <cell r="AZ189" t="str">
            <v>Khalifa Khamis Abdullah Al Ghafri</v>
          </cell>
          <cell r="BA189" t="str">
            <v>121128880084017</v>
          </cell>
          <cell r="BB189" t="str">
            <v>Bank Muscat</v>
          </cell>
          <cell r="BD189">
            <v>457.13269230769231</v>
          </cell>
        </row>
        <row r="190">
          <cell r="B190">
            <v>437</v>
          </cell>
          <cell r="C190" t="str">
            <v>Hamdan  Salim Hamdan Al Hashmi</v>
          </cell>
          <cell r="D190" t="str">
            <v>Labour / Driver</v>
          </cell>
          <cell r="E190">
            <v>39630</v>
          </cell>
          <cell r="F190">
            <v>1.3846153846153846</v>
          </cell>
          <cell r="G190">
            <v>0.86538461538461542</v>
          </cell>
          <cell r="H190">
            <v>21</v>
          </cell>
          <cell r="I190">
            <v>37</v>
          </cell>
          <cell r="K190">
            <v>13</v>
          </cell>
          <cell r="L190">
            <v>14</v>
          </cell>
          <cell r="M190">
            <v>0</v>
          </cell>
          <cell r="N190">
            <v>3</v>
          </cell>
          <cell r="O190">
            <v>27</v>
          </cell>
          <cell r="Q190">
            <v>0</v>
          </cell>
          <cell r="R190">
            <v>120</v>
          </cell>
          <cell r="S190">
            <v>85</v>
          </cell>
          <cell r="T190">
            <v>2</v>
          </cell>
          <cell r="U190">
            <v>5</v>
          </cell>
          <cell r="V190">
            <v>4.5</v>
          </cell>
          <cell r="W190">
            <v>108</v>
          </cell>
          <cell r="X190">
            <v>76.5</v>
          </cell>
          <cell r="Y190">
            <v>1.8</v>
          </cell>
          <cell r="Z190">
            <v>4.5</v>
          </cell>
          <cell r="AA190">
            <v>32.019230769230774</v>
          </cell>
          <cell r="AB190">
            <v>58.5</v>
          </cell>
          <cell r="AC190">
            <v>13</v>
          </cell>
          <cell r="AD190">
            <v>29.076923076923077</v>
          </cell>
          <cell r="AH190">
            <v>0</v>
          </cell>
          <cell r="AI190">
            <v>0</v>
          </cell>
          <cell r="AJ190">
            <v>0</v>
          </cell>
          <cell r="AK190">
            <v>0</v>
          </cell>
          <cell r="AL190">
            <v>55.384615384615387</v>
          </cell>
          <cell r="AM190">
            <v>0</v>
          </cell>
          <cell r="AN190">
            <v>0</v>
          </cell>
          <cell r="AP190">
            <v>0</v>
          </cell>
          <cell r="AQ190">
            <v>378.78076923076924</v>
          </cell>
          <cell r="AR190">
            <v>7.8000000000000007</v>
          </cell>
          <cell r="AT190">
            <v>7.8000000000000007</v>
          </cell>
          <cell r="AU190">
            <v>370.98076923076923</v>
          </cell>
          <cell r="AX190">
            <v>437</v>
          </cell>
          <cell r="AZ190" t="str">
            <v>Hamdan  Salim Hamdan Al Hashmi</v>
          </cell>
          <cell r="BA190" t="str">
            <v>0187113200084017</v>
          </cell>
          <cell r="BB190" t="str">
            <v>Bank Muscat</v>
          </cell>
          <cell r="BD190">
            <v>370.98076923076923</v>
          </cell>
        </row>
        <row r="191">
          <cell r="B191">
            <v>438</v>
          </cell>
          <cell r="C191" t="str">
            <v>Khalifa Salim Khalifa Al Balushi</v>
          </cell>
          <cell r="D191" t="str">
            <v>Labour / Driver</v>
          </cell>
          <cell r="E191">
            <v>39630</v>
          </cell>
          <cell r="F191">
            <v>1.3846153846153846</v>
          </cell>
          <cell r="G191">
            <v>0.86538461538461542</v>
          </cell>
          <cell r="H191">
            <v>21</v>
          </cell>
          <cell r="I191">
            <v>59</v>
          </cell>
          <cell r="K191">
            <v>16</v>
          </cell>
          <cell r="L191">
            <v>14</v>
          </cell>
          <cell r="M191">
            <v>0</v>
          </cell>
          <cell r="N191">
            <v>0</v>
          </cell>
          <cell r="O191">
            <v>30</v>
          </cell>
          <cell r="Q191">
            <v>0</v>
          </cell>
          <cell r="R191">
            <v>120</v>
          </cell>
          <cell r="S191">
            <v>85</v>
          </cell>
          <cell r="T191">
            <v>2</v>
          </cell>
          <cell r="U191">
            <v>5</v>
          </cell>
          <cell r="V191">
            <v>4.5</v>
          </cell>
          <cell r="W191">
            <v>120</v>
          </cell>
          <cell r="X191">
            <v>85</v>
          </cell>
          <cell r="Y191">
            <v>2</v>
          </cell>
          <cell r="Z191">
            <v>5</v>
          </cell>
          <cell r="AA191">
            <v>51.057692307692307</v>
          </cell>
          <cell r="AB191">
            <v>72</v>
          </cell>
          <cell r="AC191">
            <v>16</v>
          </cell>
          <cell r="AD191">
            <v>29.076923076923077</v>
          </cell>
          <cell r="AH191">
            <v>0</v>
          </cell>
          <cell r="AI191">
            <v>0</v>
          </cell>
          <cell r="AJ191">
            <v>0</v>
          </cell>
          <cell r="AK191">
            <v>0</v>
          </cell>
          <cell r="AL191">
            <v>55.384615384615387</v>
          </cell>
          <cell r="AM191">
            <v>0</v>
          </cell>
          <cell r="AN191">
            <v>0</v>
          </cell>
          <cell r="AP191">
            <v>0</v>
          </cell>
          <cell r="AQ191">
            <v>435.51923076923083</v>
          </cell>
          <cell r="AR191">
            <v>7.8000000000000007</v>
          </cell>
          <cell r="AT191">
            <v>7.8000000000000007</v>
          </cell>
          <cell r="AU191">
            <v>427.71923076923082</v>
          </cell>
          <cell r="AX191">
            <v>438</v>
          </cell>
          <cell r="AZ191" t="str">
            <v>Khalifa Salim Khalifa Al Balushi</v>
          </cell>
          <cell r="BA191" t="str">
            <v>0118274970084018</v>
          </cell>
          <cell r="BB191" t="str">
            <v>Bank Muscat</v>
          </cell>
          <cell r="BD191">
            <v>427.71923076923082</v>
          </cell>
        </row>
        <row r="192">
          <cell r="B192">
            <v>439</v>
          </cell>
          <cell r="C192" t="str">
            <v>Suleiman Saif Mohammed Al Hinai</v>
          </cell>
          <cell r="D192" t="str">
            <v>Labour / Driver</v>
          </cell>
          <cell r="E192">
            <v>39630</v>
          </cell>
          <cell r="F192">
            <v>1.3846153846153846</v>
          </cell>
          <cell r="G192">
            <v>0.86538461538461542</v>
          </cell>
          <cell r="H192">
            <v>0</v>
          </cell>
          <cell r="I192">
            <v>93</v>
          </cell>
          <cell r="K192">
            <v>19</v>
          </cell>
          <cell r="L192">
            <v>11</v>
          </cell>
          <cell r="M192">
            <v>0</v>
          </cell>
          <cell r="N192">
            <v>0</v>
          </cell>
          <cell r="O192">
            <v>30</v>
          </cell>
          <cell r="Q192">
            <v>0</v>
          </cell>
          <cell r="R192">
            <v>120</v>
          </cell>
          <cell r="S192">
            <v>85</v>
          </cell>
          <cell r="T192">
            <v>2</v>
          </cell>
          <cell r="U192">
            <v>5</v>
          </cell>
          <cell r="V192">
            <v>4.5</v>
          </cell>
          <cell r="W192">
            <v>120</v>
          </cell>
          <cell r="X192">
            <v>85</v>
          </cell>
          <cell r="Y192">
            <v>2</v>
          </cell>
          <cell r="Z192">
            <v>5</v>
          </cell>
          <cell r="AA192">
            <v>80.480769230769241</v>
          </cell>
          <cell r="AB192">
            <v>85.5</v>
          </cell>
          <cell r="AC192">
            <v>19</v>
          </cell>
          <cell r="AD192">
            <v>0</v>
          </cell>
          <cell r="AH192">
            <v>0</v>
          </cell>
          <cell r="AI192">
            <v>0</v>
          </cell>
          <cell r="AJ192">
            <v>0</v>
          </cell>
          <cell r="AK192">
            <v>0</v>
          </cell>
          <cell r="AL192">
            <v>24.230769230769234</v>
          </cell>
          <cell r="AM192">
            <v>0</v>
          </cell>
          <cell r="AN192">
            <v>0</v>
          </cell>
          <cell r="AP192">
            <v>0</v>
          </cell>
          <cell r="AQ192">
            <v>421.21153846153845</v>
          </cell>
          <cell r="AR192">
            <v>7.8000000000000007</v>
          </cell>
          <cell r="AT192">
            <v>7.8000000000000007</v>
          </cell>
          <cell r="AU192">
            <v>413.41153846153844</v>
          </cell>
          <cell r="AX192">
            <v>439</v>
          </cell>
          <cell r="AZ192" t="str">
            <v>Suleiman Saif Mohammed Al Hinai</v>
          </cell>
          <cell r="BA192" t="str">
            <v>121135930084011</v>
          </cell>
          <cell r="BB192" t="str">
            <v>Bank Muscat</v>
          </cell>
          <cell r="BD192">
            <v>413.41153846153844</v>
          </cell>
        </row>
        <row r="193">
          <cell r="B193">
            <v>440</v>
          </cell>
          <cell r="C193" t="str">
            <v>Ali Sultan Mohammed Al Shaibani</v>
          </cell>
          <cell r="D193" t="str">
            <v>Labour / Driver</v>
          </cell>
          <cell r="E193">
            <v>39662</v>
          </cell>
          <cell r="F193">
            <v>1.3846153846153846</v>
          </cell>
          <cell r="G193">
            <v>0.86538461538461542</v>
          </cell>
          <cell r="H193">
            <v>21</v>
          </cell>
          <cell r="I193">
            <v>56.5</v>
          </cell>
          <cell r="K193">
            <v>16</v>
          </cell>
          <cell r="L193">
            <v>14</v>
          </cell>
          <cell r="M193">
            <v>0</v>
          </cell>
          <cell r="N193">
            <v>0</v>
          </cell>
          <cell r="O193">
            <v>30</v>
          </cell>
          <cell r="Q193">
            <v>0</v>
          </cell>
          <cell r="R193">
            <v>120</v>
          </cell>
          <cell r="S193">
            <v>85</v>
          </cell>
          <cell r="T193">
            <v>2</v>
          </cell>
          <cell r="U193">
            <v>5</v>
          </cell>
          <cell r="V193">
            <v>4.5</v>
          </cell>
          <cell r="W193">
            <v>120</v>
          </cell>
          <cell r="X193">
            <v>85</v>
          </cell>
          <cell r="Y193">
            <v>2</v>
          </cell>
          <cell r="Z193">
            <v>5</v>
          </cell>
          <cell r="AA193">
            <v>48.894230769230774</v>
          </cell>
          <cell r="AB193">
            <v>72</v>
          </cell>
          <cell r="AC193">
            <v>16</v>
          </cell>
          <cell r="AD193">
            <v>29.076923076923077</v>
          </cell>
          <cell r="AH193">
            <v>0</v>
          </cell>
          <cell r="AI193">
            <v>0</v>
          </cell>
          <cell r="AJ193">
            <v>0</v>
          </cell>
          <cell r="AK193">
            <v>0</v>
          </cell>
          <cell r="AL193">
            <v>55.384615384615387</v>
          </cell>
          <cell r="AM193">
            <v>87.230769230769226</v>
          </cell>
          <cell r="AN193">
            <v>27</v>
          </cell>
          <cell r="AP193">
            <v>123</v>
          </cell>
          <cell r="AQ193">
            <v>670.58653846153857</v>
          </cell>
          <cell r="AR193">
            <v>7.8000000000000007</v>
          </cell>
          <cell r="AT193">
            <v>7.8000000000000007</v>
          </cell>
          <cell r="AU193">
            <v>662.78653846153861</v>
          </cell>
          <cell r="AX193">
            <v>440</v>
          </cell>
          <cell r="AZ193" t="str">
            <v>Ali Sultan Mohammed Al Shaibani</v>
          </cell>
          <cell r="BA193" t="str">
            <v>28-023315-20</v>
          </cell>
          <cell r="BB193" t="str">
            <v>OIB</v>
          </cell>
          <cell r="BC193" t="str">
            <v>Adam</v>
          </cell>
          <cell r="BD193">
            <v>662.78653846153861</v>
          </cell>
        </row>
        <row r="194">
          <cell r="B194">
            <v>441</v>
          </cell>
          <cell r="C194" t="str">
            <v>Talal Salim Mattar Al Jahwari</v>
          </cell>
          <cell r="D194" t="str">
            <v>Labour / Cable</v>
          </cell>
          <cell r="E194">
            <v>39662</v>
          </cell>
          <cell r="F194">
            <v>1.3846153846153846</v>
          </cell>
          <cell r="G194">
            <v>0.86538461538461542</v>
          </cell>
          <cell r="H194">
            <v>24</v>
          </cell>
          <cell r="I194">
            <v>44</v>
          </cell>
          <cell r="K194">
            <v>14</v>
          </cell>
          <cell r="L194">
            <v>16</v>
          </cell>
          <cell r="M194">
            <v>0</v>
          </cell>
          <cell r="N194">
            <v>0</v>
          </cell>
          <cell r="O194">
            <v>30</v>
          </cell>
          <cell r="Q194">
            <v>0</v>
          </cell>
          <cell r="R194">
            <v>120</v>
          </cell>
          <cell r="S194">
            <v>85</v>
          </cell>
          <cell r="T194">
            <v>2</v>
          </cell>
          <cell r="U194">
            <v>5</v>
          </cell>
          <cell r="V194">
            <v>4.5</v>
          </cell>
          <cell r="W194">
            <v>120</v>
          </cell>
          <cell r="X194">
            <v>85</v>
          </cell>
          <cell r="Y194">
            <v>2</v>
          </cell>
          <cell r="Z194">
            <v>5</v>
          </cell>
          <cell r="AA194">
            <v>38.07692307692308</v>
          </cell>
          <cell r="AB194">
            <v>63</v>
          </cell>
          <cell r="AD194">
            <v>33.230769230769226</v>
          </cell>
          <cell r="AH194">
            <v>0</v>
          </cell>
          <cell r="AI194">
            <v>0</v>
          </cell>
          <cell r="AJ194">
            <v>0</v>
          </cell>
          <cell r="AK194">
            <v>0</v>
          </cell>
          <cell r="AL194">
            <v>127.21153846153847</v>
          </cell>
          <cell r="AM194">
            <v>0</v>
          </cell>
          <cell r="AN194">
            <v>0</v>
          </cell>
          <cell r="AP194">
            <v>0</v>
          </cell>
          <cell r="AQ194">
            <v>473.51923076923077</v>
          </cell>
          <cell r="AR194">
            <v>7.8000000000000007</v>
          </cell>
          <cell r="AT194">
            <v>7.8000000000000007</v>
          </cell>
          <cell r="AU194">
            <v>465.71923076923076</v>
          </cell>
          <cell r="AX194">
            <v>441</v>
          </cell>
          <cell r="AZ194" t="str">
            <v>Talal Salim Mattar Al Jahwari</v>
          </cell>
          <cell r="BA194" t="str">
            <v>118-279540084014</v>
          </cell>
          <cell r="BB194" t="str">
            <v>Bank Muscat</v>
          </cell>
          <cell r="BC194" t="str">
            <v>Ibri Al Jubail</v>
          </cell>
          <cell r="BD194">
            <v>465.71923076923076</v>
          </cell>
        </row>
        <row r="195">
          <cell r="B195">
            <v>442</v>
          </cell>
          <cell r="C195" t="str">
            <v xml:space="preserve">Badar Salim Hamed Alawi </v>
          </cell>
          <cell r="D195" t="str">
            <v>Labour / Driver</v>
          </cell>
          <cell r="E195">
            <v>39659</v>
          </cell>
          <cell r="F195">
            <v>1.3846153846153846</v>
          </cell>
          <cell r="G195">
            <v>0.86538461538461542</v>
          </cell>
          <cell r="H195">
            <v>21</v>
          </cell>
          <cell r="I195">
            <v>17.5</v>
          </cell>
          <cell r="K195">
            <v>9</v>
          </cell>
          <cell r="L195">
            <v>14</v>
          </cell>
          <cell r="M195">
            <v>0</v>
          </cell>
          <cell r="N195">
            <v>7</v>
          </cell>
          <cell r="O195">
            <v>23</v>
          </cell>
          <cell r="Q195">
            <v>0</v>
          </cell>
          <cell r="R195">
            <v>120</v>
          </cell>
          <cell r="S195">
            <v>85</v>
          </cell>
          <cell r="T195">
            <v>2</v>
          </cell>
          <cell r="U195">
            <v>5</v>
          </cell>
          <cell r="V195">
            <v>4.5</v>
          </cell>
          <cell r="W195">
            <v>92</v>
          </cell>
          <cell r="X195">
            <v>65.166666666666671</v>
          </cell>
          <cell r="Y195">
            <v>1.5333333333333332</v>
          </cell>
          <cell r="Z195">
            <v>3.833333333333333</v>
          </cell>
          <cell r="AA195">
            <v>15.14423076923077</v>
          </cell>
          <cell r="AB195">
            <v>40.5</v>
          </cell>
          <cell r="AD195">
            <v>29.076923076923077</v>
          </cell>
          <cell r="AH195">
            <v>-23.225806451612904</v>
          </cell>
          <cell r="AI195">
            <v>-16.451612903225804</v>
          </cell>
          <cell r="AJ195">
            <v>-0.38709677419354838</v>
          </cell>
          <cell r="AK195">
            <v>-0.967741935483871</v>
          </cell>
          <cell r="AL195">
            <v>6.9230769230769234</v>
          </cell>
          <cell r="AM195">
            <v>0</v>
          </cell>
          <cell r="AN195">
            <v>-36</v>
          </cell>
          <cell r="AP195">
            <v>0</v>
          </cell>
          <cell r="AQ195">
            <v>177.14530603804803</v>
          </cell>
          <cell r="AR195">
            <v>7.8000000000000007</v>
          </cell>
          <cell r="AT195">
            <v>7.8000000000000007</v>
          </cell>
          <cell r="AU195">
            <v>169.34530603804802</v>
          </cell>
          <cell r="AX195">
            <v>442</v>
          </cell>
          <cell r="AZ195" t="str">
            <v xml:space="preserve">Badar Salim Hamed Alawi </v>
          </cell>
          <cell r="BA195" t="str">
            <v>0082177100084011</v>
          </cell>
          <cell r="BB195" t="str">
            <v>Bank Muscat</v>
          </cell>
          <cell r="BC195" t="str">
            <v>Haima</v>
          </cell>
          <cell r="BD195">
            <v>169.34530603804802</v>
          </cell>
        </row>
        <row r="196">
          <cell r="B196">
            <v>443</v>
          </cell>
          <cell r="C196" t="str">
            <v>Talal Gharib Shafi Al Balushi</v>
          </cell>
          <cell r="D196" t="str">
            <v>Labour / Driver</v>
          </cell>
          <cell r="E196">
            <v>39661</v>
          </cell>
          <cell r="F196">
            <v>1.3846153846153846</v>
          </cell>
          <cell r="G196">
            <v>0.86538461538461542</v>
          </cell>
          <cell r="H196">
            <v>21</v>
          </cell>
          <cell r="I196">
            <v>80.5</v>
          </cell>
          <cell r="K196">
            <v>23</v>
          </cell>
          <cell r="L196">
            <v>7</v>
          </cell>
          <cell r="M196">
            <v>0</v>
          </cell>
          <cell r="N196">
            <v>0</v>
          </cell>
          <cell r="O196">
            <v>30</v>
          </cell>
          <cell r="Q196">
            <v>0</v>
          </cell>
          <cell r="R196">
            <v>120</v>
          </cell>
          <cell r="S196">
            <v>85</v>
          </cell>
          <cell r="T196">
            <v>2</v>
          </cell>
          <cell r="U196">
            <v>5</v>
          </cell>
          <cell r="V196">
            <v>4.5</v>
          </cell>
          <cell r="W196">
            <v>120</v>
          </cell>
          <cell r="X196">
            <v>85</v>
          </cell>
          <cell r="Y196">
            <v>2</v>
          </cell>
          <cell r="Z196">
            <v>5</v>
          </cell>
          <cell r="AA196">
            <v>69.663461538461547</v>
          </cell>
          <cell r="AB196">
            <v>103.5</v>
          </cell>
          <cell r="AC196">
            <v>23</v>
          </cell>
          <cell r="AD196">
            <v>29.076923076923077</v>
          </cell>
          <cell r="AH196">
            <v>0</v>
          </cell>
          <cell r="AI196">
            <v>0</v>
          </cell>
          <cell r="AJ196">
            <v>0</v>
          </cell>
          <cell r="AK196">
            <v>0</v>
          </cell>
          <cell r="AL196">
            <v>10.817307692307693</v>
          </cell>
          <cell r="AM196">
            <v>0</v>
          </cell>
          <cell r="AN196">
            <v>-13.5</v>
          </cell>
          <cell r="AP196">
            <v>0</v>
          </cell>
          <cell r="AQ196">
            <v>434.55769230769232</v>
          </cell>
          <cell r="AR196">
            <v>7.8000000000000007</v>
          </cell>
          <cell r="AT196">
            <v>7.8000000000000007</v>
          </cell>
          <cell r="AU196">
            <v>426.75769230769231</v>
          </cell>
          <cell r="AV196" t="str">
            <v>Account No Changed</v>
          </cell>
          <cell r="AX196">
            <v>443</v>
          </cell>
          <cell r="AZ196" t="str">
            <v>Talal Gharib Shafi Al Balushi</v>
          </cell>
          <cell r="BA196" t="str">
            <v>002-306413-035</v>
          </cell>
          <cell r="BB196" t="str">
            <v>HSBC</v>
          </cell>
          <cell r="BC196" t="str">
            <v>Ruwi</v>
          </cell>
          <cell r="BD196">
            <v>426.75769230769231</v>
          </cell>
        </row>
        <row r="197">
          <cell r="B197">
            <v>444</v>
          </cell>
          <cell r="C197" t="str">
            <v>Saleh Musabah Ghanim  Al Ghafri</v>
          </cell>
          <cell r="D197" t="str">
            <v>Labour / Driver</v>
          </cell>
          <cell r="E197">
            <v>39662</v>
          </cell>
          <cell r="F197">
            <v>1.3846153846153846</v>
          </cell>
          <cell r="G197">
            <v>0.86538461538461542</v>
          </cell>
          <cell r="H197">
            <v>0</v>
          </cell>
          <cell r="I197">
            <v>93</v>
          </cell>
          <cell r="K197">
            <v>19</v>
          </cell>
          <cell r="L197">
            <v>11</v>
          </cell>
          <cell r="M197">
            <v>0</v>
          </cell>
          <cell r="N197">
            <v>0</v>
          </cell>
          <cell r="O197">
            <v>30</v>
          </cell>
          <cell r="Q197">
            <v>0</v>
          </cell>
          <cell r="R197">
            <v>120</v>
          </cell>
          <cell r="S197">
            <v>85</v>
          </cell>
          <cell r="T197">
            <v>2</v>
          </cell>
          <cell r="U197">
            <v>5</v>
          </cell>
          <cell r="V197">
            <v>4.5</v>
          </cell>
          <cell r="W197">
            <v>120</v>
          </cell>
          <cell r="X197">
            <v>85</v>
          </cell>
          <cell r="Y197">
            <v>2</v>
          </cell>
          <cell r="Z197">
            <v>5</v>
          </cell>
          <cell r="AA197">
            <v>80.480769230769241</v>
          </cell>
          <cell r="AB197">
            <v>85.5</v>
          </cell>
          <cell r="AC197">
            <v>19</v>
          </cell>
          <cell r="AD197">
            <v>0</v>
          </cell>
          <cell r="AH197">
            <v>0</v>
          </cell>
          <cell r="AI197">
            <v>0</v>
          </cell>
          <cell r="AJ197">
            <v>0</v>
          </cell>
          <cell r="AK197">
            <v>0</v>
          </cell>
          <cell r="AL197">
            <v>24.230769230769234</v>
          </cell>
          <cell r="AM197">
            <v>0</v>
          </cell>
          <cell r="AN197">
            <v>0</v>
          </cell>
          <cell r="AP197">
            <v>0</v>
          </cell>
          <cell r="AQ197">
            <v>421.21153846153845</v>
          </cell>
          <cell r="AR197">
            <v>7.8000000000000007</v>
          </cell>
          <cell r="AT197">
            <v>7.8000000000000007</v>
          </cell>
          <cell r="AU197">
            <v>413.41153846153844</v>
          </cell>
          <cell r="AX197">
            <v>444</v>
          </cell>
          <cell r="AZ197" t="str">
            <v>Saleh Musabah Ghanim  Al Ghafri</v>
          </cell>
          <cell r="BA197" t="str">
            <v>119-114000084010</v>
          </cell>
          <cell r="BB197" t="str">
            <v>Bank Muscat</v>
          </cell>
          <cell r="BC197" t="str">
            <v>Al Dareez</v>
          </cell>
          <cell r="BD197">
            <v>413.41153846153844</v>
          </cell>
        </row>
        <row r="198">
          <cell r="B198">
            <v>445</v>
          </cell>
          <cell r="C198" t="str">
            <v>Yasser Abdullah Hamed  Al Mahrizi</v>
          </cell>
          <cell r="D198" t="str">
            <v>Labour / Driver</v>
          </cell>
          <cell r="E198">
            <v>39666</v>
          </cell>
          <cell r="F198">
            <v>1.3846153846153846</v>
          </cell>
          <cell r="G198">
            <v>0.86538461538461542</v>
          </cell>
          <cell r="H198">
            <v>21</v>
          </cell>
          <cell r="I198">
            <v>83</v>
          </cell>
          <cell r="K198">
            <v>24</v>
          </cell>
          <cell r="L198">
            <v>6</v>
          </cell>
          <cell r="M198">
            <v>0</v>
          </cell>
          <cell r="N198">
            <v>0</v>
          </cell>
          <cell r="O198">
            <v>30</v>
          </cell>
          <cell r="Q198">
            <v>0</v>
          </cell>
          <cell r="R198">
            <v>120</v>
          </cell>
          <cell r="S198">
            <v>85</v>
          </cell>
          <cell r="T198">
            <v>2</v>
          </cell>
          <cell r="U198">
            <v>5</v>
          </cell>
          <cell r="V198">
            <v>4.5</v>
          </cell>
          <cell r="W198">
            <v>120</v>
          </cell>
          <cell r="X198">
            <v>85</v>
          </cell>
          <cell r="Y198">
            <v>2</v>
          </cell>
          <cell r="Z198">
            <v>5</v>
          </cell>
          <cell r="AA198">
            <v>71.82692307692308</v>
          </cell>
          <cell r="AB198">
            <v>108</v>
          </cell>
          <cell r="AC198">
            <v>24</v>
          </cell>
          <cell r="AD198">
            <v>29.076923076923077</v>
          </cell>
          <cell r="AH198">
            <v>0</v>
          </cell>
          <cell r="AI198">
            <v>0</v>
          </cell>
          <cell r="AJ198">
            <v>0</v>
          </cell>
          <cell r="AK198">
            <v>0</v>
          </cell>
          <cell r="AL198">
            <v>20.76923076923077</v>
          </cell>
          <cell r="AM198">
            <v>87.230769230769226</v>
          </cell>
          <cell r="AN198">
            <v>27</v>
          </cell>
          <cell r="AP198">
            <v>123</v>
          </cell>
          <cell r="AQ198">
            <v>702.90384615384619</v>
          </cell>
          <cell r="AR198">
            <v>7.8000000000000007</v>
          </cell>
          <cell r="AT198">
            <v>7.8000000000000007</v>
          </cell>
          <cell r="AU198">
            <v>695.10384615384623</v>
          </cell>
          <cell r="AX198">
            <v>445</v>
          </cell>
          <cell r="AZ198" t="str">
            <v>Yasser Abdullah Hamed  Al Mahrizi</v>
          </cell>
          <cell r="BA198" t="str">
            <v>0103202730084014</v>
          </cell>
          <cell r="BB198" t="str">
            <v>Bank Muscat</v>
          </cell>
          <cell r="BD198">
            <v>695.10384615384623</v>
          </cell>
        </row>
        <row r="199">
          <cell r="B199">
            <v>446</v>
          </cell>
          <cell r="C199" t="str">
            <v>Obaid Abdoon Ali Al Junaibi</v>
          </cell>
          <cell r="D199" t="str">
            <v>Heavy Duty Dvr</v>
          </cell>
          <cell r="E199">
            <v>39678</v>
          </cell>
          <cell r="F199">
            <v>1.7307692307692308</v>
          </cell>
          <cell r="G199">
            <v>1.0817307692307692</v>
          </cell>
          <cell r="H199">
            <v>21</v>
          </cell>
          <cell r="I199">
            <v>89.5</v>
          </cell>
          <cell r="K199">
            <v>23</v>
          </cell>
          <cell r="L199">
            <v>7</v>
          </cell>
          <cell r="M199">
            <v>0</v>
          </cell>
          <cell r="N199">
            <v>0</v>
          </cell>
          <cell r="O199">
            <v>30</v>
          </cell>
          <cell r="Q199">
            <v>0</v>
          </cell>
          <cell r="R199">
            <v>150</v>
          </cell>
          <cell r="S199">
            <v>85</v>
          </cell>
          <cell r="T199">
            <v>2</v>
          </cell>
          <cell r="U199">
            <v>5</v>
          </cell>
          <cell r="V199">
            <v>4.5</v>
          </cell>
          <cell r="W199">
            <v>150</v>
          </cell>
          <cell r="X199">
            <v>85</v>
          </cell>
          <cell r="Y199">
            <v>2</v>
          </cell>
          <cell r="Z199">
            <v>5</v>
          </cell>
          <cell r="AA199">
            <v>96.81490384615384</v>
          </cell>
          <cell r="AB199">
            <v>103.5</v>
          </cell>
          <cell r="AD199">
            <v>36.346153846153847</v>
          </cell>
          <cell r="AH199">
            <v>0</v>
          </cell>
          <cell r="AI199">
            <v>0</v>
          </cell>
          <cell r="AJ199">
            <v>0</v>
          </cell>
          <cell r="AK199">
            <v>0</v>
          </cell>
          <cell r="AL199">
            <v>34.615384615384613</v>
          </cell>
          <cell r="AM199">
            <v>109.03846153846155</v>
          </cell>
          <cell r="AN199">
            <v>27</v>
          </cell>
          <cell r="AP199">
            <v>123</v>
          </cell>
          <cell r="AQ199">
            <v>772.31490384615381</v>
          </cell>
          <cell r="AR199">
            <v>9.75</v>
          </cell>
          <cell r="AT199">
            <v>9.75</v>
          </cell>
          <cell r="AU199">
            <v>762.56490384615381</v>
          </cell>
          <cell r="AX199">
            <v>446</v>
          </cell>
          <cell r="AZ199" t="str">
            <v>Obaid Abdoon Ali Al Junaibi</v>
          </cell>
          <cell r="BA199" t="str">
            <v>0129245830084010</v>
          </cell>
          <cell r="BB199" t="str">
            <v>Bank Muscat</v>
          </cell>
          <cell r="BC199" t="str">
            <v>Adam</v>
          </cell>
          <cell r="BD199">
            <v>762.56490384615381</v>
          </cell>
        </row>
        <row r="200">
          <cell r="B200">
            <v>447</v>
          </cell>
          <cell r="C200" t="str">
            <v>Mazaroua Mubarak Mazaroua Al Yaqoubi</v>
          </cell>
          <cell r="D200" t="str">
            <v>Labour / Driver</v>
          </cell>
          <cell r="E200">
            <v>39698</v>
          </cell>
          <cell r="F200">
            <v>1.3846153846153846</v>
          </cell>
          <cell r="G200">
            <v>0.86538461538461542</v>
          </cell>
          <cell r="H200">
            <v>21</v>
          </cell>
          <cell r="I200">
            <v>84.5</v>
          </cell>
          <cell r="K200">
            <v>23</v>
          </cell>
          <cell r="L200">
            <v>7</v>
          </cell>
          <cell r="M200">
            <v>0</v>
          </cell>
          <cell r="N200">
            <v>0</v>
          </cell>
          <cell r="O200">
            <v>30</v>
          </cell>
          <cell r="Q200">
            <v>0</v>
          </cell>
          <cell r="R200">
            <v>120</v>
          </cell>
          <cell r="S200">
            <v>85</v>
          </cell>
          <cell r="T200">
            <v>2</v>
          </cell>
          <cell r="U200">
            <v>5</v>
          </cell>
          <cell r="V200">
            <v>4.5</v>
          </cell>
          <cell r="W200">
            <v>120</v>
          </cell>
          <cell r="X200">
            <v>85</v>
          </cell>
          <cell r="Y200">
            <v>2</v>
          </cell>
          <cell r="Z200">
            <v>5</v>
          </cell>
          <cell r="AA200">
            <v>73.125</v>
          </cell>
          <cell r="AB200">
            <v>103.5</v>
          </cell>
          <cell r="AC200">
            <v>23</v>
          </cell>
          <cell r="AD200">
            <v>29.076923076923077</v>
          </cell>
          <cell r="AH200">
            <v>0</v>
          </cell>
          <cell r="AI200">
            <v>0</v>
          </cell>
          <cell r="AJ200">
            <v>0</v>
          </cell>
          <cell r="AK200">
            <v>0</v>
          </cell>
          <cell r="AL200">
            <v>51.923076923076927</v>
          </cell>
          <cell r="AM200">
            <v>69.230769230769226</v>
          </cell>
          <cell r="AN200">
            <v>63</v>
          </cell>
          <cell r="AP200">
            <v>102.5</v>
          </cell>
          <cell r="AQ200">
            <v>727.35576923076928</v>
          </cell>
          <cell r="AR200">
            <v>7.8000000000000007</v>
          </cell>
          <cell r="AT200">
            <v>7.8000000000000007</v>
          </cell>
          <cell r="AU200">
            <v>719.55576923076933</v>
          </cell>
          <cell r="AX200">
            <v>447</v>
          </cell>
          <cell r="AZ200" t="str">
            <v>Mazaroua Mubarak Mazaroua Al Yaqoubi</v>
          </cell>
          <cell r="BA200" t="str">
            <v>0133041445100</v>
          </cell>
          <cell r="BB200" t="str">
            <v>Bank Dhofar</v>
          </cell>
          <cell r="BD200">
            <v>719.55576923076933</v>
          </cell>
        </row>
        <row r="201">
          <cell r="B201">
            <v>448</v>
          </cell>
          <cell r="C201" t="str">
            <v>Toufiq Salim Ghanim Al Lauyahi</v>
          </cell>
          <cell r="D201" t="str">
            <v>Labour / Driver</v>
          </cell>
          <cell r="E201" t="str">
            <v>17/9/2008</v>
          </cell>
          <cell r="F201">
            <v>1.3846153846153846</v>
          </cell>
          <cell r="G201">
            <v>0.86538461538461542</v>
          </cell>
          <cell r="H201">
            <v>21</v>
          </cell>
          <cell r="I201">
            <v>59</v>
          </cell>
          <cell r="K201">
            <v>16</v>
          </cell>
          <cell r="L201">
            <v>14</v>
          </cell>
          <cell r="M201">
            <v>0</v>
          </cell>
          <cell r="N201">
            <v>0</v>
          </cell>
          <cell r="O201">
            <v>30</v>
          </cell>
          <cell r="Q201">
            <v>0</v>
          </cell>
          <cell r="R201">
            <v>120</v>
          </cell>
          <cell r="S201">
            <v>85</v>
          </cell>
          <cell r="T201">
            <v>2</v>
          </cell>
          <cell r="U201">
            <v>5</v>
          </cell>
          <cell r="V201">
            <v>4.5</v>
          </cell>
          <cell r="W201">
            <v>120</v>
          </cell>
          <cell r="X201">
            <v>85</v>
          </cell>
          <cell r="Y201">
            <v>2</v>
          </cell>
          <cell r="Z201">
            <v>5</v>
          </cell>
          <cell r="AA201">
            <v>51.057692307692307</v>
          </cell>
          <cell r="AB201">
            <v>72</v>
          </cell>
          <cell r="AC201">
            <v>16</v>
          </cell>
          <cell r="AD201">
            <v>29.076923076923077</v>
          </cell>
          <cell r="AH201">
            <v>0</v>
          </cell>
          <cell r="AI201">
            <v>0</v>
          </cell>
          <cell r="AJ201">
            <v>0</v>
          </cell>
          <cell r="AK201">
            <v>0</v>
          </cell>
          <cell r="AL201">
            <v>24.230769230769234</v>
          </cell>
          <cell r="AM201">
            <v>0</v>
          </cell>
          <cell r="AN201">
            <v>0</v>
          </cell>
          <cell r="AP201">
            <v>0</v>
          </cell>
          <cell r="AQ201">
            <v>404.36538461538464</v>
          </cell>
          <cell r="AR201">
            <v>7.8000000000000007</v>
          </cell>
          <cell r="AT201">
            <v>7.8000000000000007</v>
          </cell>
          <cell r="AU201">
            <v>396.56538461538463</v>
          </cell>
          <cell r="AX201">
            <v>448</v>
          </cell>
          <cell r="AZ201" t="str">
            <v>Toufiq Salim Ghanim Al Lauyahi</v>
          </cell>
          <cell r="BA201" t="str">
            <v>42168620084019</v>
          </cell>
          <cell r="BB201" t="str">
            <v>Bank Muscat</v>
          </cell>
          <cell r="BD201">
            <v>396.56538461538463</v>
          </cell>
        </row>
        <row r="202">
          <cell r="B202">
            <v>449</v>
          </cell>
          <cell r="C202" t="str">
            <v>Yasser Khalifa Ghanim Al Ghafri</v>
          </cell>
          <cell r="D202" t="str">
            <v>Labour / Driver</v>
          </cell>
          <cell r="E202" t="str">
            <v>17/9/2008</v>
          </cell>
          <cell r="F202">
            <v>1.3846153846153846</v>
          </cell>
          <cell r="G202">
            <v>0.86538461538461542</v>
          </cell>
          <cell r="H202">
            <v>21</v>
          </cell>
          <cell r="I202">
            <v>59</v>
          </cell>
          <cell r="K202">
            <v>16</v>
          </cell>
          <cell r="L202">
            <v>14</v>
          </cell>
          <cell r="M202">
            <v>0</v>
          </cell>
          <cell r="N202">
            <v>0</v>
          </cell>
          <cell r="O202">
            <v>30</v>
          </cell>
          <cell r="Q202">
            <v>0</v>
          </cell>
          <cell r="R202">
            <v>120</v>
          </cell>
          <cell r="S202">
            <v>85</v>
          </cell>
          <cell r="T202">
            <v>2</v>
          </cell>
          <cell r="U202">
            <v>5</v>
          </cell>
          <cell r="V202">
            <v>4.5</v>
          </cell>
          <cell r="W202">
            <v>120</v>
          </cell>
          <cell r="X202">
            <v>85</v>
          </cell>
          <cell r="Y202">
            <v>2</v>
          </cell>
          <cell r="Z202">
            <v>5</v>
          </cell>
          <cell r="AA202">
            <v>51.057692307692307</v>
          </cell>
          <cell r="AB202">
            <v>72</v>
          </cell>
          <cell r="AC202">
            <v>16</v>
          </cell>
          <cell r="AD202">
            <v>29.076923076923077</v>
          </cell>
          <cell r="AH202">
            <v>0</v>
          </cell>
          <cell r="AI202">
            <v>0</v>
          </cell>
          <cell r="AJ202">
            <v>0</v>
          </cell>
          <cell r="AK202">
            <v>0</v>
          </cell>
          <cell r="AL202">
            <v>24.230769230769234</v>
          </cell>
          <cell r="AM202">
            <v>0</v>
          </cell>
          <cell r="AN202">
            <v>0</v>
          </cell>
          <cell r="AP202">
            <v>0</v>
          </cell>
          <cell r="AQ202">
            <v>404.36538461538464</v>
          </cell>
          <cell r="AR202">
            <v>7.8000000000000007</v>
          </cell>
          <cell r="AT202">
            <v>7.8000000000000007</v>
          </cell>
          <cell r="AU202">
            <v>396.56538461538463</v>
          </cell>
          <cell r="AX202">
            <v>449</v>
          </cell>
          <cell r="AZ202" t="str">
            <v>Yasser Khalifa Ghanim Al Ghafri</v>
          </cell>
          <cell r="BA202" t="str">
            <v>041292720084015</v>
          </cell>
          <cell r="BB202" t="str">
            <v>Bank Muscat</v>
          </cell>
          <cell r="BC202" t="str">
            <v>Rustaq</v>
          </cell>
          <cell r="BD202">
            <v>396.56538461538463</v>
          </cell>
        </row>
        <row r="203">
          <cell r="B203">
            <v>450</v>
          </cell>
          <cell r="C203" t="str">
            <v>Mahmood Al Hamdi Eid Al Dari</v>
          </cell>
          <cell r="D203" t="str">
            <v>Labour / Driver</v>
          </cell>
          <cell r="E203">
            <v>39638</v>
          </cell>
          <cell r="F203">
            <v>1.3846153846153846</v>
          </cell>
          <cell r="G203">
            <v>0.86538461538461542</v>
          </cell>
          <cell r="H203">
            <v>21</v>
          </cell>
          <cell r="I203">
            <v>80</v>
          </cell>
          <cell r="K203">
            <v>23</v>
          </cell>
          <cell r="L203">
            <v>7</v>
          </cell>
          <cell r="M203">
            <v>0</v>
          </cell>
          <cell r="N203">
            <v>0</v>
          </cell>
          <cell r="O203">
            <v>30</v>
          </cell>
          <cell r="Q203">
            <v>0</v>
          </cell>
          <cell r="R203">
            <v>120</v>
          </cell>
          <cell r="S203">
            <v>85</v>
          </cell>
          <cell r="T203">
            <v>2</v>
          </cell>
          <cell r="U203">
            <v>5</v>
          </cell>
          <cell r="V203">
            <v>4.5</v>
          </cell>
          <cell r="W203">
            <v>120</v>
          </cell>
          <cell r="X203">
            <v>85</v>
          </cell>
          <cell r="Y203">
            <v>2</v>
          </cell>
          <cell r="Z203">
            <v>5</v>
          </cell>
          <cell r="AA203">
            <v>69.230769230769226</v>
          </cell>
          <cell r="AB203">
            <v>103.5</v>
          </cell>
          <cell r="AD203">
            <v>29.076923076923077</v>
          </cell>
          <cell r="AH203">
            <v>0</v>
          </cell>
          <cell r="AI203">
            <v>0</v>
          </cell>
          <cell r="AJ203">
            <v>0</v>
          </cell>
          <cell r="AK203">
            <v>0</v>
          </cell>
          <cell r="AL203">
            <v>6.9230769230769234</v>
          </cell>
          <cell r="AM203">
            <v>87.230769230769226</v>
          </cell>
          <cell r="AN203">
            <v>27</v>
          </cell>
          <cell r="AP203">
            <v>123</v>
          </cell>
          <cell r="AQ203">
            <v>657.96153846153845</v>
          </cell>
          <cell r="AR203">
            <v>7.8000000000000007</v>
          </cell>
          <cell r="AT203">
            <v>7.8000000000000007</v>
          </cell>
          <cell r="AU203">
            <v>650.1615384615385</v>
          </cell>
          <cell r="AX203">
            <v>450</v>
          </cell>
          <cell r="AZ203" t="str">
            <v>Mahmood Al Hamdi Eid Al Dari</v>
          </cell>
          <cell r="BA203" t="str">
            <v>062197100084017</v>
          </cell>
          <cell r="BB203" t="str">
            <v>Bank Muscat</v>
          </cell>
          <cell r="BC203" t="str">
            <v>Bahla</v>
          </cell>
          <cell r="BD203">
            <v>650.1615384615385</v>
          </cell>
        </row>
      </sheetData>
      <sheetData sheetId="3" refreshError="1">
        <row r="4">
          <cell r="B4">
            <v>114</v>
          </cell>
          <cell r="C4" t="str">
            <v>Abdullah Bati Ziyad</v>
          </cell>
          <cell r="D4" t="str">
            <v>Senior Staff(Survey)</v>
          </cell>
          <cell r="E4" t="str">
            <v>12.05.04</v>
          </cell>
          <cell r="F4">
            <v>2.776153846153846</v>
          </cell>
          <cell r="G4">
            <v>1.7350961538461538</v>
          </cell>
          <cell r="H4">
            <v>0</v>
          </cell>
          <cell r="I4">
            <v>137.5</v>
          </cell>
          <cell r="K4">
            <v>21</v>
          </cell>
          <cell r="L4">
            <v>9</v>
          </cell>
          <cell r="M4">
            <v>0</v>
          </cell>
          <cell r="N4">
            <v>0</v>
          </cell>
          <cell r="O4">
            <v>30</v>
          </cell>
          <cell r="P4">
            <v>0</v>
          </cell>
          <cell r="Q4">
            <v>0</v>
          </cell>
          <cell r="R4">
            <v>240.6</v>
          </cell>
          <cell r="S4">
            <v>170</v>
          </cell>
          <cell r="T4">
            <v>2</v>
          </cell>
          <cell r="U4">
            <v>9</v>
          </cell>
          <cell r="V4">
            <v>240.6</v>
          </cell>
          <cell r="W4">
            <v>170</v>
          </cell>
          <cell r="X4">
            <v>2</v>
          </cell>
          <cell r="Y4">
            <v>189</v>
          </cell>
          <cell r="Z4">
            <v>238.57572115384613</v>
          </cell>
          <cell r="AA4">
            <v>0</v>
          </cell>
          <cell r="AD4">
            <v>0</v>
          </cell>
          <cell r="AE4">
            <v>0</v>
          </cell>
          <cell r="AF4">
            <v>0</v>
          </cell>
          <cell r="AG4">
            <v>0</v>
          </cell>
          <cell r="AH4">
            <v>65.933653846153845</v>
          </cell>
          <cell r="AI4">
            <v>0</v>
          </cell>
          <cell r="AK4">
            <v>0</v>
          </cell>
          <cell r="AL4">
            <v>906.109375</v>
          </cell>
          <cell r="AM4">
            <v>15.638999999999999</v>
          </cell>
          <cell r="AO4">
            <v>15.638999999999999</v>
          </cell>
          <cell r="AP4">
            <v>890.47037499999999</v>
          </cell>
          <cell r="AS4">
            <v>114</v>
          </cell>
          <cell r="AT4" t="str">
            <v>Abdullah Bati Ziyad</v>
          </cell>
          <cell r="AU4" t="str">
            <v>0119-128740084014</v>
          </cell>
          <cell r="AV4" t="str">
            <v>Bank Muscat</v>
          </cell>
          <cell r="AW4" t="str">
            <v>Dareez</v>
          </cell>
          <cell r="AX4">
            <v>890.47037499999999</v>
          </cell>
        </row>
        <row r="5">
          <cell r="B5">
            <v>174</v>
          </cell>
          <cell r="C5" t="str">
            <v>Zayid Mohammed Khalfan Al Hatmi</v>
          </cell>
          <cell r="D5" t="str">
            <v>Sr. Surveyor</v>
          </cell>
          <cell r="E5" t="str">
            <v>12.05.04</v>
          </cell>
          <cell r="F5">
            <v>2.5059230769230769</v>
          </cell>
          <cell r="G5">
            <v>1.5662019230769231</v>
          </cell>
          <cell r="H5">
            <v>0</v>
          </cell>
          <cell r="I5">
            <v>0</v>
          </cell>
          <cell r="K5">
            <v>0</v>
          </cell>
          <cell r="L5">
            <v>0</v>
          </cell>
          <cell r="M5">
            <v>0</v>
          </cell>
          <cell r="N5">
            <v>0</v>
          </cell>
          <cell r="O5">
            <v>0</v>
          </cell>
          <cell r="P5">
            <v>68</v>
          </cell>
          <cell r="Q5">
            <v>4.08</v>
          </cell>
          <cell r="R5">
            <v>217.18</v>
          </cell>
          <cell r="S5">
            <v>170</v>
          </cell>
          <cell r="T5">
            <v>2</v>
          </cell>
          <cell r="U5">
            <v>9</v>
          </cell>
          <cell r="V5">
            <v>0</v>
          </cell>
          <cell r="W5">
            <v>0</v>
          </cell>
          <cell r="X5">
            <v>0</v>
          </cell>
          <cell r="Y5">
            <v>0</v>
          </cell>
          <cell r="Z5">
            <v>0</v>
          </cell>
          <cell r="AA5">
            <v>0</v>
          </cell>
          <cell r="AD5">
            <v>0</v>
          </cell>
          <cell r="AE5">
            <v>0</v>
          </cell>
          <cell r="AF5">
            <v>0</v>
          </cell>
          <cell r="AG5">
            <v>0</v>
          </cell>
          <cell r="AH5">
            <v>0</v>
          </cell>
          <cell r="AI5">
            <v>0</v>
          </cell>
          <cell r="AK5">
            <v>0</v>
          </cell>
          <cell r="AL5">
            <v>0</v>
          </cell>
          <cell r="AO5">
            <v>0</v>
          </cell>
          <cell r="AP5">
            <v>0</v>
          </cell>
          <cell r="AQ5" t="str">
            <v>Annual Leave</v>
          </cell>
          <cell r="AS5">
            <v>174</v>
          </cell>
          <cell r="AT5" t="str">
            <v>Zayid Mohammed Khalfan Al Hatmi</v>
          </cell>
          <cell r="AU5" t="str">
            <v>3123-820060-700</v>
          </cell>
          <cell r="AV5" t="str">
            <v>Oman Arab Bank</v>
          </cell>
          <cell r="AW5" t="str">
            <v>Ibri</v>
          </cell>
          <cell r="AX5">
            <v>0</v>
          </cell>
        </row>
        <row r="6">
          <cell r="B6">
            <v>226</v>
          </cell>
          <cell r="C6" t="str">
            <v>Said Nasser Said Al Jabal</v>
          </cell>
          <cell r="D6" t="str">
            <v>Sr.Camp Boss</v>
          </cell>
          <cell r="E6" t="str">
            <v>25.05.04</v>
          </cell>
          <cell r="F6">
            <v>4.6006153846153843</v>
          </cell>
          <cell r="G6">
            <v>2.8753846153846152</v>
          </cell>
          <cell r="H6">
            <v>20</v>
          </cell>
          <cell r="I6">
            <v>0</v>
          </cell>
          <cell r="K6">
            <v>19</v>
          </cell>
          <cell r="L6">
            <v>0</v>
          </cell>
          <cell r="M6">
            <v>0</v>
          </cell>
          <cell r="N6">
            <v>0</v>
          </cell>
          <cell r="O6">
            <v>19</v>
          </cell>
          <cell r="P6">
            <v>72</v>
          </cell>
          <cell r="Q6">
            <v>4.32</v>
          </cell>
          <cell r="R6">
            <v>398.71999999999997</v>
          </cell>
          <cell r="S6">
            <v>170</v>
          </cell>
          <cell r="T6">
            <v>2</v>
          </cell>
          <cell r="U6">
            <v>9</v>
          </cell>
          <cell r="V6">
            <v>252.52266666666662</v>
          </cell>
          <cell r="W6">
            <v>107.66666666666667</v>
          </cell>
          <cell r="X6">
            <v>1.2666666666666666</v>
          </cell>
          <cell r="Y6">
            <v>171</v>
          </cell>
          <cell r="Z6">
            <v>0</v>
          </cell>
          <cell r="AA6">
            <v>92.012307692307687</v>
          </cell>
          <cell r="AD6">
            <v>25.723870967741934</v>
          </cell>
          <cell r="AE6">
            <v>10.96774193548387</v>
          </cell>
          <cell r="AF6">
            <v>0</v>
          </cell>
          <cell r="AG6">
            <v>72</v>
          </cell>
          <cell r="AH6">
            <v>301.9153846153846</v>
          </cell>
          <cell r="AI6">
            <v>276.03692307692307</v>
          </cell>
          <cell r="AK6">
            <v>123</v>
          </cell>
          <cell r="AL6">
            <v>1434.1122282878412</v>
          </cell>
          <cell r="AM6">
            <v>25.916799999999999</v>
          </cell>
          <cell r="AO6">
            <v>25.916799999999999</v>
          </cell>
          <cell r="AP6">
            <v>1408.1954282878412</v>
          </cell>
          <cell r="AR6">
            <v>142</v>
          </cell>
          <cell r="AS6">
            <v>226</v>
          </cell>
          <cell r="AT6" t="str">
            <v>Said Nasser Said Al Jabal</v>
          </cell>
          <cell r="AU6" t="str">
            <v>1050-264195-017</v>
          </cell>
          <cell r="AV6" t="str">
            <v>NBO</v>
          </cell>
          <cell r="AW6" t="str">
            <v>Mabella</v>
          </cell>
          <cell r="AX6">
            <v>1408.1954282878412</v>
          </cell>
        </row>
        <row r="7">
          <cell r="B7">
            <v>232</v>
          </cell>
          <cell r="C7" t="str">
            <v>Sultan Mohamed Sulaiman Al Sadi</v>
          </cell>
          <cell r="D7" t="str">
            <v>Junior Observer</v>
          </cell>
          <cell r="E7" t="str">
            <v>08.06.04</v>
          </cell>
          <cell r="F7">
            <v>2.3915769230769235</v>
          </cell>
          <cell r="G7">
            <v>1.4947355769230772</v>
          </cell>
          <cell r="H7">
            <v>0</v>
          </cell>
          <cell r="I7">
            <v>0</v>
          </cell>
          <cell r="K7">
            <v>0</v>
          </cell>
          <cell r="L7">
            <v>0</v>
          </cell>
          <cell r="M7">
            <v>0</v>
          </cell>
          <cell r="N7">
            <v>0</v>
          </cell>
          <cell r="O7">
            <v>0</v>
          </cell>
          <cell r="P7">
            <v>75</v>
          </cell>
          <cell r="Q7">
            <v>4.5</v>
          </cell>
          <cell r="R7">
            <v>207.27</v>
          </cell>
          <cell r="S7">
            <v>170</v>
          </cell>
          <cell r="T7">
            <v>2</v>
          </cell>
          <cell r="U7">
            <v>9</v>
          </cell>
          <cell r="V7">
            <v>0</v>
          </cell>
          <cell r="W7">
            <v>0</v>
          </cell>
          <cell r="X7">
            <v>0</v>
          </cell>
          <cell r="Y7">
            <v>0</v>
          </cell>
          <cell r="Z7">
            <v>0</v>
          </cell>
          <cell r="AA7">
            <v>0</v>
          </cell>
          <cell r="AD7">
            <v>0</v>
          </cell>
          <cell r="AE7">
            <v>0</v>
          </cell>
          <cell r="AF7">
            <v>0</v>
          </cell>
          <cell r="AG7">
            <v>0</v>
          </cell>
          <cell r="AH7">
            <v>0</v>
          </cell>
          <cell r="AI7">
            <v>0</v>
          </cell>
          <cell r="AK7">
            <v>0</v>
          </cell>
          <cell r="AL7">
            <v>0</v>
          </cell>
          <cell r="AO7">
            <v>0</v>
          </cell>
          <cell r="AP7">
            <v>0</v>
          </cell>
          <cell r="AQ7" t="str">
            <v>Annual Leave</v>
          </cell>
          <cell r="AS7">
            <v>232</v>
          </cell>
          <cell r="AT7" t="str">
            <v>Sultan Mohamed Sulaiman Al Sadi</v>
          </cell>
          <cell r="AU7" t="str">
            <v>1012-263447-017</v>
          </cell>
          <cell r="AV7" t="str">
            <v>NBO</v>
          </cell>
          <cell r="AW7" t="str">
            <v>Ibri</v>
          </cell>
          <cell r="AX7">
            <v>0</v>
          </cell>
        </row>
        <row r="8">
          <cell r="B8">
            <v>259</v>
          </cell>
          <cell r="C8" t="str">
            <v>Ali Khalfan Salim</v>
          </cell>
          <cell r="D8" t="str">
            <v>Junior Observer</v>
          </cell>
          <cell r="E8" t="str">
            <v>09.06.04</v>
          </cell>
          <cell r="F8">
            <v>2.3403461538461539</v>
          </cell>
          <cell r="G8">
            <v>1.4627163461538462</v>
          </cell>
          <cell r="H8">
            <v>0</v>
          </cell>
          <cell r="I8">
            <v>0</v>
          </cell>
          <cell r="K8">
            <v>0</v>
          </cell>
          <cell r="L8">
            <v>0</v>
          </cell>
          <cell r="M8">
            <v>0</v>
          </cell>
          <cell r="N8">
            <v>30</v>
          </cell>
          <cell r="O8">
            <v>0</v>
          </cell>
          <cell r="P8">
            <v>0</v>
          </cell>
          <cell r="Q8">
            <v>0</v>
          </cell>
          <cell r="R8">
            <v>202.83</v>
          </cell>
          <cell r="S8">
            <v>170</v>
          </cell>
          <cell r="T8">
            <v>2</v>
          </cell>
          <cell r="U8">
            <v>9</v>
          </cell>
          <cell r="V8">
            <v>0</v>
          </cell>
          <cell r="W8">
            <v>0</v>
          </cell>
          <cell r="X8">
            <v>0</v>
          </cell>
          <cell r="Y8">
            <v>0</v>
          </cell>
          <cell r="Z8">
            <v>0</v>
          </cell>
          <cell r="AA8">
            <v>0</v>
          </cell>
          <cell r="AD8">
            <v>0</v>
          </cell>
          <cell r="AE8">
            <v>0</v>
          </cell>
          <cell r="AF8">
            <v>0</v>
          </cell>
          <cell r="AG8">
            <v>0</v>
          </cell>
          <cell r="AH8">
            <v>0</v>
          </cell>
          <cell r="AI8">
            <v>0</v>
          </cell>
          <cell r="AK8">
            <v>0</v>
          </cell>
          <cell r="AL8">
            <v>0</v>
          </cell>
          <cell r="AO8">
            <v>0</v>
          </cell>
          <cell r="AP8">
            <v>0</v>
          </cell>
          <cell r="AQ8" t="str">
            <v>Terminated</v>
          </cell>
          <cell r="AS8">
            <v>259</v>
          </cell>
          <cell r="AT8" t="str">
            <v>Ali Khalfan Salim</v>
          </cell>
          <cell r="AU8" t="str">
            <v>118 126920084013</v>
          </cell>
          <cell r="AV8" t="str">
            <v>Bank Muscat</v>
          </cell>
          <cell r="AW8" t="str">
            <v>Ibri (Al Jubail)</v>
          </cell>
          <cell r="AX8">
            <v>0</v>
          </cell>
        </row>
        <row r="9">
          <cell r="B9">
            <v>281</v>
          </cell>
          <cell r="C9" t="str">
            <v>Youseph Mubarak Hamad</v>
          </cell>
          <cell r="D9" t="str">
            <v>Junior Observer</v>
          </cell>
          <cell r="E9" t="str">
            <v>07.06.04</v>
          </cell>
          <cell r="F9">
            <v>2.3929615384615381</v>
          </cell>
          <cell r="G9">
            <v>1.4956009615384613</v>
          </cell>
          <cell r="H9">
            <v>0</v>
          </cell>
          <cell r="I9">
            <v>84.5</v>
          </cell>
          <cell r="K9">
            <v>16</v>
          </cell>
          <cell r="L9">
            <v>9</v>
          </cell>
          <cell r="M9">
            <v>5</v>
          </cell>
          <cell r="N9">
            <v>0</v>
          </cell>
          <cell r="O9">
            <v>30</v>
          </cell>
          <cell r="P9">
            <v>75</v>
          </cell>
          <cell r="Q9">
            <v>4.5</v>
          </cell>
          <cell r="R9">
            <v>207.39</v>
          </cell>
          <cell r="S9">
            <v>170</v>
          </cell>
          <cell r="T9">
            <v>2</v>
          </cell>
          <cell r="U9">
            <v>9</v>
          </cell>
          <cell r="V9">
            <v>207.39</v>
          </cell>
          <cell r="W9">
            <v>170</v>
          </cell>
          <cell r="X9">
            <v>2</v>
          </cell>
          <cell r="Y9">
            <v>144</v>
          </cell>
          <cell r="Z9">
            <v>126.37828124999999</v>
          </cell>
          <cell r="AA9">
            <v>0</v>
          </cell>
          <cell r="AD9">
            <v>0</v>
          </cell>
          <cell r="AE9">
            <v>0</v>
          </cell>
          <cell r="AF9">
            <v>0</v>
          </cell>
          <cell r="AG9">
            <v>54</v>
          </cell>
          <cell r="AH9">
            <v>115.16127403846153</v>
          </cell>
          <cell r="AI9">
            <v>143.5776923076923</v>
          </cell>
          <cell r="AK9">
            <v>123</v>
          </cell>
          <cell r="AL9">
            <v>1085.5072475961538</v>
          </cell>
          <cell r="AM9">
            <v>13.48035</v>
          </cell>
          <cell r="AO9">
            <v>13.48035</v>
          </cell>
          <cell r="AP9">
            <v>1072.0268975961537</v>
          </cell>
          <cell r="AS9">
            <v>281</v>
          </cell>
          <cell r="AT9" t="str">
            <v>Youseph Mubarak Hamed</v>
          </cell>
          <cell r="AU9" t="str">
            <v>129-290300084019</v>
          </cell>
          <cell r="AV9" t="str">
            <v>Bank Muscat</v>
          </cell>
          <cell r="AW9" t="str">
            <v>Adam</v>
          </cell>
          <cell r="AX9">
            <v>1072.0268975961537</v>
          </cell>
        </row>
        <row r="10">
          <cell r="B10">
            <v>283</v>
          </cell>
          <cell r="C10" t="str">
            <v>Twalib Abdullah Rashid Al Kalbani</v>
          </cell>
          <cell r="D10" t="str">
            <v>Junior Observer</v>
          </cell>
          <cell r="E10" t="str">
            <v>07.06.04</v>
          </cell>
          <cell r="F10">
            <v>2.0769230769230771</v>
          </cell>
          <cell r="G10">
            <v>1.2980769230769231</v>
          </cell>
          <cell r="H10">
            <v>0</v>
          </cell>
          <cell r="I10">
            <v>155</v>
          </cell>
          <cell r="K10">
            <v>21</v>
          </cell>
          <cell r="L10">
            <v>9</v>
          </cell>
          <cell r="M10">
            <v>0</v>
          </cell>
          <cell r="N10">
            <v>0</v>
          </cell>
          <cell r="O10">
            <v>30</v>
          </cell>
          <cell r="P10">
            <v>75</v>
          </cell>
          <cell r="Q10">
            <v>4.5</v>
          </cell>
          <cell r="R10">
            <v>180</v>
          </cell>
          <cell r="S10">
            <v>170</v>
          </cell>
          <cell r="T10">
            <v>2</v>
          </cell>
          <cell r="U10">
            <v>9</v>
          </cell>
          <cell r="V10">
            <v>180</v>
          </cell>
          <cell r="W10">
            <v>170</v>
          </cell>
          <cell r="X10">
            <v>2</v>
          </cell>
          <cell r="Y10">
            <v>189</v>
          </cell>
          <cell r="Z10">
            <v>201.20192307692309</v>
          </cell>
          <cell r="AA10">
            <v>0</v>
          </cell>
          <cell r="AD10">
            <v>0</v>
          </cell>
          <cell r="AE10">
            <v>0</v>
          </cell>
          <cell r="AF10">
            <v>0</v>
          </cell>
          <cell r="AG10">
            <v>54</v>
          </cell>
          <cell r="AH10">
            <v>72.692307692307693</v>
          </cell>
          <cell r="AI10">
            <v>124.61538461538463</v>
          </cell>
          <cell r="AK10">
            <v>123</v>
          </cell>
          <cell r="AL10">
            <v>1116.5096153846155</v>
          </cell>
          <cell r="AM10">
            <v>11.700000000000001</v>
          </cell>
          <cell r="AO10">
            <v>11.700000000000001</v>
          </cell>
          <cell r="AP10">
            <v>1104.8096153846154</v>
          </cell>
          <cell r="AQ10" t="str">
            <v>Basic Salary revised (165.630) to 180 from 1/11/2008</v>
          </cell>
          <cell r="AS10">
            <v>283</v>
          </cell>
          <cell r="AT10" t="str">
            <v>Twalib Abdullah Rashid Al Kalbani</v>
          </cell>
          <cell r="AU10" t="str">
            <v>002255495001</v>
          </cell>
          <cell r="AV10" t="str">
            <v>HSBC</v>
          </cell>
          <cell r="AW10" t="str">
            <v>Ruwi</v>
          </cell>
          <cell r="AX10">
            <v>1104.8096153846154</v>
          </cell>
        </row>
        <row r="11">
          <cell r="B11">
            <v>312</v>
          </cell>
          <cell r="C11" t="str">
            <v>Ghalib Hamoud Al Rawahi</v>
          </cell>
          <cell r="D11" t="str">
            <v>Jr.Observer</v>
          </cell>
          <cell r="E11" t="str">
            <v>17.06.04</v>
          </cell>
          <cell r="F11">
            <v>2.2077692307692307</v>
          </cell>
          <cell r="G11">
            <v>1.3798557692307691</v>
          </cell>
          <cell r="H11">
            <v>20</v>
          </cell>
          <cell r="I11">
            <v>45</v>
          </cell>
          <cell r="K11">
            <v>16</v>
          </cell>
          <cell r="L11">
            <v>14</v>
          </cell>
          <cell r="M11">
            <v>0</v>
          </cell>
          <cell r="N11">
            <v>0</v>
          </cell>
          <cell r="O11">
            <v>30</v>
          </cell>
          <cell r="P11">
            <v>77</v>
          </cell>
          <cell r="Q11">
            <v>4.62</v>
          </cell>
          <cell r="R11">
            <v>191.34</v>
          </cell>
          <cell r="S11">
            <v>170</v>
          </cell>
          <cell r="T11">
            <v>2</v>
          </cell>
          <cell r="U11">
            <v>9</v>
          </cell>
          <cell r="V11">
            <v>191.34</v>
          </cell>
          <cell r="W11">
            <v>170</v>
          </cell>
          <cell r="X11">
            <v>2</v>
          </cell>
          <cell r="Y11">
            <v>144</v>
          </cell>
          <cell r="Z11">
            <v>62.093509615384612</v>
          </cell>
          <cell r="AA11">
            <v>44.155384615384612</v>
          </cell>
          <cell r="AD11">
            <v>0</v>
          </cell>
          <cell r="AE11">
            <v>0</v>
          </cell>
          <cell r="AF11">
            <v>0</v>
          </cell>
          <cell r="AG11">
            <v>0</v>
          </cell>
          <cell r="AH11">
            <v>144.88485576923077</v>
          </cell>
          <cell r="AI11">
            <v>0</v>
          </cell>
          <cell r="AK11">
            <v>0</v>
          </cell>
          <cell r="AL11">
            <v>758.47375</v>
          </cell>
          <cell r="AM11">
            <v>12.437100000000001</v>
          </cell>
          <cell r="AO11">
            <v>12.437100000000001</v>
          </cell>
          <cell r="AP11">
            <v>746.03665000000001</v>
          </cell>
          <cell r="AS11">
            <v>312</v>
          </cell>
          <cell r="AT11" t="str">
            <v>Ghalib Hamoud Al Rawahi</v>
          </cell>
          <cell r="AU11" t="str">
            <v>002-304533-035</v>
          </cell>
          <cell r="AV11" t="str">
            <v>HSBC</v>
          </cell>
          <cell r="AW11" t="str">
            <v>Ruwi</v>
          </cell>
          <cell r="AX11">
            <v>746.03665000000001</v>
          </cell>
        </row>
        <row r="12">
          <cell r="B12">
            <v>313</v>
          </cell>
          <cell r="C12" t="str">
            <v>Hilal Khamis Al Yaqoobi</v>
          </cell>
          <cell r="D12" t="str">
            <v>Jr.Observer</v>
          </cell>
          <cell r="E12" t="str">
            <v>17.06.04</v>
          </cell>
          <cell r="F12">
            <v>2.2063846153846152</v>
          </cell>
          <cell r="G12">
            <v>1.3789903846153844</v>
          </cell>
          <cell r="H12">
            <v>20</v>
          </cell>
          <cell r="I12">
            <v>30</v>
          </cell>
          <cell r="K12">
            <v>14</v>
          </cell>
          <cell r="L12">
            <v>14</v>
          </cell>
          <cell r="M12">
            <v>0</v>
          </cell>
          <cell r="N12">
            <v>2</v>
          </cell>
          <cell r="O12">
            <v>28</v>
          </cell>
          <cell r="P12">
            <v>75</v>
          </cell>
          <cell r="Q12">
            <v>4.5</v>
          </cell>
          <cell r="R12">
            <v>191.22</v>
          </cell>
          <cell r="S12">
            <v>170</v>
          </cell>
          <cell r="T12">
            <v>2</v>
          </cell>
          <cell r="U12">
            <v>9</v>
          </cell>
          <cell r="V12">
            <v>178.47199999999998</v>
          </cell>
          <cell r="W12">
            <v>158.66666666666669</v>
          </cell>
          <cell r="X12">
            <v>1.8666666666666667</v>
          </cell>
          <cell r="Y12">
            <v>126</v>
          </cell>
          <cell r="Z12">
            <v>41.36971153846153</v>
          </cell>
          <cell r="AA12">
            <v>44.1276923076923</v>
          </cell>
          <cell r="AD12">
            <v>0</v>
          </cell>
          <cell r="AE12">
            <v>0</v>
          </cell>
          <cell r="AF12">
            <v>0</v>
          </cell>
          <cell r="AG12">
            <v>0</v>
          </cell>
          <cell r="AH12">
            <v>144.79399038461537</v>
          </cell>
          <cell r="AI12">
            <v>0</v>
          </cell>
          <cell r="AK12">
            <v>0</v>
          </cell>
          <cell r="AL12">
            <v>695.29672756410264</v>
          </cell>
          <cell r="AM12">
            <v>12.4293</v>
          </cell>
          <cell r="AO12">
            <v>12.4293</v>
          </cell>
          <cell r="AP12">
            <v>682.86742756410263</v>
          </cell>
          <cell r="AS12">
            <v>313</v>
          </cell>
          <cell r="AT12" t="str">
            <v>Hilal Khamis Al Yaqoobi</v>
          </cell>
          <cell r="AU12" t="str">
            <v>1012-347706</v>
          </cell>
          <cell r="AV12" t="str">
            <v>NBO</v>
          </cell>
          <cell r="AW12" t="str">
            <v>Ibri</v>
          </cell>
          <cell r="AX12">
            <v>682.86742756410263</v>
          </cell>
        </row>
        <row r="13">
          <cell r="B13">
            <v>341</v>
          </cell>
          <cell r="C13" t="str">
            <v>Salim Khamis Al Yaqoubi</v>
          </cell>
          <cell r="D13" t="str">
            <v>Junior Observer</v>
          </cell>
          <cell r="E13" t="str">
            <v>28.08.04</v>
          </cell>
          <cell r="F13">
            <v>2.2049999999999996</v>
          </cell>
          <cell r="G13">
            <v>1.3781249999999998</v>
          </cell>
          <cell r="H13">
            <v>20</v>
          </cell>
          <cell r="I13">
            <v>24</v>
          </cell>
          <cell r="K13">
            <v>14</v>
          </cell>
          <cell r="L13">
            <v>16</v>
          </cell>
          <cell r="M13">
            <v>0</v>
          </cell>
          <cell r="N13">
            <v>0</v>
          </cell>
          <cell r="O13">
            <v>30</v>
          </cell>
          <cell r="P13">
            <v>75</v>
          </cell>
          <cell r="Q13">
            <v>4.5</v>
          </cell>
          <cell r="R13">
            <v>191.1</v>
          </cell>
          <cell r="S13">
            <v>170</v>
          </cell>
          <cell r="T13">
            <v>2</v>
          </cell>
          <cell r="U13">
            <v>9</v>
          </cell>
          <cell r="V13">
            <v>191.1</v>
          </cell>
          <cell r="W13">
            <v>170</v>
          </cell>
          <cell r="X13">
            <v>2</v>
          </cell>
          <cell r="Y13">
            <v>126</v>
          </cell>
          <cell r="Z13">
            <v>33.074999999999996</v>
          </cell>
          <cell r="AA13">
            <v>44.099999999999994</v>
          </cell>
          <cell r="AD13">
            <v>0</v>
          </cell>
          <cell r="AE13">
            <v>0</v>
          </cell>
          <cell r="AF13">
            <v>0</v>
          </cell>
          <cell r="AG13">
            <v>54</v>
          </cell>
          <cell r="AH13">
            <v>184.66874999999999</v>
          </cell>
          <cell r="AI13">
            <v>181.91249999999997</v>
          </cell>
          <cell r="AK13">
            <v>123</v>
          </cell>
          <cell r="AL13">
            <v>1109.85625</v>
          </cell>
          <cell r="AM13">
            <v>12.4215</v>
          </cell>
          <cell r="AO13">
            <v>12.4215</v>
          </cell>
          <cell r="AP13">
            <v>1097.4347500000001</v>
          </cell>
          <cell r="AS13">
            <v>341</v>
          </cell>
          <cell r="AT13" t="str">
            <v>Salim Khamis Al Yaqoubi</v>
          </cell>
          <cell r="AU13" t="str">
            <v>002-247799-035</v>
          </cell>
          <cell r="AV13" t="str">
            <v>HSBC</v>
          </cell>
          <cell r="AW13" t="str">
            <v>Ruwi</v>
          </cell>
          <cell r="AX13">
            <v>1097.4347500000001</v>
          </cell>
        </row>
        <row r="14">
          <cell r="B14">
            <v>345</v>
          </cell>
          <cell r="C14" t="str">
            <v>Hamed Mohammed Ali Al Mahroqi</v>
          </cell>
          <cell r="D14" t="str">
            <v>Chief Mechanic</v>
          </cell>
          <cell r="E14" t="str">
            <v>19-09-04</v>
          </cell>
          <cell r="F14">
            <v>3.5688461538461542</v>
          </cell>
          <cell r="G14">
            <v>2.2305288461538462</v>
          </cell>
          <cell r="H14">
            <v>20</v>
          </cell>
          <cell r="I14">
            <v>100</v>
          </cell>
          <cell r="K14">
            <v>16</v>
          </cell>
          <cell r="L14">
            <v>14</v>
          </cell>
          <cell r="M14">
            <v>0</v>
          </cell>
          <cell r="N14">
            <v>0</v>
          </cell>
          <cell r="O14">
            <v>30</v>
          </cell>
          <cell r="P14">
            <v>83</v>
          </cell>
          <cell r="Q14">
            <v>4.9799999999999995</v>
          </cell>
          <cell r="R14">
            <v>309.3</v>
          </cell>
          <cell r="S14">
            <v>170</v>
          </cell>
          <cell r="T14">
            <v>2</v>
          </cell>
          <cell r="U14">
            <v>9</v>
          </cell>
          <cell r="V14">
            <v>309.3</v>
          </cell>
          <cell r="W14">
            <v>170</v>
          </cell>
          <cell r="X14">
            <v>2</v>
          </cell>
          <cell r="Y14">
            <v>144</v>
          </cell>
          <cell r="Z14">
            <v>223.05288461538461</v>
          </cell>
          <cell r="AA14">
            <v>71.376923076923077</v>
          </cell>
          <cell r="AD14">
            <v>0</v>
          </cell>
          <cell r="AE14">
            <v>0</v>
          </cell>
          <cell r="AF14">
            <v>0</v>
          </cell>
          <cell r="AG14">
            <v>0</v>
          </cell>
          <cell r="AH14">
            <v>334.57932692307691</v>
          </cell>
          <cell r="AI14">
            <v>0</v>
          </cell>
          <cell r="AK14">
            <v>0</v>
          </cell>
          <cell r="AL14">
            <v>1254.3091346153847</v>
          </cell>
          <cell r="AM14">
            <v>20.104500000000002</v>
          </cell>
          <cell r="AO14">
            <v>20.104500000000002</v>
          </cell>
          <cell r="AP14">
            <v>1234.2046346153847</v>
          </cell>
          <cell r="AS14">
            <v>345</v>
          </cell>
          <cell r="AT14" t="str">
            <v>Hamed Mohammed Ali Al Mahroqi</v>
          </cell>
          <cell r="AU14" t="str">
            <v>28-021749-29</v>
          </cell>
          <cell r="AV14" t="str">
            <v>OIB</v>
          </cell>
          <cell r="AW14" t="str">
            <v>Adam</v>
          </cell>
          <cell r="AX14">
            <v>1234.2046346153847</v>
          </cell>
        </row>
        <row r="15">
          <cell r="B15">
            <v>420</v>
          </cell>
          <cell r="C15" t="str">
            <v>Hamoud Nasser Hamoud Al Malki</v>
          </cell>
          <cell r="D15" t="str">
            <v>Driver Trainer</v>
          </cell>
          <cell r="E15">
            <v>38818</v>
          </cell>
          <cell r="F15">
            <v>2.9400000000000004</v>
          </cell>
          <cell r="G15">
            <v>1.8375000000000004</v>
          </cell>
          <cell r="H15">
            <v>0</v>
          </cell>
          <cell r="I15">
            <v>52</v>
          </cell>
          <cell r="K15">
            <v>16</v>
          </cell>
          <cell r="L15">
            <v>14</v>
          </cell>
          <cell r="M15">
            <v>0</v>
          </cell>
          <cell r="N15">
            <v>0</v>
          </cell>
          <cell r="O15">
            <v>30</v>
          </cell>
          <cell r="P15">
            <v>80</v>
          </cell>
          <cell r="Q15">
            <v>4.8</v>
          </cell>
          <cell r="R15">
            <v>254.8</v>
          </cell>
          <cell r="S15">
            <v>146</v>
          </cell>
          <cell r="T15">
            <v>2</v>
          </cell>
          <cell r="U15">
            <v>9</v>
          </cell>
          <cell r="V15">
            <v>254.8</v>
          </cell>
          <cell r="W15">
            <v>146</v>
          </cell>
          <cell r="X15">
            <v>2</v>
          </cell>
          <cell r="Y15">
            <v>144</v>
          </cell>
          <cell r="Z15">
            <v>95.550000000000011</v>
          </cell>
          <cell r="AA15">
            <v>0</v>
          </cell>
          <cell r="AD15">
            <v>0</v>
          </cell>
          <cell r="AE15">
            <v>0</v>
          </cell>
          <cell r="AF15">
            <v>0</v>
          </cell>
          <cell r="AG15">
            <v>54</v>
          </cell>
          <cell r="AH15">
            <v>110.25000000000003</v>
          </cell>
          <cell r="AI15">
            <v>176.40000000000003</v>
          </cell>
          <cell r="AK15">
            <v>123</v>
          </cell>
          <cell r="AL15">
            <v>1106</v>
          </cell>
          <cell r="AM15">
            <v>16.562000000000001</v>
          </cell>
          <cell r="AO15">
            <v>16.562000000000001</v>
          </cell>
          <cell r="AP15">
            <v>1089.4380000000001</v>
          </cell>
          <cell r="AS15">
            <v>420</v>
          </cell>
          <cell r="AT15" t="str">
            <v>Hamoud Nasser Hamoud Al Malki</v>
          </cell>
          <cell r="AU15" t="str">
            <v>0141184027000 8400</v>
          </cell>
          <cell r="AV15" t="str">
            <v>Bank Dhofar</v>
          </cell>
          <cell r="AX15">
            <v>1089.4380000000001</v>
          </cell>
        </row>
        <row r="16">
          <cell r="B16">
            <v>428</v>
          </cell>
          <cell r="C16" t="str">
            <v>Salim Ali Nasser Al Mahrouqi</v>
          </cell>
          <cell r="D16" t="str">
            <v>Camp Boss</v>
          </cell>
          <cell r="E16">
            <v>39094</v>
          </cell>
          <cell r="F16">
            <v>2.4230769230769229</v>
          </cell>
          <cell r="G16">
            <v>1.5144230769230769</v>
          </cell>
          <cell r="H16">
            <v>0</v>
          </cell>
          <cell r="I16">
            <v>55</v>
          </cell>
          <cell r="K16">
            <v>10</v>
          </cell>
          <cell r="L16">
            <v>12</v>
          </cell>
          <cell r="M16">
            <v>8</v>
          </cell>
          <cell r="N16">
            <v>0</v>
          </cell>
          <cell r="O16">
            <v>30</v>
          </cell>
          <cell r="P16">
            <v>0</v>
          </cell>
          <cell r="Q16">
            <v>0</v>
          </cell>
          <cell r="R16">
            <v>210</v>
          </cell>
          <cell r="S16">
            <v>170</v>
          </cell>
          <cell r="T16">
            <v>2</v>
          </cell>
          <cell r="U16">
            <v>9</v>
          </cell>
          <cell r="V16">
            <v>210</v>
          </cell>
          <cell r="W16">
            <v>170</v>
          </cell>
          <cell r="X16">
            <v>2</v>
          </cell>
          <cell r="Y16">
            <v>90</v>
          </cell>
          <cell r="Z16">
            <v>83.293269230769226</v>
          </cell>
          <cell r="AA16">
            <v>0</v>
          </cell>
          <cell r="AD16">
            <v>0</v>
          </cell>
          <cell r="AE16">
            <v>0</v>
          </cell>
          <cell r="AF16">
            <v>0</v>
          </cell>
          <cell r="AG16">
            <v>0</v>
          </cell>
          <cell r="AH16">
            <v>65.120192307692307</v>
          </cell>
          <cell r="AI16">
            <v>0</v>
          </cell>
          <cell r="AK16">
            <v>0</v>
          </cell>
          <cell r="AL16">
            <v>620.41346153846155</v>
          </cell>
          <cell r="AM16">
            <v>13.65</v>
          </cell>
          <cell r="AO16">
            <v>13.65</v>
          </cell>
          <cell r="AP16">
            <v>606.76346153846157</v>
          </cell>
          <cell r="AS16">
            <v>428</v>
          </cell>
          <cell r="AT16" t="str">
            <v>Salim Ali Nasser Al Mahrouqi</v>
          </cell>
          <cell r="AU16" t="str">
            <v>129-231700084016</v>
          </cell>
          <cell r="AV16" t="str">
            <v>Bank Muscat</v>
          </cell>
          <cell r="AW16" t="str">
            <v>Adam</v>
          </cell>
          <cell r="AX16">
            <v>606.76346153846157</v>
          </cell>
        </row>
        <row r="17">
          <cell r="B17">
            <v>2046</v>
          </cell>
          <cell r="C17" t="str">
            <v>Hamed Ali</v>
          </cell>
          <cell r="D17" t="str">
            <v>Field Manager</v>
          </cell>
          <cell r="E17" t="str">
            <v>07.06.04</v>
          </cell>
          <cell r="F17">
            <v>3.8208461538461536</v>
          </cell>
          <cell r="G17">
            <v>2.3880288461538459</v>
          </cell>
          <cell r="H17">
            <v>0</v>
          </cell>
          <cell r="I17">
            <v>144.5</v>
          </cell>
          <cell r="K17">
            <v>21</v>
          </cell>
          <cell r="L17">
            <v>9</v>
          </cell>
          <cell r="M17">
            <v>0</v>
          </cell>
          <cell r="N17">
            <v>0</v>
          </cell>
          <cell r="O17">
            <v>30</v>
          </cell>
          <cell r="P17">
            <v>81</v>
          </cell>
          <cell r="Q17">
            <v>4.8599999999999994</v>
          </cell>
          <cell r="R17">
            <v>331.14</v>
          </cell>
          <cell r="S17">
            <v>170</v>
          </cell>
          <cell r="T17">
            <v>2</v>
          </cell>
          <cell r="U17">
            <v>9</v>
          </cell>
          <cell r="V17">
            <v>331.14</v>
          </cell>
          <cell r="W17">
            <v>170</v>
          </cell>
          <cell r="X17">
            <v>2</v>
          </cell>
          <cell r="Y17">
            <v>189</v>
          </cell>
          <cell r="Z17">
            <v>345.07016826923075</v>
          </cell>
          <cell r="AA17">
            <v>0</v>
          </cell>
          <cell r="AD17">
            <v>0</v>
          </cell>
          <cell r="AE17">
            <v>0</v>
          </cell>
          <cell r="AF17">
            <v>0</v>
          </cell>
          <cell r="AG17">
            <v>0</v>
          </cell>
          <cell r="AH17">
            <v>162.38596153846152</v>
          </cell>
          <cell r="AI17">
            <v>0</v>
          </cell>
          <cell r="AK17">
            <v>0</v>
          </cell>
          <cell r="AL17">
            <v>1199.5961298076923</v>
          </cell>
          <cell r="AM17">
            <v>21.524100000000001</v>
          </cell>
          <cell r="AO17">
            <v>21.524100000000001</v>
          </cell>
          <cell r="AP17">
            <v>1178.0720298076922</v>
          </cell>
          <cell r="AS17">
            <v>2046</v>
          </cell>
          <cell r="AT17" t="str">
            <v>Hamed Ali</v>
          </cell>
          <cell r="AU17" t="str">
            <v>34-002485-29</v>
          </cell>
          <cell r="AV17" t="str">
            <v>OIB</v>
          </cell>
          <cell r="AW17" t="str">
            <v>Firq</v>
          </cell>
          <cell r="AX17">
            <v>1178.0720298076922</v>
          </cell>
        </row>
        <row r="18">
          <cell r="B18">
            <v>2090</v>
          </cell>
          <cell r="C18" t="str">
            <v>Said Hamed Salim</v>
          </cell>
          <cell r="D18" t="str">
            <v>Surveyor</v>
          </cell>
          <cell r="E18" t="str">
            <v>12.05.04</v>
          </cell>
          <cell r="F18">
            <v>5.4179999999999993</v>
          </cell>
          <cell r="G18">
            <v>3.3862499999999995</v>
          </cell>
          <cell r="H18">
            <v>0</v>
          </cell>
          <cell r="I18">
            <v>9.5</v>
          </cell>
          <cell r="K18">
            <v>19</v>
          </cell>
          <cell r="L18">
            <v>11</v>
          </cell>
          <cell r="M18">
            <v>0</v>
          </cell>
          <cell r="N18">
            <v>0</v>
          </cell>
          <cell r="O18">
            <v>30</v>
          </cell>
          <cell r="P18">
            <v>63</v>
          </cell>
          <cell r="Q18">
            <v>3.78</v>
          </cell>
          <cell r="R18">
            <v>469.55999999999995</v>
          </cell>
          <cell r="S18">
            <v>170</v>
          </cell>
          <cell r="T18">
            <v>2</v>
          </cell>
          <cell r="U18">
            <v>9</v>
          </cell>
          <cell r="V18">
            <v>469.55999999999995</v>
          </cell>
          <cell r="W18">
            <v>170</v>
          </cell>
          <cell r="X18">
            <v>2</v>
          </cell>
          <cell r="Y18">
            <v>171</v>
          </cell>
          <cell r="Z18">
            <v>32.169374999999995</v>
          </cell>
          <cell r="AA18">
            <v>0</v>
          </cell>
          <cell r="AD18">
            <v>0</v>
          </cell>
          <cell r="AE18">
            <v>0</v>
          </cell>
          <cell r="AF18">
            <v>0</v>
          </cell>
          <cell r="AG18">
            <v>54</v>
          </cell>
          <cell r="AH18">
            <v>28.783124999999995</v>
          </cell>
          <cell r="AI18">
            <v>325.07999999999993</v>
          </cell>
          <cell r="AK18">
            <v>123</v>
          </cell>
          <cell r="AL18">
            <v>1375.5924999999997</v>
          </cell>
          <cell r="AM18">
            <v>30.521399999999996</v>
          </cell>
          <cell r="AO18">
            <v>30.521399999999996</v>
          </cell>
          <cell r="AP18">
            <v>1345.0710999999997</v>
          </cell>
          <cell r="AS18">
            <v>2090</v>
          </cell>
          <cell r="AT18" t="str">
            <v>Said Hamed Salim</v>
          </cell>
          <cell r="AU18" t="str">
            <v>28-012128-29</v>
          </cell>
          <cell r="AV18" t="str">
            <v>OIB</v>
          </cell>
          <cell r="AW18" t="str">
            <v>Adam</v>
          </cell>
          <cell r="AX18">
            <v>1345.0710999999997</v>
          </cell>
        </row>
        <row r="19">
          <cell r="B19">
            <v>2132</v>
          </cell>
          <cell r="C19" t="str">
            <v>Said Mohd.Abdullah Al Harthy</v>
          </cell>
          <cell r="D19" t="str">
            <v>Observer</v>
          </cell>
          <cell r="E19" t="str">
            <v>07.06.04</v>
          </cell>
          <cell r="F19">
            <v>3.8783076923076925</v>
          </cell>
          <cell r="G19">
            <v>2.4239423076923079</v>
          </cell>
          <cell r="H19">
            <v>20</v>
          </cell>
          <cell r="I19">
            <v>0</v>
          </cell>
          <cell r="K19">
            <v>20</v>
          </cell>
          <cell r="L19">
            <v>10</v>
          </cell>
          <cell r="M19">
            <v>0</v>
          </cell>
          <cell r="N19">
            <v>0</v>
          </cell>
          <cell r="O19">
            <v>30</v>
          </cell>
          <cell r="P19">
            <v>75</v>
          </cell>
          <cell r="Q19">
            <v>4.5</v>
          </cell>
          <cell r="R19">
            <v>336.12</v>
          </cell>
          <cell r="S19">
            <v>170</v>
          </cell>
          <cell r="T19">
            <v>2</v>
          </cell>
          <cell r="U19">
            <v>9</v>
          </cell>
          <cell r="V19">
            <v>336.12</v>
          </cell>
          <cell r="W19">
            <v>170</v>
          </cell>
          <cell r="X19">
            <v>2</v>
          </cell>
          <cell r="Y19">
            <v>180</v>
          </cell>
          <cell r="Z19">
            <v>0</v>
          </cell>
          <cell r="AA19">
            <v>77.566153846153853</v>
          </cell>
          <cell r="AD19">
            <v>0</v>
          </cell>
          <cell r="AE19">
            <v>0</v>
          </cell>
          <cell r="AF19">
            <v>0</v>
          </cell>
          <cell r="AG19">
            <v>0</v>
          </cell>
          <cell r="AH19">
            <v>262.99774038461538</v>
          </cell>
          <cell r="AI19">
            <v>0</v>
          </cell>
          <cell r="AK19">
            <v>0</v>
          </cell>
          <cell r="AL19">
            <v>1028.6838942307693</v>
          </cell>
          <cell r="AM19">
            <v>21.847799999999999</v>
          </cell>
          <cell r="AO19">
            <v>21.847799999999999</v>
          </cell>
          <cell r="AP19">
            <v>1006.8360942307693</v>
          </cell>
          <cell r="AS19">
            <v>2132</v>
          </cell>
          <cell r="AT19" t="str">
            <v>Said Mohd.Abdullah Al Harthy</v>
          </cell>
          <cell r="AU19" t="str">
            <v>002 092096 001</v>
          </cell>
          <cell r="AV19" t="str">
            <v>HSBC</v>
          </cell>
          <cell r="AW19" t="str">
            <v>Bait Al Falaj</v>
          </cell>
          <cell r="AX19">
            <v>1006.8360942307693</v>
          </cell>
        </row>
        <row r="20">
          <cell r="B20">
            <v>2133</v>
          </cell>
          <cell r="C20" t="str">
            <v>Ahmed Al Qasmi</v>
          </cell>
          <cell r="D20" t="str">
            <v>Journey Manager</v>
          </cell>
          <cell r="E20" t="str">
            <v>07.06.04</v>
          </cell>
          <cell r="F20">
            <v>2.2264615384615385</v>
          </cell>
          <cell r="G20">
            <v>1.3915384615384616</v>
          </cell>
          <cell r="H20">
            <v>20</v>
          </cell>
          <cell r="I20">
            <v>0</v>
          </cell>
          <cell r="K20">
            <v>15</v>
          </cell>
          <cell r="L20">
            <v>15</v>
          </cell>
          <cell r="M20">
            <v>0</v>
          </cell>
          <cell r="N20">
            <v>0</v>
          </cell>
          <cell r="O20">
            <v>30</v>
          </cell>
          <cell r="P20">
            <v>80</v>
          </cell>
          <cell r="Q20">
            <v>4.8</v>
          </cell>
          <cell r="R20">
            <v>192.96</v>
          </cell>
          <cell r="S20">
            <v>170</v>
          </cell>
          <cell r="T20">
            <v>2</v>
          </cell>
          <cell r="U20">
            <v>9</v>
          </cell>
          <cell r="V20">
            <v>192.96</v>
          </cell>
          <cell r="W20">
            <v>170</v>
          </cell>
          <cell r="X20">
            <v>2</v>
          </cell>
          <cell r="Y20">
            <v>135</v>
          </cell>
          <cell r="Z20">
            <v>0</v>
          </cell>
          <cell r="AA20">
            <v>44.529230769230772</v>
          </cell>
          <cell r="AD20">
            <v>0</v>
          </cell>
          <cell r="AE20">
            <v>0</v>
          </cell>
          <cell r="AF20">
            <v>0</v>
          </cell>
          <cell r="AG20">
            <v>0</v>
          </cell>
          <cell r="AH20">
            <v>0</v>
          </cell>
          <cell r="AI20">
            <v>0</v>
          </cell>
          <cell r="AK20">
            <v>0</v>
          </cell>
          <cell r="AL20">
            <v>544.48923076923086</v>
          </cell>
          <cell r="AM20">
            <v>12.542400000000001</v>
          </cell>
          <cell r="AO20">
            <v>12.542400000000001</v>
          </cell>
          <cell r="AP20">
            <v>531.94683076923081</v>
          </cell>
          <cell r="AS20">
            <v>2133</v>
          </cell>
          <cell r="AT20" t="str">
            <v>Ahmed Al Qasmi</v>
          </cell>
          <cell r="AU20" t="str">
            <v>0101-261399-021</v>
          </cell>
          <cell r="AV20" t="str">
            <v>NBO</v>
          </cell>
          <cell r="AW20" t="str">
            <v>Samail</v>
          </cell>
          <cell r="AX20">
            <v>531.94683076923081</v>
          </cell>
        </row>
        <row r="21">
          <cell r="B21">
            <v>3103</v>
          </cell>
          <cell r="C21" t="str">
            <v>Said Ahmed Hamood</v>
          </cell>
          <cell r="D21" t="str">
            <v>Sr. GPS Operator</v>
          </cell>
          <cell r="F21">
            <v>2.5461923076923076</v>
          </cell>
          <cell r="G21">
            <v>1.5913701923076924</v>
          </cell>
          <cell r="H21">
            <v>21</v>
          </cell>
          <cell r="I21">
            <v>10.5</v>
          </cell>
          <cell r="K21">
            <v>23</v>
          </cell>
          <cell r="L21">
            <v>7</v>
          </cell>
          <cell r="M21">
            <v>0</v>
          </cell>
          <cell r="N21">
            <v>0</v>
          </cell>
          <cell r="O21">
            <v>30</v>
          </cell>
          <cell r="P21">
            <v>68</v>
          </cell>
          <cell r="Q21">
            <v>4.08</v>
          </cell>
          <cell r="R21">
            <v>220.67000000000002</v>
          </cell>
          <cell r="S21">
            <v>170</v>
          </cell>
          <cell r="T21">
            <v>2</v>
          </cell>
          <cell r="U21">
            <v>9</v>
          </cell>
          <cell r="V21">
            <v>220.67000000000002</v>
          </cell>
          <cell r="W21">
            <v>170</v>
          </cell>
          <cell r="X21">
            <v>2</v>
          </cell>
          <cell r="Y21">
            <v>207</v>
          </cell>
          <cell r="Z21">
            <v>16.709387019230771</v>
          </cell>
          <cell r="AA21">
            <v>53.470038461538458</v>
          </cell>
          <cell r="AD21">
            <v>0</v>
          </cell>
          <cell r="AE21">
            <v>0</v>
          </cell>
          <cell r="AF21">
            <v>0</v>
          </cell>
          <cell r="AG21">
            <v>54</v>
          </cell>
          <cell r="AH21">
            <v>19.096442307692307</v>
          </cell>
          <cell r="AI21">
            <v>152.77153846153846</v>
          </cell>
          <cell r="AK21">
            <v>123</v>
          </cell>
          <cell r="AL21">
            <v>1018.7174062500001</v>
          </cell>
          <cell r="AM21">
            <v>14.343550000000002</v>
          </cell>
          <cell r="AO21">
            <v>14.343550000000002</v>
          </cell>
          <cell r="AP21">
            <v>1004.37385625</v>
          </cell>
          <cell r="AR21">
            <v>50</v>
          </cell>
          <cell r="AS21">
            <v>3103</v>
          </cell>
          <cell r="AT21" t="str">
            <v>Said Ahmed Hamood</v>
          </cell>
          <cell r="AU21" t="str">
            <v>0129103180084013</v>
          </cell>
          <cell r="AV21" t="str">
            <v>Bank Muscat</v>
          </cell>
          <cell r="AW21" t="str">
            <v>Adam</v>
          </cell>
          <cell r="AX21">
            <v>1004.37385625</v>
          </cell>
        </row>
        <row r="22">
          <cell r="H22">
            <v>161</v>
          </cell>
          <cell r="K22">
            <v>261</v>
          </cell>
          <cell r="L22">
            <v>163</v>
          </cell>
          <cell r="P22">
            <v>1122</v>
          </cell>
          <cell r="Q22">
            <v>67.319999999999993</v>
          </cell>
          <cell r="R22">
            <v>4552.2</v>
          </cell>
          <cell r="S22">
            <v>3036</v>
          </cell>
          <cell r="T22">
            <v>36</v>
          </cell>
          <cell r="U22">
            <v>162</v>
          </cell>
          <cell r="V22">
            <v>3765.9746666666661</v>
          </cell>
          <cell r="W22">
            <v>2452.3333333333335</v>
          </cell>
          <cell r="X22">
            <v>29.133333333333333</v>
          </cell>
          <cell r="Y22">
            <v>2349</v>
          </cell>
          <cell r="Z22">
            <v>1498.5392307692305</v>
          </cell>
          <cell r="AA22">
            <v>471.33773076923075</v>
          </cell>
          <cell r="AB22">
            <v>0</v>
          </cell>
          <cell r="AC22">
            <v>0</v>
          </cell>
          <cell r="AD22">
            <v>25.723870967741934</v>
          </cell>
          <cell r="AE22">
            <v>10.96774193548387</v>
          </cell>
          <cell r="AF22">
            <v>0</v>
          </cell>
          <cell r="AG22">
            <v>396</v>
          </cell>
          <cell r="AH22">
            <v>2013.2630048076921</v>
          </cell>
          <cell r="AI22">
            <v>1380.3940384615385</v>
          </cell>
          <cell r="AJ22">
            <v>0</v>
          </cell>
          <cell r="AK22">
            <v>861</v>
          </cell>
          <cell r="AL22">
            <v>15253.666951044253</v>
          </cell>
          <cell r="AM22">
            <v>255.1198</v>
          </cell>
          <cell r="AN22">
            <v>0</v>
          </cell>
          <cell r="AO22">
            <v>255.1198</v>
          </cell>
          <cell r="AP22">
            <v>14998.547151044251</v>
          </cell>
          <cell r="AX22">
            <v>14998.547151044251</v>
          </cell>
        </row>
        <row r="23">
          <cell r="W23" t="str">
            <v>Basic</v>
          </cell>
          <cell r="X23">
            <v>3791.6985376344078</v>
          </cell>
        </row>
        <row r="24">
          <cell r="W24" t="str">
            <v>Allowance</v>
          </cell>
          <cell r="X24">
            <v>6098.4344086021511</v>
          </cell>
        </row>
        <row r="25">
          <cell r="W25" t="str">
            <v>Overtime</v>
          </cell>
          <cell r="X25">
            <v>3511.8022355769226</v>
          </cell>
        </row>
        <row r="26">
          <cell r="W26" t="str">
            <v>Gosi</v>
          </cell>
          <cell r="X26">
            <v>255.1198</v>
          </cell>
        </row>
        <row r="28">
          <cell r="B28" t="str">
            <v>Emp #</v>
          </cell>
          <cell r="C28" t="str">
            <v>Name</v>
          </cell>
          <cell r="D28" t="str">
            <v>Classification</v>
          </cell>
          <cell r="E28" t="str">
            <v>Jn.Date</v>
          </cell>
          <cell r="F28" t="str">
            <v>O.T Rate 125%</v>
          </cell>
          <cell r="I28" t="str">
            <v>O.T Hrs 125%</v>
          </cell>
          <cell r="K28" t="str">
            <v>W.Days</v>
          </cell>
          <cell r="L28" t="str">
            <v>L.Days</v>
          </cell>
          <cell r="O28" t="str">
            <v>Days Pd</v>
          </cell>
          <cell r="R28" t="str">
            <v>Basic</v>
          </cell>
          <cell r="S28" t="str">
            <v>Other Allow</v>
          </cell>
          <cell r="T28" t="str">
            <v>O.T All</v>
          </cell>
          <cell r="U28" t="str">
            <v>Dsrt.Allw</v>
          </cell>
          <cell r="V28" t="str">
            <v>Basic Pyble</v>
          </cell>
          <cell r="W28" t="str">
            <v>Other Allow</v>
          </cell>
          <cell r="X28" t="str">
            <v>OT Allow</v>
          </cell>
          <cell r="Y28" t="str">
            <v>Dsrt Allw.p</v>
          </cell>
          <cell r="Z28" t="str">
            <v xml:space="preserve"> O.T 125% </v>
          </cell>
          <cell r="AD28" t="str">
            <v>Adj Basic</v>
          </cell>
          <cell r="AE28" t="str">
            <v>Adj 0thers</v>
          </cell>
          <cell r="AF28" t="str">
            <v>Adj.Dt A</v>
          </cell>
          <cell r="AG28" t="str">
            <v>Adj.De.A.P</v>
          </cell>
          <cell r="AH28" t="str">
            <v>Leave Slry</v>
          </cell>
          <cell r="AK28" t="str">
            <v>Adj.Riyals</v>
          </cell>
          <cell r="AL28" t="str">
            <v>Gross Pay</v>
          </cell>
          <cell r="AM28" t="str">
            <v>Adv</v>
          </cell>
          <cell r="AO28" t="str">
            <v>T.Deduc.</v>
          </cell>
          <cell r="AP28" t="str">
            <v>Net.Pay</v>
          </cell>
        </row>
        <row r="29">
          <cell r="B29">
            <v>334</v>
          </cell>
          <cell r="C29" t="str">
            <v>Adakandy Laxman</v>
          </cell>
          <cell r="D29" t="str">
            <v>Mechanic</v>
          </cell>
          <cell r="E29" t="str">
            <v>20.05.04</v>
          </cell>
          <cell r="F29">
            <v>0.73081607795371495</v>
          </cell>
          <cell r="K29">
            <v>21</v>
          </cell>
          <cell r="O29">
            <v>21</v>
          </cell>
          <cell r="R29">
            <v>160</v>
          </cell>
          <cell r="S29">
            <v>50</v>
          </cell>
          <cell r="U29">
            <v>4.5</v>
          </cell>
          <cell r="V29">
            <v>112</v>
          </cell>
          <cell r="W29">
            <v>35</v>
          </cell>
          <cell r="Y29">
            <v>94.5</v>
          </cell>
          <cell r="Z29">
            <v>0</v>
          </cell>
          <cell r="AH29">
            <v>160</v>
          </cell>
          <cell r="AL29">
            <v>401.5</v>
          </cell>
          <cell r="AO29">
            <v>0</v>
          </cell>
          <cell r="AP29">
            <v>401.5</v>
          </cell>
          <cell r="AQ29" t="str">
            <v>He Came from Leave so check his arrival date and paid accordingly.He has some overstay Allowance last month so kindly check that and make adjustment for it.</v>
          </cell>
          <cell r="AT29" t="str">
            <v>Adakandy Laxman</v>
          </cell>
          <cell r="AU29" t="str">
            <v>30-261333-20</v>
          </cell>
          <cell r="AV29" t="str">
            <v>OIB</v>
          </cell>
          <cell r="AW29" t="str">
            <v>Fahud</v>
          </cell>
          <cell r="AX29">
            <v>401.5</v>
          </cell>
        </row>
        <row r="30">
          <cell r="B30">
            <v>343</v>
          </cell>
          <cell r="C30" t="str">
            <v>Abhiraj Valakadavil Asokan</v>
          </cell>
          <cell r="D30" t="str">
            <v>Welder</v>
          </cell>
          <cell r="E30" t="str">
            <v>28.07.04</v>
          </cell>
          <cell r="F30">
            <v>0.45676004872107184</v>
          </cell>
          <cell r="K30">
            <v>16</v>
          </cell>
          <cell r="O30">
            <v>16</v>
          </cell>
          <cell r="R30">
            <v>100</v>
          </cell>
          <cell r="S30">
            <v>30</v>
          </cell>
          <cell r="U30">
            <v>4.5</v>
          </cell>
          <cell r="V30">
            <v>53.333333333333336</v>
          </cell>
          <cell r="W30">
            <v>16</v>
          </cell>
          <cell r="Y30">
            <v>72</v>
          </cell>
          <cell r="Z30">
            <v>0</v>
          </cell>
          <cell r="AH30">
            <v>100</v>
          </cell>
          <cell r="AL30">
            <v>241.33333333333334</v>
          </cell>
          <cell r="AO30">
            <v>0</v>
          </cell>
          <cell r="AP30">
            <v>241.33333333333334</v>
          </cell>
          <cell r="AQ30" t="str">
            <v>He Came from Leave so check his arrival date and paid accordingly.Paid him Leave salary as per his contract.</v>
          </cell>
          <cell r="AT30" t="str">
            <v>Abhiraj Valakadavil Asokan</v>
          </cell>
          <cell r="AU30" t="str">
            <v>082-115770084016</v>
          </cell>
          <cell r="AV30" t="str">
            <v>Bank Muscat</v>
          </cell>
          <cell r="AW30" t="str">
            <v>Haima</v>
          </cell>
          <cell r="AX30">
            <v>241.33333333333334</v>
          </cell>
        </row>
        <row r="31">
          <cell r="B31">
            <v>352</v>
          </cell>
          <cell r="C31" t="str">
            <v>Parminder Singh</v>
          </cell>
          <cell r="D31" t="str">
            <v>Mechanic</v>
          </cell>
          <cell r="E31" t="str">
            <v>17-04-05</v>
          </cell>
          <cell r="F31">
            <v>0.77649208282582216</v>
          </cell>
          <cell r="K31">
            <v>30</v>
          </cell>
          <cell r="O31">
            <v>30</v>
          </cell>
          <cell r="R31">
            <v>170</v>
          </cell>
          <cell r="S31">
            <v>50</v>
          </cell>
          <cell r="U31">
            <v>4.5</v>
          </cell>
          <cell r="V31">
            <v>170</v>
          </cell>
          <cell r="W31">
            <v>50</v>
          </cell>
          <cell r="Y31">
            <v>135</v>
          </cell>
          <cell r="Z31">
            <v>0</v>
          </cell>
          <cell r="AL31">
            <v>355</v>
          </cell>
          <cell r="AO31">
            <v>0</v>
          </cell>
          <cell r="AP31">
            <v>355</v>
          </cell>
          <cell r="AT31" t="str">
            <v>Parminder Singh</v>
          </cell>
          <cell r="AU31" t="str">
            <v>31-815723-20</v>
          </cell>
          <cell r="AV31" t="str">
            <v>OIB</v>
          </cell>
          <cell r="AW31" t="str">
            <v>Marmul</v>
          </cell>
          <cell r="AX31">
            <v>355</v>
          </cell>
        </row>
        <row r="32">
          <cell r="B32">
            <v>375</v>
          </cell>
          <cell r="C32" t="str">
            <v>Thajudeen Najeeb</v>
          </cell>
          <cell r="D32" t="str">
            <v>Electrician</v>
          </cell>
          <cell r="E32">
            <v>38810</v>
          </cell>
          <cell r="F32">
            <v>0.73081607795371495</v>
          </cell>
          <cell r="K32">
            <v>0</v>
          </cell>
          <cell r="O32">
            <v>0</v>
          </cell>
          <cell r="R32">
            <v>160</v>
          </cell>
          <cell r="S32">
            <v>20</v>
          </cell>
          <cell r="V32">
            <v>0</v>
          </cell>
          <cell r="W32">
            <v>0</v>
          </cell>
          <cell r="Z32">
            <v>0</v>
          </cell>
          <cell r="AL32">
            <v>0</v>
          </cell>
          <cell r="AO32">
            <v>0</v>
          </cell>
          <cell r="AP32">
            <v>0</v>
          </cell>
          <cell r="AQ32" t="str">
            <v>On Leave</v>
          </cell>
          <cell r="AT32" t="str">
            <v>Thajudeen Najeeb</v>
          </cell>
          <cell r="AU32" t="str">
            <v>84-047943-20</v>
          </cell>
          <cell r="AV32" t="str">
            <v>OIB</v>
          </cell>
          <cell r="AW32" t="str">
            <v>Bidaya</v>
          </cell>
          <cell r="AX32">
            <v>0</v>
          </cell>
        </row>
        <row r="33">
          <cell r="B33">
            <v>430</v>
          </cell>
          <cell r="C33" t="str">
            <v>James Bennett</v>
          </cell>
          <cell r="D33" t="str">
            <v>Crew Medic</v>
          </cell>
          <cell r="F33">
            <v>2.7405602923264309</v>
          </cell>
          <cell r="K33">
            <v>30</v>
          </cell>
          <cell r="O33">
            <v>30</v>
          </cell>
          <cell r="R33">
            <v>600</v>
          </cell>
          <cell r="V33">
            <v>600</v>
          </cell>
          <cell r="W33">
            <v>0</v>
          </cell>
          <cell r="Z33">
            <v>0</v>
          </cell>
          <cell r="AL33">
            <v>600</v>
          </cell>
          <cell r="AO33">
            <v>0</v>
          </cell>
          <cell r="AP33">
            <v>600</v>
          </cell>
          <cell r="AT33" t="str">
            <v>James Bennett</v>
          </cell>
          <cell r="AX33">
            <v>600</v>
          </cell>
        </row>
        <row r="34">
          <cell r="B34">
            <v>431</v>
          </cell>
          <cell r="C34" t="str">
            <v>Munawar Hussain Talib Hussain</v>
          </cell>
          <cell r="D34" t="str">
            <v>Mechanic</v>
          </cell>
          <cell r="E34">
            <v>39452</v>
          </cell>
          <cell r="F34">
            <v>0.73081607795371495</v>
          </cell>
          <cell r="K34">
            <v>30</v>
          </cell>
          <cell r="O34">
            <v>30</v>
          </cell>
          <cell r="R34">
            <v>160</v>
          </cell>
          <cell r="T34">
            <v>20</v>
          </cell>
          <cell r="V34">
            <v>160</v>
          </cell>
          <cell r="W34">
            <v>0</v>
          </cell>
          <cell r="X34">
            <v>20</v>
          </cell>
          <cell r="Z34">
            <v>0</v>
          </cell>
          <cell r="AL34">
            <v>180</v>
          </cell>
          <cell r="AO34">
            <v>0</v>
          </cell>
          <cell r="AP34">
            <v>180</v>
          </cell>
          <cell r="AT34" t="str">
            <v>Munawar Hussain Talib Hussain</v>
          </cell>
          <cell r="AU34" t="str">
            <v>102-171880084013</v>
          </cell>
          <cell r="AV34" t="str">
            <v>Bank Muscat</v>
          </cell>
          <cell r="AW34" t="str">
            <v>Bahja</v>
          </cell>
          <cell r="AX34">
            <v>180</v>
          </cell>
        </row>
        <row r="35">
          <cell r="B35">
            <v>432</v>
          </cell>
          <cell r="C35" t="str">
            <v>Subhanullah Khan Bawar Khan</v>
          </cell>
          <cell r="D35" t="str">
            <v>Mechanic</v>
          </cell>
          <cell r="E35">
            <v>39452</v>
          </cell>
          <cell r="F35">
            <v>0.73081607795371495</v>
          </cell>
          <cell r="K35">
            <v>30</v>
          </cell>
          <cell r="O35">
            <v>30</v>
          </cell>
          <cell r="R35">
            <v>160</v>
          </cell>
          <cell r="T35">
            <v>20</v>
          </cell>
          <cell r="V35">
            <v>160</v>
          </cell>
          <cell r="W35">
            <v>0</v>
          </cell>
          <cell r="X35">
            <v>20</v>
          </cell>
          <cell r="Z35">
            <v>0</v>
          </cell>
          <cell r="AL35">
            <v>180</v>
          </cell>
          <cell r="AO35">
            <v>0</v>
          </cell>
          <cell r="AP35">
            <v>180</v>
          </cell>
          <cell r="AT35" t="str">
            <v>Subhanullah Khan Bawar Khan</v>
          </cell>
          <cell r="AU35" t="str">
            <v>118-269970084014</v>
          </cell>
          <cell r="AV35" t="str">
            <v>Bank Muscat</v>
          </cell>
          <cell r="AW35" t="str">
            <v>Ibri</v>
          </cell>
          <cell r="AX35">
            <v>180</v>
          </cell>
        </row>
        <row r="36">
          <cell r="V36">
            <v>1255.3333333333335</v>
          </cell>
          <cell r="W36">
            <v>101</v>
          </cell>
          <cell r="X36">
            <v>40</v>
          </cell>
          <cell r="Y36">
            <v>301.5</v>
          </cell>
          <cell r="Z36">
            <v>0</v>
          </cell>
          <cell r="AA36">
            <v>0</v>
          </cell>
          <cell r="AB36">
            <v>0</v>
          </cell>
          <cell r="AC36">
            <v>0</v>
          </cell>
          <cell r="AD36">
            <v>0</v>
          </cell>
          <cell r="AE36">
            <v>0</v>
          </cell>
          <cell r="AF36">
            <v>0</v>
          </cell>
          <cell r="AG36">
            <v>0</v>
          </cell>
          <cell r="AH36">
            <v>260</v>
          </cell>
          <cell r="AI36">
            <v>0</v>
          </cell>
          <cell r="AJ36">
            <v>0</v>
          </cell>
          <cell r="AK36">
            <v>0</v>
          </cell>
          <cell r="AL36">
            <v>1957.8333333333335</v>
          </cell>
          <cell r="AM36">
            <v>0</v>
          </cell>
          <cell r="AN36">
            <v>0</v>
          </cell>
          <cell r="AO36">
            <v>0</v>
          </cell>
          <cell r="AP36">
            <v>1957.8333333333335</v>
          </cell>
          <cell r="AX36">
            <v>1957.8333333333335</v>
          </cell>
        </row>
      </sheetData>
      <sheetData sheetId="4" refreshError="1">
        <row r="5">
          <cell r="B5">
            <v>1</v>
          </cell>
          <cell r="C5" t="str">
            <v>AN</v>
          </cell>
          <cell r="D5" t="str">
            <v>Suleem Huwaishal Mohammed Al Gharibi</v>
          </cell>
          <cell r="E5" t="str">
            <v>Vibe Operator</v>
          </cell>
          <cell r="G5">
            <v>32656</v>
          </cell>
          <cell r="H5">
            <v>38147</v>
          </cell>
          <cell r="I5" t="str">
            <v>E</v>
          </cell>
          <cell r="J5" t="str">
            <v>Sh:2</v>
          </cell>
          <cell r="K5" t="str">
            <v>L</v>
          </cell>
          <cell r="L5" t="str">
            <v>L</v>
          </cell>
          <cell r="M5" t="str">
            <v>L</v>
          </cell>
          <cell r="N5" t="str">
            <v>L</v>
          </cell>
          <cell r="O5" t="str">
            <v>L</v>
          </cell>
          <cell r="P5" t="str">
            <v>L</v>
          </cell>
          <cell r="Q5" t="str">
            <v>L</v>
          </cell>
          <cell r="R5">
            <v>8</v>
          </cell>
          <cell r="S5">
            <v>8</v>
          </cell>
          <cell r="T5">
            <v>8</v>
          </cell>
          <cell r="U5">
            <v>8</v>
          </cell>
          <cell r="V5">
            <v>8</v>
          </cell>
          <cell r="W5">
            <v>8</v>
          </cell>
          <cell r="X5">
            <v>9</v>
          </cell>
          <cell r="Y5">
            <v>9</v>
          </cell>
          <cell r="Z5">
            <v>9</v>
          </cell>
          <cell r="AA5">
            <v>9</v>
          </cell>
          <cell r="AB5">
            <v>9</v>
          </cell>
          <cell r="AC5">
            <v>9</v>
          </cell>
          <cell r="AD5">
            <v>9</v>
          </cell>
          <cell r="AE5">
            <v>9</v>
          </cell>
          <cell r="AF5">
            <v>9</v>
          </cell>
          <cell r="AG5">
            <v>9</v>
          </cell>
          <cell r="AH5">
            <v>9</v>
          </cell>
          <cell r="AI5">
            <v>9</v>
          </cell>
          <cell r="AJ5">
            <v>17</v>
          </cell>
          <cell r="AK5">
            <v>17</v>
          </cell>
          <cell r="AL5">
            <v>9</v>
          </cell>
          <cell r="AM5">
            <v>9</v>
          </cell>
          <cell r="AN5">
            <v>9</v>
          </cell>
          <cell r="AO5" t="str">
            <v>x</v>
          </cell>
          <cell r="AP5">
            <v>23</v>
          </cell>
          <cell r="AQ5">
            <v>7</v>
          </cell>
          <cell r="AR5">
            <v>0</v>
          </cell>
          <cell r="AS5">
            <v>0</v>
          </cell>
          <cell r="AT5">
            <v>0</v>
          </cell>
          <cell r="AU5">
            <v>0</v>
          </cell>
          <cell r="AV5">
            <v>183</v>
          </cell>
          <cell r="AW5">
            <v>34</v>
          </cell>
          <cell r="AX5">
            <v>30</v>
          </cell>
          <cell r="AY5">
            <v>23</v>
          </cell>
          <cell r="AZ5">
            <v>30</v>
          </cell>
          <cell r="CG5">
            <v>102</v>
          </cell>
          <cell r="CH5">
            <v>6</v>
          </cell>
          <cell r="CM5">
            <v>123</v>
          </cell>
          <cell r="CN5" t="str">
            <v xml:space="preserve">Owed 123 rials Eid bonus, 102 hours 200%, 6 days desert allowance for Eid Al Adhah'2008 from 8th to 13th December'2008. </v>
          </cell>
        </row>
        <row r="6">
          <cell r="B6">
            <v>2</v>
          </cell>
          <cell r="C6" t="str">
            <v>CW</v>
          </cell>
          <cell r="D6" t="str">
            <v>Batti Marzouq Khamis Al Ya'qoubi</v>
          </cell>
          <cell r="E6" t="str">
            <v>Heavy Duty Dvr / W</v>
          </cell>
          <cell r="G6">
            <v>32478</v>
          </cell>
          <cell r="H6">
            <v>38145</v>
          </cell>
          <cell r="I6" t="str">
            <v>E</v>
          </cell>
          <cell r="J6" t="str">
            <v>Sh:3</v>
          </cell>
          <cell r="K6">
            <v>4</v>
          </cell>
          <cell r="L6">
            <v>4</v>
          </cell>
          <cell r="M6">
            <v>4</v>
          </cell>
          <cell r="N6">
            <v>4</v>
          </cell>
          <cell r="O6">
            <v>4</v>
          </cell>
          <cell r="P6">
            <v>4</v>
          </cell>
          <cell r="Q6">
            <v>4</v>
          </cell>
          <cell r="R6" t="str">
            <v>L</v>
          </cell>
          <cell r="S6" t="str">
            <v>L</v>
          </cell>
          <cell r="T6" t="str">
            <v>L</v>
          </cell>
          <cell r="U6" t="str">
            <v>L</v>
          </cell>
          <cell r="V6" t="str">
            <v>L</v>
          </cell>
          <cell r="W6" t="str">
            <v>L</v>
          </cell>
          <cell r="X6" t="str">
            <v>L</v>
          </cell>
          <cell r="Y6" t="str">
            <v>L</v>
          </cell>
          <cell r="Z6" t="str">
            <v>L</v>
          </cell>
          <cell r="AA6" t="str">
            <v>L</v>
          </cell>
          <cell r="AB6" t="str">
            <v>L</v>
          </cell>
          <cell r="AC6" t="str">
            <v>L</v>
          </cell>
          <cell r="AD6" t="str">
            <v>L</v>
          </cell>
          <cell r="AE6" t="str">
            <v>L</v>
          </cell>
          <cell r="AF6">
            <v>4</v>
          </cell>
          <cell r="AG6">
            <v>4</v>
          </cell>
          <cell r="AH6">
            <v>4</v>
          </cell>
          <cell r="AI6">
            <v>4</v>
          </cell>
          <cell r="AJ6">
            <v>12</v>
          </cell>
          <cell r="AK6">
            <v>12</v>
          </cell>
          <cell r="AL6">
            <v>4</v>
          </cell>
          <cell r="AM6">
            <v>4</v>
          </cell>
          <cell r="AN6">
            <v>4</v>
          </cell>
          <cell r="AO6" t="str">
            <v>x</v>
          </cell>
          <cell r="AP6">
            <v>16</v>
          </cell>
          <cell r="AQ6">
            <v>14</v>
          </cell>
          <cell r="AR6">
            <v>0</v>
          </cell>
          <cell r="AS6">
            <v>0</v>
          </cell>
          <cell r="AT6">
            <v>0</v>
          </cell>
          <cell r="AU6">
            <v>0</v>
          </cell>
          <cell r="AV6">
            <v>56</v>
          </cell>
          <cell r="AW6">
            <v>24</v>
          </cell>
          <cell r="AX6">
            <v>30</v>
          </cell>
          <cell r="AY6">
            <v>16</v>
          </cell>
          <cell r="AZ6">
            <v>30</v>
          </cell>
          <cell r="CG6">
            <v>72</v>
          </cell>
          <cell r="CH6">
            <v>6</v>
          </cell>
          <cell r="CM6">
            <v>124.755</v>
          </cell>
          <cell r="CN6" t="str">
            <v xml:space="preserve">Owed 123 rials Eid bonus, 72 hours 200%, 6 days desert allowance for Eid Al Adhah'2008 from 8th to 13th December'2008.RO 1.755 of Last month because by mistake he was paid 1 hour 200% OT instead of 1 day desert All (4.5-2.745 = 1.755)  </v>
          </cell>
        </row>
        <row r="7">
          <cell r="B7">
            <v>4</v>
          </cell>
          <cell r="C7" t="str">
            <v>V</v>
          </cell>
          <cell r="D7" t="str">
            <v>Hassan Salman Salim Al Hina'I</v>
          </cell>
          <cell r="E7" t="str">
            <v>Vibe Operator</v>
          </cell>
          <cell r="G7">
            <v>32656</v>
          </cell>
          <cell r="H7">
            <v>38145</v>
          </cell>
          <cell r="I7" t="str">
            <v>E</v>
          </cell>
          <cell r="J7" t="str">
            <v>Sh:3</v>
          </cell>
          <cell r="K7">
            <v>8</v>
          </cell>
          <cell r="L7">
            <v>8</v>
          </cell>
          <cell r="M7">
            <v>8</v>
          </cell>
          <cell r="N7">
            <v>8</v>
          </cell>
          <cell r="O7">
            <v>0</v>
          </cell>
          <cell r="P7" t="str">
            <v>A</v>
          </cell>
          <cell r="Q7" t="str">
            <v>A</v>
          </cell>
          <cell r="R7" t="str">
            <v>L</v>
          </cell>
          <cell r="S7" t="str">
            <v>L</v>
          </cell>
          <cell r="T7" t="str">
            <v>L</v>
          </cell>
          <cell r="U7" t="str">
            <v>L</v>
          </cell>
          <cell r="V7" t="str">
            <v>L</v>
          </cell>
          <cell r="W7" t="str">
            <v>L</v>
          </cell>
          <cell r="X7" t="str">
            <v>L</v>
          </cell>
          <cell r="Y7" t="str">
            <v>L</v>
          </cell>
          <cell r="Z7" t="str">
            <v>L</v>
          </cell>
          <cell r="AA7" t="str">
            <v>L</v>
          </cell>
          <cell r="AB7" t="str">
            <v>L</v>
          </cell>
          <cell r="AC7" t="str">
            <v>L</v>
          </cell>
          <cell r="AD7" t="str">
            <v>L</v>
          </cell>
          <cell r="AE7" t="str">
            <v>L</v>
          </cell>
          <cell r="AF7">
            <v>9</v>
          </cell>
          <cell r="AG7">
            <v>9</v>
          </cell>
          <cell r="AH7">
            <v>9</v>
          </cell>
          <cell r="AI7">
            <v>9</v>
          </cell>
          <cell r="AJ7">
            <v>17</v>
          </cell>
          <cell r="AK7">
            <v>17</v>
          </cell>
          <cell r="AL7">
            <v>9</v>
          </cell>
          <cell r="AM7">
            <v>9</v>
          </cell>
          <cell r="AN7">
            <v>9</v>
          </cell>
          <cell r="AO7" t="str">
            <v>x</v>
          </cell>
          <cell r="AP7">
            <v>14</v>
          </cell>
          <cell r="AQ7">
            <v>14</v>
          </cell>
          <cell r="AR7">
            <v>0</v>
          </cell>
          <cell r="AS7">
            <v>0</v>
          </cell>
          <cell r="AT7">
            <v>2</v>
          </cell>
          <cell r="AU7">
            <v>0</v>
          </cell>
          <cell r="AV7">
            <v>95</v>
          </cell>
          <cell r="AW7">
            <v>34</v>
          </cell>
          <cell r="AX7">
            <v>28</v>
          </cell>
          <cell r="AY7">
            <v>14</v>
          </cell>
          <cell r="AZ7">
            <v>28</v>
          </cell>
        </row>
        <row r="8">
          <cell r="B8">
            <v>5</v>
          </cell>
          <cell r="C8" t="str">
            <v>RL</v>
          </cell>
          <cell r="D8" t="str">
            <v>Yaqoub Khamis Humaid Al Ghafri</v>
          </cell>
          <cell r="E8" t="str">
            <v>Heavy Duty Dvr</v>
          </cell>
          <cell r="G8">
            <v>32656</v>
          </cell>
          <cell r="H8">
            <v>38145</v>
          </cell>
          <cell r="I8" t="str">
            <v>E</v>
          </cell>
          <cell r="J8" t="str">
            <v>Sh:3</v>
          </cell>
          <cell r="K8" t="str">
            <v>A</v>
          </cell>
          <cell r="L8" t="str">
            <v>A</v>
          </cell>
          <cell r="M8" t="str">
            <v>A</v>
          </cell>
          <cell r="N8" t="str">
            <v>A</v>
          </cell>
          <cell r="O8" t="str">
            <v>A</v>
          </cell>
          <cell r="P8" t="str">
            <v>A</v>
          </cell>
          <cell r="Q8" t="str">
            <v>A</v>
          </cell>
          <cell r="R8" t="str">
            <v>A</v>
          </cell>
          <cell r="S8" t="str">
            <v>A</v>
          </cell>
          <cell r="T8" t="str">
            <v>A</v>
          </cell>
          <cell r="U8" t="str">
            <v>A</v>
          </cell>
          <cell r="V8" t="str">
            <v>A</v>
          </cell>
          <cell r="W8" t="str">
            <v>A</v>
          </cell>
          <cell r="X8" t="str">
            <v>A</v>
          </cell>
          <cell r="Y8" t="str">
            <v>A</v>
          </cell>
          <cell r="Z8" t="str">
            <v>A</v>
          </cell>
          <cell r="AA8" t="str">
            <v>A</v>
          </cell>
          <cell r="AB8" t="str">
            <v>A</v>
          </cell>
          <cell r="AC8" t="str">
            <v>A</v>
          </cell>
          <cell r="AD8" t="str">
            <v>A</v>
          </cell>
          <cell r="AE8" t="str">
            <v>A</v>
          </cell>
          <cell r="AF8" t="str">
            <v>A</v>
          </cell>
          <cell r="AG8" t="str">
            <v>A</v>
          </cell>
          <cell r="AH8" t="str">
            <v>A</v>
          </cell>
          <cell r="AI8" t="str">
            <v>A</v>
          </cell>
          <cell r="AJ8" t="str">
            <v>A</v>
          </cell>
          <cell r="AK8" t="str">
            <v>A</v>
          </cell>
          <cell r="AL8" t="str">
            <v>A</v>
          </cell>
          <cell r="AM8" t="str">
            <v>A</v>
          </cell>
          <cell r="AN8" t="str">
            <v>A</v>
          </cell>
          <cell r="AO8" t="str">
            <v>x</v>
          </cell>
          <cell r="AP8">
            <v>0</v>
          </cell>
          <cell r="AQ8">
            <v>0</v>
          </cell>
          <cell r="AR8">
            <v>0</v>
          </cell>
          <cell r="AS8">
            <v>0</v>
          </cell>
          <cell r="AT8">
            <v>30</v>
          </cell>
          <cell r="AU8">
            <v>0</v>
          </cell>
          <cell r="AV8">
            <v>0</v>
          </cell>
          <cell r="AW8">
            <v>0</v>
          </cell>
          <cell r="AX8">
            <v>0</v>
          </cell>
          <cell r="AY8">
            <v>0</v>
          </cell>
          <cell r="AZ8">
            <v>0</v>
          </cell>
        </row>
        <row r="9">
          <cell r="B9">
            <v>9</v>
          </cell>
          <cell r="C9" t="str">
            <v>SH</v>
          </cell>
          <cell r="D9" t="str">
            <v>Abdullah Maftah Taeeb Al Ghafri</v>
          </cell>
          <cell r="E9" t="str">
            <v>Heavy Duty Dvr</v>
          </cell>
          <cell r="G9">
            <v>32656</v>
          </cell>
          <cell r="H9">
            <v>38148</v>
          </cell>
          <cell r="I9" t="str">
            <v>E</v>
          </cell>
          <cell r="J9" t="str">
            <v>Sh:2</v>
          </cell>
          <cell r="K9" t="str">
            <v>L</v>
          </cell>
          <cell r="L9" t="str">
            <v>L</v>
          </cell>
          <cell r="M9" t="str">
            <v>L</v>
          </cell>
          <cell r="N9" t="str">
            <v>L</v>
          </cell>
          <cell r="O9" t="str">
            <v>L</v>
          </cell>
          <cell r="P9" t="str">
            <v>L</v>
          </cell>
          <cell r="Q9" t="str">
            <v>L</v>
          </cell>
          <cell r="R9">
            <v>8</v>
          </cell>
          <cell r="S9">
            <v>8</v>
          </cell>
          <cell r="T9">
            <v>8</v>
          </cell>
          <cell r="U9">
            <v>8</v>
          </cell>
          <cell r="V9">
            <v>8</v>
          </cell>
          <cell r="W9">
            <v>8</v>
          </cell>
          <cell r="X9">
            <v>8</v>
          </cell>
          <cell r="Y9">
            <v>8</v>
          </cell>
          <cell r="Z9" t="str">
            <v>S</v>
          </cell>
          <cell r="AA9" t="str">
            <v>S</v>
          </cell>
          <cell r="AB9">
            <v>9</v>
          </cell>
          <cell r="AC9">
            <v>9</v>
          </cell>
          <cell r="AD9">
            <v>9</v>
          </cell>
          <cell r="AE9">
            <v>9</v>
          </cell>
          <cell r="AF9">
            <v>9</v>
          </cell>
          <cell r="AG9">
            <v>9</v>
          </cell>
          <cell r="AH9">
            <v>9</v>
          </cell>
          <cell r="AI9">
            <v>9</v>
          </cell>
          <cell r="AJ9">
            <v>17</v>
          </cell>
          <cell r="AK9">
            <v>17</v>
          </cell>
          <cell r="AL9">
            <v>9</v>
          </cell>
          <cell r="AM9">
            <v>9</v>
          </cell>
          <cell r="AN9">
            <v>9</v>
          </cell>
          <cell r="AO9" t="str">
            <v>x</v>
          </cell>
          <cell r="AP9">
            <v>21</v>
          </cell>
          <cell r="AQ9">
            <v>7</v>
          </cell>
          <cell r="AR9">
            <v>2</v>
          </cell>
          <cell r="AS9">
            <v>0</v>
          </cell>
          <cell r="AT9">
            <v>0</v>
          </cell>
          <cell r="AU9">
            <v>0</v>
          </cell>
          <cell r="AV9">
            <v>163</v>
          </cell>
          <cell r="AW9">
            <v>34</v>
          </cell>
          <cell r="AX9">
            <v>30</v>
          </cell>
          <cell r="AY9">
            <v>21</v>
          </cell>
          <cell r="AZ9">
            <v>30</v>
          </cell>
          <cell r="CG9">
            <v>102</v>
          </cell>
          <cell r="CH9">
            <v>6</v>
          </cell>
          <cell r="CM9">
            <v>123</v>
          </cell>
          <cell r="CN9" t="str">
            <v>Owed 123 rials Eid bonus, 102 hours 200%, 6 days desert allowance for Eid Al Adhah'2008 from 8th to 13th December'2008.</v>
          </cell>
        </row>
        <row r="10">
          <cell r="B10">
            <v>13</v>
          </cell>
          <cell r="C10" t="str">
            <v>V</v>
          </cell>
          <cell r="D10" t="str">
            <v>Musabah Obaid Sabaan Al Dara'I</v>
          </cell>
          <cell r="E10" t="str">
            <v>Vibe Operator</v>
          </cell>
          <cell r="G10">
            <v>32656</v>
          </cell>
          <cell r="H10">
            <v>38145</v>
          </cell>
          <cell r="I10" t="str">
            <v>E</v>
          </cell>
          <cell r="J10" t="str">
            <v>Sh:3</v>
          </cell>
          <cell r="K10" t="str">
            <v>H</v>
          </cell>
          <cell r="L10" t="str">
            <v>H</v>
          </cell>
          <cell r="M10" t="str">
            <v>H</v>
          </cell>
          <cell r="N10" t="str">
            <v>H</v>
          </cell>
          <cell r="O10" t="str">
            <v>H</v>
          </cell>
          <cell r="P10" t="str">
            <v>H</v>
          </cell>
          <cell r="Q10" t="str">
            <v>H</v>
          </cell>
          <cell r="R10" t="str">
            <v>H</v>
          </cell>
          <cell r="S10" t="str">
            <v>H</v>
          </cell>
          <cell r="T10" t="str">
            <v>H</v>
          </cell>
          <cell r="U10" t="str">
            <v>H</v>
          </cell>
          <cell r="V10" t="str">
            <v>H</v>
          </cell>
          <cell r="W10" t="str">
            <v>H</v>
          </cell>
          <cell r="X10" t="str">
            <v>H</v>
          </cell>
          <cell r="Y10" t="str">
            <v>H</v>
          </cell>
          <cell r="Z10" t="str">
            <v>H</v>
          </cell>
          <cell r="AA10" t="str">
            <v>H</v>
          </cell>
          <cell r="AB10" t="str">
            <v>H</v>
          </cell>
          <cell r="AC10" t="str">
            <v>H</v>
          </cell>
          <cell r="AD10" t="str">
            <v>H</v>
          </cell>
          <cell r="AE10" t="str">
            <v>H</v>
          </cell>
          <cell r="AF10" t="str">
            <v>H</v>
          </cell>
          <cell r="AG10" t="str">
            <v>H</v>
          </cell>
          <cell r="AH10" t="str">
            <v>H</v>
          </cell>
          <cell r="AI10" t="str">
            <v>H</v>
          </cell>
          <cell r="AJ10" t="str">
            <v>H</v>
          </cell>
          <cell r="AK10" t="str">
            <v>H</v>
          </cell>
          <cell r="AL10" t="str">
            <v>H</v>
          </cell>
          <cell r="AM10" t="str">
            <v>H</v>
          </cell>
          <cell r="AN10" t="str">
            <v>H</v>
          </cell>
          <cell r="AO10" t="str">
            <v>x</v>
          </cell>
          <cell r="AP10">
            <v>0</v>
          </cell>
          <cell r="AQ10">
            <v>0</v>
          </cell>
          <cell r="AR10">
            <v>0</v>
          </cell>
          <cell r="AS10">
            <v>0</v>
          </cell>
          <cell r="AT10">
            <v>0</v>
          </cell>
          <cell r="AU10">
            <v>30</v>
          </cell>
          <cell r="AV10">
            <v>0</v>
          </cell>
          <cell r="AW10">
            <v>0</v>
          </cell>
          <cell r="AX10">
            <v>0</v>
          </cell>
          <cell r="AY10">
            <v>0</v>
          </cell>
          <cell r="AZ10">
            <v>0</v>
          </cell>
        </row>
        <row r="11">
          <cell r="B11">
            <v>20</v>
          </cell>
          <cell r="C11" t="str">
            <v>SH</v>
          </cell>
          <cell r="D11" t="str">
            <v>Rashid Sulaiman Abdullah</v>
          </cell>
          <cell r="E11" t="str">
            <v>Asst Mech ' Workshop '</v>
          </cell>
          <cell r="G11">
            <v>32656</v>
          </cell>
          <cell r="H11">
            <v>38145</v>
          </cell>
          <cell r="I11" t="str">
            <v>C</v>
          </cell>
          <cell r="J11" t="str">
            <v>Sh:2</v>
          </cell>
          <cell r="K11" t="str">
            <v>L</v>
          </cell>
          <cell r="L11" t="str">
            <v>L</v>
          </cell>
          <cell r="M11" t="str">
            <v>L</v>
          </cell>
          <cell r="N11" t="str">
            <v>L</v>
          </cell>
          <cell r="O11" t="str">
            <v>L</v>
          </cell>
          <cell r="P11" t="str">
            <v>L</v>
          </cell>
          <cell r="Q11" t="str">
            <v>L</v>
          </cell>
          <cell r="R11">
            <v>2</v>
          </cell>
          <cell r="S11">
            <v>2</v>
          </cell>
          <cell r="T11">
            <v>2</v>
          </cell>
          <cell r="U11">
            <v>2</v>
          </cell>
          <cell r="V11">
            <v>2</v>
          </cell>
          <cell r="W11">
            <v>2</v>
          </cell>
          <cell r="X11">
            <v>2</v>
          </cell>
          <cell r="Y11">
            <v>2</v>
          </cell>
          <cell r="Z11">
            <v>2</v>
          </cell>
          <cell r="AA11">
            <v>2</v>
          </cell>
          <cell r="AB11">
            <v>2</v>
          </cell>
          <cell r="AC11">
            <v>2</v>
          </cell>
          <cell r="AD11">
            <v>2</v>
          </cell>
          <cell r="AE11">
            <v>2</v>
          </cell>
          <cell r="AF11">
            <v>2</v>
          </cell>
          <cell r="AG11">
            <v>2</v>
          </cell>
          <cell r="AH11">
            <v>2</v>
          </cell>
          <cell r="AI11">
            <v>2</v>
          </cell>
          <cell r="AJ11">
            <v>10</v>
          </cell>
          <cell r="AK11">
            <v>10</v>
          </cell>
          <cell r="AL11">
            <v>2</v>
          </cell>
          <cell r="AM11">
            <v>2</v>
          </cell>
          <cell r="AN11">
            <v>2</v>
          </cell>
          <cell r="AO11" t="str">
            <v>x</v>
          </cell>
          <cell r="AP11">
            <v>23</v>
          </cell>
          <cell r="AQ11">
            <v>7</v>
          </cell>
          <cell r="AR11">
            <v>0</v>
          </cell>
          <cell r="AS11">
            <v>0</v>
          </cell>
          <cell r="AT11">
            <v>0</v>
          </cell>
          <cell r="AU11">
            <v>0</v>
          </cell>
          <cell r="AV11">
            <v>42</v>
          </cell>
          <cell r="AW11">
            <v>20</v>
          </cell>
          <cell r="AX11">
            <v>30</v>
          </cell>
          <cell r="AY11">
            <v>23</v>
          </cell>
          <cell r="AZ11">
            <v>30</v>
          </cell>
          <cell r="CF11">
            <v>90</v>
          </cell>
          <cell r="CN11" t="str">
            <v>Owed 90 hours overtime extra overtime from 5th to 7th and 10th to 24th October'2008.</v>
          </cell>
        </row>
        <row r="12">
          <cell r="B12">
            <v>21</v>
          </cell>
          <cell r="C12" t="str">
            <v>SH</v>
          </cell>
          <cell r="D12" t="str">
            <v>Ali Shanin Said Al Yaqoubi</v>
          </cell>
          <cell r="E12" t="str">
            <v>Line Foreman</v>
          </cell>
          <cell r="G12">
            <v>32656</v>
          </cell>
          <cell r="H12">
            <v>38145</v>
          </cell>
          <cell r="I12" t="str">
            <v>C</v>
          </cell>
          <cell r="J12" t="str">
            <v>Sh:2</v>
          </cell>
          <cell r="K12" t="str">
            <v>L</v>
          </cell>
          <cell r="L12" t="str">
            <v>L</v>
          </cell>
          <cell r="M12" t="str">
            <v>L</v>
          </cell>
          <cell r="N12" t="str">
            <v>L</v>
          </cell>
          <cell r="O12" t="str">
            <v>L</v>
          </cell>
          <cell r="P12" t="str">
            <v>L</v>
          </cell>
          <cell r="Q12" t="str">
            <v>L</v>
          </cell>
          <cell r="R12">
            <v>6.5</v>
          </cell>
          <cell r="S12">
            <v>6.5</v>
          </cell>
          <cell r="T12">
            <v>6.5</v>
          </cell>
          <cell r="U12">
            <v>6.5</v>
          </cell>
          <cell r="V12">
            <v>6.5</v>
          </cell>
          <cell r="W12">
            <v>6.5</v>
          </cell>
          <cell r="X12">
            <v>6.5</v>
          </cell>
          <cell r="Y12">
            <v>6.5</v>
          </cell>
          <cell r="Z12">
            <v>2.5</v>
          </cell>
          <cell r="AA12">
            <v>2.5</v>
          </cell>
          <cell r="AB12">
            <v>2.5</v>
          </cell>
          <cell r="AC12">
            <v>2.5</v>
          </cell>
          <cell r="AD12">
            <v>2.5</v>
          </cell>
          <cell r="AE12">
            <v>2.5</v>
          </cell>
          <cell r="AF12">
            <v>2.5</v>
          </cell>
          <cell r="AG12">
            <v>2.5</v>
          </cell>
          <cell r="AH12">
            <v>2.5</v>
          </cell>
          <cell r="AI12">
            <v>2.5</v>
          </cell>
          <cell r="AJ12">
            <v>10.5</v>
          </cell>
          <cell r="AK12">
            <v>10.5</v>
          </cell>
          <cell r="AL12">
            <v>2.5</v>
          </cell>
          <cell r="AM12">
            <v>2.5</v>
          </cell>
          <cell r="AN12">
            <v>5.5</v>
          </cell>
          <cell r="AO12" t="str">
            <v>x</v>
          </cell>
          <cell r="AP12">
            <v>23</v>
          </cell>
          <cell r="AQ12">
            <v>7</v>
          </cell>
          <cell r="AR12">
            <v>0</v>
          </cell>
          <cell r="AS12">
            <v>0</v>
          </cell>
          <cell r="AT12">
            <v>0</v>
          </cell>
          <cell r="AU12">
            <v>0</v>
          </cell>
          <cell r="AV12">
            <v>87.5</v>
          </cell>
          <cell r="AW12">
            <v>21</v>
          </cell>
          <cell r="AX12">
            <v>30</v>
          </cell>
          <cell r="AY12">
            <v>23</v>
          </cell>
          <cell r="AZ12">
            <v>30</v>
          </cell>
          <cell r="CF12">
            <v>34</v>
          </cell>
          <cell r="CG12">
            <v>63</v>
          </cell>
          <cell r="CH12">
            <v>1</v>
          </cell>
          <cell r="CM12">
            <v>123</v>
          </cell>
          <cell r="CN12" t="str">
            <v xml:space="preserve">Deducted 5 days desert allowance, 10 hours overtime take leave on 27th to 31st October'2008. Owed 44 hours overtime extra overtime from 16th to 26th October'2008. Owed 123 rials Eid bonus, 63 hours 200%, 6 days desert allowance for Eid Al Adhah'2008 from </v>
          </cell>
        </row>
        <row r="13">
          <cell r="B13">
            <v>22</v>
          </cell>
          <cell r="C13" t="str">
            <v>R</v>
          </cell>
          <cell r="D13" t="str">
            <v>Said Mubarak Sulaiyam</v>
          </cell>
          <cell r="E13" t="str">
            <v>Labour</v>
          </cell>
          <cell r="G13">
            <v>32656</v>
          </cell>
          <cell r="H13">
            <v>38145</v>
          </cell>
          <cell r="I13" t="str">
            <v>A</v>
          </cell>
          <cell r="J13" t="str">
            <v>Sh:1</v>
          </cell>
          <cell r="K13">
            <v>6</v>
          </cell>
          <cell r="L13">
            <v>6</v>
          </cell>
          <cell r="M13">
            <v>6</v>
          </cell>
          <cell r="N13">
            <v>6</v>
          </cell>
          <cell r="O13">
            <v>6</v>
          </cell>
          <cell r="P13">
            <v>6</v>
          </cell>
          <cell r="Q13">
            <v>6</v>
          </cell>
          <cell r="R13">
            <v>6</v>
          </cell>
          <cell r="S13">
            <v>6</v>
          </cell>
          <cell r="T13">
            <v>6</v>
          </cell>
          <cell r="U13">
            <v>6</v>
          </cell>
          <cell r="V13">
            <v>6</v>
          </cell>
          <cell r="W13">
            <v>6</v>
          </cell>
          <cell r="X13">
            <v>6</v>
          </cell>
          <cell r="Y13">
            <v>6</v>
          </cell>
          <cell r="Z13">
            <v>2</v>
          </cell>
          <cell r="AA13">
            <v>2</v>
          </cell>
          <cell r="AB13">
            <v>2</v>
          </cell>
          <cell r="AC13">
            <v>2</v>
          </cell>
          <cell r="AD13">
            <v>2</v>
          </cell>
          <cell r="AE13">
            <v>2</v>
          </cell>
          <cell r="AF13" t="str">
            <v>L</v>
          </cell>
          <cell r="AG13" t="str">
            <v>L</v>
          </cell>
          <cell r="AH13" t="str">
            <v>L</v>
          </cell>
          <cell r="AI13" t="str">
            <v>L</v>
          </cell>
          <cell r="AJ13" t="str">
            <v>L</v>
          </cell>
          <cell r="AK13" t="str">
            <v>L</v>
          </cell>
          <cell r="AL13" t="str">
            <v>L</v>
          </cell>
          <cell r="AM13" t="str">
            <v>L</v>
          </cell>
          <cell r="AN13" t="str">
            <v>L</v>
          </cell>
          <cell r="AO13" t="str">
            <v>x</v>
          </cell>
          <cell r="AP13">
            <v>21</v>
          </cell>
          <cell r="AQ13">
            <v>9</v>
          </cell>
          <cell r="AR13">
            <v>0</v>
          </cell>
          <cell r="AS13">
            <v>0</v>
          </cell>
          <cell r="AT13">
            <v>0</v>
          </cell>
          <cell r="AU13">
            <v>0</v>
          </cell>
          <cell r="AV13">
            <v>102</v>
          </cell>
          <cell r="AW13">
            <v>0</v>
          </cell>
          <cell r="AX13">
            <v>30</v>
          </cell>
          <cell r="AY13">
            <v>21</v>
          </cell>
          <cell r="AZ13">
            <v>30</v>
          </cell>
          <cell r="CF13">
            <v>6</v>
          </cell>
          <cell r="CG13">
            <v>60</v>
          </cell>
          <cell r="CH13">
            <v>3</v>
          </cell>
          <cell r="CM13">
            <v>123</v>
          </cell>
          <cell r="CN13" t="str">
            <v>Owed 12 hours overtime extra overtime from 29th to 31st October'2008. Owed 123 rials Eid bonus, 60 hours 200%, 6 days desert allowance for Eid Al Adhah'2008 from 8th to 13th December'2008. Deducted 3 days desert allowance, 6 hours overtime was sick from 2</v>
          </cell>
        </row>
        <row r="14">
          <cell r="B14">
            <v>23</v>
          </cell>
          <cell r="C14" t="str">
            <v>SH</v>
          </cell>
          <cell r="D14" t="str">
            <v>Salim Shanin Said Al Yaqoubi</v>
          </cell>
          <cell r="E14" t="str">
            <v>Labour / Chain Crew</v>
          </cell>
          <cell r="G14">
            <v>32656</v>
          </cell>
          <cell r="H14">
            <v>38145</v>
          </cell>
          <cell r="I14" t="str">
            <v>A</v>
          </cell>
          <cell r="J14" t="str">
            <v>Sh:2</v>
          </cell>
          <cell r="K14" t="str">
            <v>L</v>
          </cell>
          <cell r="L14" t="str">
            <v>L</v>
          </cell>
          <cell r="M14" t="str">
            <v>L</v>
          </cell>
          <cell r="N14" t="str">
            <v>L</v>
          </cell>
          <cell r="O14" t="str">
            <v>L</v>
          </cell>
          <cell r="P14" t="str">
            <v>L</v>
          </cell>
          <cell r="Q14" t="str">
            <v>L</v>
          </cell>
          <cell r="R14">
            <v>8</v>
          </cell>
          <cell r="S14">
            <v>8</v>
          </cell>
          <cell r="T14">
            <v>8</v>
          </cell>
          <cell r="U14">
            <v>8</v>
          </cell>
          <cell r="V14">
            <v>8</v>
          </cell>
          <cell r="W14">
            <v>8</v>
          </cell>
          <cell r="X14">
            <v>8</v>
          </cell>
          <cell r="Y14">
            <v>8</v>
          </cell>
          <cell r="Z14">
            <v>2</v>
          </cell>
          <cell r="AA14">
            <v>2</v>
          </cell>
          <cell r="AB14">
            <v>2</v>
          </cell>
          <cell r="AC14">
            <v>2</v>
          </cell>
          <cell r="AD14">
            <v>2</v>
          </cell>
          <cell r="AE14">
            <v>2</v>
          </cell>
          <cell r="AF14">
            <v>2</v>
          </cell>
          <cell r="AG14">
            <v>2</v>
          </cell>
          <cell r="AH14">
            <v>2</v>
          </cell>
          <cell r="AI14">
            <v>2</v>
          </cell>
          <cell r="AJ14">
            <v>10</v>
          </cell>
          <cell r="AK14">
            <v>10</v>
          </cell>
          <cell r="AL14">
            <v>2</v>
          </cell>
          <cell r="AM14">
            <v>2</v>
          </cell>
          <cell r="AN14">
            <v>2</v>
          </cell>
          <cell r="AO14" t="str">
            <v>x</v>
          </cell>
          <cell r="AP14">
            <v>23</v>
          </cell>
          <cell r="AQ14">
            <v>7</v>
          </cell>
          <cell r="AR14">
            <v>0</v>
          </cell>
          <cell r="AS14">
            <v>0</v>
          </cell>
          <cell r="AT14">
            <v>0</v>
          </cell>
          <cell r="AU14">
            <v>0</v>
          </cell>
          <cell r="AV14">
            <v>90</v>
          </cell>
          <cell r="AW14">
            <v>20</v>
          </cell>
          <cell r="AX14">
            <v>30</v>
          </cell>
          <cell r="AY14">
            <v>23</v>
          </cell>
          <cell r="AZ14">
            <v>30</v>
          </cell>
          <cell r="CG14">
            <v>60</v>
          </cell>
          <cell r="CH14">
            <v>6</v>
          </cell>
          <cell r="CM14">
            <v>123</v>
          </cell>
          <cell r="CN14" t="str">
            <v>Owed 123 rials Eid bonus, 72 hours 200%, 6 days desert allowance for Eid Al Adhah'2008 from 8th to 13th December'2008.</v>
          </cell>
        </row>
        <row r="15">
          <cell r="B15">
            <v>28</v>
          </cell>
          <cell r="C15" t="str">
            <v>RL</v>
          </cell>
          <cell r="D15" t="str">
            <v>Khalifa Musallam Salim</v>
          </cell>
          <cell r="E15" t="str">
            <v>Heavy Duty Dvr</v>
          </cell>
          <cell r="G15">
            <v>32656</v>
          </cell>
          <cell r="H15">
            <v>38147</v>
          </cell>
          <cell r="I15" t="str">
            <v>A</v>
          </cell>
          <cell r="J15" t="str">
            <v>Sh:3</v>
          </cell>
          <cell r="K15">
            <v>2.5</v>
          </cell>
          <cell r="L15">
            <v>2.5</v>
          </cell>
          <cell r="M15">
            <v>2.5</v>
          </cell>
          <cell r="N15">
            <v>2.5</v>
          </cell>
          <cell r="O15">
            <v>2.5</v>
          </cell>
          <cell r="P15">
            <v>2.5</v>
          </cell>
          <cell r="Q15">
            <v>2.5</v>
          </cell>
          <cell r="R15" t="str">
            <v>L</v>
          </cell>
          <cell r="S15" t="str">
            <v>L</v>
          </cell>
          <cell r="T15" t="str">
            <v>L</v>
          </cell>
          <cell r="U15" t="str">
            <v>L</v>
          </cell>
          <cell r="V15" t="str">
            <v>L</v>
          </cell>
          <cell r="W15" t="str">
            <v>L</v>
          </cell>
          <cell r="X15" t="str">
            <v>L</v>
          </cell>
          <cell r="Y15" t="str">
            <v>L</v>
          </cell>
          <cell r="Z15" t="str">
            <v>L</v>
          </cell>
          <cell r="AA15" t="str">
            <v>L</v>
          </cell>
          <cell r="AB15" t="str">
            <v>L</v>
          </cell>
          <cell r="AC15" t="str">
            <v>L</v>
          </cell>
          <cell r="AD15" t="str">
            <v>L</v>
          </cell>
          <cell r="AE15" t="str">
            <v>L</v>
          </cell>
          <cell r="AF15">
            <v>2.5</v>
          </cell>
          <cell r="AG15">
            <v>2.5</v>
          </cell>
          <cell r="AH15">
            <v>2.5</v>
          </cell>
          <cell r="AI15">
            <v>2.5</v>
          </cell>
          <cell r="AJ15">
            <v>10.5</v>
          </cell>
          <cell r="AK15">
            <v>10.5</v>
          </cell>
          <cell r="AL15">
            <v>2.5</v>
          </cell>
          <cell r="AM15">
            <v>2.5</v>
          </cell>
          <cell r="AN15">
            <v>2.5</v>
          </cell>
          <cell r="AO15" t="str">
            <v>x</v>
          </cell>
          <cell r="AP15">
            <v>16</v>
          </cell>
          <cell r="AQ15">
            <v>14</v>
          </cell>
          <cell r="AR15">
            <v>0</v>
          </cell>
          <cell r="AS15">
            <v>0</v>
          </cell>
          <cell r="AT15">
            <v>0</v>
          </cell>
          <cell r="AU15">
            <v>0</v>
          </cell>
          <cell r="AV15">
            <v>35</v>
          </cell>
          <cell r="AW15">
            <v>21</v>
          </cell>
          <cell r="AX15">
            <v>30</v>
          </cell>
          <cell r="AY15">
            <v>16</v>
          </cell>
          <cell r="AZ15">
            <v>30</v>
          </cell>
          <cell r="CF15">
            <v>163.5</v>
          </cell>
          <cell r="CG15">
            <v>63</v>
          </cell>
          <cell r="CH15">
            <v>6</v>
          </cell>
          <cell r="CM15">
            <v>123</v>
          </cell>
          <cell r="CN15" t="str">
            <v>Owed 163.5 hours overtime extra overtime from 11th to 31st October'2008. Owed 123 rials Eid bonus, 63 hours 200%, 6 days desert allowance for Eid Al Adhah'2008 from 8th to 13th December'2008.</v>
          </cell>
        </row>
        <row r="16">
          <cell r="B16">
            <v>35</v>
          </cell>
          <cell r="C16" t="str">
            <v>R</v>
          </cell>
          <cell r="D16" t="str">
            <v>Said Mohamed Abdullah</v>
          </cell>
          <cell r="E16" t="str">
            <v xml:space="preserve">Labour </v>
          </cell>
          <cell r="G16">
            <v>32656</v>
          </cell>
          <cell r="H16">
            <v>38136</v>
          </cell>
          <cell r="I16" t="str">
            <v>A</v>
          </cell>
          <cell r="J16" t="str">
            <v>Sh:1</v>
          </cell>
          <cell r="K16">
            <v>6</v>
          </cell>
          <cell r="L16">
            <v>6</v>
          </cell>
          <cell r="M16">
            <v>6</v>
          </cell>
          <cell r="N16">
            <v>6</v>
          </cell>
          <cell r="O16">
            <v>6</v>
          </cell>
          <cell r="P16">
            <v>6</v>
          </cell>
          <cell r="Q16">
            <v>6</v>
          </cell>
          <cell r="R16">
            <v>6</v>
          </cell>
          <cell r="S16">
            <v>6</v>
          </cell>
          <cell r="T16">
            <v>6</v>
          </cell>
          <cell r="U16">
            <v>6</v>
          </cell>
          <cell r="V16">
            <v>6</v>
          </cell>
          <cell r="W16">
            <v>6</v>
          </cell>
          <cell r="X16">
            <v>6</v>
          </cell>
          <cell r="Y16">
            <v>6</v>
          </cell>
          <cell r="Z16">
            <v>2</v>
          </cell>
          <cell r="AA16">
            <v>2</v>
          </cell>
          <cell r="AB16">
            <v>2</v>
          </cell>
          <cell r="AC16">
            <v>2</v>
          </cell>
          <cell r="AD16">
            <v>2</v>
          </cell>
          <cell r="AE16">
            <v>2</v>
          </cell>
          <cell r="AF16" t="str">
            <v>L</v>
          </cell>
          <cell r="AG16" t="str">
            <v>L</v>
          </cell>
          <cell r="AH16" t="str">
            <v>L</v>
          </cell>
          <cell r="AI16" t="str">
            <v>L</v>
          </cell>
          <cell r="AJ16" t="str">
            <v>L</v>
          </cell>
          <cell r="AK16" t="str">
            <v>L</v>
          </cell>
          <cell r="AL16" t="str">
            <v>L</v>
          </cell>
          <cell r="AM16" t="str">
            <v>L</v>
          </cell>
          <cell r="AN16" t="str">
            <v>L</v>
          </cell>
          <cell r="AO16" t="str">
            <v>x</v>
          </cell>
          <cell r="AP16">
            <v>21</v>
          </cell>
          <cell r="AQ16">
            <v>9</v>
          </cell>
          <cell r="AR16">
            <v>0</v>
          </cell>
          <cell r="AS16">
            <v>0</v>
          </cell>
          <cell r="AT16">
            <v>0</v>
          </cell>
          <cell r="AU16">
            <v>0</v>
          </cell>
          <cell r="AV16">
            <v>102</v>
          </cell>
          <cell r="AW16">
            <v>0</v>
          </cell>
          <cell r="AX16">
            <v>30</v>
          </cell>
          <cell r="AY16">
            <v>21</v>
          </cell>
          <cell r="AZ16">
            <v>30</v>
          </cell>
          <cell r="CF16">
            <v>28</v>
          </cell>
          <cell r="CN16" t="str">
            <v>Owed 28 hours overtime extra overtime from 25th to 31st October'2008.</v>
          </cell>
        </row>
        <row r="17">
          <cell r="B17">
            <v>40</v>
          </cell>
          <cell r="C17" t="str">
            <v>S</v>
          </cell>
          <cell r="D17" t="str">
            <v>Rashid Masoud Rashid</v>
          </cell>
          <cell r="E17" t="str">
            <v>Labour / Chain Crew</v>
          </cell>
          <cell r="G17">
            <v>32656</v>
          </cell>
          <cell r="H17">
            <v>38136</v>
          </cell>
          <cell r="I17" t="str">
            <v>A</v>
          </cell>
          <cell r="J17" t="str">
            <v>Sh:1</v>
          </cell>
          <cell r="K17">
            <v>2</v>
          </cell>
          <cell r="L17">
            <v>2</v>
          </cell>
          <cell r="M17">
            <v>2</v>
          </cell>
          <cell r="N17">
            <v>6</v>
          </cell>
          <cell r="O17">
            <v>8</v>
          </cell>
          <cell r="P17">
            <v>8</v>
          </cell>
          <cell r="Q17">
            <v>2</v>
          </cell>
          <cell r="R17">
            <v>8</v>
          </cell>
          <cell r="S17">
            <v>8</v>
          </cell>
          <cell r="T17">
            <v>8</v>
          </cell>
          <cell r="U17">
            <v>8</v>
          </cell>
          <cell r="V17">
            <v>8</v>
          </cell>
          <cell r="W17">
            <v>8</v>
          </cell>
          <cell r="X17">
            <v>2</v>
          </cell>
          <cell r="Y17">
            <v>2</v>
          </cell>
          <cell r="Z17">
            <v>2</v>
          </cell>
          <cell r="AA17">
            <v>2</v>
          </cell>
          <cell r="AB17">
            <v>2</v>
          </cell>
          <cell r="AC17">
            <v>2</v>
          </cell>
          <cell r="AD17">
            <v>2</v>
          </cell>
          <cell r="AE17">
            <v>2</v>
          </cell>
          <cell r="AF17" t="str">
            <v>L</v>
          </cell>
          <cell r="AG17" t="str">
            <v>L</v>
          </cell>
          <cell r="AH17" t="str">
            <v>L</v>
          </cell>
          <cell r="AI17" t="str">
            <v>L</v>
          </cell>
          <cell r="AJ17" t="str">
            <v>L</v>
          </cell>
          <cell r="AK17" t="str">
            <v>L</v>
          </cell>
          <cell r="AL17" t="str">
            <v>L</v>
          </cell>
          <cell r="AM17" t="str">
            <v>L</v>
          </cell>
          <cell r="AN17" t="str">
            <v>L</v>
          </cell>
          <cell r="AO17" t="str">
            <v>x</v>
          </cell>
          <cell r="AP17">
            <v>21</v>
          </cell>
          <cell r="AQ17">
            <v>9</v>
          </cell>
          <cell r="AR17">
            <v>0</v>
          </cell>
          <cell r="AS17">
            <v>0</v>
          </cell>
          <cell r="AT17">
            <v>0</v>
          </cell>
          <cell r="AU17">
            <v>0</v>
          </cell>
          <cell r="AV17">
            <v>94</v>
          </cell>
          <cell r="AW17">
            <v>0</v>
          </cell>
          <cell r="AX17">
            <v>30</v>
          </cell>
          <cell r="AY17">
            <v>21</v>
          </cell>
          <cell r="AZ17">
            <v>30</v>
          </cell>
          <cell r="CG17">
            <v>60</v>
          </cell>
          <cell r="CH17">
            <v>6</v>
          </cell>
          <cell r="CM17">
            <v>123</v>
          </cell>
          <cell r="CN17" t="str">
            <v>Owed 123 rials Eid bonus, 60 hours 200%, 6 days desert allowance for Eid Al Adhah'2008 from 8th to 13th December'2008.</v>
          </cell>
        </row>
        <row r="18">
          <cell r="B18">
            <v>42</v>
          </cell>
          <cell r="C18" t="str">
            <v>AN</v>
          </cell>
          <cell r="D18" t="str">
            <v>Sulaiman Hashil Khamis</v>
          </cell>
          <cell r="E18" t="str">
            <v>Asst Mech ' Vibe '</v>
          </cell>
          <cell r="G18">
            <v>32656</v>
          </cell>
          <cell r="H18">
            <v>38147</v>
          </cell>
          <cell r="I18" t="str">
            <v>C</v>
          </cell>
          <cell r="J18" t="str">
            <v>Sh:2</v>
          </cell>
          <cell r="K18" t="str">
            <v>L</v>
          </cell>
          <cell r="L18" t="str">
            <v>L</v>
          </cell>
          <cell r="M18" t="str">
            <v>L</v>
          </cell>
          <cell r="N18" t="str">
            <v>L</v>
          </cell>
          <cell r="O18" t="str">
            <v>L</v>
          </cell>
          <cell r="P18" t="str">
            <v>L</v>
          </cell>
          <cell r="Q18" t="str">
            <v>L</v>
          </cell>
          <cell r="R18">
            <v>2</v>
          </cell>
          <cell r="S18">
            <v>2</v>
          </cell>
          <cell r="T18">
            <v>2</v>
          </cell>
          <cell r="U18">
            <v>2</v>
          </cell>
          <cell r="V18">
            <v>2</v>
          </cell>
          <cell r="W18">
            <v>2</v>
          </cell>
          <cell r="X18">
            <v>2</v>
          </cell>
          <cell r="Y18">
            <v>2</v>
          </cell>
          <cell r="Z18">
            <v>2</v>
          </cell>
          <cell r="AA18">
            <v>2</v>
          </cell>
          <cell r="AB18">
            <v>2</v>
          </cell>
          <cell r="AC18">
            <v>2</v>
          </cell>
          <cell r="AD18">
            <v>2</v>
          </cell>
          <cell r="AE18">
            <v>2</v>
          </cell>
          <cell r="AF18">
            <v>2</v>
          </cell>
          <cell r="AG18">
            <v>2</v>
          </cell>
          <cell r="AH18">
            <v>2</v>
          </cell>
          <cell r="AI18">
            <v>2</v>
          </cell>
          <cell r="AJ18">
            <v>10</v>
          </cell>
          <cell r="AK18">
            <v>10</v>
          </cell>
          <cell r="AL18">
            <v>2</v>
          </cell>
          <cell r="AM18">
            <v>2</v>
          </cell>
          <cell r="AN18">
            <v>2</v>
          </cell>
          <cell r="AO18" t="str">
            <v>x</v>
          </cell>
          <cell r="AP18">
            <v>23</v>
          </cell>
          <cell r="AQ18">
            <v>7</v>
          </cell>
          <cell r="AR18">
            <v>0</v>
          </cell>
          <cell r="AS18">
            <v>0</v>
          </cell>
          <cell r="AT18">
            <v>0</v>
          </cell>
          <cell r="AU18">
            <v>0</v>
          </cell>
          <cell r="AV18">
            <v>42</v>
          </cell>
          <cell r="AW18">
            <v>20</v>
          </cell>
          <cell r="AX18">
            <v>30</v>
          </cell>
          <cell r="AY18">
            <v>23</v>
          </cell>
          <cell r="AZ18">
            <v>30</v>
          </cell>
          <cell r="CF18">
            <v>152</v>
          </cell>
          <cell r="CN18" t="str">
            <v>Owed 152 hours overtime extra overtime from 5th to 24th October'2008.</v>
          </cell>
        </row>
        <row r="19">
          <cell r="B19">
            <v>45</v>
          </cell>
          <cell r="C19" t="str">
            <v>R</v>
          </cell>
          <cell r="D19" t="str">
            <v>Ali Said Khalfan Al Maamari</v>
          </cell>
          <cell r="E19" t="str">
            <v xml:space="preserve">Labour </v>
          </cell>
          <cell r="G19">
            <v>32656</v>
          </cell>
          <cell r="H19">
            <v>38080</v>
          </cell>
          <cell r="I19" t="str">
            <v>A</v>
          </cell>
          <cell r="J19" t="str">
            <v>Sh:3</v>
          </cell>
          <cell r="K19">
            <v>2</v>
          </cell>
          <cell r="L19">
            <v>2</v>
          </cell>
          <cell r="M19">
            <v>2</v>
          </cell>
          <cell r="N19">
            <v>2</v>
          </cell>
          <cell r="O19">
            <v>2</v>
          </cell>
          <cell r="P19">
            <v>2</v>
          </cell>
          <cell r="Q19">
            <v>2</v>
          </cell>
          <cell r="R19" t="str">
            <v>L</v>
          </cell>
          <cell r="S19" t="str">
            <v>L</v>
          </cell>
          <cell r="T19" t="str">
            <v>L</v>
          </cell>
          <cell r="U19" t="str">
            <v>L</v>
          </cell>
          <cell r="V19" t="str">
            <v>L</v>
          </cell>
          <cell r="W19" t="str">
            <v>L</v>
          </cell>
          <cell r="X19" t="str">
            <v>L</v>
          </cell>
          <cell r="Y19" t="str">
            <v>L</v>
          </cell>
          <cell r="Z19" t="str">
            <v>L</v>
          </cell>
          <cell r="AA19" t="str">
            <v>L</v>
          </cell>
          <cell r="AB19" t="str">
            <v>L</v>
          </cell>
          <cell r="AC19" t="str">
            <v>L</v>
          </cell>
          <cell r="AD19" t="str">
            <v>L</v>
          </cell>
          <cell r="AE19" t="str">
            <v>L</v>
          </cell>
          <cell r="AF19">
            <v>2</v>
          </cell>
          <cell r="AG19">
            <v>2</v>
          </cell>
          <cell r="AH19">
            <v>2</v>
          </cell>
          <cell r="AI19">
            <v>2</v>
          </cell>
          <cell r="AJ19">
            <v>10</v>
          </cell>
          <cell r="AK19">
            <v>10</v>
          </cell>
          <cell r="AL19">
            <v>2</v>
          </cell>
          <cell r="AM19">
            <v>2</v>
          </cell>
          <cell r="AN19">
            <v>2</v>
          </cell>
          <cell r="AO19" t="str">
            <v>x</v>
          </cell>
          <cell r="AP19">
            <v>16</v>
          </cell>
          <cell r="AQ19">
            <v>14</v>
          </cell>
          <cell r="AR19">
            <v>0</v>
          </cell>
          <cell r="AS19">
            <v>0</v>
          </cell>
          <cell r="AT19">
            <v>0</v>
          </cell>
          <cell r="AU19">
            <v>0</v>
          </cell>
          <cell r="AV19">
            <v>28</v>
          </cell>
          <cell r="AW19">
            <v>20</v>
          </cell>
          <cell r="AX19">
            <v>30</v>
          </cell>
          <cell r="AY19">
            <v>16</v>
          </cell>
          <cell r="AZ19">
            <v>30</v>
          </cell>
        </row>
        <row r="20">
          <cell r="B20">
            <v>49</v>
          </cell>
          <cell r="C20" t="str">
            <v>S</v>
          </cell>
          <cell r="D20" t="str">
            <v>Rashid Sulaiyam Rashid Al Hinai</v>
          </cell>
          <cell r="E20" t="str">
            <v>Survey Foreman</v>
          </cell>
          <cell r="G20">
            <v>32656</v>
          </cell>
          <cell r="H20">
            <v>38147</v>
          </cell>
          <cell r="I20" t="str">
            <v>A</v>
          </cell>
          <cell r="J20" t="str">
            <v>Sh:3</v>
          </cell>
          <cell r="K20">
            <v>9.5</v>
          </cell>
          <cell r="L20">
            <v>10.5</v>
          </cell>
          <cell r="M20">
            <v>10.5</v>
          </cell>
          <cell r="N20">
            <v>10.5</v>
          </cell>
          <cell r="O20">
            <v>10.5</v>
          </cell>
          <cell r="P20">
            <v>12.5</v>
          </cell>
          <cell r="Q20">
            <v>2.5</v>
          </cell>
          <cell r="R20" t="str">
            <v>L</v>
          </cell>
          <cell r="S20" t="str">
            <v>L</v>
          </cell>
          <cell r="T20" t="str">
            <v>L</v>
          </cell>
          <cell r="U20" t="str">
            <v>L</v>
          </cell>
          <cell r="V20" t="str">
            <v>L</v>
          </cell>
          <cell r="W20" t="str">
            <v>L</v>
          </cell>
          <cell r="X20" t="str">
            <v>L</v>
          </cell>
          <cell r="Y20" t="str">
            <v>L</v>
          </cell>
          <cell r="Z20" t="str">
            <v>L</v>
          </cell>
          <cell r="AA20" t="str">
            <v>L</v>
          </cell>
          <cell r="AB20" t="str">
            <v>L</v>
          </cell>
          <cell r="AC20" t="str">
            <v>L</v>
          </cell>
          <cell r="AD20" t="str">
            <v>L</v>
          </cell>
          <cell r="AE20" t="str">
            <v>L</v>
          </cell>
          <cell r="AF20">
            <v>2.5</v>
          </cell>
          <cell r="AG20">
            <v>2.5</v>
          </cell>
          <cell r="AH20">
            <v>2.5</v>
          </cell>
          <cell r="AI20">
            <v>2.5</v>
          </cell>
          <cell r="AJ20">
            <v>10.5</v>
          </cell>
          <cell r="AK20">
            <v>10.5</v>
          </cell>
          <cell r="AL20">
            <v>2.5</v>
          </cell>
          <cell r="AM20">
            <v>2.5</v>
          </cell>
          <cell r="AN20">
            <v>2.5</v>
          </cell>
          <cell r="AO20" t="str">
            <v>x</v>
          </cell>
          <cell r="AP20">
            <v>16</v>
          </cell>
          <cell r="AQ20">
            <v>14</v>
          </cell>
          <cell r="AR20">
            <v>0</v>
          </cell>
          <cell r="AS20">
            <v>0</v>
          </cell>
          <cell r="AT20">
            <v>0</v>
          </cell>
          <cell r="AU20">
            <v>0</v>
          </cell>
          <cell r="AV20">
            <v>84</v>
          </cell>
          <cell r="AW20">
            <v>21</v>
          </cell>
          <cell r="AX20">
            <v>30</v>
          </cell>
          <cell r="AY20">
            <v>16</v>
          </cell>
          <cell r="AZ20">
            <v>30</v>
          </cell>
          <cell r="CF20">
            <v>147.5</v>
          </cell>
          <cell r="CG20">
            <v>63</v>
          </cell>
          <cell r="CH20">
            <v>6</v>
          </cell>
          <cell r="CM20">
            <v>123</v>
          </cell>
          <cell r="CN20" t="str">
            <v>Owed 147.5 hours overtime extra overtime from 11th to 31st October'2008. Owed 123 rials Eid bonus, 63 hours 200%, 6 days desert allowance for Eid Al Adhah'2008 from 8th to 13th December'2008.</v>
          </cell>
        </row>
        <row r="21">
          <cell r="B21">
            <v>52</v>
          </cell>
          <cell r="C21" t="str">
            <v>SF</v>
          </cell>
          <cell r="D21" t="str">
            <v>Said Rashid Khamis</v>
          </cell>
          <cell r="E21" t="str">
            <v>Survey Foreman</v>
          </cell>
          <cell r="G21">
            <v>32656</v>
          </cell>
          <cell r="H21">
            <v>38145</v>
          </cell>
          <cell r="I21" t="str">
            <v>C</v>
          </cell>
          <cell r="J21" t="str">
            <v>Sh:1</v>
          </cell>
          <cell r="K21">
            <v>7.5</v>
          </cell>
          <cell r="L21">
            <v>7.5</v>
          </cell>
          <cell r="M21">
            <v>6.5</v>
          </cell>
          <cell r="N21">
            <v>10.5</v>
          </cell>
          <cell r="O21">
            <v>8.5</v>
          </cell>
          <cell r="P21">
            <v>8.5</v>
          </cell>
          <cell r="Q21">
            <v>12.5</v>
          </cell>
          <cell r="R21">
            <v>8.5</v>
          </cell>
          <cell r="S21">
            <v>2.5</v>
          </cell>
          <cell r="T21">
            <v>8.5</v>
          </cell>
          <cell r="U21">
            <v>8.5</v>
          </cell>
          <cell r="V21">
            <v>8.5</v>
          </cell>
          <cell r="W21">
            <v>8.5</v>
          </cell>
          <cell r="X21">
            <v>7.5</v>
          </cell>
          <cell r="Y21">
            <v>7.5</v>
          </cell>
          <cell r="Z21">
            <v>2.5</v>
          </cell>
          <cell r="AA21">
            <v>2.5</v>
          </cell>
          <cell r="AB21">
            <v>2.5</v>
          </cell>
          <cell r="AC21">
            <v>2.5</v>
          </cell>
          <cell r="AD21">
            <v>2.5</v>
          </cell>
          <cell r="AE21">
            <v>2.5</v>
          </cell>
          <cell r="AF21" t="str">
            <v>L</v>
          </cell>
          <cell r="AG21" t="str">
            <v>L</v>
          </cell>
          <cell r="AH21" t="str">
            <v>L</v>
          </cell>
          <cell r="AI21" t="str">
            <v>L</v>
          </cell>
          <cell r="AJ21" t="str">
            <v>L</v>
          </cell>
          <cell r="AK21" t="str">
            <v>L</v>
          </cell>
          <cell r="AL21" t="str">
            <v>L</v>
          </cell>
          <cell r="AM21" t="str">
            <v>L</v>
          </cell>
          <cell r="AN21" t="str">
            <v>L</v>
          </cell>
          <cell r="AO21" t="str">
            <v>x</v>
          </cell>
          <cell r="AP21">
            <v>21</v>
          </cell>
          <cell r="AQ21">
            <v>9</v>
          </cell>
          <cell r="AR21">
            <v>0</v>
          </cell>
          <cell r="AS21">
            <v>0</v>
          </cell>
          <cell r="AT21">
            <v>0</v>
          </cell>
          <cell r="AU21">
            <v>0</v>
          </cell>
          <cell r="AV21">
            <v>136.5</v>
          </cell>
          <cell r="AW21">
            <v>0</v>
          </cell>
          <cell r="AX21">
            <v>30</v>
          </cell>
          <cell r="AY21">
            <v>21</v>
          </cell>
          <cell r="AZ21">
            <v>30</v>
          </cell>
          <cell r="CG21">
            <v>63</v>
          </cell>
          <cell r="CH21">
            <v>6</v>
          </cell>
          <cell r="CM21">
            <v>123</v>
          </cell>
          <cell r="CN21" t="str">
            <v>Owed 123 rials Eid bonus, 63 hours 200%, 6 days desert allowance for Eid Al Adhah'2008 from 8th to 13th December'2008.</v>
          </cell>
        </row>
        <row r="22">
          <cell r="B22">
            <v>53</v>
          </cell>
          <cell r="C22" t="str">
            <v>SH</v>
          </cell>
          <cell r="D22" t="str">
            <v>Suleiman Salim Saram</v>
          </cell>
          <cell r="E22" t="str">
            <v>Vibe Operator</v>
          </cell>
          <cell r="G22">
            <v>32656</v>
          </cell>
          <cell r="H22">
            <v>38145</v>
          </cell>
          <cell r="I22" t="str">
            <v>E</v>
          </cell>
          <cell r="J22" t="str">
            <v>Sh:2</v>
          </cell>
          <cell r="K22" t="str">
            <v>H</v>
          </cell>
          <cell r="L22" t="str">
            <v>H</v>
          </cell>
          <cell r="M22" t="str">
            <v>H</v>
          </cell>
          <cell r="N22" t="str">
            <v>H</v>
          </cell>
          <cell r="O22" t="str">
            <v>H</v>
          </cell>
          <cell r="P22" t="str">
            <v>H</v>
          </cell>
          <cell r="Q22" t="str">
            <v>H</v>
          </cell>
          <cell r="R22" t="str">
            <v>H</v>
          </cell>
          <cell r="S22" t="str">
            <v>H</v>
          </cell>
          <cell r="T22" t="str">
            <v>H</v>
          </cell>
          <cell r="U22" t="str">
            <v>H</v>
          </cell>
          <cell r="V22" t="str">
            <v>H</v>
          </cell>
          <cell r="W22" t="str">
            <v>H</v>
          </cell>
          <cell r="X22" t="str">
            <v>H</v>
          </cell>
          <cell r="Y22" t="str">
            <v>H</v>
          </cell>
          <cell r="Z22" t="str">
            <v>H</v>
          </cell>
          <cell r="AA22" t="str">
            <v>H</v>
          </cell>
          <cell r="AB22" t="str">
            <v>H</v>
          </cell>
          <cell r="AC22" t="str">
            <v>H</v>
          </cell>
          <cell r="AD22" t="str">
            <v>H</v>
          </cell>
          <cell r="AE22" t="str">
            <v>H</v>
          </cell>
          <cell r="AF22" t="str">
            <v>H</v>
          </cell>
          <cell r="AG22" t="str">
            <v>H</v>
          </cell>
          <cell r="AH22" t="str">
            <v>H</v>
          </cell>
          <cell r="AI22" t="str">
            <v>H</v>
          </cell>
          <cell r="AJ22" t="str">
            <v>H</v>
          </cell>
          <cell r="AK22" t="str">
            <v>H</v>
          </cell>
          <cell r="AL22" t="str">
            <v>H</v>
          </cell>
          <cell r="AM22" t="str">
            <v>H</v>
          </cell>
          <cell r="AN22" t="str">
            <v>H</v>
          </cell>
          <cell r="AO22" t="str">
            <v>x</v>
          </cell>
          <cell r="AP22">
            <v>0</v>
          </cell>
          <cell r="AQ22">
            <v>0</v>
          </cell>
          <cell r="AR22">
            <v>0</v>
          </cell>
          <cell r="AS22">
            <v>0</v>
          </cell>
          <cell r="AT22">
            <v>0</v>
          </cell>
          <cell r="AU22">
            <v>30</v>
          </cell>
          <cell r="AV22">
            <v>0</v>
          </cell>
          <cell r="AW22">
            <v>0</v>
          </cell>
          <cell r="AX22">
            <v>0</v>
          </cell>
          <cell r="AY22">
            <v>0</v>
          </cell>
          <cell r="AZ22">
            <v>0</v>
          </cell>
        </row>
        <row r="23">
          <cell r="B23">
            <v>61</v>
          </cell>
          <cell r="C23" t="str">
            <v>AN</v>
          </cell>
          <cell r="D23" t="str">
            <v>Saif Amur Manaa Al Ghafri</v>
          </cell>
          <cell r="E23" t="str">
            <v>Heavy Duty Dvr / W</v>
          </cell>
          <cell r="G23">
            <v>32669</v>
          </cell>
          <cell r="H23">
            <v>38136</v>
          </cell>
          <cell r="I23" t="str">
            <v>E</v>
          </cell>
          <cell r="J23" t="str">
            <v>Sh:1</v>
          </cell>
          <cell r="K23">
            <v>4</v>
          </cell>
          <cell r="L23">
            <v>4</v>
          </cell>
          <cell r="M23">
            <v>4</v>
          </cell>
          <cell r="N23">
            <v>4</v>
          </cell>
          <cell r="O23">
            <v>4</v>
          </cell>
          <cell r="P23">
            <v>4</v>
          </cell>
          <cell r="Q23">
            <v>4</v>
          </cell>
          <cell r="R23">
            <v>4</v>
          </cell>
          <cell r="S23">
            <v>4</v>
          </cell>
          <cell r="T23">
            <v>4</v>
          </cell>
          <cell r="U23">
            <v>4</v>
          </cell>
          <cell r="V23">
            <v>4</v>
          </cell>
          <cell r="W23">
            <v>4</v>
          </cell>
          <cell r="X23">
            <v>4</v>
          </cell>
          <cell r="Y23">
            <v>4</v>
          </cell>
          <cell r="Z23">
            <v>4</v>
          </cell>
          <cell r="AA23">
            <v>4</v>
          </cell>
          <cell r="AB23">
            <v>4</v>
          </cell>
          <cell r="AC23">
            <v>4</v>
          </cell>
          <cell r="AD23">
            <v>4</v>
          </cell>
          <cell r="AE23">
            <v>4</v>
          </cell>
          <cell r="AF23" t="str">
            <v>L</v>
          </cell>
          <cell r="AG23" t="str">
            <v>L</v>
          </cell>
          <cell r="AH23" t="str">
            <v>L</v>
          </cell>
          <cell r="AI23" t="str">
            <v>L</v>
          </cell>
          <cell r="AJ23" t="str">
            <v>L</v>
          </cell>
          <cell r="AK23" t="str">
            <v>L</v>
          </cell>
          <cell r="AL23" t="str">
            <v>L</v>
          </cell>
          <cell r="AM23" t="str">
            <v>L</v>
          </cell>
          <cell r="AN23" t="str">
            <v>L</v>
          </cell>
          <cell r="AO23" t="str">
            <v>x</v>
          </cell>
          <cell r="AP23">
            <v>21</v>
          </cell>
          <cell r="AQ23">
            <v>9</v>
          </cell>
          <cell r="AR23">
            <v>0</v>
          </cell>
          <cell r="AS23">
            <v>0</v>
          </cell>
          <cell r="AT23">
            <v>0</v>
          </cell>
          <cell r="AU23">
            <v>0</v>
          </cell>
          <cell r="AV23">
            <v>84</v>
          </cell>
          <cell r="AW23">
            <v>0</v>
          </cell>
          <cell r="AX23">
            <v>30</v>
          </cell>
          <cell r="AY23">
            <v>21</v>
          </cell>
          <cell r="AZ23">
            <v>30</v>
          </cell>
        </row>
        <row r="24">
          <cell r="B24">
            <v>63</v>
          </cell>
          <cell r="C24" t="str">
            <v>RL</v>
          </cell>
          <cell r="D24" t="str">
            <v>Abdullah Bakhit Harib Al Ghafri</v>
          </cell>
          <cell r="E24" t="str">
            <v>Heavy Duty Dvr</v>
          </cell>
          <cell r="G24">
            <v>32669</v>
          </cell>
          <cell r="H24">
            <v>38136</v>
          </cell>
          <cell r="I24" t="str">
            <v>E</v>
          </cell>
          <cell r="J24" t="str">
            <v>Sh:1</v>
          </cell>
          <cell r="K24">
            <v>6.5</v>
          </cell>
          <cell r="L24">
            <v>6.5</v>
          </cell>
          <cell r="M24">
            <v>6.5</v>
          </cell>
          <cell r="N24">
            <v>6.5</v>
          </cell>
          <cell r="O24">
            <v>6.5</v>
          </cell>
          <cell r="P24">
            <v>6.5</v>
          </cell>
          <cell r="Q24">
            <v>6.5</v>
          </cell>
          <cell r="R24">
            <v>6.5</v>
          </cell>
          <cell r="S24">
            <v>6.5</v>
          </cell>
          <cell r="T24">
            <v>6.5</v>
          </cell>
          <cell r="U24">
            <v>6.5</v>
          </cell>
          <cell r="V24">
            <v>6.5</v>
          </cell>
          <cell r="W24">
            <v>6.5</v>
          </cell>
          <cell r="X24">
            <v>6.5</v>
          </cell>
          <cell r="Y24">
            <v>6.5</v>
          </cell>
          <cell r="Z24">
            <v>2.5</v>
          </cell>
          <cell r="AA24" t="str">
            <v>S</v>
          </cell>
          <cell r="AB24">
            <v>2.5</v>
          </cell>
          <cell r="AC24">
            <v>2.5</v>
          </cell>
          <cell r="AD24">
            <v>2.5</v>
          </cell>
          <cell r="AE24">
            <v>2.5</v>
          </cell>
          <cell r="AF24" t="str">
            <v>L</v>
          </cell>
          <cell r="AG24" t="str">
            <v>L</v>
          </cell>
          <cell r="AH24" t="str">
            <v>L</v>
          </cell>
          <cell r="AI24" t="str">
            <v>L</v>
          </cell>
          <cell r="AJ24" t="str">
            <v>L</v>
          </cell>
          <cell r="AK24" t="str">
            <v>L</v>
          </cell>
          <cell r="AL24" t="str">
            <v>L</v>
          </cell>
          <cell r="AM24" t="str">
            <v>L</v>
          </cell>
          <cell r="AN24" t="str">
            <v>L</v>
          </cell>
          <cell r="AO24" t="str">
            <v>x</v>
          </cell>
          <cell r="AP24">
            <v>20</v>
          </cell>
          <cell r="AQ24">
            <v>9</v>
          </cell>
          <cell r="AR24">
            <v>1</v>
          </cell>
          <cell r="AS24">
            <v>0</v>
          </cell>
          <cell r="AT24">
            <v>0</v>
          </cell>
          <cell r="AU24">
            <v>0</v>
          </cell>
          <cell r="AV24">
            <v>110</v>
          </cell>
          <cell r="AW24">
            <v>0</v>
          </cell>
          <cell r="AX24">
            <v>30</v>
          </cell>
          <cell r="AY24">
            <v>20</v>
          </cell>
          <cell r="AZ24">
            <v>30</v>
          </cell>
          <cell r="CF24">
            <v>20</v>
          </cell>
          <cell r="CN24" t="str">
            <v>Owed 20 hours overtime extra overtime from 27th to 31st October'2008.</v>
          </cell>
        </row>
        <row r="25">
          <cell r="B25">
            <v>64</v>
          </cell>
          <cell r="C25" t="str">
            <v>SH</v>
          </cell>
          <cell r="D25" t="str">
            <v>Hamad Khalaf Mohsin</v>
          </cell>
          <cell r="E25" t="str">
            <v>Vibe Operator</v>
          </cell>
          <cell r="G25">
            <v>32669</v>
          </cell>
          <cell r="H25">
            <v>38147</v>
          </cell>
          <cell r="I25" t="str">
            <v>E</v>
          </cell>
          <cell r="J25" t="str">
            <v>Sh:2</v>
          </cell>
          <cell r="K25" t="str">
            <v>H</v>
          </cell>
          <cell r="L25" t="str">
            <v>H</v>
          </cell>
          <cell r="M25" t="str">
            <v>H</v>
          </cell>
          <cell r="N25" t="str">
            <v>H</v>
          </cell>
          <cell r="O25" t="str">
            <v>H</v>
          </cell>
          <cell r="P25" t="str">
            <v>H</v>
          </cell>
          <cell r="Q25" t="str">
            <v>H</v>
          </cell>
          <cell r="R25">
            <v>8</v>
          </cell>
          <cell r="S25">
            <v>8</v>
          </cell>
          <cell r="T25">
            <v>8</v>
          </cell>
          <cell r="U25">
            <v>8</v>
          </cell>
          <cell r="V25">
            <v>8</v>
          </cell>
          <cell r="W25">
            <v>8</v>
          </cell>
          <cell r="X25">
            <v>9</v>
          </cell>
          <cell r="Y25">
            <v>9</v>
          </cell>
          <cell r="Z25">
            <v>9</v>
          </cell>
          <cell r="AA25">
            <v>9</v>
          </cell>
          <cell r="AB25">
            <v>9</v>
          </cell>
          <cell r="AC25">
            <v>9</v>
          </cell>
          <cell r="AD25">
            <v>9</v>
          </cell>
          <cell r="AE25">
            <v>9</v>
          </cell>
          <cell r="AF25">
            <v>9</v>
          </cell>
          <cell r="AG25">
            <v>9</v>
          </cell>
          <cell r="AH25">
            <v>9</v>
          </cell>
          <cell r="AI25">
            <v>9</v>
          </cell>
          <cell r="AJ25">
            <v>17</v>
          </cell>
          <cell r="AK25">
            <v>17</v>
          </cell>
          <cell r="AL25">
            <v>9</v>
          </cell>
          <cell r="AM25">
            <v>9</v>
          </cell>
          <cell r="AN25">
            <v>9</v>
          </cell>
          <cell r="AO25" t="str">
            <v>x</v>
          </cell>
          <cell r="AP25">
            <v>23</v>
          </cell>
          <cell r="AQ25">
            <v>0</v>
          </cell>
          <cell r="AR25">
            <v>0</v>
          </cell>
          <cell r="AS25">
            <v>0</v>
          </cell>
          <cell r="AT25">
            <v>0</v>
          </cell>
          <cell r="AU25">
            <v>7</v>
          </cell>
          <cell r="AV25">
            <v>183</v>
          </cell>
          <cell r="AW25">
            <v>34</v>
          </cell>
          <cell r="AX25">
            <v>23</v>
          </cell>
          <cell r="AY25">
            <v>23</v>
          </cell>
          <cell r="AZ25">
            <v>23</v>
          </cell>
          <cell r="CG25">
            <v>102</v>
          </cell>
          <cell r="CH25">
            <v>6</v>
          </cell>
          <cell r="CM25">
            <v>123</v>
          </cell>
          <cell r="CN25" t="str">
            <v>Owed 123 rials Eid bonus, 102 hours 200%, 6 days desert allowance for Eid Al Adhah'2008 from 8th to 13th December'2008.</v>
          </cell>
        </row>
        <row r="26">
          <cell r="B26">
            <v>77</v>
          </cell>
          <cell r="C26" t="str">
            <v>RL</v>
          </cell>
          <cell r="D26" t="str">
            <v>Shouyan Obaid Hussain Al Dara'i</v>
          </cell>
          <cell r="E26" t="str">
            <v>Vibe Operator</v>
          </cell>
          <cell r="G26">
            <v>32669</v>
          </cell>
          <cell r="H26">
            <v>38136</v>
          </cell>
          <cell r="I26" t="str">
            <v>E</v>
          </cell>
          <cell r="J26" t="str">
            <v>Sh:1</v>
          </cell>
          <cell r="K26">
            <v>8</v>
          </cell>
          <cell r="L26">
            <v>8</v>
          </cell>
          <cell r="M26">
            <v>8</v>
          </cell>
          <cell r="N26">
            <v>8</v>
          </cell>
          <cell r="O26">
            <v>8</v>
          </cell>
          <cell r="P26">
            <v>8</v>
          </cell>
          <cell r="Q26">
            <v>8</v>
          </cell>
          <cell r="R26">
            <v>8</v>
          </cell>
          <cell r="S26">
            <v>8</v>
          </cell>
          <cell r="T26">
            <v>8</v>
          </cell>
          <cell r="U26">
            <v>8</v>
          </cell>
          <cell r="V26">
            <v>8</v>
          </cell>
          <cell r="W26">
            <v>8</v>
          </cell>
          <cell r="X26">
            <v>9</v>
          </cell>
          <cell r="Y26">
            <v>9</v>
          </cell>
          <cell r="Z26">
            <v>9</v>
          </cell>
          <cell r="AA26">
            <v>9</v>
          </cell>
          <cell r="AB26">
            <v>9</v>
          </cell>
          <cell r="AC26">
            <v>9</v>
          </cell>
          <cell r="AD26">
            <v>9</v>
          </cell>
          <cell r="AE26">
            <v>9</v>
          </cell>
          <cell r="AF26" t="str">
            <v>L</v>
          </cell>
          <cell r="AG26" t="str">
            <v>L</v>
          </cell>
          <cell r="AH26" t="str">
            <v>L</v>
          </cell>
          <cell r="AI26" t="str">
            <v>L</v>
          </cell>
          <cell r="AJ26" t="str">
            <v>L</v>
          </cell>
          <cell r="AK26" t="str">
            <v>L</v>
          </cell>
          <cell r="AL26" t="str">
            <v>L</v>
          </cell>
          <cell r="AM26" t="str">
            <v>L</v>
          </cell>
          <cell r="AN26" t="str">
            <v>L</v>
          </cell>
          <cell r="AO26" t="str">
            <v>x</v>
          </cell>
          <cell r="AP26">
            <v>21</v>
          </cell>
          <cell r="AQ26">
            <v>9</v>
          </cell>
          <cell r="AR26">
            <v>0</v>
          </cell>
          <cell r="AS26">
            <v>0</v>
          </cell>
          <cell r="AT26">
            <v>0</v>
          </cell>
          <cell r="AU26">
            <v>0</v>
          </cell>
          <cell r="AV26">
            <v>176</v>
          </cell>
          <cell r="AW26">
            <v>0</v>
          </cell>
          <cell r="AX26">
            <v>30</v>
          </cell>
          <cell r="AY26">
            <v>21</v>
          </cell>
          <cell r="AZ26">
            <v>30</v>
          </cell>
          <cell r="CG26">
            <v>102</v>
          </cell>
          <cell r="CH26">
            <v>6</v>
          </cell>
          <cell r="CM26">
            <v>123</v>
          </cell>
          <cell r="CN26" t="str">
            <v xml:space="preserve">Owed 123 rials Eid bonus, 102 hours 200%, 6 days desert allowance for Eid Al Adhah'2008. </v>
          </cell>
        </row>
        <row r="27">
          <cell r="B27">
            <v>79</v>
          </cell>
          <cell r="C27" t="str">
            <v>SH</v>
          </cell>
          <cell r="D27" t="str">
            <v>Saif Sulaiyman Saif</v>
          </cell>
          <cell r="E27" t="str">
            <v>Group Foreman</v>
          </cell>
          <cell r="G27">
            <v>32669</v>
          </cell>
          <cell r="H27">
            <v>38145</v>
          </cell>
          <cell r="I27" t="str">
            <v>C</v>
          </cell>
          <cell r="J27" t="str">
            <v>Sh:2</v>
          </cell>
          <cell r="K27" t="str">
            <v>L</v>
          </cell>
          <cell r="L27" t="str">
            <v>L</v>
          </cell>
          <cell r="M27" t="str">
            <v>L</v>
          </cell>
          <cell r="N27" t="str">
            <v>L</v>
          </cell>
          <cell r="O27" t="str">
            <v>L</v>
          </cell>
          <cell r="P27" t="str">
            <v>L</v>
          </cell>
          <cell r="Q27" t="str">
            <v>L</v>
          </cell>
          <cell r="R27">
            <v>6.5</v>
          </cell>
          <cell r="S27">
            <v>7.5</v>
          </cell>
          <cell r="T27">
            <v>7.5</v>
          </cell>
          <cell r="U27">
            <v>7.5</v>
          </cell>
          <cell r="V27">
            <v>7.5</v>
          </cell>
          <cell r="W27">
            <v>7.5</v>
          </cell>
          <cell r="X27">
            <v>7.5</v>
          </cell>
          <cell r="Y27">
            <v>7.5</v>
          </cell>
          <cell r="Z27">
            <v>2.5</v>
          </cell>
          <cell r="AA27">
            <v>2.5</v>
          </cell>
          <cell r="AB27">
            <v>2.5</v>
          </cell>
          <cell r="AC27" t="str">
            <v>C</v>
          </cell>
          <cell r="AD27" t="str">
            <v>C</v>
          </cell>
          <cell r="AE27">
            <v>2.5</v>
          </cell>
          <cell r="AF27">
            <v>2.5</v>
          </cell>
          <cell r="AG27">
            <v>2.5</v>
          </cell>
          <cell r="AH27">
            <v>2.5</v>
          </cell>
          <cell r="AI27">
            <v>2.5</v>
          </cell>
          <cell r="AJ27">
            <v>10.5</v>
          </cell>
          <cell r="AK27">
            <v>10.5</v>
          </cell>
          <cell r="AL27">
            <v>2.5</v>
          </cell>
          <cell r="AM27">
            <v>2.5</v>
          </cell>
          <cell r="AN27">
            <v>2.5</v>
          </cell>
          <cell r="AO27" t="str">
            <v>x</v>
          </cell>
          <cell r="AP27">
            <v>21</v>
          </cell>
          <cell r="AQ27">
            <v>9</v>
          </cell>
          <cell r="AR27">
            <v>0</v>
          </cell>
          <cell r="AS27">
            <v>0</v>
          </cell>
          <cell r="AT27">
            <v>0</v>
          </cell>
          <cell r="AU27">
            <v>0</v>
          </cell>
          <cell r="AV27">
            <v>86.5</v>
          </cell>
          <cell r="AW27">
            <v>21</v>
          </cell>
          <cell r="AX27">
            <v>30</v>
          </cell>
          <cell r="AY27">
            <v>21</v>
          </cell>
          <cell r="AZ27">
            <v>30</v>
          </cell>
          <cell r="CF27">
            <v>16.5</v>
          </cell>
          <cell r="CH27">
            <v>-3</v>
          </cell>
          <cell r="CN27" t="str">
            <v>Deducted 3 days desert allowance, 7.5 hours overtime take leave on 22nd to 24th October'2008. Owed 24 hours overtime extra overtime from 16th to 21st October'2008.</v>
          </cell>
        </row>
        <row r="28">
          <cell r="B28">
            <v>82</v>
          </cell>
          <cell r="C28" t="str">
            <v>SC</v>
          </cell>
          <cell r="D28" t="str">
            <v>Khalifa Salim Mohamed</v>
          </cell>
          <cell r="E28" t="str">
            <v>Labour / Cable</v>
          </cell>
          <cell r="G28">
            <v>32669</v>
          </cell>
          <cell r="H28">
            <v>38132</v>
          </cell>
          <cell r="I28" t="str">
            <v>A</v>
          </cell>
          <cell r="J28" t="str">
            <v>Sh:2</v>
          </cell>
          <cell r="K28" t="str">
            <v>L</v>
          </cell>
          <cell r="L28" t="str">
            <v>L</v>
          </cell>
          <cell r="M28" t="str">
            <v>L</v>
          </cell>
          <cell r="N28" t="str">
            <v>L</v>
          </cell>
          <cell r="O28" t="str">
            <v>L</v>
          </cell>
          <cell r="P28" t="str">
            <v>L</v>
          </cell>
          <cell r="Q28" t="str">
            <v>L</v>
          </cell>
          <cell r="R28">
            <v>7.5</v>
          </cell>
          <cell r="S28">
            <v>8.5</v>
          </cell>
          <cell r="T28">
            <v>8.5</v>
          </cell>
          <cell r="U28">
            <v>8.5</v>
          </cell>
          <cell r="V28">
            <v>8.5</v>
          </cell>
          <cell r="W28">
            <v>8.5</v>
          </cell>
          <cell r="X28">
            <v>8.5</v>
          </cell>
          <cell r="Y28">
            <v>8.5</v>
          </cell>
          <cell r="Z28">
            <v>4</v>
          </cell>
          <cell r="AA28">
            <v>4</v>
          </cell>
          <cell r="AB28">
            <v>4</v>
          </cell>
          <cell r="AC28">
            <v>4</v>
          </cell>
          <cell r="AD28">
            <v>4</v>
          </cell>
          <cell r="AE28">
            <v>4</v>
          </cell>
          <cell r="AF28">
            <v>4</v>
          </cell>
          <cell r="AG28">
            <v>4</v>
          </cell>
          <cell r="AH28">
            <v>4</v>
          </cell>
          <cell r="AI28">
            <v>4</v>
          </cell>
          <cell r="AJ28">
            <v>12</v>
          </cell>
          <cell r="AK28">
            <v>12</v>
          </cell>
          <cell r="AL28">
            <v>4</v>
          </cell>
          <cell r="AM28">
            <v>4</v>
          </cell>
          <cell r="AN28">
            <v>4</v>
          </cell>
          <cell r="AO28" t="str">
            <v>x</v>
          </cell>
          <cell r="AP28">
            <v>23</v>
          </cell>
          <cell r="AQ28">
            <v>7</v>
          </cell>
          <cell r="AR28">
            <v>0</v>
          </cell>
          <cell r="AS28">
            <v>0</v>
          </cell>
          <cell r="AT28">
            <v>0</v>
          </cell>
          <cell r="AU28">
            <v>0</v>
          </cell>
          <cell r="AV28">
            <v>119</v>
          </cell>
          <cell r="AW28">
            <v>24</v>
          </cell>
          <cell r="AX28">
            <v>30</v>
          </cell>
          <cell r="AY28">
            <v>23</v>
          </cell>
          <cell r="AZ28">
            <v>30</v>
          </cell>
          <cell r="CF28">
            <v>55</v>
          </cell>
          <cell r="CG28">
            <v>72</v>
          </cell>
          <cell r="CH28">
            <v>7</v>
          </cell>
          <cell r="CM28">
            <v>123</v>
          </cell>
          <cell r="CN28" t="str">
            <v>Owed one day desert allowance, 4 hours overtime on 5th October'2008 the shift change bus broken on the way to crew. Owed 51 hours overtime extra overtime from 6th to 7th and 14th to 23rd October'2008. Owed 123 rials Eid bonus, 72 hours 200%, 6 days desert</v>
          </cell>
        </row>
        <row r="29">
          <cell r="B29">
            <v>83</v>
          </cell>
          <cell r="C29" t="str">
            <v>SH</v>
          </cell>
          <cell r="D29" t="str">
            <v>Salim Sulaiyam Nasser Al Khatri</v>
          </cell>
          <cell r="E29" t="str">
            <v>Labour / Cable</v>
          </cell>
          <cell r="G29">
            <v>32669</v>
          </cell>
          <cell r="H29">
            <v>38145</v>
          </cell>
          <cell r="I29" t="str">
            <v>A</v>
          </cell>
          <cell r="J29" t="str">
            <v>Sh:2</v>
          </cell>
          <cell r="K29" t="str">
            <v>L</v>
          </cell>
          <cell r="L29" t="str">
            <v>L</v>
          </cell>
          <cell r="M29" t="str">
            <v>L</v>
          </cell>
          <cell r="N29" t="str">
            <v>L</v>
          </cell>
          <cell r="O29" t="str">
            <v>L</v>
          </cell>
          <cell r="P29" t="str">
            <v>L</v>
          </cell>
          <cell r="Q29" t="str">
            <v>L</v>
          </cell>
          <cell r="R29">
            <v>7.5</v>
          </cell>
          <cell r="S29">
            <v>8.5</v>
          </cell>
          <cell r="T29">
            <v>8.5</v>
          </cell>
          <cell r="U29">
            <v>8.5</v>
          </cell>
          <cell r="V29">
            <v>8.5</v>
          </cell>
          <cell r="W29">
            <v>8.5</v>
          </cell>
          <cell r="X29">
            <v>8.5</v>
          </cell>
          <cell r="Y29">
            <v>8.5</v>
          </cell>
          <cell r="Z29">
            <v>4</v>
          </cell>
          <cell r="AA29">
            <v>4</v>
          </cell>
          <cell r="AB29">
            <v>4</v>
          </cell>
          <cell r="AC29">
            <v>4</v>
          </cell>
          <cell r="AD29">
            <v>4</v>
          </cell>
          <cell r="AE29">
            <v>4</v>
          </cell>
          <cell r="AF29">
            <v>4</v>
          </cell>
          <cell r="AG29">
            <v>4</v>
          </cell>
          <cell r="AH29">
            <v>4</v>
          </cell>
          <cell r="AI29">
            <v>4</v>
          </cell>
          <cell r="AJ29">
            <v>12</v>
          </cell>
          <cell r="AK29">
            <v>12</v>
          </cell>
          <cell r="AL29">
            <v>4</v>
          </cell>
          <cell r="AM29">
            <v>4</v>
          </cell>
          <cell r="AN29">
            <v>4</v>
          </cell>
          <cell r="AO29" t="str">
            <v>x</v>
          </cell>
          <cell r="AP29">
            <v>23</v>
          </cell>
          <cell r="AQ29">
            <v>7</v>
          </cell>
          <cell r="AR29">
            <v>0</v>
          </cell>
          <cell r="AS29">
            <v>0</v>
          </cell>
          <cell r="AT29">
            <v>0</v>
          </cell>
          <cell r="AU29">
            <v>0</v>
          </cell>
          <cell r="AV29">
            <v>119</v>
          </cell>
          <cell r="AW29">
            <v>24</v>
          </cell>
          <cell r="AX29">
            <v>30</v>
          </cell>
          <cell r="AY29">
            <v>23</v>
          </cell>
          <cell r="AZ29">
            <v>30</v>
          </cell>
          <cell r="CF29">
            <v>48.5</v>
          </cell>
          <cell r="CN29" t="str">
            <v>Owed 48.5 hours overtime extra overtime from 5th to 7th and 15th to 23rd October'2008.</v>
          </cell>
        </row>
        <row r="30">
          <cell r="B30">
            <v>84</v>
          </cell>
          <cell r="C30" t="str">
            <v>R</v>
          </cell>
          <cell r="D30" t="str">
            <v>Sulaiman Humaid Salim Al Shekili</v>
          </cell>
          <cell r="E30" t="str">
            <v>Labour</v>
          </cell>
          <cell r="G30">
            <v>32669</v>
          </cell>
          <cell r="H30">
            <v>38111</v>
          </cell>
          <cell r="I30" t="str">
            <v>A</v>
          </cell>
          <cell r="J30" t="str">
            <v>Sh:3</v>
          </cell>
          <cell r="K30">
            <v>6</v>
          </cell>
          <cell r="L30">
            <v>6</v>
          </cell>
          <cell r="M30">
            <v>6</v>
          </cell>
          <cell r="N30">
            <v>6</v>
          </cell>
          <cell r="O30">
            <v>6</v>
          </cell>
          <cell r="P30">
            <v>6</v>
          </cell>
          <cell r="Q30">
            <v>2</v>
          </cell>
          <cell r="R30" t="str">
            <v>L</v>
          </cell>
          <cell r="S30" t="str">
            <v>L</v>
          </cell>
          <cell r="T30" t="str">
            <v>L</v>
          </cell>
          <cell r="U30" t="str">
            <v>L</v>
          </cell>
          <cell r="V30" t="str">
            <v>L</v>
          </cell>
          <cell r="W30" t="str">
            <v>L</v>
          </cell>
          <cell r="X30" t="str">
            <v>L</v>
          </cell>
          <cell r="Y30" t="str">
            <v>L</v>
          </cell>
          <cell r="Z30" t="str">
            <v>L</v>
          </cell>
          <cell r="AA30" t="str">
            <v>L</v>
          </cell>
          <cell r="AB30" t="str">
            <v>L</v>
          </cell>
          <cell r="AC30" t="str">
            <v>L</v>
          </cell>
          <cell r="AD30" t="str">
            <v>L</v>
          </cell>
          <cell r="AE30" t="str">
            <v>L</v>
          </cell>
          <cell r="AF30">
            <v>2</v>
          </cell>
          <cell r="AG30">
            <v>2</v>
          </cell>
          <cell r="AH30">
            <v>2</v>
          </cell>
          <cell r="AI30">
            <v>2</v>
          </cell>
          <cell r="AJ30">
            <v>10</v>
          </cell>
          <cell r="AK30">
            <v>10</v>
          </cell>
          <cell r="AL30">
            <v>2</v>
          </cell>
          <cell r="AM30">
            <v>2</v>
          </cell>
          <cell r="AN30">
            <v>2</v>
          </cell>
          <cell r="AO30" t="str">
            <v>x</v>
          </cell>
          <cell r="AP30">
            <v>16</v>
          </cell>
          <cell r="AQ30">
            <v>14</v>
          </cell>
          <cell r="AR30">
            <v>0</v>
          </cell>
          <cell r="AS30">
            <v>0</v>
          </cell>
          <cell r="AT30">
            <v>0</v>
          </cell>
          <cell r="AU30">
            <v>0</v>
          </cell>
          <cell r="AV30">
            <v>52</v>
          </cell>
          <cell r="AW30">
            <v>20</v>
          </cell>
          <cell r="AX30">
            <v>30</v>
          </cell>
          <cell r="AY30">
            <v>16</v>
          </cell>
          <cell r="AZ30">
            <v>30</v>
          </cell>
          <cell r="CF30">
            <v>64</v>
          </cell>
          <cell r="CG30">
            <v>60</v>
          </cell>
          <cell r="CH30">
            <v>6</v>
          </cell>
          <cell r="CM30">
            <v>123</v>
          </cell>
          <cell r="CN30" t="str">
            <v>Owed 64 hours overtime extra overtime from 16th to 31st October'2008. Owed 123 rials Eid bonus, 60 hours 200%, 6 days desert allowance for Eid Al Adhah'2008 from 8th to 13th December'2008.</v>
          </cell>
        </row>
        <row r="31">
          <cell r="B31">
            <v>87</v>
          </cell>
          <cell r="C31" t="str">
            <v>R</v>
          </cell>
          <cell r="D31" t="str">
            <v>Khalifa Said Ali</v>
          </cell>
          <cell r="E31" t="str">
            <v>Labour</v>
          </cell>
          <cell r="G31">
            <v>32669</v>
          </cell>
          <cell r="H31">
            <v>38145</v>
          </cell>
          <cell r="I31" t="str">
            <v>A</v>
          </cell>
          <cell r="J31" t="str">
            <v>Sh:3</v>
          </cell>
          <cell r="K31">
            <v>6</v>
          </cell>
          <cell r="L31">
            <v>6</v>
          </cell>
          <cell r="M31">
            <v>6</v>
          </cell>
          <cell r="N31">
            <v>6</v>
          </cell>
          <cell r="O31">
            <v>6</v>
          </cell>
          <cell r="P31">
            <v>6</v>
          </cell>
          <cell r="Q31">
            <v>2</v>
          </cell>
          <cell r="R31" t="str">
            <v>L</v>
          </cell>
          <cell r="S31" t="str">
            <v>L</v>
          </cell>
          <cell r="T31" t="str">
            <v>L</v>
          </cell>
          <cell r="U31" t="str">
            <v>L</v>
          </cell>
          <cell r="V31" t="str">
            <v>L</v>
          </cell>
          <cell r="W31" t="str">
            <v>L</v>
          </cell>
          <cell r="X31" t="str">
            <v>L</v>
          </cell>
          <cell r="Y31" t="str">
            <v>L</v>
          </cell>
          <cell r="Z31" t="str">
            <v>L</v>
          </cell>
          <cell r="AA31" t="str">
            <v>L</v>
          </cell>
          <cell r="AB31" t="str">
            <v>L</v>
          </cell>
          <cell r="AC31" t="str">
            <v>L</v>
          </cell>
          <cell r="AD31" t="str">
            <v>L</v>
          </cell>
          <cell r="AE31" t="str">
            <v>L</v>
          </cell>
          <cell r="AF31">
            <v>2</v>
          </cell>
          <cell r="AG31">
            <v>2</v>
          </cell>
          <cell r="AH31">
            <v>2</v>
          </cell>
          <cell r="AI31">
            <v>2</v>
          </cell>
          <cell r="AJ31">
            <v>10</v>
          </cell>
          <cell r="AK31">
            <v>10</v>
          </cell>
          <cell r="AL31">
            <v>2</v>
          </cell>
          <cell r="AM31">
            <v>2</v>
          </cell>
          <cell r="AN31">
            <v>2</v>
          </cell>
          <cell r="AO31" t="str">
            <v>x</v>
          </cell>
          <cell r="AP31">
            <v>16</v>
          </cell>
          <cell r="AQ31">
            <v>14</v>
          </cell>
          <cell r="AR31">
            <v>0</v>
          </cell>
          <cell r="AS31">
            <v>0</v>
          </cell>
          <cell r="AT31">
            <v>0</v>
          </cell>
          <cell r="AU31">
            <v>0</v>
          </cell>
          <cell r="AV31">
            <v>52</v>
          </cell>
          <cell r="AW31">
            <v>20</v>
          </cell>
          <cell r="AX31">
            <v>30</v>
          </cell>
          <cell r="AY31">
            <v>16</v>
          </cell>
          <cell r="AZ31">
            <v>30</v>
          </cell>
          <cell r="CF31">
            <v>60</v>
          </cell>
          <cell r="CN31" t="str">
            <v>Owed 60 hours overtime extra overtime from 16th to 23rd &amp; 25th to 31st October'2008.</v>
          </cell>
        </row>
        <row r="32">
          <cell r="B32">
            <v>91</v>
          </cell>
          <cell r="C32" t="str">
            <v>R</v>
          </cell>
          <cell r="D32" t="str">
            <v>Salim Said Suwaid</v>
          </cell>
          <cell r="E32" t="str">
            <v>Labour / Camp</v>
          </cell>
          <cell r="G32">
            <v>32669</v>
          </cell>
          <cell r="H32">
            <v>38145</v>
          </cell>
          <cell r="I32" t="str">
            <v>A</v>
          </cell>
          <cell r="J32" t="str">
            <v>Sh:3</v>
          </cell>
          <cell r="K32">
            <v>6</v>
          </cell>
          <cell r="L32">
            <v>6</v>
          </cell>
          <cell r="M32">
            <v>6</v>
          </cell>
          <cell r="N32">
            <v>6</v>
          </cell>
          <cell r="O32">
            <v>6</v>
          </cell>
          <cell r="P32">
            <v>6</v>
          </cell>
          <cell r="Q32">
            <v>4</v>
          </cell>
          <cell r="R32" t="str">
            <v>L</v>
          </cell>
          <cell r="S32" t="str">
            <v>L</v>
          </cell>
          <cell r="T32" t="str">
            <v>L</v>
          </cell>
          <cell r="U32" t="str">
            <v>L</v>
          </cell>
          <cell r="V32" t="str">
            <v>L</v>
          </cell>
          <cell r="W32" t="str">
            <v>L</v>
          </cell>
          <cell r="X32" t="str">
            <v>L</v>
          </cell>
          <cell r="Y32" t="str">
            <v>L</v>
          </cell>
          <cell r="Z32" t="str">
            <v>L</v>
          </cell>
          <cell r="AA32" t="str">
            <v>L</v>
          </cell>
          <cell r="AB32" t="str">
            <v>L</v>
          </cell>
          <cell r="AC32" t="str">
            <v>L</v>
          </cell>
          <cell r="AD32" t="str">
            <v>L</v>
          </cell>
          <cell r="AE32" t="str">
            <v>L</v>
          </cell>
          <cell r="AF32">
            <v>4</v>
          </cell>
          <cell r="AG32">
            <v>4</v>
          </cell>
          <cell r="AH32">
            <v>4</v>
          </cell>
          <cell r="AI32">
            <v>4</v>
          </cell>
          <cell r="AJ32">
            <v>12</v>
          </cell>
          <cell r="AK32">
            <v>12</v>
          </cell>
          <cell r="AL32">
            <v>4</v>
          </cell>
          <cell r="AM32">
            <v>4</v>
          </cell>
          <cell r="AN32">
            <v>4</v>
          </cell>
          <cell r="AO32" t="str">
            <v>x</v>
          </cell>
          <cell r="AP32">
            <v>16</v>
          </cell>
          <cell r="AQ32">
            <v>14</v>
          </cell>
          <cell r="AR32">
            <v>0</v>
          </cell>
          <cell r="AS32">
            <v>0</v>
          </cell>
          <cell r="AT32">
            <v>0</v>
          </cell>
          <cell r="AU32">
            <v>0</v>
          </cell>
          <cell r="AV32">
            <v>68</v>
          </cell>
          <cell r="AW32">
            <v>24</v>
          </cell>
          <cell r="AX32">
            <v>30</v>
          </cell>
          <cell r="AY32">
            <v>16</v>
          </cell>
          <cell r="AZ32">
            <v>30</v>
          </cell>
          <cell r="CG32">
            <v>72</v>
          </cell>
          <cell r="CH32">
            <v>6</v>
          </cell>
          <cell r="CM32">
            <v>123</v>
          </cell>
          <cell r="CN32" t="str">
            <v>Owed 123 rials Eid bonus, 72 hours 200%, 6 days desert allowance for Eid Al Adhah'2008 from 8th to 13th December'2008.</v>
          </cell>
        </row>
        <row r="33">
          <cell r="B33">
            <v>96</v>
          </cell>
          <cell r="C33" t="str">
            <v>SH</v>
          </cell>
          <cell r="D33" t="str">
            <v>Sultan Saif Mohamed</v>
          </cell>
          <cell r="E33" t="str">
            <v>Labour / Cable</v>
          </cell>
          <cell r="G33">
            <v>32669</v>
          </cell>
          <cell r="H33">
            <v>38108</v>
          </cell>
          <cell r="I33" t="str">
            <v>A</v>
          </cell>
          <cell r="J33" t="str">
            <v>Sh:2</v>
          </cell>
          <cell r="K33" t="str">
            <v>L</v>
          </cell>
          <cell r="L33" t="str">
            <v>L</v>
          </cell>
          <cell r="M33" t="str">
            <v>L</v>
          </cell>
          <cell r="N33" t="str">
            <v>L</v>
          </cell>
          <cell r="O33" t="str">
            <v>L</v>
          </cell>
          <cell r="P33" t="str">
            <v>L</v>
          </cell>
          <cell r="Q33" t="str">
            <v>L</v>
          </cell>
          <cell r="R33">
            <v>7.5</v>
          </cell>
          <cell r="S33">
            <v>8.5</v>
          </cell>
          <cell r="T33">
            <v>8.5</v>
          </cell>
          <cell r="U33">
            <v>8.5</v>
          </cell>
          <cell r="V33">
            <v>8.5</v>
          </cell>
          <cell r="W33">
            <v>8.5</v>
          </cell>
          <cell r="X33">
            <v>8.5</v>
          </cell>
          <cell r="Y33">
            <v>8.5</v>
          </cell>
          <cell r="Z33">
            <v>4</v>
          </cell>
          <cell r="AA33">
            <v>4</v>
          </cell>
          <cell r="AB33">
            <v>4</v>
          </cell>
          <cell r="AC33">
            <v>4</v>
          </cell>
          <cell r="AD33">
            <v>4</v>
          </cell>
          <cell r="AE33">
            <v>4</v>
          </cell>
          <cell r="AF33">
            <v>4</v>
          </cell>
          <cell r="AG33">
            <v>4</v>
          </cell>
          <cell r="AH33">
            <v>4</v>
          </cell>
          <cell r="AI33">
            <v>4</v>
          </cell>
          <cell r="AJ33">
            <v>12</v>
          </cell>
          <cell r="AK33">
            <v>12</v>
          </cell>
          <cell r="AL33">
            <v>4</v>
          </cell>
          <cell r="AM33">
            <v>4</v>
          </cell>
          <cell r="AN33">
            <v>4</v>
          </cell>
          <cell r="AO33" t="str">
            <v>x</v>
          </cell>
          <cell r="AP33">
            <v>23</v>
          </cell>
          <cell r="AQ33">
            <v>7</v>
          </cell>
          <cell r="AR33">
            <v>0</v>
          </cell>
          <cell r="AS33">
            <v>0</v>
          </cell>
          <cell r="AT33">
            <v>0</v>
          </cell>
          <cell r="AU33">
            <v>0</v>
          </cell>
          <cell r="AV33">
            <v>119</v>
          </cell>
          <cell r="AW33">
            <v>24</v>
          </cell>
          <cell r="AX33">
            <v>30</v>
          </cell>
          <cell r="AY33">
            <v>23</v>
          </cell>
          <cell r="AZ33">
            <v>30</v>
          </cell>
          <cell r="CF33">
            <v>47.5</v>
          </cell>
          <cell r="CH33">
            <v>1</v>
          </cell>
          <cell r="CN33" t="str">
            <v>Owed one day desert allowance, 4 hours overtime on 5th October'2008 the shift change bus broken on the way to crew. Owed 43.5 hours overtime extra overtime from 6th to 7th and 15th to 23rd October'2008.</v>
          </cell>
        </row>
        <row r="34">
          <cell r="B34">
            <v>100</v>
          </cell>
          <cell r="C34" t="str">
            <v>R</v>
          </cell>
          <cell r="D34" t="str">
            <v>Marhoun Rashid Sultan Al Maa'mari</v>
          </cell>
          <cell r="E34" t="str">
            <v>Labour / Camp</v>
          </cell>
          <cell r="G34">
            <v>32690</v>
          </cell>
          <cell r="H34">
            <v>38145</v>
          </cell>
          <cell r="I34" t="str">
            <v>A</v>
          </cell>
          <cell r="J34" t="str">
            <v>Sh:1</v>
          </cell>
          <cell r="K34">
            <v>4</v>
          </cell>
          <cell r="L34">
            <v>4</v>
          </cell>
          <cell r="M34">
            <v>4</v>
          </cell>
          <cell r="N34">
            <v>4</v>
          </cell>
          <cell r="O34">
            <v>4</v>
          </cell>
          <cell r="P34">
            <v>4</v>
          </cell>
          <cell r="Q34">
            <v>4</v>
          </cell>
          <cell r="R34">
            <v>4</v>
          </cell>
          <cell r="S34">
            <v>4</v>
          </cell>
          <cell r="T34">
            <v>4</v>
          </cell>
          <cell r="U34">
            <v>4</v>
          </cell>
          <cell r="V34">
            <v>4</v>
          </cell>
          <cell r="W34">
            <v>4</v>
          </cell>
          <cell r="X34">
            <v>4</v>
          </cell>
          <cell r="Y34">
            <v>4</v>
          </cell>
          <cell r="Z34">
            <v>4</v>
          </cell>
          <cell r="AA34">
            <v>4</v>
          </cell>
          <cell r="AB34">
            <v>4</v>
          </cell>
          <cell r="AC34">
            <v>4</v>
          </cell>
          <cell r="AD34">
            <v>4</v>
          </cell>
          <cell r="AE34">
            <v>4</v>
          </cell>
          <cell r="AF34" t="str">
            <v>L</v>
          </cell>
          <cell r="AG34" t="str">
            <v>L</v>
          </cell>
          <cell r="AH34" t="str">
            <v>L</v>
          </cell>
          <cell r="AI34" t="str">
            <v>L</v>
          </cell>
          <cell r="AJ34" t="str">
            <v>L</v>
          </cell>
          <cell r="AK34" t="str">
            <v>L</v>
          </cell>
          <cell r="AL34" t="str">
            <v>L</v>
          </cell>
          <cell r="AM34" t="str">
            <v>L</v>
          </cell>
          <cell r="AN34" t="str">
            <v>L</v>
          </cell>
          <cell r="AO34" t="str">
            <v>x</v>
          </cell>
          <cell r="AP34">
            <v>21</v>
          </cell>
          <cell r="AQ34">
            <v>9</v>
          </cell>
          <cell r="AR34">
            <v>0</v>
          </cell>
          <cell r="AS34">
            <v>0</v>
          </cell>
          <cell r="AT34">
            <v>0</v>
          </cell>
          <cell r="AU34">
            <v>0</v>
          </cell>
          <cell r="AV34">
            <v>84</v>
          </cell>
          <cell r="AW34">
            <v>0</v>
          </cell>
          <cell r="AX34">
            <v>30</v>
          </cell>
          <cell r="AY34">
            <v>21</v>
          </cell>
          <cell r="AZ34">
            <v>30</v>
          </cell>
          <cell r="CF34">
            <v>28</v>
          </cell>
          <cell r="CH34">
            <v>7</v>
          </cell>
          <cell r="CI34">
            <v>7</v>
          </cell>
          <cell r="CJ34">
            <v>7</v>
          </cell>
          <cell r="CK34">
            <v>7</v>
          </cell>
          <cell r="CL34">
            <v>7</v>
          </cell>
          <cell r="CN34" t="str">
            <v>Owed 7 days basic allowance, 7 days housing allowance, 7 days date allowance, 7 days monthly ration, 7 days desert allowance, 28 hours overtime is rutern from annual leave from 25th to 31st October'2008.</v>
          </cell>
        </row>
        <row r="35">
          <cell r="B35">
            <v>103</v>
          </cell>
          <cell r="C35" t="str">
            <v>SF</v>
          </cell>
          <cell r="D35" t="str">
            <v>Salim Humaid Rashid Al Hinai</v>
          </cell>
          <cell r="E35" t="str">
            <v>GPS Operator</v>
          </cell>
          <cell r="G35">
            <v>32690</v>
          </cell>
          <cell r="H35">
            <v>38145</v>
          </cell>
          <cell r="I35" t="str">
            <v>C</v>
          </cell>
          <cell r="J35" t="str">
            <v>Sh:3</v>
          </cell>
          <cell r="K35">
            <v>2.5</v>
          </cell>
          <cell r="L35">
            <v>2.5</v>
          </cell>
          <cell r="M35">
            <v>2.5</v>
          </cell>
          <cell r="N35">
            <v>2.5</v>
          </cell>
          <cell r="O35">
            <v>2.5</v>
          </cell>
          <cell r="P35">
            <v>2.5</v>
          </cell>
          <cell r="Q35">
            <v>2.5</v>
          </cell>
          <cell r="R35" t="str">
            <v>L</v>
          </cell>
          <cell r="S35" t="str">
            <v>L</v>
          </cell>
          <cell r="T35" t="str">
            <v>L</v>
          </cell>
          <cell r="U35" t="str">
            <v>L</v>
          </cell>
          <cell r="V35" t="str">
            <v>L</v>
          </cell>
          <cell r="W35" t="str">
            <v>L</v>
          </cell>
          <cell r="X35" t="str">
            <v>L</v>
          </cell>
          <cell r="Y35" t="str">
            <v>L</v>
          </cell>
          <cell r="Z35" t="str">
            <v>L</v>
          </cell>
          <cell r="AA35" t="str">
            <v>L</v>
          </cell>
          <cell r="AB35" t="str">
            <v>L</v>
          </cell>
          <cell r="AC35" t="str">
            <v>L</v>
          </cell>
          <cell r="AD35" t="str">
            <v>L</v>
          </cell>
          <cell r="AE35" t="str">
            <v>L</v>
          </cell>
          <cell r="AF35">
            <v>2.5</v>
          </cell>
          <cell r="AG35">
            <v>2.5</v>
          </cell>
          <cell r="AH35">
            <v>2.5</v>
          </cell>
          <cell r="AI35">
            <v>2.5</v>
          </cell>
          <cell r="AJ35">
            <v>10.5</v>
          </cell>
          <cell r="AK35">
            <v>10.5</v>
          </cell>
          <cell r="AL35">
            <v>2.5</v>
          </cell>
          <cell r="AM35">
            <v>2.5</v>
          </cell>
          <cell r="AN35">
            <v>2.5</v>
          </cell>
          <cell r="AO35" t="str">
            <v>x</v>
          </cell>
          <cell r="AP35">
            <v>16</v>
          </cell>
          <cell r="AQ35">
            <v>14</v>
          </cell>
          <cell r="AR35">
            <v>0</v>
          </cell>
          <cell r="AS35">
            <v>0</v>
          </cell>
          <cell r="AT35">
            <v>0</v>
          </cell>
          <cell r="AU35">
            <v>0</v>
          </cell>
          <cell r="AV35">
            <v>35</v>
          </cell>
          <cell r="AW35">
            <v>21</v>
          </cell>
          <cell r="AX35">
            <v>30</v>
          </cell>
          <cell r="AY35">
            <v>16</v>
          </cell>
          <cell r="AZ35">
            <v>30</v>
          </cell>
          <cell r="CG35">
            <v>63</v>
          </cell>
          <cell r="CH35">
            <v>6</v>
          </cell>
          <cell r="CM35">
            <v>123</v>
          </cell>
          <cell r="CN35" t="str">
            <v>Owed 123 rials Eid bonus, 63 hours 200%, 6 days desert allowance for Eid Al Adhah'2008 from 8th to 13th December'2008.</v>
          </cell>
        </row>
        <row r="36">
          <cell r="B36">
            <v>116</v>
          </cell>
          <cell r="C36" t="str">
            <v>SH</v>
          </cell>
          <cell r="D36" t="str">
            <v>Said Saif Said Al Gharibi</v>
          </cell>
          <cell r="E36" t="str">
            <v>Labour / Sand Bag</v>
          </cell>
          <cell r="G36">
            <v>32724</v>
          </cell>
          <cell r="H36">
            <v>38145</v>
          </cell>
          <cell r="I36" t="str">
            <v>A</v>
          </cell>
          <cell r="J36" t="str">
            <v>Sh:2</v>
          </cell>
          <cell r="K36" t="str">
            <v>L</v>
          </cell>
          <cell r="L36" t="str">
            <v>L</v>
          </cell>
          <cell r="M36" t="str">
            <v>L</v>
          </cell>
          <cell r="N36" t="str">
            <v>L</v>
          </cell>
          <cell r="O36" t="str">
            <v>L</v>
          </cell>
          <cell r="P36" t="str">
            <v>L</v>
          </cell>
          <cell r="Q36" t="str">
            <v>L</v>
          </cell>
          <cell r="R36">
            <v>2</v>
          </cell>
          <cell r="S36">
            <v>2</v>
          </cell>
          <cell r="T36">
            <v>2</v>
          </cell>
          <cell r="U36">
            <v>2</v>
          </cell>
          <cell r="V36">
            <v>2</v>
          </cell>
          <cell r="W36">
            <v>2</v>
          </cell>
          <cell r="X36">
            <v>2</v>
          </cell>
          <cell r="Y36">
            <v>2</v>
          </cell>
          <cell r="Z36">
            <v>2</v>
          </cell>
          <cell r="AA36">
            <v>2</v>
          </cell>
          <cell r="AB36">
            <v>2</v>
          </cell>
          <cell r="AC36">
            <v>2</v>
          </cell>
          <cell r="AD36">
            <v>2</v>
          </cell>
          <cell r="AE36">
            <v>2</v>
          </cell>
          <cell r="AF36">
            <v>2</v>
          </cell>
          <cell r="AG36">
            <v>2</v>
          </cell>
          <cell r="AH36">
            <v>2</v>
          </cell>
          <cell r="AI36">
            <v>2</v>
          </cell>
          <cell r="AJ36">
            <v>10</v>
          </cell>
          <cell r="AK36">
            <v>10</v>
          </cell>
          <cell r="AL36">
            <v>2</v>
          </cell>
          <cell r="AM36">
            <v>2</v>
          </cell>
          <cell r="AN36">
            <v>2</v>
          </cell>
          <cell r="AO36" t="str">
            <v>x</v>
          </cell>
          <cell r="AP36">
            <v>23</v>
          </cell>
          <cell r="AQ36">
            <v>7</v>
          </cell>
          <cell r="AR36">
            <v>0</v>
          </cell>
          <cell r="AS36">
            <v>0</v>
          </cell>
          <cell r="AT36">
            <v>0</v>
          </cell>
          <cell r="AU36">
            <v>0</v>
          </cell>
          <cell r="AV36">
            <v>42</v>
          </cell>
          <cell r="AW36">
            <v>20</v>
          </cell>
          <cell r="AX36">
            <v>30</v>
          </cell>
          <cell r="AY36">
            <v>23</v>
          </cell>
          <cell r="AZ36">
            <v>30</v>
          </cell>
        </row>
        <row r="37">
          <cell r="B37">
            <v>120</v>
          </cell>
          <cell r="C37" t="str">
            <v>R</v>
          </cell>
          <cell r="D37" t="str">
            <v>Said Khalfan Abdullah Al Hattmi</v>
          </cell>
          <cell r="E37" t="str">
            <v>Labour / Sand Bag</v>
          </cell>
          <cell r="G37">
            <v>32724</v>
          </cell>
          <cell r="H37">
            <v>38079</v>
          </cell>
          <cell r="I37" t="str">
            <v>A</v>
          </cell>
          <cell r="J37" t="str">
            <v>Sh:3</v>
          </cell>
          <cell r="K37">
            <v>2</v>
          </cell>
          <cell r="L37">
            <v>2</v>
          </cell>
          <cell r="M37">
            <v>2</v>
          </cell>
          <cell r="N37">
            <v>2</v>
          </cell>
          <cell r="O37">
            <v>2</v>
          </cell>
          <cell r="P37">
            <v>2</v>
          </cell>
          <cell r="Q37">
            <v>2</v>
          </cell>
          <cell r="R37" t="str">
            <v>L</v>
          </cell>
          <cell r="S37" t="str">
            <v>L</v>
          </cell>
          <cell r="T37" t="str">
            <v>L</v>
          </cell>
          <cell r="U37" t="str">
            <v>L</v>
          </cell>
          <cell r="V37" t="str">
            <v>L</v>
          </cell>
          <cell r="W37" t="str">
            <v>L</v>
          </cell>
          <cell r="X37" t="str">
            <v>L</v>
          </cell>
          <cell r="Y37" t="str">
            <v>L</v>
          </cell>
          <cell r="Z37" t="str">
            <v>L</v>
          </cell>
          <cell r="AA37" t="str">
            <v>L</v>
          </cell>
          <cell r="AB37" t="str">
            <v>L</v>
          </cell>
          <cell r="AC37" t="str">
            <v>L</v>
          </cell>
          <cell r="AD37" t="str">
            <v>L</v>
          </cell>
          <cell r="AE37" t="str">
            <v>L</v>
          </cell>
          <cell r="AF37">
            <v>2</v>
          </cell>
          <cell r="AG37">
            <v>2</v>
          </cell>
          <cell r="AH37">
            <v>2</v>
          </cell>
          <cell r="AI37">
            <v>2</v>
          </cell>
          <cell r="AJ37">
            <v>10</v>
          </cell>
          <cell r="AK37">
            <v>10</v>
          </cell>
          <cell r="AL37">
            <v>2</v>
          </cell>
          <cell r="AM37">
            <v>2</v>
          </cell>
          <cell r="AN37">
            <v>2</v>
          </cell>
          <cell r="AO37" t="str">
            <v>x</v>
          </cell>
          <cell r="AP37">
            <v>16</v>
          </cell>
          <cell r="AQ37">
            <v>14</v>
          </cell>
          <cell r="AR37">
            <v>0</v>
          </cell>
          <cell r="AS37">
            <v>0</v>
          </cell>
          <cell r="AT37">
            <v>0</v>
          </cell>
          <cell r="AU37">
            <v>0</v>
          </cell>
          <cell r="AV37">
            <v>28</v>
          </cell>
          <cell r="AW37">
            <v>20</v>
          </cell>
          <cell r="AX37">
            <v>30</v>
          </cell>
          <cell r="AY37">
            <v>16</v>
          </cell>
          <cell r="AZ37">
            <v>30</v>
          </cell>
          <cell r="CG37">
            <v>60</v>
          </cell>
          <cell r="CH37">
            <v>6</v>
          </cell>
          <cell r="CM37">
            <v>123</v>
          </cell>
          <cell r="CN37" t="str">
            <v>Owed 123 rials Eid bonus, 72 hours 200%, 6 days desert allowance for Eid Al Adhah'2008 from 8th to 13th December'2008.</v>
          </cell>
        </row>
        <row r="38">
          <cell r="B38">
            <v>121</v>
          </cell>
          <cell r="C38" t="str">
            <v>RL</v>
          </cell>
          <cell r="D38" t="str">
            <v>Saif Nasser Ali</v>
          </cell>
          <cell r="E38" t="str">
            <v>Labour / Cable</v>
          </cell>
          <cell r="G38">
            <v>32724</v>
          </cell>
          <cell r="H38">
            <v>38110</v>
          </cell>
          <cell r="I38" t="str">
            <v>A</v>
          </cell>
          <cell r="J38" t="str">
            <v>Sh:3</v>
          </cell>
          <cell r="K38">
            <v>4</v>
          </cell>
          <cell r="L38">
            <v>4</v>
          </cell>
          <cell r="M38">
            <v>4</v>
          </cell>
          <cell r="N38">
            <v>4</v>
          </cell>
          <cell r="O38">
            <v>4</v>
          </cell>
          <cell r="P38">
            <v>4</v>
          </cell>
          <cell r="Q38">
            <v>4</v>
          </cell>
          <cell r="R38" t="str">
            <v>L</v>
          </cell>
          <cell r="S38" t="str">
            <v>L</v>
          </cell>
          <cell r="T38" t="str">
            <v>L</v>
          </cell>
          <cell r="U38" t="str">
            <v>L</v>
          </cell>
          <cell r="V38" t="str">
            <v>L</v>
          </cell>
          <cell r="W38" t="str">
            <v>L</v>
          </cell>
          <cell r="X38" t="str">
            <v>L</v>
          </cell>
          <cell r="Y38" t="str">
            <v>L</v>
          </cell>
          <cell r="Z38" t="str">
            <v>L</v>
          </cell>
          <cell r="AA38" t="str">
            <v>L</v>
          </cell>
          <cell r="AB38" t="str">
            <v>L</v>
          </cell>
          <cell r="AC38" t="str">
            <v>L</v>
          </cell>
          <cell r="AD38" t="str">
            <v>L</v>
          </cell>
          <cell r="AE38" t="str">
            <v>L</v>
          </cell>
          <cell r="AF38">
            <v>4</v>
          </cell>
          <cell r="AG38">
            <v>4</v>
          </cell>
          <cell r="AH38">
            <v>4</v>
          </cell>
          <cell r="AI38">
            <v>4</v>
          </cell>
          <cell r="AJ38">
            <v>12</v>
          </cell>
          <cell r="AK38">
            <v>12</v>
          </cell>
          <cell r="AL38">
            <v>4</v>
          </cell>
          <cell r="AM38">
            <v>4</v>
          </cell>
          <cell r="AN38">
            <v>4</v>
          </cell>
          <cell r="AO38" t="str">
            <v>x</v>
          </cell>
          <cell r="AP38">
            <v>16</v>
          </cell>
          <cell r="AQ38">
            <v>14</v>
          </cell>
          <cell r="AR38">
            <v>0</v>
          </cell>
          <cell r="AS38">
            <v>0</v>
          </cell>
          <cell r="AT38">
            <v>0</v>
          </cell>
          <cell r="AU38">
            <v>0</v>
          </cell>
          <cell r="AV38">
            <v>56</v>
          </cell>
          <cell r="AW38">
            <v>24</v>
          </cell>
          <cell r="AX38">
            <v>30</v>
          </cell>
          <cell r="AY38">
            <v>16</v>
          </cell>
          <cell r="AZ38">
            <v>30</v>
          </cell>
          <cell r="CF38">
            <v>41.5</v>
          </cell>
          <cell r="CG38">
            <v>72</v>
          </cell>
          <cell r="CH38">
            <v>1</v>
          </cell>
          <cell r="CM38">
            <v>123</v>
          </cell>
          <cell r="CN38" t="str">
            <v>Deducted 5 days desert allowance, 20 hours overtime take leave on 20th October and 21st to 23rd October have sick leave on 24th October'2008 take leave. Owed 123 rials Eid bonus, 72 hours 200%, 6 days desert allowance for Eid Al Adhah'2008 from 8th to 13t</v>
          </cell>
        </row>
        <row r="39">
          <cell r="B39">
            <v>126</v>
          </cell>
          <cell r="C39" t="str">
            <v>R</v>
          </cell>
          <cell r="D39" t="str">
            <v>Abdullah Said Abdullah Al Ghafri</v>
          </cell>
          <cell r="E39" t="str">
            <v>Group Foreman</v>
          </cell>
          <cell r="G39">
            <v>32748</v>
          </cell>
          <cell r="H39">
            <v>38145</v>
          </cell>
          <cell r="I39" t="str">
            <v>C</v>
          </cell>
          <cell r="J39" t="str">
            <v>Sh:3</v>
          </cell>
          <cell r="K39">
            <v>6.5</v>
          </cell>
          <cell r="L39">
            <v>6.5</v>
          </cell>
          <cell r="M39">
            <v>6.5</v>
          </cell>
          <cell r="N39">
            <v>6.5</v>
          </cell>
          <cell r="O39">
            <v>6.5</v>
          </cell>
          <cell r="P39">
            <v>2.5</v>
          </cell>
          <cell r="Q39">
            <v>2.5</v>
          </cell>
          <cell r="R39" t="str">
            <v>L</v>
          </cell>
          <cell r="S39" t="str">
            <v>L</v>
          </cell>
          <cell r="T39" t="str">
            <v>L</v>
          </cell>
          <cell r="U39" t="str">
            <v>L</v>
          </cell>
          <cell r="V39" t="str">
            <v>L</v>
          </cell>
          <cell r="W39" t="str">
            <v>L</v>
          </cell>
          <cell r="X39" t="str">
            <v>L</v>
          </cell>
          <cell r="Y39" t="str">
            <v>L</v>
          </cell>
          <cell r="Z39" t="str">
            <v>L</v>
          </cell>
          <cell r="AA39" t="str">
            <v>L</v>
          </cell>
          <cell r="AB39" t="str">
            <v>L</v>
          </cell>
          <cell r="AC39" t="str">
            <v>L</v>
          </cell>
          <cell r="AD39" t="str">
            <v>L</v>
          </cell>
          <cell r="AE39" t="str">
            <v>L</v>
          </cell>
          <cell r="AF39">
            <v>2.5</v>
          </cell>
          <cell r="AG39">
            <v>2.5</v>
          </cell>
          <cell r="AH39">
            <v>2.5</v>
          </cell>
          <cell r="AI39">
            <v>2.5</v>
          </cell>
          <cell r="AJ39">
            <v>10.5</v>
          </cell>
          <cell r="AK39">
            <v>10.5</v>
          </cell>
          <cell r="AL39">
            <v>2.5</v>
          </cell>
          <cell r="AM39">
            <v>2.5</v>
          </cell>
          <cell r="AN39">
            <v>2.5</v>
          </cell>
          <cell r="AO39" t="str">
            <v>x</v>
          </cell>
          <cell r="AP39">
            <v>16</v>
          </cell>
          <cell r="AQ39">
            <v>14</v>
          </cell>
          <cell r="AR39">
            <v>0</v>
          </cell>
          <cell r="AS39">
            <v>0</v>
          </cell>
          <cell r="AT39">
            <v>0</v>
          </cell>
          <cell r="AU39">
            <v>0</v>
          </cell>
          <cell r="AV39">
            <v>55</v>
          </cell>
          <cell r="AW39">
            <v>21</v>
          </cell>
          <cell r="AX39">
            <v>30</v>
          </cell>
          <cell r="AY39">
            <v>16</v>
          </cell>
          <cell r="AZ39">
            <v>30</v>
          </cell>
          <cell r="CF39">
            <v>26</v>
          </cell>
          <cell r="CG39">
            <v>63</v>
          </cell>
          <cell r="CH39">
            <v>3</v>
          </cell>
          <cell r="CI39">
            <v>-3</v>
          </cell>
          <cell r="CJ39">
            <v>-3</v>
          </cell>
          <cell r="CK39">
            <v>-3</v>
          </cell>
          <cell r="CL39">
            <v>-3</v>
          </cell>
          <cell r="CM39">
            <v>123</v>
          </cell>
          <cell r="CN39" t="str">
            <v>Dudected 3 days basic allowance, 3 days housing allowance, 3 days date allowance, 3 days monthly ration, 3 days desert allowance, 10 hours overtime take leave without payl is left aftenoon at: 13:30hours and 25th to 27th October'2008. Owed 36 hours overti</v>
          </cell>
        </row>
        <row r="40">
          <cell r="B40">
            <v>132</v>
          </cell>
          <cell r="C40" t="str">
            <v>S</v>
          </cell>
          <cell r="D40" t="str">
            <v>Hamad Said Mubarak</v>
          </cell>
          <cell r="E40" t="str">
            <v>Labour / Cable</v>
          </cell>
          <cell r="G40">
            <v>32757</v>
          </cell>
          <cell r="H40">
            <v>38145</v>
          </cell>
          <cell r="I40" t="str">
            <v>A</v>
          </cell>
          <cell r="J40" t="str">
            <v>Sh:3</v>
          </cell>
          <cell r="K40" t="str">
            <v>H</v>
          </cell>
          <cell r="L40" t="str">
            <v>H</v>
          </cell>
          <cell r="M40" t="str">
            <v>H</v>
          </cell>
          <cell r="N40" t="str">
            <v>H</v>
          </cell>
          <cell r="O40" t="str">
            <v>H</v>
          </cell>
          <cell r="P40" t="str">
            <v>H</v>
          </cell>
          <cell r="Q40" t="str">
            <v>H</v>
          </cell>
          <cell r="R40" t="str">
            <v>H</v>
          </cell>
          <cell r="S40" t="str">
            <v>H</v>
          </cell>
          <cell r="T40" t="str">
            <v>H</v>
          </cell>
          <cell r="U40" t="str">
            <v>H</v>
          </cell>
          <cell r="V40" t="str">
            <v>H</v>
          </cell>
          <cell r="W40" t="str">
            <v>H</v>
          </cell>
          <cell r="X40" t="str">
            <v>H</v>
          </cell>
          <cell r="Y40" t="str">
            <v>H</v>
          </cell>
          <cell r="Z40" t="str">
            <v>H</v>
          </cell>
          <cell r="AA40" t="str">
            <v>H</v>
          </cell>
          <cell r="AB40" t="str">
            <v>H</v>
          </cell>
          <cell r="AC40" t="str">
            <v>H</v>
          </cell>
          <cell r="AD40" t="str">
            <v>H</v>
          </cell>
          <cell r="AE40" t="str">
            <v>H</v>
          </cell>
          <cell r="AF40">
            <v>4</v>
          </cell>
          <cell r="AG40">
            <v>4</v>
          </cell>
          <cell r="AH40">
            <v>4</v>
          </cell>
          <cell r="AI40">
            <v>4</v>
          </cell>
          <cell r="AJ40">
            <v>12</v>
          </cell>
          <cell r="AK40">
            <v>12</v>
          </cell>
          <cell r="AL40">
            <v>4</v>
          </cell>
          <cell r="AM40">
            <v>4</v>
          </cell>
          <cell r="AN40">
            <v>4</v>
          </cell>
          <cell r="AO40" t="str">
            <v>x</v>
          </cell>
          <cell r="AP40">
            <v>9</v>
          </cell>
          <cell r="AQ40">
            <v>0</v>
          </cell>
          <cell r="AR40">
            <v>0</v>
          </cell>
          <cell r="AS40">
            <v>0</v>
          </cell>
          <cell r="AT40">
            <v>0</v>
          </cell>
          <cell r="AU40">
            <v>21</v>
          </cell>
          <cell r="AV40">
            <v>28</v>
          </cell>
          <cell r="AW40">
            <v>24</v>
          </cell>
          <cell r="AX40">
            <v>9</v>
          </cell>
          <cell r="AY40">
            <v>9</v>
          </cell>
          <cell r="AZ40">
            <v>9</v>
          </cell>
          <cell r="CG40">
            <v>72</v>
          </cell>
          <cell r="CH40">
            <v>6</v>
          </cell>
          <cell r="CM40">
            <v>123</v>
          </cell>
          <cell r="CN40" t="str">
            <v>Owed 123 rials Eid bonus, 72 hours 200%, 6 days desert allowance for Eid Al Adhah'2008 from 8th to 13th December'2008.</v>
          </cell>
        </row>
        <row r="41">
          <cell r="B41">
            <v>135</v>
          </cell>
          <cell r="C41" t="str">
            <v>SH</v>
          </cell>
          <cell r="D41" t="str">
            <v>Saleh Haramoush Hamed Al Junaibi</v>
          </cell>
          <cell r="E41" t="str">
            <v>Heavy Duty Dvr</v>
          </cell>
          <cell r="G41">
            <v>32816</v>
          </cell>
          <cell r="H41">
            <v>38145</v>
          </cell>
          <cell r="I41" t="str">
            <v>E</v>
          </cell>
          <cell r="J41" t="str">
            <v>Sh:2</v>
          </cell>
          <cell r="K41" t="str">
            <v>L</v>
          </cell>
          <cell r="L41" t="str">
            <v>L</v>
          </cell>
          <cell r="M41" t="str">
            <v>L</v>
          </cell>
          <cell r="N41" t="str">
            <v>L</v>
          </cell>
          <cell r="O41" t="str">
            <v>L</v>
          </cell>
          <cell r="P41" t="str">
            <v>L</v>
          </cell>
          <cell r="Q41" t="str">
            <v>L</v>
          </cell>
          <cell r="R41">
            <v>2.5</v>
          </cell>
          <cell r="S41">
            <v>2.5</v>
          </cell>
          <cell r="T41">
            <v>2.5</v>
          </cell>
          <cell r="U41">
            <v>6.5</v>
          </cell>
          <cell r="V41">
            <v>6.5</v>
          </cell>
          <cell r="W41">
            <v>6.5</v>
          </cell>
          <cell r="X41">
            <v>6.5</v>
          </cell>
          <cell r="Y41">
            <v>6.5</v>
          </cell>
          <cell r="Z41">
            <v>2.5</v>
          </cell>
          <cell r="AA41">
            <v>2.5</v>
          </cell>
          <cell r="AB41">
            <v>2.5</v>
          </cell>
          <cell r="AC41">
            <v>2.5</v>
          </cell>
          <cell r="AD41">
            <v>2.5</v>
          </cell>
          <cell r="AE41">
            <v>2.5</v>
          </cell>
          <cell r="AF41">
            <v>2.5</v>
          </cell>
          <cell r="AG41">
            <v>2.5</v>
          </cell>
          <cell r="AH41">
            <v>2.5</v>
          </cell>
          <cell r="AI41">
            <v>2.5</v>
          </cell>
          <cell r="AJ41">
            <v>10.5</v>
          </cell>
          <cell r="AK41">
            <v>10.5</v>
          </cell>
          <cell r="AL41">
            <v>2.5</v>
          </cell>
          <cell r="AM41">
            <v>2.5</v>
          </cell>
          <cell r="AN41">
            <v>2.5</v>
          </cell>
          <cell r="AO41" t="str">
            <v>x</v>
          </cell>
          <cell r="AP41">
            <v>23</v>
          </cell>
          <cell r="AQ41">
            <v>7</v>
          </cell>
          <cell r="AR41">
            <v>0</v>
          </cell>
          <cell r="AS41">
            <v>0</v>
          </cell>
          <cell r="AT41">
            <v>0</v>
          </cell>
          <cell r="AU41">
            <v>0</v>
          </cell>
          <cell r="AV41">
            <v>72.5</v>
          </cell>
          <cell r="AW41">
            <v>21</v>
          </cell>
          <cell r="AX41">
            <v>30</v>
          </cell>
          <cell r="AY41">
            <v>23</v>
          </cell>
          <cell r="AZ41">
            <v>30</v>
          </cell>
          <cell r="CF41">
            <v>32</v>
          </cell>
          <cell r="CN41" t="str">
            <v>Owed 32 hours overtime extra overtime from 16th to 23rd October'2008.</v>
          </cell>
        </row>
        <row r="42">
          <cell r="B42">
            <v>136</v>
          </cell>
          <cell r="C42" t="str">
            <v>V</v>
          </cell>
          <cell r="D42" t="str">
            <v>Al Badi Mubarak Salim Al Yaqoubi</v>
          </cell>
          <cell r="E42" t="str">
            <v>Vibe Operator</v>
          </cell>
          <cell r="G42">
            <v>32826</v>
          </cell>
          <cell r="H42">
            <v>38116</v>
          </cell>
          <cell r="I42" t="str">
            <v>E</v>
          </cell>
          <cell r="J42" t="str">
            <v>Sh:2</v>
          </cell>
          <cell r="K42" t="str">
            <v>L</v>
          </cell>
          <cell r="L42" t="str">
            <v>L</v>
          </cell>
          <cell r="M42" t="str">
            <v>L</v>
          </cell>
          <cell r="N42" t="str">
            <v>L</v>
          </cell>
          <cell r="O42" t="str">
            <v>L</v>
          </cell>
          <cell r="P42" t="str">
            <v>L</v>
          </cell>
          <cell r="Q42" t="str">
            <v>L</v>
          </cell>
          <cell r="R42">
            <v>8</v>
          </cell>
          <cell r="S42">
            <v>8</v>
          </cell>
          <cell r="T42">
            <v>8</v>
          </cell>
          <cell r="U42">
            <v>8</v>
          </cell>
          <cell r="V42">
            <v>8</v>
          </cell>
          <cell r="W42">
            <v>8</v>
          </cell>
          <cell r="X42">
            <v>9</v>
          </cell>
          <cell r="Y42">
            <v>9</v>
          </cell>
          <cell r="Z42">
            <v>9</v>
          </cell>
          <cell r="AA42">
            <v>9</v>
          </cell>
          <cell r="AB42">
            <v>9</v>
          </cell>
          <cell r="AC42">
            <v>9</v>
          </cell>
          <cell r="AD42">
            <v>9</v>
          </cell>
          <cell r="AE42">
            <v>9</v>
          </cell>
          <cell r="AF42">
            <v>9</v>
          </cell>
          <cell r="AG42">
            <v>9</v>
          </cell>
          <cell r="AH42">
            <v>9</v>
          </cell>
          <cell r="AI42">
            <v>9</v>
          </cell>
          <cell r="AJ42">
            <v>17</v>
          </cell>
          <cell r="AK42">
            <v>17</v>
          </cell>
          <cell r="AL42">
            <v>9</v>
          </cell>
          <cell r="AM42">
            <v>9</v>
          </cell>
          <cell r="AN42">
            <v>9</v>
          </cell>
          <cell r="AO42" t="str">
            <v>x</v>
          </cell>
          <cell r="AP42">
            <v>23</v>
          </cell>
          <cell r="AQ42">
            <v>7</v>
          </cell>
          <cell r="AR42">
            <v>0</v>
          </cell>
          <cell r="AS42">
            <v>0</v>
          </cell>
          <cell r="AT42">
            <v>0</v>
          </cell>
          <cell r="AU42">
            <v>0</v>
          </cell>
          <cell r="AV42">
            <v>183</v>
          </cell>
          <cell r="AW42">
            <v>34</v>
          </cell>
          <cell r="AX42">
            <v>30</v>
          </cell>
          <cell r="AY42">
            <v>23</v>
          </cell>
          <cell r="AZ42">
            <v>30</v>
          </cell>
          <cell r="CG42">
            <v>102</v>
          </cell>
          <cell r="CH42">
            <v>6</v>
          </cell>
          <cell r="CM42">
            <v>123</v>
          </cell>
          <cell r="CN42" t="str">
            <v>Owed 123 rials Eid bonus, 102 hours 200%, 6 days desert allowance for Eid Al Adhah'2008 from 8th to 13th December'2008.</v>
          </cell>
        </row>
        <row r="43">
          <cell r="B43">
            <v>137</v>
          </cell>
          <cell r="C43" t="str">
            <v>SH</v>
          </cell>
          <cell r="D43" t="str">
            <v>Salim Sulaiman Amur</v>
          </cell>
          <cell r="E43" t="str">
            <v>Labour</v>
          </cell>
          <cell r="G43">
            <v>32862</v>
          </cell>
          <cell r="H43">
            <v>38109</v>
          </cell>
          <cell r="I43" t="str">
            <v>A</v>
          </cell>
          <cell r="J43" t="str">
            <v>Sh:2</v>
          </cell>
          <cell r="K43" t="str">
            <v>L</v>
          </cell>
          <cell r="L43" t="str">
            <v>L</v>
          </cell>
          <cell r="M43" t="str">
            <v>L</v>
          </cell>
          <cell r="N43" t="str">
            <v>L</v>
          </cell>
          <cell r="O43" t="str">
            <v>L</v>
          </cell>
          <cell r="P43" t="str">
            <v>L</v>
          </cell>
          <cell r="Q43" t="str">
            <v>L</v>
          </cell>
          <cell r="R43" t="str">
            <v>L</v>
          </cell>
          <cell r="S43" t="str">
            <v>L</v>
          </cell>
          <cell r="T43" t="str">
            <v>L</v>
          </cell>
          <cell r="U43">
            <v>2</v>
          </cell>
          <cell r="V43">
            <v>6</v>
          </cell>
          <cell r="W43">
            <v>2</v>
          </cell>
          <cell r="X43">
            <v>2</v>
          </cell>
          <cell r="Y43">
            <v>2</v>
          </cell>
          <cell r="Z43">
            <v>2</v>
          </cell>
          <cell r="AA43">
            <v>2</v>
          </cell>
          <cell r="AB43">
            <v>2</v>
          </cell>
          <cell r="AC43">
            <v>2</v>
          </cell>
          <cell r="AD43">
            <v>2</v>
          </cell>
          <cell r="AE43">
            <v>2</v>
          </cell>
          <cell r="AF43">
            <v>2</v>
          </cell>
          <cell r="AG43">
            <v>2</v>
          </cell>
          <cell r="AH43">
            <v>2</v>
          </cell>
          <cell r="AI43">
            <v>2</v>
          </cell>
          <cell r="AJ43">
            <v>10</v>
          </cell>
          <cell r="AK43">
            <v>10</v>
          </cell>
          <cell r="AL43">
            <v>2</v>
          </cell>
          <cell r="AM43">
            <v>2</v>
          </cell>
          <cell r="AN43">
            <v>2</v>
          </cell>
          <cell r="AO43" t="str">
            <v>x</v>
          </cell>
          <cell r="AP43">
            <v>20</v>
          </cell>
          <cell r="AQ43">
            <v>10</v>
          </cell>
          <cell r="AR43">
            <v>0</v>
          </cell>
          <cell r="AS43">
            <v>0</v>
          </cell>
          <cell r="AT43">
            <v>0</v>
          </cell>
          <cell r="AU43">
            <v>0</v>
          </cell>
          <cell r="AV43">
            <v>40</v>
          </cell>
          <cell r="AW43">
            <v>20</v>
          </cell>
          <cell r="AX43">
            <v>30</v>
          </cell>
          <cell r="AY43">
            <v>20</v>
          </cell>
          <cell r="AZ43">
            <v>30</v>
          </cell>
          <cell r="CG43">
            <v>60</v>
          </cell>
          <cell r="CH43">
            <v>6</v>
          </cell>
          <cell r="CM43">
            <v>123</v>
          </cell>
          <cell r="CN43" t="str">
            <v>Owed 123 rials Eid bonus, 60 hours 200%, 6 days desert allowance for Eid Al Adhah'2008 from 8th to 13th December'2008.</v>
          </cell>
        </row>
        <row r="44">
          <cell r="B44">
            <v>138</v>
          </cell>
          <cell r="C44" t="str">
            <v>SH</v>
          </cell>
          <cell r="D44" t="str">
            <v>Awadh Marzouq Salmeen</v>
          </cell>
          <cell r="E44" t="str">
            <v>Labour</v>
          </cell>
          <cell r="G44">
            <v>32862</v>
          </cell>
          <cell r="H44">
            <v>38109</v>
          </cell>
          <cell r="I44" t="str">
            <v>A</v>
          </cell>
          <cell r="J44" t="str">
            <v>Sh:2</v>
          </cell>
          <cell r="K44" t="str">
            <v>L</v>
          </cell>
          <cell r="L44" t="str">
            <v>L</v>
          </cell>
          <cell r="M44" t="str">
            <v>L</v>
          </cell>
          <cell r="N44" t="str">
            <v>L</v>
          </cell>
          <cell r="O44" t="str">
            <v>L</v>
          </cell>
          <cell r="P44" t="str">
            <v>L</v>
          </cell>
          <cell r="Q44" t="str">
            <v>L</v>
          </cell>
          <cell r="R44">
            <v>7</v>
          </cell>
          <cell r="S44">
            <v>7.5</v>
          </cell>
          <cell r="T44">
            <v>6</v>
          </cell>
          <cell r="U44">
            <v>2</v>
          </cell>
          <cell r="V44">
            <v>6</v>
          </cell>
          <cell r="W44">
            <v>7</v>
          </cell>
          <cell r="X44">
            <v>7</v>
          </cell>
          <cell r="Y44">
            <v>6</v>
          </cell>
          <cell r="Z44">
            <v>2</v>
          </cell>
          <cell r="AA44">
            <v>2</v>
          </cell>
          <cell r="AB44">
            <v>2</v>
          </cell>
          <cell r="AC44">
            <v>2</v>
          </cell>
          <cell r="AD44">
            <v>2</v>
          </cell>
          <cell r="AE44">
            <v>2</v>
          </cell>
          <cell r="AF44">
            <v>2</v>
          </cell>
          <cell r="AG44">
            <v>2</v>
          </cell>
          <cell r="AH44">
            <v>2</v>
          </cell>
          <cell r="AI44">
            <v>2</v>
          </cell>
          <cell r="AJ44">
            <v>10</v>
          </cell>
          <cell r="AK44">
            <v>10</v>
          </cell>
          <cell r="AL44">
            <v>2</v>
          </cell>
          <cell r="AM44">
            <v>2</v>
          </cell>
          <cell r="AN44">
            <v>2</v>
          </cell>
          <cell r="AO44" t="str">
            <v>x</v>
          </cell>
          <cell r="AP44">
            <v>23</v>
          </cell>
          <cell r="AQ44">
            <v>7</v>
          </cell>
          <cell r="AR44">
            <v>0</v>
          </cell>
          <cell r="AS44">
            <v>0</v>
          </cell>
          <cell r="AT44">
            <v>0</v>
          </cell>
          <cell r="AU44">
            <v>0</v>
          </cell>
          <cell r="AV44">
            <v>74.5</v>
          </cell>
          <cell r="AW44">
            <v>20</v>
          </cell>
          <cell r="AX44">
            <v>30</v>
          </cell>
          <cell r="AY44">
            <v>23</v>
          </cell>
          <cell r="AZ44">
            <v>30</v>
          </cell>
          <cell r="CF44">
            <v>32</v>
          </cell>
          <cell r="CG44">
            <v>60</v>
          </cell>
          <cell r="CH44">
            <v>6</v>
          </cell>
          <cell r="CM44">
            <v>123</v>
          </cell>
          <cell r="CN44" t="str">
            <v>Owed 32 hours overtime extra overtime from 10th and 16th to 18th and 20th to 23rd October'2008. Owed 123 rials Eid bonus, 60 hours 200%, 6 days desert allowance for Eid Al Adhah'2008 from 8th to 13th December'2008.</v>
          </cell>
        </row>
        <row r="45">
          <cell r="B45">
            <v>139</v>
          </cell>
          <cell r="C45" t="str">
            <v>V</v>
          </cell>
          <cell r="D45" t="str">
            <v>Saleh Ali Hamed Al Hina'I</v>
          </cell>
          <cell r="E45" t="str">
            <v>Vibe Operator</v>
          </cell>
          <cell r="G45">
            <v>32871</v>
          </cell>
          <cell r="H45">
            <v>38145</v>
          </cell>
          <cell r="I45" t="str">
            <v>E</v>
          </cell>
          <cell r="J45" t="str">
            <v>Sh:3</v>
          </cell>
          <cell r="K45">
            <v>8</v>
          </cell>
          <cell r="L45">
            <v>8</v>
          </cell>
          <cell r="M45">
            <v>8</v>
          </cell>
          <cell r="N45">
            <v>8</v>
          </cell>
          <cell r="O45">
            <v>8</v>
          </cell>
          <cell r="P45">
            <v>8</v>
          </cell>
          <cell r="Q45">
            <v>8</v>
          </cell>
          <cell r="R45" t="str">
            <v>L</v>
          </cell>
          <cell r="S45" t="str">
            <v>L</v>
          </cell>
          <cell r="T45" t="str">
            <v>L</v>
          </cell>
          <cell r="U45" t="str">
            <v>L</v>
          </cell>
          <cell r="V45" t="str">
            <v>L</v>
          </cell>
          <cell r="W45" t="str">
            <v>L</v>
          </cell>
          <cell r="X45" t="str">
            <v>L</v>
          </cell>
          <cell r="Y45" t="str">
            <v>L</v>
          </cell>
          <cell r="Z45" t="str">
            <v>L</v>
          </cell>
          <cell r="AA45" t="str">
            <v>L</v>
          </cell>
          <cell r="AB45" t="str">
            <v>L</v>
          </cell>
          <cell r="AC45" t="str">
            <v>L</v>
          </cell>
          <cell r="AD45" t="str">
            <v>L</v>
          </cell>
          <cell r="AE45" t="str">
            <v>L</v>
          </cell>
          <cell r="AF45">
            <v>9</v>
          </cell>
          <cell r="AG45">
            <v>9</v>
          </cell>
          <cell r="AH45">
            <v>9</v>
          </cell>
          <cell r="AI45">
            <v>9</v>
          </cell>
          <cell r="AJ45">
            <v>17</v>
          </cell>
          <cell r="AK45">
            <v>17</v>
          </cell>
          <cell r="AL45">
            <v>9</v>
          </cell>
          <cell r="AM45">
            <v>9</v>
          </cell>
          <cell r="AN45">
            <v>9</v>
          </cell>
          <cell r="AO45" t="str">
            <v>x</v>
          </cell>
          <cell r="AP45">
            <v>16</v>
          </cell>
          <cell r="AQ45">
            <v>14</v>
          </cell>
          <cell r="AR45">
            <v>0</v>
          </cell>
          <cell r="AS45">
            <v>0</v>
          </cell>
          <cell r="AT45">
            <v>0</v>
          </cell>
          <cell r="AU45">
            <v>0</v>
          </cell>
          <cell r="AV45">
            <v>119</v>
          </cell>
          <cell r="AW45">
            <v>34</v>
          </cell>
          <cell r="AX45">
            <v>30</v>
          </cell>
          <cell r="AY45">
            <v>16</v>
          </cell>
          <cell r="AZ45">
            <v>30</v>
          </cell>
          <cell r="CG45">
            <v>102</v>
          </cell>
          <cell r="CH45">
            <v>6</v>
          </cell>
          <cell r="CM45">
            <v>123</v>
          </cell>
          <cell r="CN45" t="str">
            <v>Owed 123 rials Eid bonus, 102 hours 200%, 6 days desert allowance for Eid Al Adhah'2008 from 8th to 13th December'2008.</v>
          </cell>
        </row>
        <row r="46">
          <cell r="B46">
            <v>142</v>
          </cell>
          <cell r="C46" t="str">
            <v>R</v>
          </cell>
          <cell r="D46" t="str">
            <v>Salim Huwaishal Sulaiyam</v>
          </cell>
          <cell r="E46" t="str">
            <v>Labour</v>
          </cell>
          <cell r="G46">
            <v>32896</v>
          </cell>
          <cell r="H46">
            <v>38110</v>
          </cell>
          <cell r="I46" t="str">
            <v>A</v>
          </cell>
          <cell r="J46" t="str">
            <v>Sh:3</v>
          </cell>
          <cell r="K46">
            <v>6</v>
          </cell>
          <cell r="L46">
            <v>6</v>
          </cell>
          <cell r="M46">
            <v>6</v>
          </cell>
          <cell r="N46">
            <v>6</v>
          </cell>
          <cell r="O46">
            <v>6</v>
          </cell>
          <cell r="P46">
            <v>2</v>
          </cell>
          <cell r="Q46">
            <v>2</v>
          </cell>
          <cell r="R46" t="str">
            <v>L</v>
          </cell>
          <cell r="S46" t="str">
            <v>L</v>
          </cell>
          <cell r="T46" t="str">
            <v>L</v>
          </cell>
          <cell r="U46" t="str">
            <v>L</v>
          </cell>
          <cell r="V46" t="str">
            <v>L</v>
          </cell>
          <cell r="W46" t="str">
            <v>L</v>
          </cell>
          <cell r="X46" t="str">
            <v>L</v>
          </cell>
          <cell r="Y46" t="str">
            <v>L</v>
          </cell>
          <cell r="Z46" t="str">
            <v>L</v>
          </cell>
          <cell r="AA46" t="str">
            <v>L</v>
          </cell>
          <cell r="AB46" t="str">
            <v>L</v>
          </cell>
          <cell r="AC46" t="str">
            <v>L</v>
          </cell>
          <cell r="AD46" t="str">
            <v>L</v>
          </cell>
          <cell r="AE46" t="str">
            <v>L</v>
          </cell>
          <cell r="AF46">
            <v>2</v>
          </cell>
          <cell r="AG46">
            <v>2</v>
          </cell>
          <cell r="AH46">
            <v>2</v>
          </cell>
          <cell r="AI46">
            <v>2</v>
          </cell>
          <cell r="AJ46">
            <v>10</v>
          </cell>
          <cell r="AK46">
            <v>10</v>
          </cell>
          <cell r="AL46">
            <v>2</v>
          </cell>
          <cell r="AM46">
            <v>2</v>
          </cell>
          <cell r="AN46">
            <v>2</v>
          </cell>
          <cell r="AO46" t="str">
            <v>x</v>
          </cell>
          <cell r="AP46">
            <v>16</v>
          </cell>
          <cell r="AQ46">
            <v>14</v>
          </cell>
          <cell r="AR46">
            <v>0</v>
          </cell>
          <cell r="AS46">
            <v>0</v>
          </cell>
          <cell r="AT46">
            <v>0</v>
          </cell>
          <cell r="AU46">
            <v>0</v>
          </cell>
          <cell r="AV46">
            <v>48</v>
          </cell>
          <cell r="AW46">
            <v>20</v>
          </cell>
          <cell r="AX46">
            <v>30</v>
          </cell>
          <cell r="AY46">
            <v>16</v>
          </cell>
          <cell r="AZ46">
            <v>30</v>
          </cell>
          <cell r="CF46">
            <v>60</v>
          </cell>
          <cell r="CN46" t="str">
            <v>Owed 60 hours overtime extra overtime from 16th to 17th and 19th to 31st October'2008.</v>
          </cell>
        </row>
        <row r="47">
          <cell r="B47">
            <v>144</v>
          </cell>
          <cell r="C47" t="str">
            <v>V</v>
          </cell>
          <cell r="D47" t="str">
            <v>Mohamed Abdullah Surur</v>
          </cell>
          <cell r="E47" t="str">
            <v>Vibe Operator</v>
          </cell>
          <cell r="G47">
            <v>32926</v>
          </cell>
          <cell r="H47">
            <v>38136</v>
          </cell>
          <cell r="I47" t="str">
            <v>E</v>
          </cell>
          <cell r="J47" t="str">
            <v>Sh:1</v>
          </cell>
          <cell r="K47">
            <v>8</v>
          </cell>
          <cell r="L47">
            <v>8</v>
          </cell>
          <cell r="M47">
            <v>8</v>
          </cell>
          <cell r="N47">
            <v>8</v>
          </cell>
          <cell r="O47">
            <v>8</v>
          </cell>
          <cell r="P47">
            <v>8</v>
          </cell>
          <cell r="Q47">
            <v>8</v>
          </cell>
          <cell r="R47" t="str">
            <v>A</v>
          </cell>
          <cell r="S47" t="str">
            <v>A</v>
          </cell>
          <cell r="T47">
            <v>8</v>
          </cell>
          <cell r="U47">
            <v>8</v>
          </cell>
          <cell r="V47">
            <v>8</v>
          </cell>
          <cell r="W47">
            <v>8</v>
          </cell>
          <cell r="X47">
            <v>9</v>
          </cell>
          <cell r="Y47">
            <v>9</v>
          </cell>
          <cell r="Z47">
            <v>9</v>
          </cell>
          <cell r="AA47">
            <v>9</v>
          </cell>
          <cell r="AB47">
            <v>9</v>
          </cell>
          <cell r="AC47">
            <v>9</v>
          </cell>
          <cell r="AD47">
            <v>9</v>
          </cell>
          <cell r="AE47">
            <v>9</v>
          </cell>
          <cell r="AF47" t="str">
            <v>L</v>
          </cell>
          <cell r="AG47" t="str">
            <v>L</v>
          </cell>
          <cell r="AH47" t="str">
            <v>L</v>
          </cell>
          <cell r="AI47" t="str">
            <v>L</v>
          </cell>
          <cell r="AJ47" t="str">
            <v>L</v>
          </cell>
          <cell r="AK47" t="str">
            <v>L</v>
          </cell>
          <cell r="AL47" t="str">
            <v>L</v>
          </cell>
          <cell r="AM47" t="str">
            <v>L</v>
          </cell>
          <cell r="AN47" t="str">
            <v>L</v>
          </cell>
          <cell r="AO47" t="str">
            <v>x</v>
          </cell>
          <cell r="AP47">
            <v>19</v>
          </cell>
          <cell r="AQ47">
            <v>9</v>
          </cell>
          <cell r="AR47">
            <v>0</v>
          </cell>
          <cell r="AS47">
            <v>0</v>
          </cell>
          <cell r="AT47">
            <v>2</v>
          </cell>
          <cell r="AU47">
            <v>0</v>
          </cell>
          <cell r="AV47">
            <v>160</v>
          </cell>
          <cell r="AW47">
            <v>0</v>
          </cell>
          <cell r="AX47">
            <v>28</v>
          </cell>
          <cell r="AY47">
            <v>19</v>
          </cell>
          <cell r="AZ47">
            <v>28</v>
          </cell>
          <cell r="CG47">
            <v>102</v>
          </cell>
          <cell r="CH47">
            <v>6</v>
          </cell>
          <cell r="CM47">
            <v>123</v>
          </cell>
          <cell r="CN47" t="str">
            <v>Owed 123 rials Eid bonus, 102 hours 200%, 6 days desert allowance for Eid Al Adhah'2008 from 8th to 13th December'2008.</v>
          </cell>
        </row>
        <row r="48">
          <cell r="B48">
            <v>151</v>
          </cell>
          <cell r="C48" t="str">
            <v>JR</v>
          </cell>
          <cell r="D48" t="str">
            <v>Sa'ad Khalfan Sa'ad</v>
          </cell>
          <cell r="E48" t="str">
            <v>Heavy Duty Dvr</v>
          </cell>
          <cell r="G48">
            <v>33025</v>
          </cell>
          <cell r="H48">
            <v>38136</v>
          </cell>
          <cell r="I48" t="str">
            <v>E</v>
          </cell>
          <cell r="J48" t="str">
            <v>Sh:1</v>
          </cell>
          <cell r="K48">
            <v>8</v>
          </cell>
          <cell r="L48">
            <v>8</v>
          </cell>
          <cell r="M48">
            <v>8</v>
          </cell>
          <cell r="N48">
            <v>8</v>
          </cell>
          <cell r="O48">
            <v>8</v>
          </cell>
          <cell r="P48">
            <v>8</v>
          </cell>
          <cell r="Q48">
            <v>8</v>
          </cell>
          <cell r="R48">
            <v>8</v>
          </cell>
          <cell r="S48">
            <v>8</v>
          </cell>
          <cell r="T48">
            <v>8</v>
          </cell>
          <cell r="U48">
            <v>8</v>
          </cell>
          <cell r="V48">
            <v>8</v>
          </cell>
          <cell r="W48">
            <v>8</v>
          </cell>
          <cell r="X48">
            <v>9</v>
          </cell>
          <cell r="Y48">
            <v>9</v>
          </cell>
          <cell r="Z48">
            <v>9</v>
          </cell>
          <cell r="AA48">
            <v>9</v>
          </cell>
          <cell r="AB48">
            <v>9</v>
          </cell>
          <cell r="AC48">
            <v>9</v>
          </cell>
          <cell r="AD48">
            <v>9</v>
          </cell>
          <cell r="AE48">
            <v>9</v>
          </cell>
          <cell r="AF48" t="str">
            <v>L</v>
          </cell>
          <cell r="AG48" t="str">
            <v>L</v>
          </cell>
          <cell r="AH48" t="str">
            <v>L</v>
          </cell>
          <cell r="AI48" t="str">
            <v>L</v>
          </cell>
          <cell r="AJ48" t="str">
            <v>L</v>
          </cell>
          <cell r="AK48" t="str">
            <v>L</v>
          </cell>
          <cell r="AL48" t="str">
            <v>L</v>
          </cell>
          <cell r="AM48" t="str">
            <v>L</v>
          </cell>
          <cell r="AN48" t="str">
            <v>L</v>
          </cell>
          <cell r="AO48" t="str">
            <v>x</v>
          </cell>
          <cell r="AP48">
            <v>21</v>
          </cell>
          <cell r="AQ48">
            <v>9</v>
          </cell>
          <cell r="AR48">
            <v>0</v>
          </cell>
          <cell r="AS48">
            <v>0</v>
          </cell>
          <cell r="AT48">
            <v>0</v>
          </cell>
          <cell r="AU48">
            <v>0</v>
          </cell>
          <cell r="AV48">
            <v>176</v>
          </cell>
          <cell r="AW48">
            <v>0</v>
          </cell>
          <cell r="AX48">
            <v>30</v>
          </cell>
          <cell r="AY48">
            <v>21</v>
          </cell>
          <cell r="AZ48">
            <v>30</v>
          </cell>
          <cell r="CF48">
            <v>20</v>
          </cell>
          <cell r="CG48">
            <v>63</v>
          </cell>
          <cell r="CH48">
            <v>6</v>
          </cell>
          <cell r="CM48">
            <v>123</v>
          </cell>
          <cell r="CN48" t="str">
            <v>Owed 20 hours overtime extra overtime from 25th to 26th and 28th to 30th October'2008. Owed 123 rials Eid bonus, 63 hours 200%, 6 days desert allowance for Eid Al Adhah'2008 from 8th to 13th December'2008.</v>
          </cell>
        </row>
        <row r="49">
          <cell r="B49">
            <v>157</v>
          </cell>
          <cell r="C49" t="str">
            <v>SH</v>
          </cell>
          <cell r="D49" t="str">
            <v>Salim Ghanim Salam</v>
          </cell>
          <cell r="E49" t="str">
            <v>Line Foreman</v>
          </cell>
          <cell r="G49">
            <v>33117</v>
          </cell>
          <cell r="H49">
            <v>38145</v>
          </cell>
          <cell r="I49" t="str">
            <v>E</v>
          </cell>
          <cell r="J49" t="str">
            <v>Sh:1</v>
          </cell>
          <cell r="K49">
            <v>6.5</v>
          </cell>
          <cell r="L49">
            <v>6.5</v>
          </cell>
          <cell r="M49">
            <v>6.5</v>
          </cell>
          <cell r="N49">
            <v>6.5</v>
          </cell>
          <cell r="O49">
            <v>6.5</v>
          </cell>
          <cell r="P49">
            <v>6.5</v>
          </cell>
          <cell r="Q49">
            <v>6.5</v>
          </cell>
          <cell r="R49">
            <v>6.5</v>
          </cell>
          <cell r="S49">
            <v>6.5</v>
          </cell>
          <cell r="T49">
            <v>6.5</v>
          </cell>
          <cell r="U49">
            <v>6.5</v>
          </cell>
          <cell r="V49">
            <v>6.5</v>
          </cell>
          <cell r="W49">
            <v>6.5</v>
          </cell>
          <cell r="X49">
            <v>6.5</v>
          </cell>
          <cell r="Y49">
            <v>6.5</v>
          </cell>
          <cell r="Z49">
            <v>2.5</v>
          </cell>
          <cell r="AA49">
            <v>2.5</v>
          </cell>
          <cell r="AB49">
            <v>2.5</v>
          </cell>
          <cell r="AC49">
            <v>2.5</v>
          </cell>
          <cell r="AD49">
            <v>2.5</v>
          </cell>
          <cell r="AE49">
            <v>2.5</v>
          </cell>
          <cell r="AF49" t="str">
            <v>L</v>
          </cell>
          <cell r="AG49" t="str">
            <v>L</v>
          </cell>
          <cell r="AH49" t="str">
            <v>L</v>
          </cell>
          <cell r="AI49" t="str">
            <v>L</v>
          </cell>
          <cell r="AJ49" t="str">
            <v>L</v>
          </cell>
          <cell r="AK49" t="str">
            <v>L</v>
          </cell>
          <cell r="AL49" t="str">
            <v>L</v>
          </cell>
          <cell r="AM49" t="str">
            <v>L</v>
          </cell>
          <cell r="AN49" t="str">
            <v>L</v>
          </cell>
          <cell r="AO49" t="str">
            <v>x</v>
          </cell>
          <cell r="AP49">
            <v>21</v>
          </cell>
          <cell r="AQ49">
            <v>9</v>
          </cell>
          <cell r="AR49">
            <v>0</v>
          </cell>
          <cell r="AS49">
            <v>0</v>
          </cell>
          <cell r="AT49">
            <v>0</v>
          </cell>
          <cell r="AU49">
            <v>0</v>
          </cell>
          <cell r="AV49">
            <v>112.5</v>
          </cell>
          <cell r="AW49">
            <v>0</v>
          </cell>
          <cell r="AX49">
            <v>30</v>
          </cell>
          <cell r="AY49">
            <v>21</v>
          </cell>
          <cell r="AZ49">
            <v>30</v>
          </cell>
          <cell r="CF49">
            <v>28</v>
          </cell>
          <cell r="CN49" t="str">
            <v>Owed 28 hours overtime extra overtime from 25th to 31st October'2008.</v>
          </cell>
        </row>
        <row r="50">
          <cell r="B50">
            <v>158</v>
          </cell>
          <cell r="C50" t="str">
            <v>RL</v>
          </cell>
          <cell r="D50" t="str">
            <v>Khalfan Said Khalfan</v>
          </cell>
          <cell r="E50" t="str">
            <v>Group Foreman</v>
          </cell>
          <cell r="G50">
            <v>33122</v>
          </cell>
          <cell r="H50">
            <v>38145</v>
          </cell>
          <cell r="I50" t="str">
            <v>A</v>
          </cell>
          <cell r="J50" t="str">
            <v>Sh:1</v>
          </cell>
          <cell r="K50">
            <v>6.5</v>
          </cell>
          <cell r="L50">
            <v>2.5</v>
          </cell>
          <cell r="M50" t="str">
            <v>L</v>
          </cell>
          <cell r="N50" t="str">
            <v>L</v>
          </cell>
          <cell r="O50">
            <v>8.5</v>
          </cell>
          <cell r="P50">
            <v>7.5</v>
          </cell>
          <cell r="Q50">
            <v>8.5</v>
          </cell>
          <cell r="R50">
            <v>8.5</v>
          </cell>
          <cell r="S50">
            <v>8.5</v>
          </cell>
          <cell r="T50">
            <v>8.5</v>
          </cell>
          <cell r="U50">
            <v>6.5</v>
          </cell>
          <cell r="V50">
            <v>10.5</v>
          </cell>
          <cell r="W50">
            <v>10.5</v>
          </cell>
          <cell r="X50">
            <v>10.5</v>
          </cell>
          <cell r="Y50">
            <v>10.5</v>
          </cell>
          <cell r="Z50">
            <v>4.5</v>
          </cell>
          <cell r="AA50">
            <v>2.5</v>
          </cell>
          <cell r="AB50">
            <v>2.5</v>
          </cell>
          <cell r="AC50">
            <v>2.5</v>
          </cell>
          <cell r="AD50">
            <v>2.5</v>
          </cell>
          <cell r="AE50">
            <v>2.5</v>
          </cell>
          <cell r="AF50" t="str">
            <v>L</v>
          </cell>
          <cell r="AG50" t="str">
            <v>L</v>
          </cell>
          <cell r="AH50" t="str">
            <v>L</v>
          </cell>
          <cell r="AI50" t="str">
            <v>L</v>
          </cell>
          <cell r="AJ50" t="str">
            <v>L</v>
          </cell>
          <cell r="AK50" t="str">
            <v>L</v>
          </cell>
          <cell r="AL50" t="str">
            <v>L</v>
          </cell>
          <cell r="AM50" t="str">
            <v>L</v>
          </cell>
          <cell r="AN50" t="str">
            <v>L</v>
          </cell>
          <cell r="AO50" t="str">
            <v>x</v>
          </cell>
          <cell r="AP50">
            <v>19</v>
          </cell>
          <cell r="AQ50">
            <v>11</v>
          </cell>
          <cell r="AR50">
            <v>0</v>
          </cell>
          <cell r="AS50">
            <v>0</v>
          </cell>
          <cell r="AT50">
            <v>0</v>
          </cell>
          <cell r="AU50">
            <v>0</v>
          </cell>
          <cell r="AV50">
            <v>124.5</v>
          </cell>
          <cell r="AW50">
            <v>0</v>
          </cell>
          <cell r="AX50">
            <v>30</v>
          </cell>
          <cell r="AY50">
            <v>19</v>
          </cell>
          <cell r="AZ50">
            <v>30</v>
          </cell>
          <cell r="CF50">
            <v>38</v>
          </cell>
          <cell r="CG50">
            <v>63</v>
          </cell>
          <cell r="CH50">
            <v>6</v>
          </cell>
          <cell r="CM50">
            <v>123</v>
          </cell>
          <cell r="CN50" t="str">
            <v>Owed 38 hours overtime extra overtime from 25th to 31st October'2008. Owed 123 rials Eid bonus, 63 hours 200%, 6 days desert allowance for Eid Al Adhah'2008 from 8th to 13th December'2008.</v>
          </cell>
        </row>
        <row r="51">
          <cell r="B51">
            <v>159</v>
          </cell>
          <cell r="C51" t="str">
            <v>RL</v>
          </cell>
          <cell r="D51" t="str">
            <v>Nasser Salim Nasser Al Ghafri</v>
          </cell>
          <cell r="E51" t="str">
            <v>Line Foreman</v>
          </cell>
          <cell r="G51">
            <v>33147</v>
          </cell>
          <cell r="H51">
            <v>38145</v>
          </cell>
          <cell r="I51" t="str">
            <v>E</v>
          </cell>
          <cell r="J51" t="str">
            <v>Sh:3</v>
          </cell>
          <cell r="K51">
            <v>6.5</v>
          </cell>
          <cell r="L51">
            <v>6.5</v>
          </cell>
          <cell r="M51">
            <v>6.5</v>
          </cell>
          <cell r="N51">
            <v>6.5</v>
          </cell>
          <cell r="O51">
            <v>6.5</v>
          </cell>
          <cell r="P51">
            <v>6.5</v>
          </cell>
          <cell r="Q51">
            <v>2.5</v>
          </cell>
          <cell r="R51" t="str">
            <v>L</v>
          </cell>
          <cell r="S51" t="str">
            <v>L</v>
          </cell>
          <cell r="T51" t="str">
            <v>L</v>
          </cell>
          <cell r="U51" t="str">
            <v>L</v>
          </cell>
          <cell r="V51" t="str">
            <v>L</v>
          </cell>
          <cell r="W51" t="str">
            <v>L</v>
          </cell>
          <cell r="X51" t="str">
            <v>L</v>
          </cell>
          <cell r="Y51" t="str">
            <v>L</v>
          </cell>
          <cell r="Z51" t="str">
            <v>L</v>
          </cell>
          <cell r="AA51" t="str">
            <v>L</v>
          </cell>
          <cell r="AB51" t="str">
            <v>L</v>
          </cell>
          <cell r="AC51" t="str">
            <v>L</v>
          </cell>
          <cell r="AD51" t="str">
            <v>L</v>
          </cell>
          <cell r="AE51" t="str">
            <v>L</v>
          </cell>
          <cell r="AF51">
            <v>2.5</v>
          </cell>
          <cell r="AG51">
            <v>2.5</v>
          </cell>
          <cell r="AH51">
            <v>2.5</v>
          </cell>
          <cell r="AI51">
            <v>2.5</v>
          </cell>
          <cell r="AJ51">
            <v>10.5</v>
          </cell>
          <cell r="AK51">
            <v>10.5</v>
          </cell>
          <cell r="AL51">
            <v>2.5</v>
          </cell>
          <cell r="AM51">
            <v>2.5</v>
          </cell>
          <cell r="AN51">
            <v>2.5</v>
          </cell>
          <cell r="AO51" t="str">
            <v>x</v>
          </cell>
          <cell r="AP51">
            <v>16</v>
          </cell>
          <cell r="AQ51">
            <v>14</v>
          </cell>
          <cell r="AR51">
            <v>0</v>
          </cell>
          <cell r="AS51">
            <v>0</v>
          </cell>
          <cell r="AT51">
            <v>0</v>
          </cell>
          <cell r="AU51">
            <v>0</v>
          </cell>
          <cell r="AV51">
            <v>59</v>
          </cell>
          <cell r="AW51">
            <v>21</v>
          </cell>
          <cell r="AX51">
            <v>30</v>
          </cell>
          <cell r="AY51">
            <v>16</v>
          </cell>
          <cell r="AZ51">
            <v>30</v>
          </cell>
          <cell r="CF51">
            <v>48</v>
          </cell>
          <cell r="CN51" t="str">
            <v>Owed 48 hours overtime extra overtime from 20th to 31st October'2008.</v>
          </cell>
        </row>
        <row r="52">
          <cell r="B52">
            <v>161</v>
          </cell>
          <cell r="C52" t="str">
            <v>SH</v>
          </cell>
          <cell r="D52" t="str">
            <v>Salim Abdullah Saif Al Harrasi</v>
          </cell>
          <cell r="E52" t="str">
            <v>Vibe Operator</v>
          </cell>
          <cell r="G52">
            <v>33178</v>
          </cell>
          <cell r="H52">
            <v>38147</v>
          </cell>
          <cell r="I52" t="str">
            <v>E</v>
          </cell>
          <cell r="J52" t="str">
            <v>Sh:3</v>
          </cell>
          <cell r="K52" t="str">
            <v>H</v>
          </cell>
          <cell r="L52" t="str">
            <v>H</v>
          </cell>
          <cell r="M52" t="str">
            <v>H</v>
          </cell>
          <cell r="N52" t="str">
            <v>H</v>
          </cell>
          <cell r="O52" t="str">
            <v>H</v>
          </cell>
          <cell r="P52" t="str">
            <v>H</v>
          </cell>
          <cell r="Q52" t="str">
            <v>H</v>
          </cell>
          <cell r="R52" t="str">
            <v>H</v>
          </cell>
          <cell r="S52" t="str">
            <v>H</v>
          </cell>
          <cell r="T52" t="str">
            <v>H</v>
          </cell>
          <cell r="U52" t="str">
            <v>H</v>
          </cell>
          <cell r="V52" t="str">
            <v>H</v>
          </cell>
          <cell r="W52" t="str">
            <v>H</v>
          </cell>
          <cell r="X52" t="str">
            <v>H</v>
          </cell>
          <cell r="Y52" t="str">
            <v>H</v>
          </cell>
          <cell r="Z52" t="str">
            <v>H</v>
          </cell>
          <cell r="AA52" t="str">
            <v>H</v>
          </cell>
          <cell r="AB52" t="str">
            <v>H</v>
          </cell>
          <cell r="AC52" t="str">
            <v>H</v>
          </cell>
          <cell r="AD52" t="str">
            <v>H</v>
          </cell>
          <cell r="AE52" t="str">
            <v>H</v>
          </cell>
          <cell r="AF52" t="str">
            <v>H</v>
          </cell>
          <cell r="AG52" t="str">
            <v>H</v>
          </cell>
          <cell r="AH52" t="str">
            <v>H</v>
          </cell>
          <cell r="AI52" t="str">
            <v>H</v>
          </cell>
          <cell r="AJ52" t="str">
            <v>H</v>
          </cell>
          <cell r="AK52" t="str">
            <v>H</v>
          </cell>
          <cell r="AL52" t="str">
            <v>H</v>
          </cell>
          <cell r="AM52" t="str">
            <v>H</v>
          </cell>
          <cell r="AN52" t="str">
            <v>H</v>
          </cell>
          <cell r="AO52" t="str">
            <v>x</v>
          </cell>
          <cell r="AP52">
            <v>0</v>
          </cell>
          <cell r="AQ52">
            <v>0</v>
          </cell>
          <cell r="AR52">
            <v>0</v>
          </cell>
          <cell r="AS52">
            <v>0</v>
          </cell>
          <cell r="AT52">
            <v>0</v>
          </cell>
          <cell r="AU52">
            <v>30</v>
          </cell>
          <cell r="AV52">
            <v>0</v>
          </cell>
          <cell r="AW52">
            <v>0</v>
          </cell>
          <cell r="AX52">
            <v>0</v>
          </cell>
          <cell r="AY52">
            <v>0</v>
          </cell>
          <cell r="AZ52">
            <v>0</v>
          </cell>
        </row>
        <row r="53">
          <cell r="B53">
            <v>163</v>
          </cell>
          <cell r="C53" t="str">
            <v>R</v>
          </cell>
          <cell r="D53" t="str">
            <v>Musabah Ali Saif Al Hina'I</v>
          </cell>
          <cell r="E53" t="str">
            <v>Group Foreman</v>
          </cell>
          <cell r="G53">
            <v>33208</v>
          </cell>
          <cell r="H53">
            <v>38136</v>
          </cell>
          <cell r="I53" t="str">
            <v>A</v>
          </cell>
          <cell r="J53" t="str">
            <v>Sh:1</v>
          </cell>
          <cell r="K53">
            <v>6.5</v>
          </cell>
          <cell r="L53">
            <v>6.5</v>
          </cell>
          <cell r="M53">
            <v>6.5</v>
          </cell>
          <cell r="N53">
            <v>6.5</v>
          </cell>
          <cell r="O53">
            <v>6.5</v>
          </cell>
          <cell r="P53">
            <v>6.5</v>
          </cell>
          <cell r="Q53">
            <v>6.5</v>
          </cell>
          <cell r="R53">
            <v>6.5</v>
          </cell>
          <cell r="S53">
            <v>7.5</v>
          </cell>
          <cell r="T53">
            <v>7.5</v>
          </cell>
          <cell r="U53">
            <v>7.5</v>
          </cell>
          <cell r="V53">
            <v>7.5</v>
          </cell>
          <cell r="W53">
            <v>7.5</v>
          </cell>
          <cell r="X53">
            <v>7.5</v>
          </cell>
          <cell r="Y53">
            <v>7.5</v>
          </cell>
          <cell r="Z53">
            <v>2.5</v>
          </cell>
          <cell r="AA53">
            <v>2.5</v>
          </cell>
          <cell r="AB53">
            <v>2.5</v>
          </cell>
          <cell r="AC53">
            <v>0</v>
          </cell>
          <cell r="AD53" t="str">
            <v>C</v>
          </cell>
          <cell r="AE53" t="str">
            <v>C</v>
          </cell>
          <cell r="AF53" t="str">
            <v>L</v>
          </cell>
          <cell r="AG53" t="str">
            <v>L</v>
          </cell>
          <cell r="AH53" t="str">
            <v>L</v>
          </cell>
          <cell r="AI53" t="str">
            <v>L</v>
          </cell>
          <cell r="AJ53" t="str">
            <v>L</v>
          </cell>
          <cell r="AK53" t="str">
            <v>L</v>
          </cell>
          <cell r="AL53" t="str">
            <v>L</v>
          </cell>
          <cell r="AM53" t="str">
            <v>L</v>
          </cell>
          <cell r="AN53" t="str">
            <v>L</v>
          </cell>
          <cell r="AO53" t="str">
            <v>x</v>
          </cell>
          <cell r="AP53">
            <v>19</v>
          </cell>
          <cell r="AQ53">
            <v>11</v>
          </cell>
          <cell r="AR53">
            <v>0</v>
          </cell>
          <cell r="AS53">
            <v>0</v>
          </cell>
          <cell r="AT53">
            <v>0</v>
          </cell>
          <cell r="AU53">
            <v>0</v>
          </cell>
          <cell r="AV53">
            <v>112</v>
          </cell>
          <cell r="AW53">
            <v>0</v>
          </cell>
          <cell r="AX53">
            <v>30</v>
          </cell>
          <cell r="AY53">
            <v>19</v>
          </cell>
          <cell r="AZ53">
            <v>30</v>
          </cell>
          <cell r="CF53">
            <v>34.5</v>
          </cell>
          <cell r="CN53" t="str">
            <v xml:space="preserve">Owed 28 hours overtime extra overtime from 25th to 31st October'2008. Owed 6.5 hours overtime for September'2008. </v>
          </cell>
        </row>
        <row r="54">
          <cell r="B54">
            <v>165</v>
          </cell>
          <cell r="C54" t="str">
            <v>SHE</v>
          </cell>
          <cell r="D54" t="str">
            <v>Nasser Hamoud Yasir</v>
          </cell>
          <cell r="E54" t="str">
            <v>GPS Operator</v>
          </cell>
          <cell r="G54">
            <v>33270</v>
          </cell>
          <cell r="H54">
            <v>38108</v>
          </cell>
          <cell r="I54" t="str">
            <v>E</v>
          </cell>
          <cell r="J54" t="str">
            <v>Sh:2</v>
          </cell>
          <cell r="K54">
            <v>2.5</v>
          </cell>
          <cell r="L54">
            <v>2.5</v>
          </cell>
          <cell r="M54">
            <v>2.5</v>
          </cell>
          <cell r="N54">
            <v>2.5</v>
          </cell>
          <cell r="O54">
            <v>2.5</v>
          </cell>
          <cell r="P54">
            <v>2.5</v>
          </cell>
          <cell r="Q54">
            <v>2.5</v>
          </cell>
          <cell r="R54">
            <v>2.5</v>
          </cell>
          <cell r="S54">
            <v>2.5</v>
          </cell>
          <cell r="T54">
            <v>2.5</v>
          </cell>
          <cell r="U54">
            <v>2.5</v>
          </cell>
          <cell r="V54">
            <v>2.5</v>
          </cell>
          <cell r="W54">
            <v>2.5</v>
          </cell>
          <cell r="X54">
            <v>2.5</v>
          </cell>
          <cell r="Y54">
            <v>2.5</v>
          </cell>
          <cell r="Z54">
            <v>2.5</v>
          </cell>
          <cell r="AA54">
            <v>2.5</v>
          </cell>
          <cell r="AB54">
            <v>2.5</v>
          </cell>
          <cell r="AC54">
            <v>2.5</v>
          </cell>
          <cell r="AD54">
            <v>2.5</v>
          </cell>
          <cell r="AE54">
            <v>2.5</v>
          </cell>
          <cell r="AF54">
            <v>2.5</v>
          </cell>
          <cell r="AG54">
            <v>2.5</v>
          </cell>
          <cell r="AH54">
            <v>2.5</v>
          </cell>
          <cell r="AI54">
            <v>2.5</v>
          </cell>
          <cell r="AJ54">
            <v>10.5</v>
          </cell>
          <cell r="AK54">
            <v>10.5</v>
          </cell>
          <cell r="AL54">
            <v>2.5</v>
          </cell>
          <cell r="AM54">
            <v>2.5</v>
          </cell>
          <cell r="AN54">
            <v>2.5</v>
          </cell>
          <cell r="AO54" t="str">
            <v>x</v>
          </cell>
          <cell r="AP54">
            <v>30</v>
          </cell>
          <cell r="AQ54">
            <v>0</v>
          </cell>
          <cell r="AR54">
            <v>0</v>
          </cell>
          <cell r="AS54">
            <v>0</v>
          </cell>
          <cell r="AT54">
            <v>0</v>
          </cell>
          <cell r="AU54">
            <v>0</v>
          </cell>
          <cell r="AV54">
            <v>70</v>
          </cell>
          <cell r="AW54">
            <v>21</v>
          </cell>
          <cell r="AX54">
            <v>30</v>
          </cell>
          <cell r="AY54">
            <v>30</v>
          </cell>
          <cell r="AZ54">
            <v>30</v>
          </cell>
          <cell r="CG54">
            <v>63</v>
          </cell>
          <cell r="CH54">
            <v>6</v>
          </cell>
          <cell r="CM54">
            <v>123</v>
          </cell>
          <cell r="CN54" t="str">
            <v>Owed 123 rials Eid bonus, 63 hours 200%, 6 days desert allowance for Eid Al Adhah'2008 from 8th to 13th December'2008.</v>
          </cell>
        </row>
        <row r="55">
          <cell r="B55">
            <v>167</v>
          </cell>
          <cell r="C55" t="str">
            <v>SG</v>
          </cell>
          <cell r="D55" t="str">
            <v>Salim Mubarak Abdullah</v>
          </cell>
          <cell r="E55" t="str">
            <v>GPS Operator</v>
          </cell>
          <cell r="G55">
            <v>33270</v>
          </cell>
          <cell r="H55">
            <v>38132</v>
          </cell>
          <cell r="I55" t="str">
            <v>C</v>
          </cell>
          <cell r="J55" t="str">
            <v>Sh:3</v>
          </cell>
          <cell r="K55">
            <v>2.5</v>
          </cell>
          <cell r="L55">
            <v>2.5</v>
          </cell>
          <cell r="M55">
            <v>2.5</v>
          </cell>
          <cell r="N55">
            <v>2.5</v>
          </cell>
          <cell r="O55">
            <v>2.5</v>
          </cell>
          <cell r="P55">
            <v>2.5</v>
          </cell>
          <cell r="Q55">
            <v>2.5</v>
          </cell>
          <cell r="R55" t="str">
            <v>L</v>
          </cell>
          <cell r="S55" t="str">
            <v>L</v>
          </cell>
          <cell r="T55" t="str">
            <v>L</v>
          </cell>
          <cell r="U55" t="str">
            <v>L</v>
          </cell>
          <cell r="V55" t="str">
            <v>L</v>
          </cell>
          <cell r="W55" t="str">
            <v>L</v>
          </cell>
          <cell r="X55" t="str">
            <v>L</v>
          </cell>
          <cell r="Y55" t="str">
            <v>L</v>
          </cell>
          <cell r="Z55" t="str">
            <v>L</v>
          </cell>
          <cell r="AA55" t="str">
            <v>L</v>
          </cell>
          <cell r="AB55" t="str">
            <v>L</v>
          </cell>
          <cell r="AC55" t="str">
            <v>L</v>
          </cell>
          <cell r="AD55" t="str">
            <v>L</v>
          </cell>
          <cell r="AE55" t="str">
            <v>L</v>
          </cell>
          <cell r="AF55">
            <v>2.5</v>
          </cell>
          <cell r="AG55">
            <v>2.5</v>
          </cell>
          <cell r="AH55">
            <v>2.5</v>
          </cell>
          <cell r="AI55">
            <v>2.5</v>
          </cell>
          <cell r="AJ55">
            <v>10.5</v>
          </cell>
          <cell r="AK55">
            <v>10.5</v>
          </cell>
          <cell r="AL55">
            <v>2.5</v>
          </cell>
          <cell r="AM55">
            <v>2.5</v>
          </cell>
          <cell r="AN55">
            <v>2.5</v>
          </cell>
          <cell r="AO55" t="str">
            <v>x</v>
          </cell>
          <cell r="AP55">
            <v>16</v>
          </cell>
          <cell r="AQ55">
            <v>14</v>
          </cell>
          <cell r="AR55">
            <v>0</v>
          </cell>
          <cell r="AS55">
            <v>0</v>
          </cell>
          <cell r="AT55">
            <v>0</v>
          </cell>
          <cell r="AU55">
            <v>0</v>
          </cell>
          <cell r="AV55">
            <v>35</v>
          </cell>
          <cell r="AW55">
            <v>21</v>
          </cell>
          <cell r="AX55">
            <v>30</v>
          </cell>
          <cell r="AY55">
            <v>16</v>
          </cell>
          <cell r="AZ55">
            <v>30</v>
          </cell>
          <cell r="CF55">
            <v>45</v>
          </cell>
          <cell r="CG55">
            <v>63</v>
          </cell>
          <cell r="CH55">
            <v>6</v>
          </cell>
          <cell r="CM55">
            <v>123</v>
          </cell>
          <cell r="CN55" t="str">
            <v>Owed 45 hours overtime extra overtime from 23rd and 25th and 27th to 29th October'2008. Owed 123 rials Eid bonus, 63 hours 200%, 6 days desert allowance for Eid Al Adhah'2008 from 8th to 13th December'2008.</v>
          </cell>
        </row>
        <row r="56">
          <cell r="B56">
            <v>168</v>
          </cell>
          <cell r="C56" t="str">
            <v>AN</v>
          </cell>
          <cell r="D56" t="str">
            <v>Lahimar Sulaiyam Haid</v>
          </cell>
          <cell r="E56" t="str">
            <v>Heavy Duty Dvr</v>
          </cell>
          <cell r="G56">
            <v>33270</v>
          </cell>
          <cell r="H56">
            <v>38145</v>
          </cell>
          <cell r="I56" t="str">
            <v>E</v>
          </cell>
          <cell r="J56" t="str">
            <v>Sh:2</v>
          </cell>
          <cell r="K56" t="str">
            <v>L</v>
          </cell>
          <cell r="L56" t="str">
            <v>L</v>
          </cell>
          <cell r="M56" t="str">
            <v>L</v>
          </cell>
          <cell r="N56" t="str">
            <v>L</v>
          </cell>
          <cell r="O56" t="str">
            <v>L</v>
          </cell>
          <cell r="P56" t="str">
            <v>L</v>
          </cell>
          <cell r="Q56" t="str">
            <v>L</v>
          </cell>
          <cell r="R56" t="str">
            <v>S</v>
          </cell>
          <cell r="S56" t="str">
            <v>S</v>
          </cell>
          <cell r="T56" t="str">
            <v>L</v>
          </cell>
          <cell r="U56" t="str">
            <v>L</v>
          </cell>
          <cell r="V56">
            <v>2.5</v>
          </cell>
          <cell r="W56">
            <v>2.5</v>
          </cell>
          <cell r="X56">
            <v>4</v>
          </cell>
          <cell r="Y56">
            <v>3</v>
          </cell>
          <cell r="Z56">
            <v>2.5</v>
          </cell>
          <cell r="AA56" t="str">
            <v>S</v>
          </cell>
          <cell r="AB56">
            <v>2.5</v>
          </cell>
          <cell r="AC56">
            <v>2.5</v>
          </cell>
          <cell r="AD56">
            <v>2.5</v>
          </cell>
          <cell r="AE56">
            <v>2.5</v>
          </cell>
          <cell r="AF56">
            <v>2.5</v>
          </cell>
          <cell r="AG56">
            <v>2.5</v>
          </cell>
          <cell r="AH56">
            <v>2.5</v>
          </cell>
          <cell r="AI56">
            <v>2.5</v>
          </cell>
          <cell r="AJ56">
            <v>10.5</v>
          </cell>
          <cell r="AK56">
            <v>10.5</v>
          </cell>
          <cell r="AL56">
            <v>2.5</v>
          </cell>
          <cell r="AM56">
            <v>2.5</v>
          </cell>
          <cell r="AN56">
            <v>2.5</v>
          </cell>
          <cell r="AO56" t="str">
            <v>x</v>
          </cell>
          <cell r="AP56">
            <v>18</v>
          </cell>
          <cell r="AQ56">
            <v>9</v>
          </cell>
          <cell r="AR56">
            <v>3</v>
          </cell>
          <cell r="AS56">
            <v>0</v>
          </cell>
          <cell r="AT56">
            <v>0</v>
          </cell>
          <cell r="AU56">
            <v>0</v>
          </cell>
          <cell r="AV56">
            <v>42</v>
          </cell>
          <cell r="AW56">
            <v>21</v>
          </cell>
          <cell r="AX56">
            <v>30</v>
          </cell>
          <cell r="AY56">
            <v>18</v>
          </cell>
          <cell r="AZ56">
            <v>30</v>
          </cell>
          <cell r="CG56">
            <v>63</v>
          </cell>
          <cell r="CH56">
            <v>6</v>
          </cell>
          <cell r="CM56">
            <v>123</v>
          </cell>
          <cell r="CN56" t="str">
            <v>Owed 123 rials Eid bonus, 102 hours 200%, 6 days desert allowance for Eid Al Adhah'2008 from 8th to 13th December'2008.</v>
          </cell>
        </row>
        <row r="57">
          <cell r="B57">
            <v>171</v>
          </cell>
          <cell r="C57" t="str">
            <v>MA</v>
          </cell>
          <cell r="D57" t="str">
            <v>Rashid Khalfan Khamis</v>
          </cell>
          <cell r="E57" t="str">
            <v>Asst Mech ' Workshop '</v>
          </cell>
          <cell r="G57">
            <v>33276</v>
          </cell>
          <cell r="H57">
            <v>38136</v>
          </cell>
          <cell r="I57" t="str">
            <v>C</v>
          </cell>
          <cell r="J57" t="str">
            <v>Sh:1</v>
          </cell>
          <cell r="K57">
            <v>2</v>
          </cell>
          <cell r="L57">
            <v>2</v>
          </cell>
          <cell r="M57">
            <v>2</v>
          </cell>
          <cell r="N57">
            <v>2</v>
          </cell>
          <cell r="O57">
            <v>2</v>
          </cell>
          <cell r="P57">
            <v>2</v>
          </cell>
          <cell r="Q57">
            <v>2</v>
          </cell>
          <cell r="R57">
            <v>2</v>
          </cell>
          <cell r="S57">
            <v>2</v>
          </cell>
          <cell r="T57">
            <v>2</v>
          </cell>
          <cell r="U57">
            <v>2</v>
          </cell>
          <cell r="V57">
            <v>2</v>
          </cell>
          <cell r="W57">
            <v>2</v>
          </cell>
          <cell r="X57">
            <v>2</v>
          </cell>
          <cell r="Y57">
            <v>2</v>
          </cell>
          <cell r="Z57">
            <v>2</v>
          </cell>
          <cell r="AA57">
            <v>2</v>
          </cell>
          <cell r="AB57">
            <v>2</v>
          </cell>
          <cell r="AC57">
            <v>2</v>
          </cell>
          <cell r="AD57">
            <v>2</v>
          </cell>
          <cell r="AE57">
            <v>2</v>
          </cell>
          <cell r="AF57" t="str">
            <v>L</v>
          </cell>
          <cell r="AG57" t="str">
            <v>L</v>
          </cell>
          <cell r="AH57" t="str">
            <v>L</v>
          </cell>
          <cell r="AI57" t="str">
            <v>L</v>
          </cell>
          <cell r="AJ57" t="str">
            <v>L</v>
          </cell>
          <cell r="AK57" t="str">
            <v>L</v>
          </cell>
          <cell r="AL57" t="str">
            <v>L</v>
          </cell>
          <cell r="AM57" t="str">
            <v>L</v>
          </cell>
          <cell r="AN57" t="str">
            <v>L</v>
          </cell>
          <cell r="AO57" t="str">
            <v>x</v>
          </cell>
          <cell r="AP57">
            <v>21</v>
          </cell>
          <cell r="AQ57">
            <v>9</v>
          </cell>
          <cell r="AR57">
            <v>0</v>
          </cell>
          <cell r="AS57">
            <v>0</v>
          </cell>
          <cell r="AT57">
            <v>0</v>
          </cell>
          <cell r="AU57">
            <v>0</v>
          </cell>
          <cell r="AV57">
            <v>42</v>
          </cell>
          <cell r="AW57">
            <v>0</v>
          </cell>
          <cell r="AX57">
            <v>30</v>
          </cell>
          <cell r="AY57">
            <v>21</v>
          </cell>
          <cell r="AZ57">
            <v>30</v>
          </cell>
          <cell r="CF57">
            <v>50</v>
          </cell>
          <cell r="CN57" t="str">
            <v xml:space="preserve">Owed 50 hours overtime extra overtime from 5th to to 7th and 25th to 31st October'2008. </v>
          </cell>
        </row>
        <row r="58">
          <cell r="B58">
            <v>178</v>
          </cell>
          <cell r="C58" t="str">
            <v>VM</v>
          </cell>
          <cell r="D58" t="str">
            <v>Hamoud Yasir Nasser</v>
          </cell>
          <cell r="E58" t="str">
            <v>Asst Mech ' Vibe '</v>
          </cell>
          <cell r="G58">
            <v>33570</v>
          </cell>
          <cell r="H58">
            <v>38145</v>
          </cell>
          <cell r="I58" t="str">
            <v>E</v>
          </cell>
          <cell r="J58" t="str">
            <v>Sh:3</v>
          </cell>
          <cell r="K58">
            <v>2</v>
          </cell>
          <cell r="L58">
            <v>2</v>
          </cell>
          <cell r="M58">
            <v>2</v>
          </cell>
          <cell r="N58">
            <v>2</v>
          </cell>
          <cell r="O58">
            <v>2</v>
          </cell>
          <cell r="P58">
            <v>2</v>
          </cell>
          <cell r="Q58">
            <v>2</v>
          </cell>
          <cell r="R58" t="str">
            <v>L</v>
          </cell>
          <cell r="S58" t="str">
            <v>L</v>
          </cell>
          <cell r="T58" t="str">
            <v>L</v>
          </cell>
          <cell r="U58" t="str">
            <v>L</v>
          </cell>
          <cell r="V58" t="str">
            <v>L</v>
          </cell>
          <cell r="W58" t="str">
            <v>L</v>
          </cell>
          <cell r="X58" t="str">
            <v>L</v>
          </cell>
          <cell r="Y58" t="str">
            <v>L</v>
          </cell>
          <cell r="Z58" t="str">
            <v>L</v>
          </cell>
          <cell r="AA58" t="str">
            <v>L</v>
          </cell>
          <cell r="AB58" t="str">
            <v>L</v>
          </cell>
          <cell r="AC58" t="str">
            <v>L</v>
          </cell>
          <cell r="AD58" t="str">
            <v>L</v>
          </cell>
          <cell r="AE58" t="str">
            <v>L</v>
          </cell>
          <cell r="AF58">
            <v>2</v>
          </cell>
          <cell r="AG58">
            <v>2</v>
          </cell>
          <cell r="AH58">
            <v>2</v>
          </cell>
          <cell r="AI58">
            <v>2</v>
          </cell>
          <cell r="AJ58">
            <v>10</v>
          </cell>
          <cell r="AK58">
            <v>10</v>
          </cell>
          <cell r="AL58">
            <v>2</v>
          </cell>
          <cell r="AM58">
            <v>2</v>
          </cell>
          <cell r="AN58">
            <v>2</v>
          </cell>
          <cell r="AO58" t="str">
            <v>x</v>
          </cell>
          <cell r="AP58">
            <v>16</v>
          </cell>
          <cell r="AQ58">
            <v>14</v>
          </cell>
          <cell r="AR58">
            <v>0</v>
          </cell>
          <cell r="AS58">
            <v>0</v>
          </cell>
          <cell r="AT58">
            <v>0</v>
          </cell>
          <cell r="AU58">
            <v>0</v>
          </cell>
          <cell r="AV58">
            <v>28</v>
          </cell>
          <cell r="AW58">
            <v>20</v>
          </cell>
          <cell r="AX58">
            <v>30</v>
          </cell>
          <cell r="AY58">
            <v>16</v>
          </cell>
          <cell r="AZ58">
            <v>30</v>
          </cell>
          <cell r="CF58">
            <v>190</v>
          </cell>
          <cell r="CN58" t="str">
            <v>Owed 190 hours overtime extra overtime from 2nd to 4th and 11th to 31st October'2008.</v>
          </cell>
        </row>
        <row r="59">
          <cell r="B59">
            <v>181</v>
          </cell>
          <cell r="C59" t="str">
            <v>R</v>
          </cell>
          <cell r="D59" t="str">
            <v>Salim Ali Musabah Al Busaidi</v>
          </cell>
          <cell r="E59" t="str">
            <v>Group Foreman</v>
          </cell>
          <cell r="G59">
            <v>33573</v>
          </cell>
          <cell r="H59">
            <v>38145</v>
          </cell>
          <cell r="I59" t="str">
            <v>A</v>
          </cell>
          <cell r="J59" t="str">
            <v>Sh:1</v>
          </cell>
          <cell r="K59">
            <v>6.5</v>
          </cell>
          <cell r="L59">
            <v>6.5</v>
          </cell>
          <cell r="M59">
            <v>6.5</v>
          </cell>
          <cell r="N59">
            <v>2.5</v>
          </cell>
          <cell r="O59">
            <v>2.5</v>
          </cell>
          <cell r="P59" t="str">
            <v>S</v>
          </cell>
          <cell r="Q59" t="str">
            <v>S</v>
          </cell>
          <cell r="R59">
            <v>6.5</v>
          </cell>
          <cell r="S59">
            <v>6.5</v>
          </cell>
          <cell r="T59">
            <v>6.5</v>
          </cell>
          <cell r="U59">
            <v>6.5</v>
          </cell>
          <cell r="V59">
            <v>6.5</v>
          </cell>
          <cell r="W59">
            <v>0</v>
          </cell>
          <cell r="X59">
            <v>6.5</v>
          </cell>
          <cell r="Y59">
            <v>2.5</v>
          </cell>
          <cell r="Z59">
            <v>2.5</v>
          </cell>
          <cell r="AA59">
            <v>2.5</v>
          </cell>
          <cell r="AB59">
            <v>2.5</v>
          </cell>
          <cell r="AC59">
            <v>2.5</v>
          </cell>
          <cell r="AD59">
            <v>2.5</v>
          </cell>
          <cell r="AE59">
            <v>2.5</v>
          </cell>
          <cell r="AF59" t="str">
            <v>L</v>
          </cell>
          <cell r="AG59" t="str">
            <v>L</v>
          </cell>
          <cell r="AH59" t="str">
            <v>L</v>
          </cell>
          <cell r="AI59" t="str">
            <v>L</v>
          </cell>
          <cell r="AJ59" t="str">
            <v>L</v>
          </cell>
          <cell r="AK59" t="str">
            <v>L</v>
          </cell>
          <cell r="AL59" t="str">
            <v>L</v>
          </cell>
          <cell r="AM59" t="str">
            <v>L</v>
          </cell>
          <cell r="AN59" t="str">
            <v>L</v>
          </cell>
          <cell r="AO59" t="str">
            <v>x</v>
          </cell>
          <cell r="AP59">
            <v>19</v>
          </cell>
          <cell r="AQ59">
            <v>9</v>
          </cell>
          <cell r="AR59">
            <v>2</v>
          </cell>
          <cell r="AS59">
            <v>0</v>
          </cell>
          <cell r="AT59">
            <v>0</v>
          </cell>
          <cell r="AU59">
            <v>0</v>
          </cell>
          <cell r="AV59">
            <v>81</v>
          </cell>
          <cell r="AW59">
            <v>0</v>
          </cell>
          <cell r="AX59">
            <v>30</v>
          </cell>
          <cell r="AY59">
            <v>19</v>
          </cell>
          <cell r="AZ59">
            <v>30</v>
          </cell>
          <cell r="CF59">
            <v>28</v>
          </cell>
          <cell r="CN59" t="str">
            <v>Owed 28 hours overtime extra overtime from 25th to 31st October'2008.</v>
          </cell>
        </row>
        <row r="60">
          <cell r="B60">
            <v>182</v>
          </cell>
          <cell r="C60" t="str">
            <v>R</v>
          </cell>
          <cell r="D60" t="str">
            <v>Sulaiman Salim Dhahi Al Ghafri</v>
          </cell>
          <cell r="E60" t="str">
            <v>Labour / Cable</v>
          </cell>
          <cell r="G60">
            <v>33573</v>
          </cell>
          <cell r="H60">
            <v>38093</v>
          </cell>
          <cell r="I60" t="str">
            <v>A</v>
          </cell>
          <cell r="J60" t="str">
            <v>Sh:1</v>
          </cell>
          <cell r="K60">
            <v>12</v>
          </cell>
          <cell r="L60">
            <v>12</v>
          </cell>
          <cell r="M60">
            <v>8.5</v>
          </cell>
          <cell r="N60">
            <v>11</v>
          </cell>
          <cell r="O60">
            <v>11</v>
          </cell>
          <cell r="P60">
            <v>11</v>
          </cell>
          <cell r="Q60">
            <v>11</v>
          </cell>
          <cell r="R60">
            <v>11</v>
          </cell>
          <cell r="S60">
            <v>11</v>
          </cell>
          <cell r="T60">
            <v>11</v>
          </cell>
          <cell r="U60">
            <v>11</v>
          </cell>
          <cell r="V60">
            <v>11</v>
          </cell>
          <cell r="W60">
            <v>11</v>
          </cell>
          <cell r="X60">
            <v>11</v>
          </cell>
          <cell r="Y60">
            <v>11</v>
          </cell>
          <cell r="Z60">
            <v>4</v>
          </cell>
          <cell r="AA60">
            <v>4</v>
          </cell>
          <cell r="AB60">
            <v>4</v>
          </cell>
          <cell r="AC60">
            <v>4</v>
          </cell>
          <cell r="AD60">
            <v>4</v>
          </cell>
          <cell r="AE60">
            <v>4</v>
          </cell>
          <cell r="AF60" t="str">
            <v>L</v>
          </cell>
          <cell r="AG60" t="str">
            <v>L</v>
          </cell>
          <cell r="AH60" t="str">
            <v>L</v>
          </cell>
          <cell r="AI60" t="str">
            <v>L</v>
          </cell>
          <cell r="AJ60" t="str">
            <v>L</v>
          </cell>
          <cell r="AK60" t="str">
            <v>L</v>
          </cell>
          <cell r="AL60" t="str">
            <v>L</v>
          </cell>
          <cell r="AM60" t="str">
            <v>L</v>
          </cell>
          <cell r="AN60" t="str">
            <v>L</v>
          </cell>
          <cell r="AO60" t="str">
            <v>x</v>
          </cell>
          <cell r="AP60">
            <v>21</v>
          </cell>
          <cell r="AQ60">
            <v>9</v>
          </cell>
          <cell r="AR60">
            <v>0</v>
          </cell>
          <cell r="AS60">
            <v>0</v>
          </cell>
          <cell r="AT60">
            <v>0</v>
          </cell>
          <cell r="AU60">
            <v>0</v>
          </cell>
          <cell r="AV60">
            <v>188.5</v>
          </cell>
          <cell r="AW60">
            <v>0</v>
          </cell>
          <cell r="AX60">
            <v>30</v>
          </cell>
          <cell r="AY60">
            <v>21</v>
          </cell>
          <cell r="AZ60">
            <v>30</v>
          </cell>
          <cell r="CF60">
            <v>32</v>
          </cell>
          <cell r="CG60">
            <v>72</v>
          </cell>
          <cell r="CH60">
            <v>6</v>
          </cell>
          <cell r="CM60">
            <v>123</v>
          </cell>
          <cell r="CN60" t="str">
            <v>Owed 32 hours overtime extra overtime from 25th to 31st October'2008. Owed 123 rials Eid bonus, 72 hours 200%, 6 days desert allowance for Eid Al Adhah'2008 from 8th to 13th December'2008.</v>
          </cell>
        </row>
        <row r="61">
          <cell r="B61">
            <v>184</v>
          </cell>
          <cell r="C61" t="str">
            <v>R</v>
          </cell>
          <cell r="D61" t="str">
            <v>Habib Mohamed Harib Al Dara'I</v>
          </cell>
          <cell r="E61" t="str">
            <v>Group Foreman</v>
          </cell>
          <cell r="G61">
            <v>33640</v>
          </cell>
          <cell r="H61">
            <v>38145</v>
          </cell>
          <cell r="I61" t="str">
            <v>A</v>
          </cell>
          <cell r="J61" t="str">
            <v>Sh:3</v>
          </cell>
          <cell r="K61">
            <v>5.5</v>
          </cell>
          <cell r="L61">
            <v>5.5</v>
          </cell>
          <cell r="M61">
            <v>5.5</v>
          </cell>
          <cell r="N61">
            <v>5.5</v>
          </cell>
          <cell r="O61">
            <v>5.5</v>
          </cell>
          <cell r="P61">
            <v>5.5</v>
          </cell>
          <cell r="Q61">
            <v>2.5</v>
          </cell>
          <cell r="R61" t="str">
            <v>L</v>
          </cell>
          <cell r="S61" t="str">
            <v>L</v>
          </cell>
          <cell r="T61" t="str">
            <v>L</v>
          </cell>
          <cell r="U61" t="str">
            <v>L</v>
          </cell>
          <cell r="V61" t="str">
            <v>L</v>
          </cell>
          <cell r="W61" t="str">
            <v>L</v>
          </cell>
          <cell r="X61" t="str">
            <v>L</v>
          </cell>
          <cell r="Y61" t="str">
            <v>L</v>
          </cell>
          <cell r="Z61" t="str">
            <v>L</v>
          </cell>
          <cell r="AA61" t="str">
            <v>L</v>
          </cell>
          <cell r="AB61" t="str">
            <v>L</v>
          </cell>
          <cell r="AC61" t="str">
            <v>L</v>
          </cell>
          <cell r="AD61" t="str">
            <v>L</v>
          </cell>
          <cell r="AE61" t="str">
            <v>L</v>
          </cell>
          <cell r="AF61">
            <v>2.5</v>
          </cell>
          <cell r="AG61">
            <v>2.5</v>
          </cell>
          <cell r="AH61">
            <v>2.5</v>
          </cell>
          <cell r="AI61">
            <v>2.5</v>
          </cell>
          <cell r="AJ61">
            <v>10.5</v>
          </cell>
          <cell r="AK61">
            <v>10.5</v>
          </cell>
          <cell r="AL61">
            <v>2.5</v>
          </cell>
          <cell r="AM61">
            <v>2.5</v>
          </cell>
          <cell r="AN61">
            <v>2.5</v>
          </cell>
          <cell r="AO61" t="str">
            <v>x</v>
          </cell>
          <cell r="AP61">
            <v>16</v>
          </cell>
          <cell r="AQ61">
            <v>14</v>
          </cell>
          <cell r="AR61">
            <v>0</v>
          </cell>
          <cell r="AS61">
            <v>0</v>
          </cell>
          <cell r="AT61">
            <v>0</v>
          </cell>
          <cell r="AU61">
            <v>0</v>
          </cell>
          <cell r="AV61">
            <v>53</v>
          </cell>
          <cell r="AW61">
            <v>21</v>
          </cell>
          <cell r="AX61">
            <v>30</v>
          </cell>
          <cell r="AY61">
            <v>16</v>
          </cell>
          <cell r="AZ61">
            <v>30</v>
          </cell>
          <cell r="CF61">
            <v>48</v>
          </cell>
          <cell r="CN61" t="str">
            <v>Owed 48 hours overtime extra overtime from 16th to 31st October'2008.</v>
          </cell>
        </row>
        <row r="62">
          <cell r="B62">
            <v>185</v>
          </cell>
          <cell r="C62" t="str">
            <v>VM</v>
          </cell>
          <cell r="D62" t="str">
            <v>Musallam Hamdan Salim Al Hina'I</v>
          </cell>
          <cell r="E62" t="str">
            <v>Asst Mech ' Vibe '</v>
          </cell>
          <cell r="G62">
            <v>33640</v>
          </cell>
          <cell r="H62">
            <v>38145</v>
          </cell>
          <cell r="I62" t="str">
            <v>C</v>
          </cell>
          <cell r="J62" t="str">
            <v>Sh:1</v>
          </cell>
          <cell r="K62" t="str">
            <v>H</v>
          </cell>
          <cell r="L62" t="str">
            <v>H</v>
          </cell>
          <cell r="M62" t="str">
            <v>H</v>
          </cell>
          <cell r="N62" t="str">
            <v>H</v>
          </cell>
          <cell r="O62" t="str">
            <v>H</v>
          </cell>
          <cell r="P62" t="str">
            <v>H</v>
          </cell>
          <cell r="Q62" t="str">
            <v>H</v>
          </cell>
          <cell r="R62" t="str">
            <v>H</v>
          </cell>
          <cell r="S62" t="str">
            <v>H</v>
          </cell>
          <cell r="T62" t="str">
            <v>H</v>
          </cell>
          <cell r="U62" t="str">
            <v>H</v>
          </cell>
          <cell r="V62" t="str">
            <v>H</v>
          </cell>
          <cell r="W62" t="str">
            <v>H</v>
          </cell>
          <cell r="X62" t="str">
            <v>H</v>
          </cell>
          <cell r="Y62" t="str">
            <v>H</v>
          </cell>
          <cell r="Z62" t="str">
            <v>H</v>
          </cell>
          <cell r="AA62" t="str">
            <v>H</v>
          </cell>
          <cell r="AB62" t="str">
            <v>H</v>
          </cell>
          <cell r="AC62" t="str">
            <v>H</v>
          </cell>
          <cell r="AD62" t="str">
            <v>H</v>
          </cell>
          <cell r="AE62" t="str">
            <v>H</v>
          </cell>
          <cell r="AF62" t="str">
            <v>H</v>
          </cell>
          <cell r="AG62" t="str">
            <v>H</v>
          </cell>
          <cell r="AH62" t="str">
            <v>H</v>
          </cell>
          <cell r="AI62" t="str">
            <v>H</v>
          </cell>
          <cell r="AJ62" t="str">
            <v>H</v>
          </cell>
          <cell r="AK62" t="str">
            <v>H</v>
          </cell>
          <cell r="AL62" t="str">
            <v>H</v>
          </cell>
          <cell r="AM62" t="str">
            <v>H</v>
          </cell>
          <cell r="AN62" t="str">
            <v>H</v>
          </cell>
          <cell r="AO62" t="str">
            <v>x</v>
          </cell>
          <cell r="AP62">
            <v>0</v>
          </cell>
          <cell r="AQ62">
            <v>0</v>
          </cell>
          <cell r="AR62">
            <v>0</v>
          </cell>
          <cell r="AS62">
            <v>0</v>
          </cell>
          <cell r="AT62">
            <v>0</v>
          </cell>
          <cell r="AU62">
            <v>30</v>
          </cell>
          <cell r="AV62">
            <v>0</v>
          </cell>
          <cell r="AW62">
            <v>0</v>
          </cell>
          <cell r="AX62">
            <v>0</v>
          </cell>
          <cell r="AY62">
            <v>0</v>
          </cell>
          <cell r="AZ62">
            <v>0</v>
          </cell>
        </row>
        <row r="63">
          <cell r="B63">
            <v>189</v>
          </cell>
          <cell r="C63" t="str">
            <v>RL</v>
          </cell>
          <cell r="D63" t="str">
            <v>Sulaiman Sulaiyam Hamdan Al Hana'i</v>
          </cell>
          <cell r="E63" t="str">
            <v>Heavy Duty Dvr</v>
          </cell>
          <cell r="G63">
            <v>33738</v>
          </cell>
          <cell r="H63">
            <v>38145</v>
          </cell>
          <cell r="I63" t="str">
            <v>C</v>
          </cell>
          <cell r="J63" t="str">
            <v>Sh:3</v>
          </cell>
          <cell r="K63">
            <v>8</v>
          </cell>
          <cell r="L63">
            <v>8</v>
          </cell>
          <cell r="M63">
            <v>8</v>
          </cell>
          <cell r="N63">
            <v>8</v>
          </cell>
          <cell r="O63">
            <v>8</v>
          </cell>
          <cell r="P63">
            <v>8</v>
          </cell>
          <cell r="Q63">
            <v>8</v>
          </cell>
          <cell r="R63" t="str">
            <v>L</v>
          </cell>
          <cell r="S63" t="str">
            <v>L</v>
          </cell>
          <cell r="T63" t="str">
            <v>L</v>
          </cell>
          <cell r="U63" t="str">
            <v>L</v>
          </cell>
          <cell r="V63" t="str">
            <v>L</v>
          </cell>
          <cell r="W63" t="str">
            <v>L</v>
          </cell>
          <cell r="X63" t="str">
            <v>L</v>
          </cell>
          <cell r="Y63" t="str">
            <v>L</v>
          </cell>
          <cell r="Z63" t="str">
            <v>L</v>
          </cell>
          <cell r="AA63" t="str">
            <v>L</v>
          </cell>
          <cell r="AB63" t="str">
            <v>L</v>
          </cell>
          <cell r="AC63" t="str">
            <v>L</v>
          </cell>
          <cell r="AD63" t="str">
            <v>L</v>
          </cell>
          <cell r="AE63" t="str">
            <v>L</v>
          </cell>
          <cell r="AF63">
            <v>2.5</v>
          </cell>
          <cell r="AG63">
            <v>2.5</v>
          </cell>
          <cell r="AH63">
            <v>2.5</v>
          </cell>
          <cell r="AI63">
            <v>2.5</v>
          </cell>
          <cell r="AJ63">
            <v>10.5</v>
          </cell>
          <cell r="AK63">
            <v>10.5</v>
          </cell>
          <cell r="AL63">
            <v>2.5</v>
          </cell>
          <cell r="AM63">
            <v>2.5</v>
          </cell>
          <cell r="AN63">
            <v>2.5</v>
          </cell>
          <cell r="AO63" t="str">
            <v>x</v>
          </cell>
          <cell r="AP63">
            <v>16</v>
          </cell>
          <cell r="AQ63">
            <v>14</v>
          </cell>
          <cell r="AR63">
            <v>0</v>
          </cell>
          <cell r="AS63">
            <v>0</v>
          </cell>
          <cell r="AT63">
            <v>0</v>
          </cell>
          <cell r="AU63">
            <v>0</v>
          </cell>
          <cell r="AV63">
            <v>73.5</v>
          </cell>
          <cell r="AW63">
            <v>21</v>
          </cell>
          <cell r="AX63">
            <v>30</v>
          </cell>
          <cell r="AY63">
            <v>16</v>
          </cell>
          <cell r="AZ63">
            <v>30</v>
          </cell>
          <cell r="CF63">
            <v>67.5</v>
          </cell>
          <cell r="CN63" t="str">
            <v>Owed 67.5 hours overtime extra overtime from 16th to 24th and 25th to 31st October'2008.</v>
          </cell>
        </row>
        <row r="64">
          <cell r="B64">
            <v>194</v>
          </cell>
          <cell r="C64" t="str">
            <v>SH</v>
          </cell>
          <cell r="D64" t="str">
            <v>Ahmed Mohamed Ahmed Al Mahrouqi</v>
          </cell>
          <cell r="E64" t="str">
            <v>Mechanic</v>
          </cell>
          <cell r="G64">
            <v>27441</v>
          </cell>
          <cell r="H64">
            <v>38145</v>
          </cell>
          <cell r="I64" t="str">
            <v>E</v>
          </cell>
          <cell r="J64" t="str">
            <v>Sh:2</v>
          </cell>
          <cell r="K64" t="str">
            <v>L</v>
          </cell>
          <cell r="L64" t="str">
            <v>L</v>
          </cell>
          <cell r="M64" t="str">
            <v>L</v>
          </cell>
          <cell r="N64" t="str">
            <v>L</v>
          </cell>
          <cell r="O64" t="str">
            <v>L</v>
          </cell>
          <cell r="P64" t="str">
            <v>L</v>
          </cell>
          <cell r="Q64" t="str">
            <v>L</v>
          </cell>
          <cell r="R64">
            <v>2</v>
          </cell>
          <cell r="S64">
            <v>2</v>
          </cell>
          <cell r="T64">
            <v>2</v>
          </cell>
          <cell r="U64">
            <v>2</v>
          </cell>
          <cell r="V64">
            <v>2</v>
          </cell>
          <cell r="W64">
            <v>2</v>
          </cell>
          <cell r="X64">
            <v>2</v>
          </cell>
          <cell r="Y64">
            <v>2</v>
          </cell>
          <cell r="Z64">
            <v>2</v>
          </cell>
          <cell r="AA64">
            <v>2</v>
          </cell>
          <cell r="AB64" t="str">
            <v>C</v>
          </cell>
          <cell r="AC64" t="str">
            <v>C</v>
          </cell>
          <cell r="AD64">
            <v>2</v>
          </cell>
          <cell r="AE64">
            <v>2</v>
          </cell>
          <cell r="AF64">
            <v>2</v>
          </cell>
          <cell r="AG64">
            <v>2</v>
          </cell>
          <cell r="AH64">
            <v>2</v>
          </cell>
          <cell r="AI64">
            <v>2</v>
          </cell>
          <cell r="AJ64">
            <v>10</v>
          </cell>
          <cell r="AK64">
            <v>10</v>
          </cell>
          <cell r="AL64">
            <v>2</v>
          </cell>
          <cell r="AM64">
            <v>2</v>
          </cell>
          <cell r="AN64">
            <v>2</v>
          </cell>
          <cell r="AO64" t="str">
            <v>x</v>
          </cell>
          <cell r="AP64">
            <v>21</v>
          </cell>
          <cell r="AQ64">
            <v>9</v>
          </cell>
          <cell r="AR64">
            <v>0</v>
          </cell>
          <cell r="AS64">
            <v>0</v>
          </cell>
          <cell r="AT64">
            <v>0</v>
          </cell>
          <cell r="AU64">
            <v>0</v>
          </cell>
          <cell r="AV64">
            <v>38</v>
          </cell>
          <cell r="AW64">
            <v>20</v>
          </cell>
          <cell r="AX64">
            <v>30</v>
          </cell>
          <cell r="AY64">
            <v>21</v>
          </cell>
          <cell r="AZ64">
            <v>30</v>
          </cell>
          <cell r="CF64">
            <v>113</v>
          </cell>
          <cell r="CG64">
            <v>60</v>
          </cell>
          <cell r="CH64">
            <v>6</v>
          </cell>
          <cell r="CM64">
            <v>123</v>
          </cell>
          <cell r="CN64" t="str">
            <v>Owed 113 hours overtime extra overtime from 2nd to 7th and 10th to 24th October'2008. Owed 123 rials Eid bonus, 60 hours 200%, 6 days desert allowance for Eid Al Adhah'2008 from 8th to 13th December'2008.</v>
          </cell>
        </row>
        <row r="65">
          <cell r="B65">
            <v>196</v>
          </cell>
          <cell r="C65" t="str">
            <v>V</v>
          </cell>
          <cell r="D65" t="str">
            <v>Ali Said Salim</v>
          </cell>
          <cell r="E65" t="str">
            <v>Vibe Operator</v>
          </cell>
          <cell r="G65">
            <v>33909</v>
          </cell>
          <cell r="H65">
            <v>38145</v>
          </cell>
          <cell r="I65" t="str">
            <v>E</v>
          </cell>
          <cell r="J65" t="str">
            <v>Sh:1</v>
          </cell>
          <cell r="K65">
            <v>8</v>
          </cell>
          <cell r="L65">
            <v>8</v>
          </cell>
          <cell r="M65">
            <v>8</v>
          </cell>
          <cell r="N65">
            <v>8</v>
          </cell>
          <cell r="O65">
            <v>8</v>
          </cell>
          <cell r="P65">
            <v>8</v>
          </cell>
          <cell r="Q65">
            <v>8</v>
          </cell>
          <cell r="R65">
            <v>8</v>
          </cell>
          <cell r="S65">
            <v>8</v>
          </cell>
          <cell r="T65">
            <v>8</v>
          </cell>
          <cell r="U65">
            <v>8</v>
          </cell>
          <cell r="V65">
            <v>8</v>
          </cell>
          <cell r="W65">
            <v>8</v>
          </cell>
          <cell r="X65">
            <v>9</v>
          </cell>
          <cell r="Y65">
            <v>9</v>
          </cell>
          <cell r="Z65">
            <v>9</v>
          </cell>
          <cell r="AA65">
            <v>9</v>
          </cell>
          <cell r="AB65">
            <v>9</v>
          </cell>
          <cell r="AC65">
            <v>9</v>
          </cell>
          <cell r="AD65">
            <v>9</v>
          </cell>
          <cell r="AE65">
            <v>9</v>
          </cell>
          <cell r="AF65" t="str">
            <v>L</v>
          </cell>
          <cell r="AG65" t="str">
            <v>L</v>
          </cell>
          <cell r="AH65" t="str">
            <v>L</v>
          </cell>
          <cell r="AI65" t="str">
            <v>L</v>
          </cell>
          <cell r="AJ65" t="str">
            <v>L</v>
          </cell>
          <cell r="AK65" t="str">
            <v>L</v>
          </cell>
          <cell r="AL65" t="str">
            <v>L</v>
          </cell>
          <cell r="AM65" t="str">
            <v>L</v>
          </cell>
          <cell r="AN65" t="str">
            <v>L</v>
          </cell>
          <cell r="AO65" t="str">
            <v>x</v>
          </cell>
          <cell r="AP65">
            <v>21</v>
          </cell>
          <cell r="AQ65">
            <v>9</v>
          </cell>
          <cell r="AR65">
            <v>0</v>
          </cell>
          <cell r="AS65">
            <v>0</v>
          </cell>
          <cell r="AT65">
            <v>0</v>
          </cell>
          <cell r="AU65">
            <v>0</v>
          </cell>
          <cell r="AV65">
            <v>176</v>
          </cell>
          <cell r="AW65">
            <v>0</v>
          </cell>
          <cell r="AX65">
            <v>30</v>
          </cell>
          <cell r="AY65">
            <v>21</v>
          </cell>
          <cell r="AZ65">
            <v>30</v>
          </cell>
          <cell r="CF65">
            <v>112</v>
          </cell>
          <cell r="CH65">
            <v>14</v>
          </cell>
          <cell r="CN65" t="str">
            <v>Owed 14 days desert allowance, 112 hours overtime is doubles shift from 11th to 24th October'2008.</v>
          </cell>
        </row>
        <row r="66">
          <cell r="B66">
            <v>197</v>
          </cell>
          <cell r="C66" t="str">
            <v>V</v>
          </cell>
          <cell r="D66" t="str">
            <v xml:space="preserve">Sulaiman Said Ali Al Mahrouqi </v>
          </cell>
          <cell r="E66" t="str">
            <v>Vibe Operator</v>
          </cell>
          <cell r="G66">
            <v>33909</v>
          </cell>
          <cell r="H66">
            <v>38145</v>
          </cell>
          <cell r="I66" t="str">
            <v>E</v>
          </cell>
          <cell r="J66" t="str">
            <v>Sh:1</v>
          </cell>
          <cell r="K66">
            <v>8</v>
          </cell>
          <cell r="L66">
            <v>8</v>
          </cell>
          <cell r="M66">
            <v>8</v>
          </cell>
          <cell r="N66">
            <v>8</v>
          </cell>
          <cell r="O66">
            <v>8</v>
          </cell>
          <cell r="P66">
            <v>8</v>
          </cell>
          <cell r="Q66">
            <v>8</v>
          </cell>
          <cell r="R66">
            <v>8</v>
          </cell>
          <cell r="S66">
            <v>8</v>
          </cell>
          <cell r="T66">
            <v>8</v>
          </cell>
          <cell r="U66" t="str">
            <v>S</v>
          </cell>
          <cell r="V66" t="str">
            <v>L</v>
          </cell>
          <cell r="W66">
            <v>8</v>
          </cell>
          <cell r="X66">
            <v>9</v>
          </cell>
          <cell r="Y66">
            <v>9</v>
          </cell>
          <cell r="Z66">
            <v>9</v>
          </cell>
          <cell r="AA66">
            <v>9</v>
          </cell>
          <cell r="AB66">
            <v>9</v>
          </cell>
          <cell r="AC66">
            <v>9</v>
          </cell>
          <cell r="AD66">
            <v>9</v>
          </cell>
          <cell r="AE66">
            <v>9</v>
          </cell>
          <cell r="AF66" t="str">
            <v>L</v>
          </cell>
          <cell r="AG66" t="str">
            <v>L</v>
          </cell>
          <cell r="AH66" t="str">
            <v>L</v>
          </cell>
          <cell r="AI66" t="str">
            <v>L</v>
          </cell>
          <cell r="AJ66" t="str">
            <v>L</v>
          </cell>
          <cell r="AK66" t="str">
            <v>L</v>
          </cell>
          <cell r="AL66" t="str">
            <v>L</v>
          </cell>
          <cell r="AM66" t="str">
            <v>L</v>
          </cell>
          <cell r="AN66" t="str">
            <v>L</v>
          </cell>
          <cell r="AO66" t="str">
            <v>x</v>
          </cell>
          <cell r="AP66">
            <v>19</v>
          </cell>
          <cell r="AQ66">
            <v>10</v>
          </cell>
          <cell r="AR66">
            <v>1</v>
          </cell>
          <cell r="AS66">
            <v>0</v>
          </cell>
          <cell r="AT66">
            <v>0</v>
          </cell>
          <cell r="AU66">
            <v>0</v>
          </cell>
          <cell r="AV66">
            <v>160</v>
          </cell>
          <cell r="AW66">
            <v>0</v>
          </cell>
          <cell r="AX66">
            <v>30</v>
          </cell>
          <cell r="AY66">
            <v>19</v>
          </cell>
          <cell r="AZ66">
            <v>30</v>
          </cell>
        </row>
        <row r="67">
          <cell r="B67">
            <v>198</v>
          </cell>
          <cell r="C67" t="str">
            <v>V</v>
          </cell>
          <cell r="D67" t="str">
            <v>Ali Ahmed Hamed</v>
          </cell>
          <cell r="E67" t="str">
            <v>Vibe Operator</v>
          </cell>
          <cell r="G67">
            <v>33909</v>
          </cell>
          <cell r="H67">
            <v>38145</v>
          </cell>
          <cell r="I67" t="str">
            <v>E</v>
          </cell>
          <cell r="J67" t="str">
            <v>Sh:1</v>
          </cell>
          <cell r="K67" t="str">
            <v>S</v>
          </cell>
          <cell r="L67" t="str">
            <v>S</v>
          </cell>
          <cell r="M67" t="str">
            <v>S</v>
          </cell>
          <cell r="N67" t="str">
            <v>S</v>
          </cell>
          <cell r="O67" t="str">
            <v>S</v>
          </cell>
          <cell r="P67" t="str">
            <v>S</v>
          </cell>
          <cell r="Q67" t="str">
            <v>S</v>
          </cell>
          <cell r="R67" t="str">
            <v>S</v>
          </cell>
          <cell r="S67" t="str">
            <v>S</v>
          </cell>
          <cell r="T67" t="str">
            <v>S</v>
          </cell>
          <cell r="U67">
            <v>8</v>
          </cell>
          <cell r="V67">
            <v>8</v>
          </cell>
          <cell r="W67">
            <v>8</v>
          </cell>
          <cell r="X67">
            <v>0</v>
          </cell>
          <cell r="Y67" t="str">
            <v>L</v>
          </cell>
          <cell r="Z67" t="str">
            <v>S</v>
          </cell>
          <cell r="AA67" t="str">
            <v>S</v>
          </cell>
          <cell r="AB67" t="str">
            <v>S</v>
          </cell>
          <cell r="AC67" t="str">
            <v>S</v>
          </cell>
          <cell r="AD67" t="str">
            <v>S</v>
          </cell>
          <cell r="AE67" t="str">
            <v>S</v>
          </cell>
          <cell r="AF67" t="str">
            <v>L</v>
          </cell>
          <cell r="AG67" t="str">
            <v>L</v>
          </cell>
          <cell r="AH67" t="str">
            <v>L</v>
          </cell>
          <cell r="AI67" t="str">
            <v>L</v>
          </cell>
          <cell r="AJ67" t="str">
            <v>L</v>
          </cell>
          <cell r="AK67" t="str">
            <v>L</v>
          </cell>
          <cell r="AL67" t="str">
            <v>L</v>
          </cell>
          <cell r="AM67" t="str">
            <v>L</v>
          </cell>
          <cell r="AN67" t="str">
            <v>L</v>
          </cell>
          <cell r="AO67" t="str">
            <v>x</v>
          </cell>
          <cell r="AP67">
            <v>4</v>
          </cell>
          <cell r="AQ67">
            <v>10</v>
          </cell>
          <cell r="AR67">
            <v>16</v>
          </cell>
          <cell r="AS67">
            <v>0</v>
          </cell>
          <cell r="AT67">
            <v>0</v>
          </cell>
          <cell r="AU67">
            <v>0</v>
          </cell>
          <cell r="AV67">
            <v>24</v>
          </cell>
          <cell r="AW67">
            <v>0</v>
          </cell>
          <cell r="AX67">
            <v>30</v>
          </cell>
          <cell r="AY67">
            <v>4</v>
          </cell>
          <cell r="AZ67">
            <v>30</v>
          </cell>
          <cell r="CF67">
            <v>-24</v>
          </cell>
          <cell r="CG67">
            <v>102</v>
          </cell>
          <cell r="CH67">
            <v>3</v>
          </cell>
          <cell r="CM67">
            <v>123</v>
          </cell>
          <cell r="CN67" t="str">
            <v>Deducted 3 days desert allowance, 24 hours overtime is sick from 29th to 31st October'2008. Owed 123 rials Eid bonus, 102 hours 200%, 6 days desert allowance for Eid Al Adhah'2008 from 8th to 13th December'2008.</v>
          </cell>
        </row>
        <row r="68">
          <cell r="B68">
            <v>199</v>
          </cell>
          <cell r="C68" t="str">
            <v>RL</v>
          </cell>
          <cell r="D68" t="str">
            <v>Ahmed Sa'ad Khalfan</v>
          </cell>
          <cell r="E68" t="str">
            <v>Vibe Operator</v>
          </cell>
          <cell r="G68">
            <v>33920</v>
          </cell>
          <cell r="H68">
            <v>38145</v>
          </cell>
          <cell r="I68" t="str">
            <v>E</v>
          </cell>
          <cell r="J68" t="str">
            <v>Sh:3</v>
          </cell>
          <cell r="K68">
            <v>8</v>
          </cell>
          <cell r="L68">
            <v>8</v>
          </cell>
          <cell r="M68">
            <v>8</v>
          </cell>
          <cell r="N68">
            <v>8</v>
          </cell>
          <cell r="O68">
            <v>8</v>
          </cell>
          <cell r="P68">
            <v>8</v>
          </cell>
          <cell r="Q68">
            <v>8</v>
          </cell>
          <cell r="R68" t="str">
            <v>L</v>
          </cell>
          <cell r="S68" t="str">
            <v>L</v>
          </cell>
          <cell r="T68" t="str">
            <v>L</v>
          </cell>
          <cell r="U68" t="str">
            <v>L</v>
          </cell>
          <cell r="V68" t="str">
            <v>L</v>
          </cell>
          <cell r="W68" t="str">
            <v>L</v>
          </cell>
          <cell r="X68" t="str">
            <v>L</v>
          </cell>
          <cell r="Y68" t="str">
            <v>L</v>
          </cell>
          <cell r="Z68" t="str">
            <v>L</v>
          </cell>
          <cell r="AA68" t="str">
            <v>L</v>
          </cell>
          <cell r="AB68" t="str">
            <v>L</v>
          </cell>
          <cell r="AC68" t="str">
            <v>L</v>
          </cell>
          <cell r="AD68" t="str">
            <v>L</v>
          </cell>
          <cell r="AE68" t="str">
            <v>L</v>
          </cell>
          <cell r="AF68">
            <v>9</v>
          </cell>
          <cell r="AG68">
            <v>9</v>
          </cell>
          <cell r="AH68">
            <v>9</v>
          </cell>
          <cell r="AI68">
            <v>9</v>
          </cell>
          <cell r="AJ68">
            <v>17</v>
          </cell>
          <cell r="AK68">
            <v>17</v>
          </cell>
          <cell r="AL68">
            <v>9</v>
          </cell>
          <cell r="AM68">
            <v>9</v>
          </cell>
          <cell r="AN68">
            <v>9</v>
          </cell>
          <cell r="AO68" t="str">
            <v>x</v>
          </cell>
          <cell r="AP68">
            <v>16</v>
          </cell>
          <cell r="AQ68">
            <v>14</v>
          </cell>
          <cell r="AR68">
            <v>0</v>
          </cell>
          <cell r="AS68">
            <v>0</v>
          </cell>
          <cell r="AT68">
            <v>0</v>
          </cell>
          <cell r="AU68">
            <v>0</v>
          </cell>
          <cell r="AV68">
            <v>119</v>
          </cell>
          <cell r="AW68">
            <v>34</v>
          </cell>
          <cell r="AX68">
            <v>30</v>
          </cell>
          <cell r="AY68">
            <v>16</v>
          </cell>
          <cell r="AZ68">
            <v>30</v>
          </cell>
        </row>
        <row r="69">
          <cell r="B69">
            <v>200</v>
          </cell>
          <cell r="C69" t="str">
            <v>RL</v>
          </cell>
          <cell r="D69" t="str">
            <v>Salim Humaid Ali Al Hinai'I</v>
          </cell>
          <cell r="E69" t="str">
            <v>Group Foreman</v>
          </cell>
          <cell r="G69">
            <v>33920</v>
          </cell>
          <cell r="H69">
            <v>38147</v>
          </cell>
          <cell r="I69" t="str">
            <v>A</v>
          </cell>
          <cell r="J69" t="str">
            <v>Sh:1</v>
          </cell>
          <cell r="K69">
            <v>2.5</v>
          </cell>
          <cell r="L69">
            <v>2.5</v>
          </cell>
          <cell r="M69">
            <v>2.5</v>
          </cell>
          <cell r="N69">
            <v>2.5</v>
          </cell>
          <cell r="O69">
            <v>2.5</v>
          </cell>
          <cell r="P69">
            <v>2.5</v>
          </cell>
          <cell r="Q69">
            <v>2.5</v>
          </cell>
          <cell r="R69">
            <v>2.5</v>
          </cell>
          <cell r="S69">
            <v>2.5</v>
          </cell>
          <cell r="T69">
            <v>2.5</v>
          </cell>
          <cell r="U69">
            <v>2.5</v>
          </cell>
          <cell r="V69">
            <v>2.5</v>
          </cell>
          <cell r="W69">
            <v>2.5</v>
          </cell>
          <cell r="X69">
            <v>2.5</v>
          </cell>
          <cell r="Y69">
            <v>2.5</v>
          </cell>
          <cell r="Z69">
            <v>2.5</v>
          </cell>
          <cell r="AA69">
            <v>2.5</v>
          </cell>
          <cell r="AB69">
            <v>2.5</v>
          </cell>
          <cell r="AC69">
            <v>2.5</v>
          </cell>
          <cell r="AD69">
            <v>2.5</v>
          </cell>
          <cell r="AE69">
            <v>2.5</v>
          </cell>
          <cell r="AF69" t="str">
            <v>L</v>
          </cell>
          <cell r="AG69" t="str">
            <v>L</v>
          </cell>
          <cell r="AH69" t="str">
            <v>L</v>
          </cell>
          <cell r="AI69" t="str">
            <v>L</v>
          </cell>
          <cell r="AJ69" t="str">
            <v>L</v>
          </cell>
          <cell r="AK69" t="str">
            <v>L</v>
          </cell>
          <cell r="AL69" t="str">
            <v>L</v>
          </cell>
          <cell r="AM69" t="str">
            <v>L</v>
          </cell>
          <cell r="AN69" t="str">
            <v>L</v>
          </cell>
          <cell r="AO69" t="str">
            <v>x</v>
          </cell>
          <cell r="AP69">
            <v>21</v>
          </cell>
          <cell r="AQ69">
            <v>9</v>
          </cell>
          <cell r="AR69">
            <v>0</v>
          </cell>
          <cell r="AS69">
            <v>0</v>
          </cell>
          <cell r="AT69">
            <v>0</v>
          </cell>
          <cell r="AU69">
            <v>0</v>
          </cell>
          <cell r="AV69">
            <v>52.5</v>
          </cell>
          <cell r="AW69">
            <v>0</v>
          </cell>
          <cell r="AX69">
            <v>30</v>
          </cell>
          <cell r="AY69">
            <v>21</v>
          </cell>
          <cell r="AZ69">
            <v>30</v>
          </cell>
          <cell r="CF69">
            <v>86.5</v>
          </cell>
          <cell r="CN69" t="str">
            <v>Owed 86.5 hours overtime extra overtime from 1st to 9th and 25th to 31st October'2008.</v>
          </cell>
        </row>
        <row r="70">
          <cell r="B70">
            <v>204</v>
          </cell>
          <cell r="C70" t="str">
            <v>SH</v>
          </cell>
          <cell r="D70" t="str">
            <v>Mohamed Abdullah Said Al Mahrooqi</v>
          </cell>
          <cell r="E70" t="str">
            <v>Vibe Operator</v>
          </cell>
          <cell r="G70">
            <v>33970</v>
          </cell>
          <cell r="H70">
            <v>38145</v>
          </cell>
          <cell r="I70" t="str">
            <v>E</v>
          </cell>
          <cell r="J70" t="str">
            <v>Sh:2</v>
          </cell>
          <cell r="K70" t="str">
            <v>L</v>
          </cell>
          <cell r="L70" t="str">
            <v>L</v>
          </cell>
          <cell r="M70" t="str">
            <v>L</v>
          </cell>
          <cell r="N70" t="str">
            <v>L</v>
          </cell>
          <cell r="O70" t="str">
            <v>L</v>
          </cell>
          <cell r="P70" t="str">
            <v>L</v>
          </cell>
          <cell r="Q70" t="str">
            <v>L</v>
          </cell>
          <cell r="R70">
            <v>8</v>
          </cell>
          <cell r="S70">
            <v>8</v>
          </cell>
          <cell r="T70">
            <v>8</v>
          </cell>
          <cell r="U70">
            <v>8</v>
          </cell>
          <cell r="V70">
            <v>8</v>
          </cell>
          <cell r="W70">
            <v>8</v>
          </cell>
          <cell r="X70">
            <v>9</v>
          </cell>
          <cell r="Y70">
            <v>9</v>
          </cell>
          <cell r="Z70">
            <v>9</v>
          </cell>
          <cell r="AA70">
            <v>9</v>
          </cell>
          <cell r="AB70">
            <v>9</v>
          </cell>
          <cell r="AC70">
            <v>9</v>
          </cell>
          <cell r="AD70">
            <v>9</v>
          </cell>
          <cell r="AE70">
            <v>9</v>
          </cell>
          <cell r="AF70">
            <v>9</v>
          </cell>
          <cell r="AG70">
            <v>9</v>
          </cell>
          <cell r="AH70">
            <v>9</v>
          </cell>
          <cell r="AI70">
            <v>9</v>
          </cell>
          <cell r="AJ70">
            <v>17</v>
          </cell>
          <cell r="AK70">
            <v>17</v>
          </cell>
          <cell r="AL70">
            <v>9</v>
          </cell>
          <cell r="AM70">
            <v>9</v>
          </cell>
          <cell r="AN70">
            <v>9</v>
          </cell>
          <cell r="AO70" t="str">
            <v>x</v>
          </cell>
          <cell r="AP70">
            <v>23</v>
          </cell>
          <cell r="AQ70">
            <v>7</v>
          </cell>
          <cell r="AR70">
            <v>0</v>
          </cell>
          <cell r="AS70">
            <v>0</v>
          </cell>
          <cell r="AT70">
            <v>0</v>
          </cell>
          <cell r="AU70">
            <v>0</v>
          </cell>
          <cell r="AV70">
            <v>183</v>
          </cell>
          <cell r="AW70">
            <v>34</v>
          </cell>
          <cell r="AX70">
            <v>30</v>
          </cell>
          <cell r="AY70">
            <v>23</v>
          </cell>
          <cell r="AZ70">
            <v>30</v>
          </cell>
          <cell r="CG70">
            <v>102</v>
          </cell>
          <cell r="CH70">
            <v>6</v>
          </cell>
          <cell r="CM70">
            <v>123</v>
          </cell>
          <cell r="CN70" t="str">
            <v>Owed 123 rials Eid bonus, 102 hours 200%, 6 days desert allowance for Eid Al Adhah'2008 from 8th to 13th December'2008.</v>
          </cell>
        </row>
        <row r="71">
          <cell r="B71">
            <v>206</v>
          </cell>
          <cell r="C71" t="str">
            <v>RL</v>
          </cell>
          <cell r="D71" t="str">
            <v>Azan Sulaiman Mohamed</v>
          </cell>
          <cell r="E71" t="str">
            <v>GPS Operator</v>
          </cell>
          <cell r="G71">
            <v>34151</v>
          </cell>
          <cell r="H71">
            <v>38484</v>
          </cell>
          <cell r="I71" t="str">
            <v>C</v>
          </cell>
          <cell r="J71" t="str">
            <v>Sh:3</v>
          </cell>
          <cell r="K71">
            <v>2.5</v>
          </cell>
          <cell r="L71">
            <v>2.5</v>
          </cell>
          <cell r="M71">
            <v>2.5</v>
          </cell>
          <cell r="N71">
            <v>2.5</v>
          </cell>
          <cell r="O71">
            <v>2.5</v>
          </cell>
          <cell r="P71">
            <v>2.5</v>
          </cell>
          <cell r="Q71">
            <v>2.5</v>
          </cell>
          <cell r="R71" t="str">
            <v>L</v>
          </cell>
          <cell r="S71" t="str">
            <v>L</v>
          </cell>
          <cell r="T71" t="str">
            <v>L</v>
          </cell>
          <cell r="U71" t="str">
            <v>L</v>
          </cell>
          <cell r="V71" t="str">
            <v>L</v>
          </cell>
          <cell r="W71" t="str">
            <v>L</v>
          </cell>
          <cell r="X71" t="str">
            <v>L</v>
          </cell>
          <cell r="Y71" t="str">
            <v>L</v>
          </cell>
          <cell r="Z71" t="str">
            <v>L</v>
          </cell>
          <cell r="AA71" t="str">
            <v>L</v>
          </cell>
          <cell r="AB71" t="str">
            <v>L</v>
          </cell>
          <cell r="AC71" t="str">
            <v>L</v>
          </cell>
          <cell r="AD71" t="str">
            <v>L</v>
          </cell>
          <cell r="AE71" t="str">
            <v>L</v>
          </cell>
          <cell r="AF71">
            <v>2.5</v>
          </cell>
          <cell r="AG71">
            <v>2.5</v>
          </cell>
          <cell r="AH71">
            <v>2.5</v>
          </cell>
          <cell r="AI71">
            <v>2.5</v>
          </cell>
          <cell r="AJ71">
            <v>10.5</v>
          </cell>
          <cell r="AK71">
            <v>10.5</v>
          </cell>
          <cell r="AL71">
            <v>2.5</v>
          </cell>
          <cell r="AM71">
            <v>2.5</v>
          </cell>
          <cell r="AN71">
            <v>2.5</v>
          </cell>
          <cell r="AO71" t="str">
            <v>x</v>
          </cell>
          <cell r="AP71">
            <v>16</v>
          </cell>
          <cell r="AQ71">
            <v>14</v>
          </cell>
          <cell r="AR71">
            <v>0</v>
          </cell>
          <cell r="AS71">
            <v>0</v>
          </cell>
          <cell r="AT71">
            <v>0</v>
          </cell>
          <cell r="AU71">
            <v>0</v>
          </cell>
          <cell r="AV71">
            <v>35</v>
          </cell>
          <cell r="AW71">
            <v>21</v>
          </cell>
          <cell r="AX71">
            <v>30</v>
          </cell>
          <cell r="AY71">
            <v>16</v>
          </cell>
          <cell r="AZ71">
            <v>30</v>
          </cell>
          <cell r="CF71">
            <v>12</v>
          </cell>
          <cell r="CG71">
            <v>63</v>
          </cell>
          <cell r="CH71">
            <v>6</v>
          </cell>
          <cell r="CM71">
            <v>123</v>
          </cell>
          <cell r="CN71" t="str">
            <v>Owed 12 hours overtime extra overtime from 12th to 14th October'2008. Owed 123 rials Eid bonus, 63 hours 200%, 6 days desert allowance for Eid Al Adhah'2008 from 8th to 13th December'2008.</v>
          </cell>
        </row>
        <row r="72">
          <cell r="B72">
            <v>207</v>
          </cell>
          <cell r="C72" t="str">
            <v>SH</v>
          </cell>
          <cell r="D72" t="str">
            <v>Saif Abdullah Saif Al Harassi</v>
          </cell>
          <cell r="E72" t="str">
            <v>Group Foreman</v>
          </cell>
          <cell r="G72">
            <v>34151</v>
          </cell>
          <cell r="H72">
            <v>38145</v>
          </cell>
          <cell r="I72" t="str">
            <v>A</v>
          </cell>
          <cell r="J72" t="str">
            <v>Sh:2</v>
          </cell>
          <cell r="K72" t="str">
            <v>L</v>
          </cell>
          <cell r="L72" t="str">
            <v>L</v>
          </cell>
          <cell r="M72" t="str">
            <v>L</v>
          </cell>
          <cell r="N72" t="str">
            <v>L</v>
          </cell>
          <cell r="O72" t="str">
            <v>L</v>
          </cell>
          <cell r="P72" t="str">
            <v>L</v>
          </cell>
          <cell r="Q72" t="str">
            <v>L</v>
          </cell>
          <cell r="R72">
            <v>10.5</v>
          </cell>
          <cell r="S72">
            <v>8.5</v>
          </cell>
          <cell r="T72">
            <v>8.5</v>
          </cell>
          <cell r="U72">
            <v>8.5</v>
          </cell>
          <cell r="V72">
            <v>10.5</v>
          </cell>
          <cell r="W72">
            <v>8.5</v>
          </cell>
          <cell r="X72">
            <v>11.5</v>
          </cell>
          <cell r="Y72">
            <v>8.5</v>
          </cell>
          <cell r="Z72">
            <v>2.5</v>
          </cell>
          <cell r="AA72">
            <v>2.5</v>
          </cell>
          <cell r="AB72">
            <v>2.5</v>
          </cell>
          <cell r="AC72">
            <v>2.5</v>
          </cell>
          <cell r="AD72">
            <v>2.5</v>
          </cell>
          <cell r="AE72">
            <v>2.5</v>
          </cell>
          <cell r="AF72">
            <v>2.5</v>
          </cell>
          <cell r="AG72">
            <v>2.5</v>
          </cell>
          <cell r="AH72">
            <v>2.5</v>
          </cell>
          <cell r="AI72">
            <v>2.5</v>
          </cell>
          <cell r="AJ72">
            <v>10.5</v>
          </cell>
          <cell r="AK72">
            <v>10.5</v>
          </cell>
          <cell r="AL72">
            <v>2.5</v>
          </cell>
          <cell r="AM72">
            <v>2.5</v>
          </cell>
          <cell r="AN72">
            <v>2.5</v>
          </cell>
          <cell r="AO72" t="str">
            <v>x</v>
          </cell>
          <cell r="AP72">
            <v>23</v>
          </cell>
          <cell r="AQ72">
            <v>7</v>
          </cell>
          <cell r="AR72">
            <v>0</v>
          </cell>
          <cell r="AS72">
            <v>0</v>
          </cell>
          <cell r="AT72">
            <v>0</v>
          </cell>
          <cell r="AU72">
            <v>0</v>
          </cell>
          <cell r="AV72">
            <v>107.5</v>
          </cell>
          <cell r="AW72">
            <v>21</v>
          </cell>
          <cell r="AX72">
            <v>30</v>
          </cell>
          <cell r="AY72">
            <v>23</v>
          </cell>
          <cell r="AZ72">
            <v>30</v>
          </cell>
        </row>
        <row r="73">
          <cell r="B73">
            <v>208</v>
          </cell>
          <cell r="C73" t="str">
            <v>SH</v>
          </cell>
          <cell r="D73" t="str">
            <v>Salim Said Salim Al Ghafri</v>
          </cell>
          <cell r="E73" t="str">
            <v xml:space="preserve">Labour </v>
          </cell>
          <cell r="G73">
            <v>34182</v>
          </cell>
          <cell r="H73">
            <v>38145</v>
          </cell>
          <cell r="I73" t="str">
            <v>A</v>
          </cell>
          <cell r="J73" t="str">
            <v>Sh:2</v>
          </cell>
          <cell r="K73" t="str">
            <v>L</v>
          </cell>
          <cell r="L73" t="str">
            <v>L</v>
          </cell>
          <cell r="M73" t="str">
            <v>L</v>
          </cell>
          <cell r="N73" t="str">
            <v>L</v>
          </cell>
          <cell r="O73" t="str">
            <v>L</v>
          </cell>
          <cell r="P73" t="str">
            <v>L</v>
          </cell>
          <cell r="Q73" t="str">
            <v>L</v>
          </cell>
          <cell r="R73">
            <v>6</v>
          </cell>
          <cell r="S73">
            <v>6</v>
          </cell>
          <cell r="T73">
            <v>6</v>
          </cell>
          <cell r="U73">
            <v>6</v>
          </cell>
          <cell r="V73">
            <v>6</v>
          </cell>
          <cell r="W73">
            <v>6</v>
          </cell>
          <cell r="X73">
            <v>6</v>
          </cell>
          <cell r="Y73">
            <v>6</v>
          </cell>
          <cell r="Z73">
            <v>2</v>
          </cell>
          <cell r="AA73">
            <v>2</v>
          </cell>
          <cell r="AB73">
            <v>2</v>
          </cell>
          <cell r="AC73">
            <v>2</v>
          </cell>
          <cell r="AD73">
            <v>2</v>
          </cell>
          <cell r="AE73">
            <v>2</v>
          </cell>
          <cell r="AF73">
            <v>2</v>
          </cell>
          <cell r="AG73">
            <v>2</v>
          </cell>
          <cell r="AH73">
            <v>2</v>
          </cell>
          <cell r="AI73">
            <v>2</v>
          </cell>
          <cell r="AJ73">
            <v>10</v>
          </cell>
          <cell r="AK73">
            <v>10</v>
          </cell>
          <cell r="AL73">
            <v>2</v>
          </cell>
          <cell r="AM73">
            <v>2</v>
          </cell>
          <cell r="AN73">
            <v>2</v>
          </cell>
          <cell r="AO73" t="str">
            <v>x</v>
          </cell>
          <cell r="AP73">
            <v>23</v>
          </cell>
          <cell r="AQ73">
            <v>7</v>
          </cell>
          <cell r="AR73">
            <v>0</v>
          </cell>
          <cell r="AS73">
            <v>0</v>
          </cell>
          <cell r="AT73">
            <v>0</v>
          </cell>
          <cell r="AU73">
            <v>0</v>
          </cell>
          <cell r="AV73">
            <v>74</v>
          </cell>
          <cell r="AW73">
            <v>20</v>
          </cell>
          <cell r="AX73">
            <v>30</v>
          </cell>
          <cell r="AY73">
            <v>23</v>
          </cell>
          <cell r="AZ73">
            <v>30</v>
          </cell>
          <cell r="CF73">
            <v>8</v>
          </cell>
          <cell r="CG73">
            <v>60</v>
          </cell>
          <cell r="CH73">
            <v>1</v>
          </cell>
          <cell r="CM73">
            <v>123</v>
          </cell>
          <cell r="CN73" t="str">
            <v xml:space="preserve">Deducted 5 days desert allowance, 20 hours overtime Wall call him from 20th to 24th October'2008. Owed 16 hours overtime extra overtime from 16th to 19th October'2008. Owed 12 hours overtime extra overtime from 11th to 13th September'2008. Owed 123 rials </v>
          </cell>
        </row>
        <row r="74">
          <cell r="B74">
            <v>210</v>
          </cell>
          <cell r="C74" t="str">
            <v>S</v>
          </cell>
          <cell r="D74" t="str">
            <v>Musallam Salim Said Al Hina'I</v>
          </cell>
          <cell r="E74" t="str">
            <v>Labour / Driver</v>
          </cell>
          <cell r="G74">
            <v>34182</v>
          </cell>
          <cell r="H74">
            <v>38150</v>
          </cell>
          <cell r="I74" t="str">
            <v>A</v>
          </cell>
          <cell r="J74" t="str">
            <v>Sh:3</v>
          </cell>
          <cell r="K74">
            <v>11.5</v>
          </cell>
          <cell r="L74">
            <v>11.5</v>
          </cell>
          <cell r="M74">
            <v>11.5</v>
          </cell>
          <cell r="N74">
            <v>6.5</v>
          </cell>
          <cell r="O74">
            <v>12.5</v>
          </cell>
          <cell r="P74">
            <v>11.5</v>
          </cell>
          <cell r="Q74">
            <v>2.5</v>
          </cell>
          <cell r="R74" t="str">
            <v>L</v>
          </cell>
          <cell r="S74" t="str">
            <v>L</v>
          </cell>
          <cell r="T74" t="str">
            <v>L</v>
          </cell>
          <cell r="U74" t="str">
            <v>L</v>
          </cell>
          <cell r="V74" t="str">
            <v>L</v>
          </cell>
          <cell r="W74" t="str">
            <v>L</v>
          </cell>
          <cell r="X74" t="str">
            <v>L</v>
          </cell>
          <cell r="Y74" t="str">
            <v>L</v>
          </cell>
          <cell r="Z74" t="str">
            <v>L</v>
          </cell>
          <cell r="AA74" t="str">
            <v>L</v>
          </cell>
          <cell r="AB74" t="str">
            <v>L</v>
          </cell>
          <cell r="AC74" t="str">
            <v>L</v>
          </cell>
          <cell r="AD74" t="str">
            <v>L</v>
          </cell>
          <cell r="AE74" t="str">
            <v>L</v>
          </cell>
          <cell r="AF74">
            <v>2.5</v>
          </cell>
          <cell r="AG74">
            <v>2.5</v>
          </cell>
          <cell r="AH74">
            <v>2.5</v>
          </cell>
          <cell r="AI74">
            <v>2.5</v>
          </cell>
          <cell r="AJ74">
            <v>10.5</v>
          </cell>
          <cell r="AK74">
            <v>10.5</v>
          </cell>
          <cell r="AL74">
            <v>2.5</v>
          </cell>
          <cell r="AM74">
            <v>2.5</v>
          </cell>
          <cell r="AN74">
            <v>2.5</v>
          </cell>
          <cell r="AO74" t="str">
            <v>x</v>
          </cell>
          <cell r="AP74">
            <v>16</v>
          </cell>
          <cell r="AQ74">
            <v>14</v>
          </cell>
          <cell r="AR74">
            <v>0</v>
          </cell>
          <cell r="AS74">
            <v>0</v>
          </cell>
          <cell r="AT74">
            <v>0</v>
          </cell>
          <cell r="AU74">
            <v>0</v>
          </cell>
          <cell r="AV74">
            <v>85</v>
          </cell>
          <cell r="AW74">
            <v>21</v>
          </cell>
          <cell r="AX74">
            <v>30</v>
          </cell>
          <cell r="AY74">
            <v>16</v>
          </cell>
          <cell r="AZ74">
            <v>30</v>
          </cell>
          <cell r="CF74">
            <v>79</v>
          </cell>
          <cell r="CN74" t="str">
            <v>Owed 79 hours overtime extra overtime from 13th and 16th to 31st October'2008.</v>
          </cell>
        </row>
        <row r="75">
          <cell r="B75">
            <v>216</v>
          </cell>
          <cell r="C75" t="str">
            <v>GR</v>
          </cell>
          <cell r="D75" t="str">
            <v>Abdullah Sulaiman Taeeb</v>
          </cell>
          <cell r="E75" t="str">
            <v>Geophysical Asst / Cable</v>
          </cell>
          <cell r="G75">
            <v>34496</v>
          </cell>
          <cell r="H75">
            <v>38136</v>
          </cell>
          <cell r="I75" t="str">
            <v>C</v>
          </cell>
          <cell r="J75" t="str">
            <v>Sh:1</v>
          </cell>
          <cell r="K75">
            <v>4</v>
          </cell>
          <cell r="L75">
            <v>4</v>
          </cell>
          <cell r="M75">
            <v>4</v>
          </cell>
          <cell r="N75">
            <v>4</v>
          </cell>
          <cell r="O75">
            <v>4</v>
          </cell>
          <cell r="P75">
            <v>4</v>
          </cell>
          <cell r="Q75">
            <v>4</v>
          </cell>
          <cell r="R75">
            <v>4</v>
          </cell>
          <cell r="S75">
            <v>4</v>
          </cell>
          <cell r="T75">
            <v>4</v>
          </cell>
          <cell r="U75">
            <v>4</v>
          </cell>
          <cell r="V75">
            <v>4</v>
          </cell>
          <cell r="W75">
            <v>4</v>
          </cell>
          <cell r="X75">
            <v>4</v>
          </cell>
          <cell r="Y75">
            <v>4</v>
          </cell>
          <cell r="Z75">
            <v>4</v>
          </cell>
          <cell r="AA75">
            <v>4</v>
          </cell>
          <cell r="AB75">
            <v>4</v>
          </cell>
          <cell r="AC75">
            <v>4</v>
          </cell>
          <cell r="AD75">
            <v>4</v>
          </cell>
          <cell r="AE75">
            <v>4</v>
          </cell>
          <cell r="AF75" t="str">
            <v>L</v>
          </cell>
          <cell r="AG75" t="str">
            <v>L</v>
          </cell>
          <cell r="AH75" t="str">
            <v>L</v>
          </cell>
          <cell r="AI75" t="str">
            <v>L</v>
          </cell>
          <cell r="AJ75" t="str">
            <v>L</v>
          </cell>
          <cell r="AK75" t="str">
            <v>L</v>
          </cell>
          <cell r="AL75" t="str">
            <v>L</v>
          </cell>
          <cell r="AM75" t="str">
            <v>L</v>
          </cell>
          <cell r="AN75" t="str">
            <v>L</v>
          </cell>
          <cell r="AO75" t="str">
            <v>x</v>
          </cell>
          <cell r="AP75">
            <v>21</v>
          </cell>
          <cell r="AQ75">
            <v>9</v>
          </cell>
          <cell r="AR75">
            <v>0</v>
          </cell>
          <cell r="AS75">
            <v>0</v>
          </cell>
          <cell r="AT75">
            <v>0</v>
          </cell>
          <cell r="AU75">
            <v>0</v>
          </cell>
          <cell r="AV75">
            <v>84</v>
          </cell>
          <cell r="AW75">
            <v>0</v>
          </cell>
          <cell r="AX75">
            <v>30</v>
          </cell>
          <cell r="AY75">
            <v>21</v>
          </cell>
          <cell r="AZ75">
            <v>30</v>
          </cell>
          <cell r="CF75">
            <v>44</v>
          </cell>
          <cell r="CG75">
            <v>72</v>
          </cell>
          <cell r="CH75">
            <v>6</v>
          </cell>
          <cell r="CM75">
            <v>123</v>
          </cell>
          <cell r="CN75" t="str">
            <v>Owed 44 hours overtime extra overtime from 5th to 7th and 25th to 31st October'2008. Owed 123 rials Eid bonus, 102 hours 200%, 6 days desert allowance for Eid Al Adhah'2008 from 8th to 13th December'2008.</v>
          </cell>
        </row>
        <row r="76">
          <cell r="B76">
            <v>217</v>
          </cell>
          <cell r="C76" t="str">
            <v>V</v>
          </cell>
          <cell r="D76" t="str">
            <v>Salim Sulaiman Taeeb</v>
          </cell>
          <cell r="E76" t="str">
            <v>Vibe Operator</v>
          </cell>
          <cell r="G76">
            <v>34516</v>
          </cell>
          <cell r="H76">
            <v>38513</v>
          </cell>
          <cell r="I76" t="str">
            <v>E</v>
          </cell>
          <cell r="J76" t="str">
            <v>Sh:1</v>
          </cell>
          <cell r="K76">
            <v>8</v>
          </cell>
          <cell r="L76">
            <v>8</v>
          </cell>
          <cell r="M76">
            <v>8</v>
          </cell>
          <cell r="N76">
            <v>8</v>
          </cell>
          <cell r="O76">
            <v>8</v>
          </cell>
          <cell r="P76">
            <v>8</v>
          </cell>
          <cell r="Q76">
            <v>8</v>
          </cell>
          <cell r="R76">
            <v>8</v>
          </cell>
          <cell r="S76">
            <v>8</v>
          </cell>
          <cell r="T76">
            <v>8</v>
          </cell>
          <cell r="U76">
            <v>8</v>
          </cell>
          <cell r="V76">
            <v>8</v>
          </cell>
          <cell r="W76">
            <v>8</v>
          </cell>
          <cell r="X76">
            <v>9</v>
          </cell>
          <cell r="Y76">
            <v>9</v>
          </cell>
          <cell r="Z76">
            <v>9</v>
          </cell>
          <cell r="AA76">
            <v>9</v>
          </cell>
          <cell r="AB76">
            <v>9</v>
          </cell>
          <cell r="AC76">
            <v>9</v>
          </cell>
          <cell r="AD76">
            <v>9</v>
          </cell>
          <cell r="AE76">
            <v>9</v>
          </cell>
          <cell r="AF76" t="str">
            <v>L</v>
          </cell>
          <cell r="AG76" t="str">
            <v>L</v>
          </cell>
          <cell r="AH76" t="str">
            <v>L</v>
          </cell>
          <cell r="AI76" t="str">
            <v>L</v>
          </cell>
          <cell r="AJ76" t="str">
            <v>L</v>
          </cell>
          <cell r="AK76" t="str">
            <v>L</v>
          </cell>
          <cell r="AL76" t="str">
            <v>L</v>
          </cell>
          <cell r="AM76" t="str">
            <v>L</v>
          </cell>
          <cell r="AN76" t="str">
            <v>L</v>
          </cell>
          <cell r="AO76" t="str">
            <v>x</v>
          </cell>
          <cell r="AP76">
            <v>21</v>
          </cell>
          <cell r="AQ76">
            <v>9</v>
          </cell>
          <cell r="AR76">
            <v>0</v>
          </cell>
          <cell r="AS76">
            <v>0</v>
          </cell>
          <cell r="AT76">
            <v>0</v>
          </cell>
          <cell r="AU76">
            <v>0</v>
          </cell>
          <cell r="AV76">
            <v>176</v>
          </cell>
          <cell r="AW76">
            <v>0</v>
          </cell>
          <cell r="AX76">
            <v>30</v>
          </cell>
          <cell r="AY76">
            <v>21</v>
          </cell>
          <cell r="AZ76">
            <v>30</v>
          </cell>
          <cell r="CG76">
            <v>102</v>
          </cell>
          <cell r="CH76">
            <v>6</v>
          </cell>
          <cell r="CM76">
            <v>123</v>
          </cell>
          <cell r="CN76" t="str">
            <v xml:space="preserve">Owed 123 rials Eid bonus, 102 hours 200%, 6 days desert allowance for Eid Al Adhah'2008 from 8th to 13th December'2008. </v>
          </cell>
        </row>
        <row r="77">
          <cell r="B77">
            <v>229</v>
          </cell>
          <cell r="C77" t="str">
            <v>SH</v>
          </cell>
          <cell r="D77" t="str">
            <v>Said Marhoun Said</v>
          </cell>
          <cell r="E77" t="str">
            <v>Vibe Operator</v>
          </cell>
          <cell r="G77">
            <v>35380</v>
          </cell>
          <cell r="H77">
            <v>38145</v>
          </cell>
          <cell r="I77" t="str">
            <v>E</v>
          </cell>
          <cell r="J77" t="str">
            <v>Sh:2</v>
          </cell>
          <cell r="K77" t="str">
            <v>L</v>
          </cell>
          <cell r="L77" t="str">
            <v>L</v>
          </cell>
          <cell r="M77" t="str">
            <v>L</v>
          </cell>
          <cell r="N77" t="str">
            <v>L</v>
          </cell>
          <cell r="O77" t="str">
            <v>L</v>
          </cell>
          <cell r="P77" t="str">
            <v>L</v>
          </cell>
          <cell r="Q77" t="str">
            <v>L</v>
          </cell>
          <cell r="R77">
            <v>8</v>
          </cell>
          <cell r="S77">
            <v>8</v>
          </cell>
          <cell r="T77">
            <v>8</v>
          </cell>
          <cell r="U77">
            <v>8</v>
          </cell>
          <cell r="V77">
            <v>8</v>
          </cell>
          <cell r="W77">
            <v>8</v>
          </cell>
          <cell r="X77">
            <v>9</v>
          </cell>
          <cell r="Y77">
            <v>9</v>
          </cell>
          <cell r="Z77">
            <v>9</v>
          </cell>
          <cell r="AA77">
            <v>9</v>
          </cell>
          <cell r="AB77">
            <v>9</v>
          </cell>
          <cell r="AC77">
            <v>9</v>
          </cell>
          <cell r="AD77">
            <v>9</v>
          </cell>
          <cell r="AE77">
            <v>9</v>
          </cell>
          <cell r="AF77">
            <v>9</v>
          </cell>
          <cell r="AG77">
            <v>9</v>
          </cell>
          <cell r="AH77">
            <v>9</v>
          </cell>
          <cell r="AI77">
            <v>9</v>
          </cell>
          <cell r="AJ77">
            <v>17</v>
          </cell>
          <cell r="AK77">
            <v>17</v>
          </cell>
          <cell r="AL77">
            <v>9</v>
          </cell>
          <cell r="AM77">
            <v>9</v>
          </cell>
          <cell r="AN77">
            <v>9</v>
          </cell>
          <cell r="AO77" t="str">
            <v>x</v>
          </cell>
          <cell r="AP77">
            <v>23</v>
          </cell>
          <cell r="AQ77">
            <v>7</v>
          </cell>
          <cell r="AR77">
            <v>0</v>
          </cell>
          <cell r="AS77">
            <v>0</v>
          </cell>
          <cell r="AT77">
            <v>0</v>
          </cell>
          <cell r="AU77">
            <v>0</v>
          </cell>
          <cell r="AV77">
            <v>183</v>
          </cell>
          <cell r="AW77">
            <v>34</v>
          </cell>
          <cell r="AX77">
            <v>30</v>
          </cell>
          <cell r="AY77">
            <v>23</v>
          </cell>
          <cell r="AZ77">
            <v>30</v>
          </cell>
          <cell r="CG77">
            <v>102</v>
          </cell>
          <cell r="CH77">
            <v>6</v>
          </cell>
          <cell r="CM77">
            <v>123</v>
          </cell>
          <cell r="CN77" t="str">
            <v>Owed 123 rials Eid bonus, 102 hours 200%, 6 days desert allowance for Eid Al Adhah'2008 from 8th to 13th December'2008.</v>
          </cell>
        </row>
        <row r="78">
          <cell r="B78">
            <v>230</v>
          </cell>
          <cell r="C78" t="str">
            <v>G</v>
          </cell>
          <cell r="D78" t="str">
            <v>Sammi Eid Khamis Al Sawafi</v>
          </cell>
          <cell r="E78" t="str">
            <v>Labour / Cable</v>
          </cell>
          <cell r="G78">
            <v>35582</v>
          </cell>
          <cell r="H78">
            <v>38110</v>
          </cell>
          <cell r="I78" t="str">
            <v>A</v>
          </cell>
          <cell r="J78" t="str">
            <v>Sh:3</v>
          </cell>
          <cell r="K78">
            <v>8.5</v>
          </cell>
          <cell r="L78">
            <v>8.5</v>
          </cell>
          <cell r="M78">
            <v>8.5</v>
          </cell>
          <cell r="N78">
            <v>8.5</v>
          </cell>
          <cell r="O78">
            <v>8.5</v>
          </cell>
          <cell r="P78">
            <v>8.5</v>
          </cell>
          <cell r="Q78">
            <v>4</v>
          </cell>
          <cell r="R78" t="str">
            <v>L</v>
          </cell>
          <cell r="S78" t="str">
            <v>L</v>
          </cell>
          <cell r="T78" t="str">
            <v>L</v>
          </cell>
          <cell r="U78" t="str">
            <v>L</v>
          </cell>
          <cell r="V78" t="str">
            <v>L</v>
          </cell>
          <cell r="W78" t="str">
            <v>L</v>
          </cell>
          <cell r="X78" t="str">
            <v>L</v>
          </cell>
          <cell r="Y78" t="str">
            <v>L</v>
          </cell>
          <cell r="Z78" t="str">
            <v>L</v>
          </cell>
          <cell r="AA78" t="str">
            <v>L</v>
          </cell>
          <cell r="AB78" t="str">
            <v>L</v>
          </cell>
          <cell r="AC78" t="str">
            <v>L</v>
          </cell>
          <cell r="AD78" t="str">
            <v>L</v>
          </cell>
          <cell r="AE78" t="str">
            <v>L</v>
          </cell>
          <cell r="AF78">
            <v>4</v>
          </cell>
          <cell r="AG78">
            <v>4</v>
          </cell>
          <cell r="AH78">
            <v>4</v>
          </cell>
          <cell r="AI78">
            <v>4</v>
          </cell>
          <cell r="AJ78">
            <v>12</v>
          </cell>
          <cell r="AK78">
            <v>12</v>
          </cell>
          <cell r="AL78">
            <v>4</v>
          </cell>
          <cell r="AM78">
            <v>4</v>
          </cell>
          <cell r="AN78">
            <v>4</v>
          </cell>
          <cell r="AO78" t="str">
            <v>x</v>
          </cell>
          <cell r="AP78">
            <v>16</v>
          </cell>
          <cell r="AQ78">
            <v>14</v>
          </cell>
          <cell r="AR78">
            <v>0</v>
          </cell>
          <cell r="AS78">
            <v>0</v>
          </cell>
          <cell r="AT78">
            <v>0</v>
          </cell>
          <cell r="AU78">
            <v>0</v>
          </cell>
          <cell r="AV78">
            <v>83</v>
          </cell>
          <cell r="AW78">
            <v>24</v>
          </cell>
          <cell r="AX78">
            <v>30</v>
          </cell>
          <cell r="AY78">
            <v>16</v>
          </cell>
          <cell r="AZ78">
            <v>30</v>
          </cell>
          <cell r="CF78">
            <v>117</v>
          </cell>
          <cell r="CN78" t="str">
            <v>Owed 117 hours overtime extra overtime from 12th to 25th and 28th to 31st October'2008.</v>
          </cell>
        </row>
        <row r="79">
          <cell r="B79">
            <v>231</v>
          </cell>
          <cell r="C79" t="str">
            <v>R</v>
          </cell>
          <cell r="D79" t="str">
            <v>Nasser Sulaiyam Humaid Al Sawafi</v>
          </cell>
          <cell r="E79" t="str">
            <v>Labour</v>
          </cell>
          <cell r="G79">
            <v>35582</v>
          </cell>
          <cell r="H79">
            <v>38136</v>
          </cell>
          <cell r="I79" t="str">
            <v>A</v>
          </cell>
          <cell r="J79" t="str">
            <v>Sh:3</v>
          </cell>
          <cell r="K79">
            <v>6</v>
          </cell>
          <cell r="L79">
            <v>6</v>
          </cell>
          <cell r="M79">
            <v>6</v>
          </cell>
          <cell r="N79">
            <v>6</v>
          </cell>
          <cell r="O79">
            <v>6</v>
          </cell>
          <cell r="P79">
            <v>0</v>
          </cell>
          <cell r="Q79">
            <v>2</v>
          </cell>
          <cell r="R79" t="str">
            <v>L</v>
          </cell>
          <cell r="S79" t="str">
            <v>L</v>
          </cell>
          <cell r="T79" t="str">
            <v>L</v>
          </cell>
          <cell r="U79" t="str">
            <v>L</v>
          </cell>
          <cell r="V79" t="str">
            <v>L</v>
          </cell>
          <cell r="W79" t="str">
            <v>L</v>
          </cell>
          <cell r="X79" t="str">
            <v>L</v>
          </cell>
          <cell r="Y79" t="str">
            <v>L</v>
          </cell>
          <cell r="Z79" t="str">
            <v>L</v>
          </cell>
          <cell r="AA79" t="str">
            <v>L</v>
          </cell>
          <cell r="AB79" t="str">
            <v>L</v>
          </cell>
          <cell r="AC79" t="str">
            <v>L</v>
          </cell>
          <cell r="AD79" t="str">
            <v>L</v>
          </cell>
          <cell r="AE79" t="str">
            <v>L</v>
          </cell>
          <cell r="AF79">
            <v>2</v>
          </cell>
          <cell r="AG79">
            <v>2</v>
          </cell>
          <cell r="AH79">
            <v>2</v>
          </cell>
          <cell r="AI79">
            <v>2</v>
          </cell>
          <cell r="AJ79">
            <v>10</v>
          </cell>
          <cell r="AK79">
            <v>10</v>
          </cell>
          <cell r="AL79">
            <v>2</v>
          </cell>
          <cell r="AM79">
            <v>2</v>
          </cell>
          <cell r="AN79">
            <v>2</v>
          </cell>
          <cell r="AO79" t="str">
            <v>x</v>
          </cell>
          <cell r="AP79">
            <v>16</v>
          </cell>
          <cell r="AQ79">
            <v>14</v>
          </cell>
          <cell r="AR79">
            <v>0</v>
          </cell>
          <cell r="AS79">
            <v>0</v>
          </cell>
          <cell r="AT79">
            <v>0</v>
          </cell>
          <cell r="AU79">
            <v>0</v>
          </cell>
          <cell r="AV79">
            <v>46</v>
          </cell>
          <cell r="AW79">
            <v>20</v>
          </cell>
          <cell r="AX79">
            <v>30</v>
          </cell>
          <cell r="AY79">
            <v>16</v>
          </cell>
          <cell r="AZ79">
            <v>30</v>
          </cell>
          <cell r="CF79">
            <v>48</v>
          </cell>
          <cell r="CG79">
            <v>60</v>
          </cell>
          <cell r="CH79">
            <v>5</v>
          </cell>
          <cell r="CM79">
            <v>123</v>
          </cell>
          <cell r="CN79" t="str">
            <v>Deducted one day desert allowance, 4 hours overtime left morning on 29th &amp; take leave from 30th October'2008. Owed 52 hours overtime extra overtime from 17th to 28th and 31st October'2008. Owed 123 rials Eid bonus, 60 hours 200%, 6 days desert allowance f</v>
          </cell>
        </row>
        <row r="80">
          <cell r="B80">
            <v>234</v>
          </cell>
          <cell r="C80" t="str">
            <v>V</v>
          </cell>
          <cell r="D80" t="str">
            <v>Humaid Hamoud Humaid</v>
          </cell>
          <cell r="E80" t="str">
            <v>Vibe Operator</v>
          </cell>
          <cell r="G80">
            <v>35582</v>
          </cell>
          <cell r="H80">
            <v>38145</v>
          </cell>
          <cell r="I80" t="str">
            <v>E</v>
          </cell>
          <cell r="J80" t="str">
            <v>Sh:1</v>
          </cell>
          <cell r="K80">
            <v>8</v>
          </cell>
          <cell r="L80">
            <v>8</v>
          </cell>
          <cell r="M80">
            <v>8</v>
          </cell>
          <cell r="N80">
            <v>8</v>
          </cell>
          <cell r="O80">
            <v>8</v>
          </cell>
          <cell r="P80">
            <v>8</v>
          </cell>
          <cell r="Q80">
            <v>8</v>
          </cell>
          <cell r="R80">
            <v>8</v>
          </cell>
          <cell r="S80">
            <v>8</v>
          </cell>
          <cell r="T80">
            <v>8</v>
          </cell>
          <cell r="U80">
            <v>8</v>
          </cell>
          <cell r="V80">
            <v>8</v>
          </cell>
          <cell r="W80">
            <v>8</v>
          </cell>
          <cell r="X80">
            <v>9</v>
          </cell>
          <cell r="Y80">
            <v>9</v>
          </cell>
          <cell r="Z80">
            <v>9</v>
          </cell>
          <cell r="AA80">
            <v>9</v>
          </cell>
          <cell r="AB80">
            <v>9</v>
          </cell>
          <cell r="AC80">
            <v>9</v>
          </cell>
          <cell r="AD80">
            <v>9</v>
          </cell>
          <cell r="AE80">
            <v>9</v>
          </cell>
          <cell r="AF80" t="str">
            <v>L</v>
          </cell>
          <cell r="AG80" t="str">
            <v>L</v>
          </cell>
          <cell r="AH80" t="str">
            <v>L</v>
          </cell>
          <cell r="AI80" t="str">
            <v>L</v>
          </cell>
          <cell r="AJ80" t="str">
            <v>L</v>
          </cell>
          <cell r="AK80" t="str">
            <v>L</v>
          </cell>
          <cell r="AL80" t="str">
            <v>L</v>
          </cell>
          <cell r="AM80" t="str">
            <v>L</v>
          </cell>
          <cell r="AN80" t="str">
            <v>L</v>
          </cell>
          <cell r="AO80" t="str">
            <v>x</v>
          </cell>
          <cell r="AP80">
            <v>21</v>
          </cell>
          <cell r="AQ80">
            <v>9</v>
          </cell>
          <cell r="AR80">
            <v>0</v>
          </cell>
          <cell r="AS80">
            <v>0</v>
          </cell>
          <cell r="AT80">
            <v>0</v>
          </cell>
          <cell r="AU80">
            <v>0</v>
          </cell>
          <cell r="AV80">
            <v>176</v>
          </cell>
          <cell r="AW80">
            <v>0</v>
          </cell>
          <cell r="AX80">
            <v>30</v>
          </cell>
          <cell r="AY80">
            <v>21</v>
          </cell>
          <cell r="AZ80">
            <v>30</v>
          </cell>
          <cell r="CF80">
            <v>-16</v>
          </cell>
          <cell r="CG80">
            <v>102</v>
          </cell>
          <cell r="CH80">
            <v>4</v>
          </cell>
          <cell r="CM80">
            <v>123</v>
          </cell>
          <cell r="CN80" t="str">
            <v xml:space="preserve">Deducted 2 days desert allowance, 16 hours overtime take emergence leave from 26th to 27th October'2008. Owed 123 rials Eid bonus, 102 hours 200%, 6 days desert allowance for Eid Al Adhah'2008 from 8th to 13th December'2008. </v>
          </cell>
        </row>
        <row r="81">
          <cell r="B81">
            <v>235</v>
          </cell>
          <cell r="C81" t="str">
            <v>RL</v>
          </cell>
          <cell r="D81" t="str">
            <v>Nasser Hamed Suleiman</v>
          </cell>
          <cell r="E81" t="str">
            <v>Vibe Operator</v>
          </cell>
          <cell r="G81">
            <v>35582</v>
          </cell>
          <cell r="H81">
            <v>38136</v>
          </cell>
          <cell r="I81" t="str">
            <v>E</v>
          </cell>
          <cell r="J81" t="str">
            <v>Sh:1</v>
          </cell>
          <cell r="K81">
            <v>8</v>
          </cell>
          <cell r="L81">
            <v>8</v>
          </cell>
          <cell r="M81">
            <v>8</v>
          </cell>
          <cell r="N81">
            <v>8</v>
          </cell>
          <cell r="O81">
            <v>8</v>
          </cell>
          <cell r="P81">
            <v>8</v>
          </cell>
          <cell r="Q81">
            <v>8</v>
          </cell>
          <cell r="R81">
            <v>8</v>
          </cell>
          <cell r="S81">
            <v>8</v>
          </cell>
          <cell r="T81">
            <v>8</v>
          </cell>
          <cell r="U81">
            <v>8</v>
          </cell>
          <cell r="V81">
            <v>8</v>
          </cell>
          <cell r="W81">
            <v>8</v>
          </cell>
          <cell r="X81">
            <v>9</v>
          </cell>
          <cell r="Y81">
            <v>9</v>
          </cell>
          <cell r="Z81">
            <v>9</v>
          </cell>
          <cell r="AA81">
            <v>9</v>
          </cell>
          <cell r="AB81">
            <v>9</v>
          </cell>
          <cell r="AC81">
            <v>9</v>
          </cell>
          <cell r="AD81">
            <v>9</v>
          </cell>
          <cell r="AE81">
            <v>9</v>
          </cell>
          <cell r="AF81" t="str">
            <v>L</v>
          </cell>
          <cell r="AG81" t="str">
            <v>L</v>
          </cell>
          <cell r="AH81" t="str">
            <v>L</v>
          </cell>
          <cell r="AI81" t="str">
            <v>L</v>
          </cell>
          <cell r="AJ81" t="str">
            <v>L</v>
          </cell>
          <cell r="AK81" t="str">
            <v>L</v>
          </cell>
          <cell r="AL81" t="str">
            <v>L</v>
          </cell>
          <cell r="AM81" t="str">
            <v>L</v>
          </cell>
          <cell r="AN81" t="str">
            <v>L</v>
          </cell>
          <cell r="AO81" t="str">
            <v>x</v>
          </cell>
          <cell r="AP81">
            <v>21</v>
          </cell>
          <cell r="AQ81">
            <v>9</v>
          </cell>
          <cell r="AR81">
            <v>0</v>
          </cell>
          <cell r="AS81">
            <v>0</v>
          </cell>
          <cell r="AT81">
            <v>0</v>
          </cell>
          <cell r="AU81">
            <v>0</v>
          </cell>
          <cell r="AV81">
            <v>176</v>
          </cell>
          <cell r="AW81">
            <v>0</v>
          </cell>
          <cell r="AX81">
            <v>30</v>
          </cell>
          <cell r="AY81">
            <v>21</v>
          </cell>
          <cell r="AZ81">
            <v>30</v>
          </cell>
          <cell r="CG81">
            <v>102</v>
          </cell>
          <cell r="CH81">
            <v>6</v>
          </cell>
          <cell r="CM81">
            <v>123</v>
          </cell>
          <cell r="CN81" t="str">
            <v xml:space="preserve">Owed 123 rials Eid bonus, 102 hours 200%, 6 days desert allowance for Eid Al Adhah'2008 8th to 13th December'2008. </v>
          </cell>
        </row>
        <row r="82">
          <cell r="B82">
            <v>236</v>
          </cell>
          <cell r="C82" t="str">
            <v>G</v>
          </cell>
          <cell r="D82" t="str">
            <v>Sulaiman Mohamed Salman</v>
          </cell>
          <cell r="E82" t="str">
            <v>Labour / Chain Crew</v>
          </cell>
          <cell r="G82">
            <v>35585</v>
          </cell>
          <cell r="H82">
            <v>38132</v>
          </cell>
          <cell r="I82" t="str">
            <v>A</v>
          </cell>
          <cell r="J82" t="str">
            <v>Sh:3</v>
          </cell>
          <cell r="K82">
            <v>8</v>
          </cell>
          <cell r="L82">
            <v>8</v>
          </cell>
          <cell r="M82">
            <v>8</v>
          </cell>
          <cell r="N82">
            <v>0</v>
          </cell>
          <cell r="O82" t="str">
            <v>L</v>
          </cell>
          <cell r="P82" t="str">
            <v>L</v>
          </cell>
          <cell r="Q82" t="str">
            <v>L</v>
          </cell>
          <cell r="R82" t="str">
            <v>L</v>
          </cell>
          <cell r="S82" t="str">
            <v>L</v>
          </cell>
          <cell r="T82" t="str">
            <v>L</v>
          </cell>
          <cell r="U82" t="str">
            <v>L</v>
          </cell>
          <cell r="V82" t="str">
            <v>L</v>
          </cell>
          <cell r="W82" t="str">
            <v>L</v>
          </cell>
          <cell r="X82" t="str">
            <v>L</v>
          </cell>
          <cell r="Y82" t="str">
            <v>L</v>
          </cell>
          <cell r="Z82" t="str">
            <v>L</v>
          </cell>
          <cell r="AA82" t="str">
            <v>L</v>
          </cell>
          <cell r="AB82" t="str">
            <v>L</v>
          </cell>
          <cell r="AC82" t="str">
            <v>L</v>
          </cell>
          <cell r="AD82" t="str">
            <v>L</v>
          </cell>
          <cell r="AE82" t="str">
            <v>L</v>
          </cell>
          <cell r="AF82">
            <v>2</v>
          </cell>
          <cell r="AG82">
            <v>2</v>
          </cell>
          <cell r="AH82">
            <v>2</v>
          </cell>
          <cell r="AI82">
            <v>2</v>
          </cell>
          <cell r="AJ82">
            <v>10</v>
          </cell>
          <cell r="AK82">
            <v>10</v>
          </cell>
          <cell r="AL82">
            <v>2</v>
          </cell>
          <cell r="AM82">
            <v>2</v>
          </cell>
          <cell r="AN82">
            <v>2</v>
          </cell>
          <cell r="AO82" t="str">
            <v>x</v>
          </cell>
          <cell r="AP82">
            <v>13</v>
          </cell>
          <cell r="AQ82">
            <v>17</v>
          </cell>
          <cell r="AR82">
            <v>0</v>
          </cell>
          <cell r="AS82">
            <v>0</v>
          </cell>
          <cell r="AT82">
            <v>0</v>
          </cell>
          <cell r="AU82">
            <v>0</v>
          </cell>
          <cell r="AV82">
            <v>38</v>
          </cell>
          <cell r="AW82">
            <v>20</v>
          </cell>
          <cell r="AX82">
            <v>30</v>
          </cell>
          <cell r="AY82">
            <v>13</v>
          </cell>
          <cell r="AZ82">
            <v>30</v>
          </cell>
          <cell r="CF82">
            <v>64</v>
          </cell>
          <cell r="CN82" t="str">
            <v>Owed 64 hours overtime extra overtime from 16th to 31st October'2008.</v>
          </cell>
        </row>
        <row r="83">
          <cell r="B83">
            <v>239</v>
          </cell>
          <cell r="C83" t="str">
            <v>R</v>
          </cell>
          <cell r="D83" t="str">
            <v>Ahmed Ali Khamis Al Azri</v>
          </cell>
          <cell r="E83" t="str">
            <v>Light Dvr / Bus Dvr</v>
          </cell>
          <cell r="G83">
            <v>35587</v>
          </cell>
          <cell r="H83">
            <v>38513</v>
          </cell>
          <cell r="I83" t="str">
            <v>A</v>
          </cell>
          <cell r="J83" t="str">
            <v>Sh:3</v>
          </cell>
          <cell r="K83">
            <v>2.5</v>
          </cell>
          <cell r="L83">
            <v>2.5</v>
          </cell>
          <cell r="M83">
            <v>2.5</v>
          </cell>
          <cell r="N83">
            <v>2.5</v>
          </cell>
          <cell r="O83">
            <v>2.5</v>
          </cell>
          <cell r="P83">
            <v>2.5</v>
          </cell>
          <cell r="Q83">
            <v>2.5</v>
          </cell>
          <cell r="R83" t="str">
            <v>L</v>
          </cell>
          <cell r="S83" t="str">
            <v>L</v>
          </cell>
          <cell r="T83" t="str">
            <v>L</v>
          </cell>
          <cell r="U83" t="str">
            <v>L</v>
          </cell>
          <cell r="V83" t="str">
            <v>L</v>
          </cell>
          <cell r="W83" t="str">
            <v>L</v>
          </cell>
          <cell r="X83" t="str">
            <v>L</v>
          </cell>
          <cell r="Y83" t="str">
            <v>L</v>
          </cell>
          <cell r="Z83" t="str">
            <v>L</v>
          </cell>
          <cell r="AA83" t="str">
            <v>L</v>
          </cell>
          <cell r="AB83" t="str">
            <v>L</v>
          </cell>
          <cell r="AC83" t="str">
            <v>L</v>
          </cell>
          <cell r="AD83" t="str">
            <v>L</v>
          </cell>
          <cell r="AE83" t="str">
            <v>L</v>
          </cell>
          <cell r="AF83">
            <v>2.5</v>
          </cell>
          <cell r="AG83">
            <v>2.5</v>
          </cell>
          <cell r="AH83">
            <v>2.5</v>
          </cell>
          <cell r="AI83">
            <v>2.5</v>
          </cell>
          <cell r="AJ83">
            <v>10.5</v>
          </cell>
          <cell r="AK83">
            <v>10.5</v>
          </cell>
          <cell r="AL83">
            <v>2.5</v>
          </cell>
          <cell r="AM83">
            <v>2.5</v>
          </cell>
          <cell r="AN83">
            <v>2.5</v>
          </cell>
          <cell r="AO83" t="str">
            <v>x</v>
          </cell>
          <cell r="AP83">
            <v>16</v>
          </cell>
          <cell r="AQ83">
            <v>14</v>
          </cell>
          <cell r="AR83">
            <v>0</v>
          </cell>
          <cell r="AS83">
            <v>0</v>
          </cell>
          <cell r="AT83">
            <v>0</v>
          </cell>
          <cell r="AU83">
            <v>0</v>
          </cell>
          <cell r="AV83">
            <v>35</v>
          </cell>
          <cell r="AW83">
            <v>21</v>
          </cell>
          <cell r="AX83">
            <v>30</v>
          </cell>
          <cell r="AY83">
            <v>16</v>
          </cell>
          <cell r="AZ83">
            <v>30</v>
          </cell>
          <cell r="CF83">
            <v>85</v>
          </cell>
          <cell r="CG83">
            <v>63</v>
          </cell>
          <cell r="CH83">
            <v>6</v>
          </cell>
          <cell r="CM83">
            <v>123</v>
          </cell>
          <cell r="CN83" t="str">
            <v>Owed 85 hours overtime extra overtime from 15th to 31st October'2008. Owed 123 rials Eid bonus, 63 hours 200%, 6 days desert allowance for Eid Al Adhah'2008 from 8th to 13th December'2008.</v>
          </cell>
        </row>
        <row r="84">
          <cell r="B84">
            <v>243</v>
          </cell>
          <cell r="C84" t="str">
            <v>G</v>
          </cell>
          <cell r="D84" t="str">
            <v xml:space="preserve">Hilal Mohamed Nasser </v>
          </cell>
          <cell r="E84" t="str">
            <v>Radio Operator</v>
          </cell>
          <cell r="G84">
            <v>35588</v>
          </cell>
          <cell r="H84">
            <v>38145</v>
          </cell>
          <cell r="I84" t="str">
            <v>C1</v>
          </cell>
          <cell r="J84" t="str">
            <v>Sh:3</v>
          </cell>
          <cell r="K84">
            <v>8.5</v>
          </cell>
          <cell r="L84">
            <v>8</v>
          </cell>
          <cell r="M84">
            <v>7.5</v>
          </cell>
          <cell r="N84">
            <v>9</v>
          </cell>
          <cell r="O84">
            <v>8</v>
          </cell>
          <cell r="P84">
            <v>8.5</v>
          </cell>
          <cell r="Q84">
            <v>2</v>
          </cell>
          <cell r="R84" t="str">
            <v>L</v>
          </cell>
          <cell r="S84" t="str">
            <v>L</v>
          </cell>
          <cell r="T84" t="str">
            <v>L</v>
          </cell>
          <cell r="U84" t="str">
            <v>L</v>
          </cell>
          <cell r="V84" t="str">
            <v>L</v>
          </cell>
          <cell r="W84" t="str">
            <v>L</v>
          </cell>
          <cell r="X84" t="str">
            <v>L</v>
          </cell>
          <cell r="Y84" t="str">
            <v>L</v>
          </cell>
          <cell r="Z84" t="str">
            <v>L</v>
          </cell>
          <cell r="AA84" t="str">
            <v>L</v>
          </cell>
          <cell r="AB84" t="str">
            <v>L</v>
          </cell>
          <cell r="AC84" t="str">
            <v>L</v>
          </cell>
          <cell r="AD84" t="str">
            <v>L</v>
          </cell>
          <cell r="AE84" t="str">
            <v>L</v>
          </cell>
          <cell r="AF84">
            <v>2</v>
          </cell>
          <cell r="AG84">
            <v>2</v>
          </cell>
          <cell r="AH84">
            <v>2</v>
          </cell>
          <cell r="AI84">
            <v>2</v>
          </cell>
          <cell r="AJ84">
            <v>10</v>
          </cell>
          <cell r="AK84">
            <v>10</v>
          </cell>
          <cell r="AL84">
            <v>2</v>
          </cell>
          <cell r="AM84">
            <v>2</v>
          </cell>
          <cell r="AN84">
            <v>2</v>
          </cell>
          <cell r="AO84" t="str">
            <v>x</v>
          </cell>
          <cell r="AP84">
            <v>16</v>
          </cell>
          <cell r="AQ84">
            <v>14</v>
          </cell>
          <cell r="AR84">
            <v>0</v>
          </cell>
          <cell r="AS84">
            <v>0</v>
          </cell>
          <cell r="AT84">
            <v>0</v>
          </cell>
          <cell r="AU84">
            <v>0</v>
          </cell>
          <cell r="AV84">
            <v>65.5</v>
          </cell>
          <cell r="AW84">
            <v>20</v>
          </cell>
          <cell r="AX84">
            <v>30</v>
          </cell>
          <cell r="AY84">
            <v>16</v>
          </cell>
          <cell r="AZ84">
            <v>30</v>
          </cell>
          <cell r="CF84">
            <v>160</v>
          </cell>
          <cell r="CG84">
            <v>60</v>
          </cell>
          <cell r="CH84">
            <v>6</v>
          </cell>
          <cell r="CM84">
            <v>123</v>
          </cell>
          <cell r="CN84" t="str">
            <v>Owed 160 hours overtime extra overtime from 1st to 3rd and 14th and 16th to 31st October'2008. Owed 123 rials Eid bonus, 60 hours 200%, 6 days desert allowance for Eid Al Adhah'2008 from 8th to 13th December'2008.</v>
          </cell>
        </row>
        <row r="85">
          <cell r="B85">
            <v>244</v>
          </cell>
          <cell r="C85" t="str">
            <v>V</v>
          </cell>
          <cell r="D85" t="str">
            <v>Shihab Sulaiman Rashid Al Gharibi</v>
          </cell>
          <cell r="E85" t="str">
            <v>Vibe Operator</v>
          </cell>
          <cell r="G85">
            <v>35597</v>
          </cell>
          <cell r="H85">
            <v>38147</v>
          </cell>
          <cell r="I85" t="str">
            <v>E</v>
          </cell>
          <cell r="J85" t="str">
            <v>Sh:3</v>
          </cell>
          <cell r="K85">
            <v>8</v>
          </cell>
          <cell r="L85">
            <v>8</v>
          </cell>
          <cell r="M85">
            <v>8</v>
          </cell>
          <cell r="N85">
            <v>8</v>
          </cell>
          <cell r="O85">
            <v>8</v>
          </cell>
          <cell r="P85">
            <v>8</v>
          </cell>
          <cell r="Q85">
            <v>8</v>
          </cell>
          <cell r="R85" t="str">
            <v>L</v>
          </cell>
          <cell r="S85" t="str">
            <v>L</v>
          </cell>
          <cell r="T85" t="str">
            <v>L</v>
          </cell>
          <cell r="U85" t="str">
            <v>L</v>
          </cell>
          <cell r="V85" t="str">
            <v>L</v>
          </cell>
          <cell r="W85" t="str">
            <v>L</v>
          </cell>
          <cell r="X85" t="str">
            <v>L</v>
          </cell>
          <cell r="Y85" t="str">
            <v>L</v>
          </cell>
          <cell r="Z85" t="str">
            <v>L</v>
          </cell>
          <cell r="AA85" t="str">
            <v>L</v>
          </cell>
          <cell r="AB85" t="str">
            <v>L</v>
          </cell>
          <cell r="AC85" t="str">
            <v>L</v>
          </cell>
          <cell r="AD85" t="str">
            <v>L</v>
          </cell>
          <cell r="AE85" t="str">
            <v>L</v>
          </cell>
          <cell r="AF85">
            <v>9</v>
          </cell>
          <cell r="AG85">
            <v>9</v>
          </cell>
          <cell r="AH85">
            <v>9</v>
          </cell>
          <cell r="AI85">
            <v>9</v>
          </cell>
          <cell r="AJ85">
            <v>17</v>
          </cell>
          <cell r="AK85">
            <v>17</v>
          </cell>
          <cell r="AL85">
            <v>9</v>
          </cell>
          <cell r="AM85">
            <v>9</v>
          </cell>
          <cell r="AN85">
            <v>9</v>
          </cell>
          <cell r="AO85" t="str">
            <v>x</v>
          </cell>
          <cell r="AP85">
            <v>16</v>
          </cell>
          <cell r="AQ85">
            <v>14</v>
          </cell>
          <cell r="AR85">
            <v>0</v>
          </cell>
          <cell r="AS85">
            <v>0</v>
          </cell>
          <cell r="AT85">
            <v>0</v>
          </cell>
          <cell r="AU85">
            <v>0</v>
          </cell>
          <cell r="AV85">
            <v>119</v>
          </cell>
          <cell r="AW85">
            <v>34</v>
          </cell>
          <cell r="AX85">
            <v>30</v>
          </cell>
          <cell r="AY85">
            <v>16</v>
          </cell>
          <cell r="AZ85">
            <v>30</v>
          </cell>
          <cell r="CF85">
            <v>-24</v>
          </cell>
          <cell r="CG85">
            <v>102</v>
          </cell>
          <cell r="CH85">
            <v>3</v>
          </cell>
          <cell r="CM85">
            <v>123</v>
          </cell>
          <cell r="CN85" t="str">
            <v xml:space="preserve">Deducted 3 days desert allowance, 24 hours overtime take leave from 27th to 29th October'2008. Owed 123 rials Eid bonus, 102 hours 200%, 6 days desert allowance for Eid Al Adhah'2008 8th to 13th December'2008. </v>
          </cell>
        </row>
        <row r="86">
          <cell r="B86">
            <v>245</v>
          </cell>
          <cell r="C86" t="str">
            <v>SG</v>
          </cell>
          <cell r="D86" t="str">
            <v>Mahmoud Mohammed Said</v>
          </cell>
          <cell r="E86" t="str">
            <v>GPS Operator</v>
          </cell>
          <cell r="G86">
            <v>35597</v>
          </cell>
          <cell r="H86">
            <v>38132</v>
          </cell>
          <cell r="I86" t="str">
            <v>C</v>
          </cell>
          <cell r="J86" t="str">
            <v>Sh:1</v>
          </cell>
          <cell r="K86">
            <v>2.5</v>
          </cell>
          <cell r="L86">
            <v>2.5</v>
          </cell>
          <cell r="M86">
            <v>2.5</v>
          </cell>
          <cell r="N86">
            <v>6.5</v>
          </cell>
          <cell r="O86">
            <v>2.5</v>
          </cell>
          <cell r="P86">
            <v>2.5</v>
          </cell>
          <cell r="Q86">
            <v>2.5</v>
          </cell>
          <cell r="R86">
            <v>2.5</v>
          </cell>
          <cell r="S86">
            <v>2.5</v>
          </cell>
          <cell r="T86">
            <v>2.5</v>
          </cell>
          <cell r="U86">
            <v>2.5</v>
          </cell>
          <cell r="V86">
            <v>2.5</v>
          </cell>
          <cell r="W86">
            <v>2.5</v>
          </cell>
          <cell r="X86">
            <v>2.5</v>
          </cell>
          <cell r="Y86">
            <v>2.5</v>
          </cell>
          <cell r="Z86">
            <v>2.5</v>
          </cell>
          <cell r="AA86">
            <v>2.5</v>
          </cell>
          <cell r="AB86">
            <v>2.5</v>
          </cell>
          <cell r="AC86">
            <v>2.5</v>
          </cell>
          <cell r="AD86">
            <v>2.5</v>
          </cell>
          <cell r="AE86">
            <v>2.5</v>
          </cell>
          <cell r="AF86" t="str">
            <v>L</v>
          </cell>
          <cell r="AG86" t="str">
            <v>L</v>
          </cell>
          <cell r="AH86" t="str">
            <v>L</v>
          </cell>
          <cell r="AI86" t="str">
            <v>L</v>
          </cell>
          <cell r="AJ86" t="str">
            <v>L</v>
          </cell>
          <cell r="AK86" t="str">
            <v>L</v>
          </cell>
          <cell r="AL86" t="str">
            <v>L</v>
          </cell>
          <cell r="AM86" t="str">
            <v>L</v>
          </cell>
          <cell r="AN86" t="str">
            <v>L</v>
          </cell>
          <cell r="AO86" t="str">
            <v>x</v>
          </cell>
          <cell r="AP86">
            <v>21</v>
          </cell>
          <cell r="AQ86">
            <v>9</v>
          </cell>
          <cell r="AR86">
            <v>0</v>
          </cell>
          <cell r="AS86">
            <v>0</v>
          </cell>
          <cell r="AT86">
            <v>0</v>
          </cell>
          <cell r="AU86">
            <v>0</v>
          </cell>
          <cell r="AV86">
            <v>56.5</v>
          </cell>
          <cell r="AW86">
            <v>0</v>
          </cell>
          <cell r="AX86">
            <v>30</v>
          </cell>
          <cell r="AY86">
            <v>21</v>
          </cell>
          <cell r="AZ86">
            <v>30</v>
          </cell>
          <cell r="CG86">
            <v>63</v>
          </cell>
          <cell r="CH86">
            <v>6</v>
          </cell>
          <cell r="CM86">
            <v>123</v>
          </cell>
          <cell r="CN86" t="str">
            <v>Owed 123 rials Eid bonus, 63 hours 200%, 6 days desert allowance for Eid Al Adhah'2008 from 8th to 13th December'2008.</v>
          </cell>
        </row>
        <row r="87">
          <cell r="B87">
            <v>248</v>
          </cell>
          <cell r="C87" t="str">
            <v>SH</v>
          </cell>
          <cell r="D87" t="str">
            <v>Salem Sultan Muhanna</v>
          </cell>
          <cell r="E87" t="str">
            <v>Light Dvr / Bus Dvr</v>
          </cell>
          <cell r="G87">
            <v>35566</v>
          </cell>
          <cell r="H87">
            <v>38107</v>
          </cell>
          <cell r="I87" t="str">
            <v>A</v>
          </cell>
          <cell r="J87" t="str">
            <v>Sh:2</v>
          </cell>
          <cell r="K87" t="str">
            <v>L</v>
          </cell>
          <cell r="L87" t="str">
            <v>L</v>
          </cell>
          <cell r="M87" t="str">
            <v>L</v>
          </cell>
          <cell r="N87" t="str">
            <v>L</v>
          </cell>
          <cell r="O87" t="str">
            <v>L</v>
          </cell>
          <cell r="P87" t="str">
            <v>L</v>
          </cell>
          <cell r="Q87" t="str">
            <v>L</v>
          </cell>
          <cell r="R87" t="str">
            <v>L</v>
          </cell>
          <cell r="S87">
            <v>2.5</v>
          </cell>
          <cell r="T87">
            <v>6.5</v>
          </cell>
          <cell r="U87">
            <v>6.5</v>
          </cell>
          <cell r="V87">
            <v>6.5</v>
          </cell>
          <cell r="W87">
            <v>6.5</v>
          </cell>
          <cell r="X87">
            <v>2.5</v>
          </cell>
          <cell r="Y87">
            <v>2.5</v>
          </cell>
          <cell r="Z87">
            <v>2.5</v>
          </cell>
          <cell r="AA87">
            <v>2.5</v>
          </cell>
          <cell r="AB87">
            <v>2.5</v>
          </cell>
          <cell r="AC87">
            <v>2.5</v>
          </cell>
          <cell r="AD87">
            <v>2.5</v>
          </cell>
          <cell r="AE87">
            <v>2.5</v>
          </cell>
          <cell r="AF87">
            <v>2.5</v>
          </cell>
          <cell r="AG87">
            <v>2.5</v>
          </cell>
          <cell r="AH87">
            <v>2.5</v>
          </cell>
          <cell r="AI87">
            <v>2.5</v>
          </cell>
          <cell r="AJ87">
            <v>10.5</v>
          </cell>
          <cell r="AK87">
            <v>10.5</v>
          </cell>
          <cell r="AL87">
            <v>2.5</v>
          </cell>
          <cell r="AM87">
            <v>2.5</v>
          </cell>
          <cell r="AN87">
            <v>2.5</v>
          </cell>
          <cell r="AO87" t="str">
            <v>x</v>
          </cell>
          <cell r="AP87">
            <v>22</v>
          </cell>
          <cell r="AQ87">
            <v>8</v>
          </cell>
          <cell r="AR87">
            <v>0</v>
          </cell>
          <cell r="AS87">
            <v>0</v>
          </cell>
          <cell r="AT87">
            <v>0</v>
          </cell>
          <cell r="AU87">
            <v>0</v>
          </cell>
          <cell r="AV87">
            <v>66</v>
          </cell>
          <cell r="AW87">
            <v>21</v>
          </cell>
          <cell r="AX87">
            <v>30</v>
          </cell>
          <cell r="AY87">
            <v>22</v>
          </cell>
          <cell r="AZ87">
            <v>30</v>
          </cell>
          <cell r="CF87">
            <v>127</v>
          </cell>
          <cell r="CN87" t="str">
            <v>Owed 66 hours overtime extra overtime from 4th and 6th to 7th and 11th to 22nd October'2008. Owed 61 hours overtime extra overtime from 5th to 10th October'2008.</v>
          </cell>
        </row>
        <row r="88">
          <cell r="B88">
            <v>249</v>
          </cell>
          <cell r="C88" t="str">
            <v>SH</v>
          </cell>
          <cell r="D88" t="str">
            <v>Saeed Hamed Said</v>
          </cell>
          <cell r="E88" t="str">
            <v>Labour</v>
          </cell>
          <cell r="G88">
            <v>35566</v>
          </cell>
          <cell r="H88">
            <v>38110</v>
          </cell>
          <cell r="I88" t="str">
            <v>A</v>
          </cell>
          <cell r="J88" t="str">
            <v>Sh:2</v>
          </cell>
          <cell r="K88" t="str">
            <v>H</v>
          </cell>
          <cell r="L88" t="str">
            <v>H</v>
          </cell>
          <cell r="M88" t="str">
            <v>H</v>
          </cell>
          <cell r="N88" t="str">
            <v>H</v>
          </cell>
          <cell r="O88" t="str">
            <v>H</v>
          </cell>
          <cell r="P88" t="str">
            <v>H</v>
          </cell>
          <cell r="Q88" t="str">
            <v>H</v>
          </cell>
          <cell r="R88" t="str">
            <v>H</v>
          </cell>
          <cell r="S88" t="str">
            <v>H</v>
          </cell>
          <cell r="T88" t="str">
            <v>H</v>
          </cell>
          <cell r="U88" t="str">
            <v>H</v>
          </cell>
          <cell r="V88" t="str">
            <v>H</v>
          </cell>
          <cell r="W88" t="str">
            <v>H</v>
          </cell>
          <cell r="X88" t="str">
            <v>H</v>
          </cell>
          <cell r="Y88" t="str">
            <v>H</v>
          </cell>
          <cell r="Z88" t="str">
            <v>H</v>
          </cell>
          <cell r="AA88" t="str">
            <v>H</v>
          </cell>
          <cell r="AB88" t="str">
            <v>H</v>
          </cell>
          <cell r="AC88" t="str">
            <v>H</v>
          </cell>
          <cell r="AD88" t="str">
            <v>H</v>
          </cell>
          <cell r="AE88" t="str">
            <v>H</v>
          </cell>
          <cell r="AF88" t="str">
            <v>H</v>
          </cell>
          <cell r="AG88" t="str">
            <v>H</v>
          </cell>
          <cell r="AH88" t="str">
            <v>H</v>
          </cell>
          <cell r="AI88" t="str">
            <v>H</v>
          </cell>
          <cell r="AJ88" t="str">
            <v>H</v>
          </cell>
          <cell r="AK88" t="str">
            <v>H</v>
          </cell>
          <cell r="AL88" t="str">
            <v>H</v>
          </cell>
          <cell r="AM88" t="str">
            <v>H</v>
          </cell>
          <cell r="AN88" t="str">
            <v>H</v>
          </cell>
          <cell r="AO88" t="str">
            <v>x</v>
          </cell>
          <cell r="AP88">
            <v>0</v>
          </cell>
          <cell r="AQ88">
            <v>0</v>
          </cell>
          <cell r="AR88">
            <v>0</v>
          </cell>
          <cell r="AS88">
            <v>0</v>
          </cell>
          <cell r="AT88">
            <v>0</v>
          </cell>
          <cell r="AU88">
            <v>30</v>
          </cell>
          <cell r="AV88">
            <v>0</v>
          </cell>
          <cell r="AW88">
            <v>0</v>
          </cell>
          <cell r="AX88">
            <v>0</v>
          </cell>
          <cell r="AY88">
            <v>0</v>
          </cell>
          <cell r="AZ88">
            <v>0</v>
          </cell>
        </row>
        <row r="89">
          <cell r="B89">
            <v>252</v>
          </cell>
          <cell r="C89" t="str">
            <v>SH</v>
          </cell>
          <cell r="D89" t="str">
            <v>Salem Masoud Khalfan Al Yaqoubi</v>
          </cell>
          <cell r="E89" t="str">
            <v>Labour / Camp</v>
          </cell>
          <cell r="G89">
            <v>35566</v>
          </cell>
          <cell r="H89">
            <v>38145</v>
          </cell>
          <cell r="I89" t="str">
            <v>A</v>
          </cell>
          <cell r="J89" t="str">
            <v>Sh:2</v>
          </cell>
          <cell r="K89" t="str">
            <v>L</v>
          </cell>
          <cell r="L89" t="str">
            <v>L</v>
          </cell>
          <cell r="M89" t="str">
            <v>L</v>
          </cell>
          <cell r="N89" t="str">
            <v>L</v>
          </cell>
          <cell r="O89" t="str">
            <v>L</v>
          </cell>
          <cell r="P89" t="str">
            <v>L</v>
          </cell>
          <cell r="Q89" t="str">
            <v>L</v>
          </cell>
          <cell r="R89" t="str">
            <v>L</v>
          </cell>
          <cell r="S89">
            <v>6</v>
          </cell>
          <cell r="T89">
            <v>6</v>
          </cell>
          <cell r="U89">
            <v>6</v>
          </cell>
          <cell r="V89">
            <v>6</v>
          </cell>
          <cell r="W89">
            <v>6</v>
          </cell>
          <cell r="X89">
            <v>6</v>
          </cell>
          <cell r="Y89">
            <v>6</v>
          </cell>
          <cell r="Z89">
            <v>6</v>
          </cell>
          <cell r="AA89">
            <v>6</v>
          </cell>
          <cell r="AB89">
            <v>6</v>
          </cell>
          <cell r="AC89">
            <v>6</v>
          </cell>
          <cell r="AD89">
            <v>6</v>
          </cell>
          <cell r="AE89">
            <v>6</v>
          </cell>
          <cell r="AF89">
            <v>6</v>
          </cell>
          <cell r="AG89">
            <v>6</v>
          </cell>
          <cell r="AH89">
            <v>6</v>
          </cell>
          <cell r="AI89">
            <v>6</v>
          </cell>
          <cell r="AJ89">
            <v>14</v>
          </cell>
          <cell r="AK89">
            <v>14</v>
          </cell>
          <cell r="AL89">
            <v>6</v>
          </cell>
          <cell r="AM89">
            <v>6</v>
          </cell>
          <cell r="AN89">
            <v>6</v>
          </cell>
          <cell r="AO89" t="str">
            <v>x</v>
          </cell>
          <cell r="AP89">
            <v>22</v>
          </cell>
          <cell r="AQ89">
            <v>8</v>
          </cell>
          <cell r="AR89">
            <v>0</v>
          </cell>
          <cell r="AS89">
            <v>0</v>
          </cell>
          <cell r="AT89">
            <v>0</v>
          </cell>
          <cell r="AU89">
            <v>0</v>
          </cell>
          <cell r="AV89">
            <v>120</v>
          </cell>
          <cell r="AW89">
            <v>28</v>
          </cell>
          <cell r="AX89">
            <v>30</v>
          </cell>
          <cell r="AY89">
            <v>22</v>
          </cell>
          <cell r="AZ89">
            <v>30</v>
          </cell>
          <cell r="CG89">
            <v>72</v>
          </cell>
          <cell r="CH89">
            <v>6</v>
          </cell>
          <cell r="CM89">
            <v>123</v>
          </cell>
          <cell r="CN89" t="str">
            <v>Owed 123 rials Eid bonus, 72 hours 200%, 6 days desert allowance for Eid Al Adhah'2008 from 8th to 13th December'2008.</v>
          </cell>
        </row>
        <row r="90">
          <cell r="B90">
            <v>253</v>
          </cell>
          <cell r="C90" t="str">
            <v>R</v>
          </cell>
          <cell r="D90" t="str">
            <v>Suliyam Hamad Khalfan</v>
          </cell>
          <cell r="E90" t="str">
            <v>Survey Foreman</v>
          </cell>
          <cell r="G90">
            <v>35566</v>
          </cell>
          <cell r="H90">
            <v>38142</v>
          </cell>
          <cell r="I90" t="str">
            <v>A</v>
          </cell>
          <cell r="J90" t="str">
            <v>Sh:2</v>
          </cell>
          <cell r="K90" t="str">
            <v>L</v>
          </cell>
          <cell r="L90" t="str">
            <v>L</v>
          </cell>
          <cell r="M90" t="str">
            <v>L</v>
          </cell>
          <cell r="N90" t="str">
            <v>L</v>
          </cell>
          <cell r="O90" t="str">
            <v>L</v>
          </cell>
          <cell r="P90" t="str">
            <v>L</v>
          </cell>
          <cell r="Q90" t="str">
            <v>L</v>
          </cell>
          <cell r="R90">
            <v>8.5</v>
          </cell>
          <cell r="S90">
            <v>8.5</v>
          </cell>
          <cell r="T90">
            <v>8.5</v>
          </cell>
          <cell r="U90">
            <v>8.5</v>
          </cell>
          <cell r="V90">
            <v>8.5</v>
          </cell>
          <cell r="W90">
            <v>8.5</v>
          </cell>
          <cell r="X90">
            <v>8.5</v>
          </cell>
          <cell r="Y90">
            <v>8.5</v>
          </cell>
          <cell r="Z90">
            <v>2.5</v>
          </cell>
          <cell r="AA90">
            <v>2.5</v>
          </cell>
          <cell r="AB90">
            <v>2.5</v>
          </cell>
          <cell r="AC90">
            <v>2.5</v>
          </cell>
          <cell r="AD90">
            <v>2.5</v>
          </cell>
          <cell r="AE90">
            <v>2.5</v>
          </cell>
          <cell r="AF90">
            <v>2.5</v>
          </cell>
          <cell r="AG90">
            <v>2.5</v>
          </cell>
          <cell r="AH90">
            <v>2.5</v>
          </cell>
          <cell r="AI90">
            <v>2.5</v>
          </cell>
          <cell r="AJ90">
            <v>10.5</v>
          </cell>
          <cell r="AK90">
            <v>10.5</v>
          </cell>
          <cell r="AL90">
            <v>2.5</v>
          </cell>
          <cell r="AM90">
            <v>2.5</v>
          </cell>
          <cell r="AN90">
            <v>2.5</v>
          </cell>
          <cell r="AO90" t="str">
            <v>x</v>
          </cell>
          <cell r="AP90">
            <v>23</v>
          </cell>
          <cell r="AQ90">
            <v>7</v>
          </cell>
          <cell r="AR90">
            <v>0</v>
          </cell>
          <cell r="AS90">
            <v>0</v>
          </cell>
          <cell r="AT90">
            <v>0</v>
          </cell>
          <cell r="AU90">
            <v>0</v>
          </cell>
          <cell r="AV90">
            <v>100.5</v>
          </cell>
          <cell r="AW90">
            <v>21</v>
          </cell>
          <cell r="AX90">
            <v>30</v>
          </cell>
          <cell r="AY90">
            <v>23</v>
          </cell>
          <cell r="AZ90">
            <v>30</v>
          </cell>
          <cell r="CF90">
            <v>52</v>
          </cell>
          <cell r="CN90" t="str">
            <v>Owed 52 hours overtime extra overtime from 11th to 23rd and 19th to 23rd October'2008.</v>
          </cell>
        </row>
        <row r="91">
          <cell r="B91">
            <v>257</v>
          </cell>
          <cell r="C91" t="str">
            <v>R</v>
          </cell>
          <cell r="D91" t="str">
            <v>Zayid Suliyam Said</v>
          </cell>
          <cell r="E91" t="str">
            <v>Labour</v>
          </cell>
          <cell r="G91">
            <v>35566</v>
          </cell>
          <cell r="H91">
            <v>38136</v>
          </cell>
          <cell r="I91" t="str">
            <v>A</v>
          </cell>
          <cell r="J91" t="str">
            <v>Sh:1</v>
          </cell>
          <cell r="K91">
            <v>6</v>
          </cell>
          <cell r="L91">
            <v>6</v>
          </cell>
          <cell r="M91">
            <v>6</v>
          </cell>
          <cell r="N91">
            <v>2</v>
          </cell>
          <cell r="O91">
            <v>6</v>
          </cell>
          <cell r="P91">
            <v>6</v>
          </cell>
          <cell r="Q91">
            <v>6</v>
          </cell>
          <cell r="R91">
            <v>6</v>
          </cell>
          <cell r="S91">
            <v>6</v>
          </cell>
          <cell r="T91">
            <v>6</v>
          </cell>
          <cell r="U91">
            <v>6</v>
          </cell>
          <cell r="V91">
            <v>6</v>
          </cell>
          <cell r="W91">
            <v>6</v>
          </cell>
          <cell r="X91">
            <v>6</v>
          </cell>
          <cell r="Y91">
            <v>6</v>
          </cell>
          <cell r="Z91">
            <v>2</v>
          </cell>
          <cell r="AA91">
            <v>2</v>
          </cell>
          <cell r="AB91">
            <v>2</v>
          </cell>
          <cell r="AC91">
            <v>2</v>
          </cell>
          <cell r="AD91">
            <v>2</v>
          </cell>
          <cell r="AE91">
            <v>2</v>
          </cell>
          <cell r="AF91" t="str">
            <v>L</v>
          </cell>
          <cell r="AG91" t="str">
            <v>L</v>
          </cell>
          <cell r="AH91" t="str">
            <v>L</v>
          </cell>
          <cell r="AI91" t="str">
            <v>L</v>
          </cell>
          <cell r="AJ91" t="str">
            <v>L</v>
          </cell>
          <cell r="AK91" t="str">
            <v>L</v>
          </cell>
          <cell r="AL91" t="str">
            <v>L</v>
          </cell>
          <cell r="AM91" t="str">
            <v>L</v>
          </cell>
          <cell r="AN91" t="str">
            <v>L</v>
          </cell>
          <cell r="AO91" t="str">
            <v>x</v>
          </cell>
          <cell r="AP91">
            <v>21</v>
          </cell>
          <cell r="AQ91">
            <v>9</v>
          </cell>
          <cell r="AR91">
            <v>0</v>
          </cell>
          <cell r="AS91">
            <v>0</v>
          </cell>
          <cell r="AT91">
            <v>0</v>
          </cell>
          <cell r="AU91">
            <v>0</v>
          </cell>
          <cell r="AV91">
            <v>98</v>
          </cell>
          <cell r="AW91">
            <v>0</v>
          </cell>
          <cell r="AX91">
            <v>30</v>
          </cell>
          <cell r="AY91">
            <v>21</v>
          </cell>
          <cell r="AZ91">
            <v>30</v>
          </cell>
          <cell r="CF91">
            <v>40</v>
          </cell>
          <cell r="CG91">
            <v>60</v>
          </cell>
          <cell r="CH91">
            <v>6</v>
          </cell>
          <cell r="CM91">
            <v>123</v>
          </cell>
          <cell r="CN91" t="str">
            <v>Owed 40 hours overtime extra overtime from 5th to 7th and 25th to 31st October'2008 and owed 12 hours overtime 200% from 2nd to 4th October'2008. Owed 123 rials Eid bonus, 60 hours 200%, 6 days desert allowance for Eid Al Adhah'2008 from 8th to 13th Decem</v>
          </cell>
        </row>
        <row r="92">
          <cell r="B92">
            <v>258</v>
          </cell>
          <cell r="C92" t="str">
            <v>R</v>
          </cell>
          <cell r="D92" t="str">
            <v>Suliyam Said Saleem</v>
          </cell>
          <cell r="E92" t="str">
            <v>Labour</v>
          </cell>
          <cell r="G92">
            <v>35566</v>
          </cell>
          <cell r="H92">
            <v>38093</v>
          </cell>
          <cell r="I92" t="str">
            <v>A</v>
          </cell>
          <cell r="J92" t="str">
            <v>Sh:1</v>
          </cell>
          <cell r="K92">
            <v>6</v>
          </cell>
          <cell r="L92">
            <v>6</v>
          </cell>
          <cell r="M92">
            <v>6</v>
          </cell>
          <cell r="N92">
            <v>6</v>
          </cell>
          <cell r="O92">
            <v>6</v>
          </cell>
          <cell r="P92">
            <v>6</v>
          </cell>
          <cell r="Q92">
            <v>6</v>
          </cell>
          <cell r="R92">
            <v>6</v>
          </cell>
          <cell r="S92">
            <v>6</v>
          </cell>
          <cell r="T92">
            <v>6</v>
          </cell>
          <cell r="U92">
            <v>6</v>
          </cell>
          <cell r="V92">
            <v>6</v>
          </cell>
          <cell r="W92">
            <v>6</v>
          </cell>
          <cell r="X92">
            <v>6</v>
          </cell>
          <cell r="Y92">
            <v>6</v>
          </cell>
          <cell r="Z92">
            <v>2</v>
          </cell>
          <cell r="AA92">
            <v>2</v>
          </cell>
          <cell r="AB92">
            <v>2</v>
          </cell>
          <cell r="AC92">
            <v>2</v>
          </cell>
          <cell r="AD92">
            <v>2</v>
          </cell>
          <cell r="AE92">
            <v>2</v>
          </cell>
          <cell r="AF92" t="str">
            <v>L</v>
          </cell>
          <cell r="AG92" t="str">
            <v>L</v>
          </cell>
          <cell r="AH92" t="str">
            <v>L</v>
          </cell>
          <cell r="AI92" t="str">
            <v>L</v>
          </cell>
          <cell r="AJ92" t="str">
            <v>L</v>
          </cell>
          <cell r="AK92" t="str">
            <v>L</v>
          </cell>
          <cell r="AL92" t="str">
            <v>L</v>
          </cell>
          <cell r="AM92" t="str">
            <v>L</v>
          </cell>
          <cell r="AN92" t="str">
            <v>L</v>
          </cell>
          <cell r="AO92" t="str">
            <v>x</v>
          </cell>
          <cell r="AP92">
            <v>21</v>
          </cell>
          <cell r="AQ92">
            <v>9</v>
          </cell>
          <cell r="AR92">
            <v>0</v>
          </cell>
          <cell r="AS92">
            <v>0</v>
          </cell>
          <cell r="AT92">
            <v>0</v>
          </cell>
          <cell r="AU92">
            <v>0</v>
          </cell>
          <cell r="AV92">
            <v>102</v>
          </cell>
          <cell r="AW92">
            <v>0</v>
          </cell>
          <cell r="AX92">
            <v>30</v>
          </cell>
          <cell r="AY92">
            <v>21</v>
          </cell>
          <cell r="AZ92">
            <v>30</v>
          </cell>
          <cell r="CF92">
            <v>8</v>
          </cell>
          <cell r="CN92" t="str">
            <v>Owed 8 hours overtime extra overtime from 30th to 31st October'2008.</v>
          </cell>
        </row>
        <row r="93">
          <cell r="B93">
            <v>260</v>
          </cell>
          <cell r="C93" t="str">
            <v>AN</v>
          </cell>
          <cell r="D93" t="str">
            <v>Qasim Khamis Sulaiyam Al Yaqoubi</v>
          </cell>
          <cell r="E93" t="str">
            <v>GPS Operator</v>
          </cell>
          <cell r="G93">
            <v>35566</v>
          </cell>
          <cell r="H93">
            <v>38108</v>
          </cell>
          <cell r="I93" t="str">
            <v>A</v>
          </cell>
          <cell r="J93" t="str">
            <v>Sh:2</v>
          </cell>
          <cell r="K93" t="str">
            <v>L</v>
          </cell>
          <cell r="L93" t="str">
            <v>L</v>
          </cell>
          <cell r="M93" t="str">
            <v>L</v>
          </cell>
          <cell r="N93" t="str">
            <v>L</v>
          </cell>
          <cell r="O93" t="str">
            <v>L</v>
          </cell>
          <cell r="P93" t="str">
            <v>L</v>
          </cell>
          <cell r="Q93" t="str">
            <v>L</v>
          </cell>
          <cell r="R93">
            <v>2.5</v>
          </cell>
          <cell r="S93">
            <v>2.5</v>
          </cell>
          <cell r="T93">
            <v>2.5</v>
          </cell>
          <cell r="U93">
            <v>2.5</v>
          </cell>
          <cell r="V93">
            <v>2.5</v>
          </cell>
          <cell r="W93">
            <v>2.5</v>
          </cell>
          <cell r="X93">
            <v>2.5</v>
          </cell>
          <cell r="Y93">
            <v>2.5</v>
          </cell>
          <cell r="Z93">
            <v>2.5</v>
          </cell>
          <cell r="AA93">
            <v>2.5</v>
          </cell>
          <cell r="AB93">
            <v>2.5</v>
          </cell>
          <cell r="AC93">
            <v>2.5</v>
          </cell>
          <cell r="AD93">
            <v>2.5</v>
          </cell>
          <cell r="AE93">
            <v>2.5</v>
          </cell>
          <cell r="AF93">
            <v>2.5</v>
          </cell>
          <cell r="AG93">
            <v>2.5</v>
          </cell>
          <cell r="AH93">
            <v>2.5</v>
          </cell>
          <cell r="AI93">
            <v>2.5</v>
          </cell>
          <cell r="AJ93">
            <v>10.5</v>
          </cell>
          <cell r="AK93">
            <v>10.5</v>
          </cell>
          <cell r="AL93">
            <v>2.5</v>
          </cell>
          <cell r="AM93">
            <v>2.5</v>
          </cell>
          <cell r="AN93">
            <v>2.5</v>
          </cell>
          <cell r="AO93" t="str">
            <v>x</v>
          </cell>
          <cell r="AP93">
            <v>23</v>
          </cell>
          <cell r="AQ93">
            <v>7</v>
          </cell>
          <cell r="AR93">
            <v>0</v>
          </cell>
          <cell r="AS93">
            <v>0</v>
          </cell>
          <cell r="AT93">
            <v>0</v>
          </cell>
          <cell r="AU93">
            <v>0</v>
          </cell>
          <cell r="AV93">
            <v>52.5</v>
          </cell>
          <cell r="AW93">
            <v>21</v>
          </cell>
          <cell r="AX93">
            <v>30</v>
          </cell>
          <cell r="AY93">
            <v>23</v>
          </cell>
          <cell r="AZ93">
            <v>30</v>
          </cell>
          <cell r="CF93">
            <v>4.5</v>
          </cell>
          <cell r="CH93">
            <v>1</v>
          </cell>
          <cell r="CN93" t="str">
            <v>Owed one day desert allowance, 2.5 hours overtime on 5th October'2008 the shift change bus broken on the way to crew. Owed 2 hours overtime extra overtime from 19th October'2008.</v>
          </cell>
        </row>
        <row r="94">
          <cell r="B94">
            <v>265</v>
          </cell>
          <cell r="C94" t="str">
            <v>JR</v>
          </cell>
          <cell r="D94" t="str">
            <v>Nasser Mohammed Said Al Rashdi</v>
          </cell>
          <cell r="E94" t="str">
            <v>Asst HSE</v>
          </cell>
          <cell r="G94">
            <v>35604</v>
          </cell>
          <cell r="H94">
            <v>38145</v>
          </cell>
          <cell r="I94" t="str">
            <v>C1</v>
          </cell>
          <cell r="J94" t="str">
            <v>Sh:1</v>
          </cell>
          <cell r="K94">
            <v>2</v>
          </cell>
          <cell r="L94">
            <v>2</v>
          </cell>
          <cell r="M94">
            <v>2</v>
          </cell>
          <cell r="N94">
            <v>2</v>
          </cell>
          <cell r="O94">
            <v>2</v>
          </cell>
          <cell r="P94">
            <v>2</v>
          </cell>
          <cell r="Q94">
            <v>2</v>
          </cell>
          <cell r="R94">
            <v>2</v>
          </cell>
          <cell r="S94">
            <v>2</v>
          </cell>
          <cell r="T94">
            <v>2</v>
          </cell>
          <cell r="U94">
            <v>2</v>
          </cell>
          <cell r="V94">
            <v>2</v>
          </cell>
          <cell r="W94">
            <v>2</v>
          </cell>
          <cell r="X94">
            <v>2</v>
          </cell>
          <cell r="Y94">
            <v>2</v>
          </cell>
          <cell r="Z94">
            <v>2</v>
          </cell>
          <cell r="AA94">
            <v>2</v>
          </cell>
          <cell r="AB94">
            <v>2</v>
          </cell>
          <cell r="AC94">
            <v>2</v>
          </cell>
          <cell r="AD94">
            <v>2</v>
          </cell>
          <cell r="AE94">
            <v>2</v>
          </cell>
          <cell r="AF94" t="str">
            <v>L</v>
          </cell>
          <cell r="AG94" t="str">
            <v>L</v>
          </cell>
          <cell r="AH94" t="str">
            <v>L</v>
          </cell>
          <cell r="AI94" t="str">
            <v>L</v>
          </cell>
          <cell r="AJ94" t="str">
            <v>L</v>
          </cell>
          <cell r="AK94" t="str">
            <v>L</v>
          </cell>
          <cell r="AL94" t="str">
            <v>L</v>
          </cell>
          <cell r="AM94" t="str">
            <v>L</v>
          </cell>
          <cell r="AN94" t="str">
            <v>L</v>
          </cell>
          <cell r="AO94" t="str">
            <v>x</v>
          </cell>
          <cell r="AP94">
            <v>21</v>
          </cell>
          <cell r="AQ94">
            <v>9</v>
          </cell>
          <cell r="AR94">
            <v>0</v>
          </cell>
          <cell r="AS94">
            <v>0</v>
          </cell>
          <cell r="AT94">
            <v>0</v>
          </cell>
          <cell r="AU94">
            <v>0</v>
          </cell>
          <cell r="AV94">
            <v>42</v>
          </cell>
          <cell r="AW94">
            <v>0</v>
          </cell>
          <cell r="AX94">
            <v>30</v>
          </cell>
          <cell r="AY94">
            <v>21</v>
          </cell>
          <cell r="AZ94">
            <v>30</v>
          </cell>
          <cell r="CG94">
            <v>60</v>
          </cell>
          <cell r="CH94">
            <v>6</v>
          </cell>
          <cell r="CM94">
            <v>123</v>
          </cell>
          <cell r="CN94" t="str">
            <v>Owed 123 rials Eid bonus, 60 hours 200%, 6 days desert allowance for Eid Al Adhah'2008 from 8th to 13th December'2008.</v>
          </cell>
        </row>
        <row r="95">
          <cell r="B95">
            <v>266</v>
          </cell>
          <cell r="C95" t="str">
            <v>AN</v>
          </cell>
          <cell r="D95" t="str">
            <v>Hamoud Saif Bashar</v>
          </cell>
          <cell r="E95" t="str">
            <v>Line Foreman</v>
          </cell>
          <cell r="G95">
            <v>35605</v>
          </cell>
          <cell r="H95">
            <v>38145</v>
          </cell>
          <cell r="I95" t="str">
            <v>E</v>
          </cell>
          <cell r="J95" t="str">
            <v>Sh:2</v>
          </cell>
          <cell r="K95" t="str">
            <v>L</v>
          </cell>
          <cell r="L95" t="str">
            <v>L</v>
          </cell>
          <cell r="M95" t="str">
            <v>L</v>
          </cell>
          <cell r="N95" t="str">
            <v>L</v>
          </cell>
          <cell r="O95" t="str">
            <v>L</v>
          </cell>
          <cell r="P95" t="str">
            <v>L</v>
          </cell>
          <cell r="Q95" t="str">
            <v>L</v>
          </cell>
          <cell r="R95">
            <v>6.5</v>
          </cell>
          <cell r="S95">
            <v>6.5</v>
          </cell>
          <cell r="T95">
            <v>6.5</v>
          </cell>
          <cell r="U95">
            <v>6.5</v>
          </cell>
          <cell r="V95">
            <v>2.5</v>
          </cell>
          <cell r="W95" t="str">
            <v>L</v>
          </cell>
          <cell r="X95" t="str">
            <v>L</v>
          </cell>
          <cell r="Y95" t="str">
            <v>L</v>
          </cell>
          <cell r="Z95">
            <v>2.5</v>
          </cell>
          <cell r="AA95">
            <v>2.5</v>
          </cell>
          <cell r="AB95">
            <v>2.5</v>
          </cell>
          <cell r="AC95">
            <v>2.5</v>
          </cell>
          <cell r="AD95">
            <v>2.5</v>
          </cell>
          <cell r="AE95">
            <v>2.5</v>
          </cell>
          <cell r="AF95">
            <v>2.5</v>
          </cell>
          <cell r="AG95">
            <v>2.5</v>
          </cell>
          <cell r="AH95">
            <v>2.5</v>
          </cell>
          <cell r="AI95">
            <v>2.5</v>
          </cell>
          <cell r="AJ95">
            <v>10.5</v>
          </cell>
          <cell r="AK95">
            <v>10.5</v>
          </cell>
          <cell r="AL95">
            <v>2.5</v>
          </cell>
          <cell r="AM95">
            <v>2.5</v>
          </cell>
          <cell r="AN95">
            <v>2.5</v>
          </cell>
          <cell r="AO95" t="str">
            <v>x</v>
          </cell>
          <cell r="AP95">
            <v>20</v>
          </cell>
          <cell r="AQ95">
            <v>10</v>
          </cell>
          <cell r="AR95">
            <v>0</v>
          </cell>
          <cell r="AS95">
            <v>0</v>
          </cell>
          <cell r="AT95">
            <v>0</v>
          </cell>
          <cell r="AU95">
            <v>0</v>
          </cell>
          <cell r="AV95">
            <v>61</v>
          </cell>
          <cell r="AW95">
            <v>21</v>
          </cell>
          <cell r="AX95">
            <v>30</v>
          </cell>
          <cell r="AY95">
            <v>20</v>
          </cell>
          <cell r="AZ95">
            <v>30</v>
          </cell>
          <cell r="CF95">
            <v>38.5</v>
          </cell>
          <cell r="CH95">
            <v>1</v>
          </cell>
          <cell r="CN95" t="str">
            <v>Owed 38.5 hours overtime extra overtime from 6th and 16th to 23rd October'2008. Owed one days desert allowance, 2.5 hours overtime on August'2008.</v>
          </cell>
        </row>
        <row r="96">
          <cell r="B96">
            <v>268</v>
          </cell>
          <cell r="C96" t="str">
            <v>AN</v>
          </cell>
          <cell r="D96" t="str">
            <v>Mohammed Said Mehad</v>
          </cell>
          <cell r="E96" t="str">
            <v>GPS Operator</v>
          </cell>
          <cell r="G96">
            <v>35585</v>
          </cell>
          <cell r="H96">
            <v>38136</v>
          </cell>
          <cell r="I96" t="str">
            <v>A</v>
          </cell>
          <cell r="J96" t="str">
            <v>Sh:1</v>
          </cell>
          <cell r="K96">
            <v>2.5</v>
          </cell>
          <cell r="L96">
            <v>0</v>
          </cell>
          <cell r="M96" t="str">
            <v>A</v>
          </cell>
          <cell r="N96">
            <v>2.5</v>
          </cell>
          <cell r="O96">
            <v>7.5</v>
          </cell>
          <cell r="P96">
            <v>2.5</v>
          </cell>
          <cell r="Q96">
            <v>2.5</v>
          </cell>
          <cell r="R96">
            <v>12.5</v>
          </cell>
          <cell r="S96">
            <v>2.5</v>
          </cell>
          <cell r="T96">
            <v>2.5</v>
          </cell>
          <cell r="U96">
            <v>2.5</v>
          </cell>
          <cell r="V96">
            <v>2.5</v>
          </cell>
          <cell r="W96">
            <v>5.5</v>
          </cell>
          <cell r="X96">
            <v>5.5</v>
          </cell>
          <cell r="Y96">
            <v>5.5</v>
          </cell>
          <cell r="Z96">
            <v>5.5</v>
          </cell>
          <cell r="AA96">
            <v>2.5</v>
          </cell>
          <cell r="AB96">
            <v>2.5</v>
          </cell>
          <cell r="AC96">
            <v>2.5</v>
          </cell>
          <cell r="AD96">
            <v>2.5</v>
          </cell>
          <cell r="AE96">
            <v>2.5</v>
          </cell>
          <cell r="AF96" t="str">
            <v>L</v>
          </cell>
          <cell r="AG96" t="str">
            <v>L</v>
          </cell>
          <cell r="AH96" t="str">
            <v>L</v>
          </cell>
          <cell r="AI96" t="str">
            <v>L</v>
          </cell>
          <cell r="AJ96" t="str">
            <v>L</v>
          </cell>
          <cell r="AK96" t="str">
            <v>L</v>
          </cell>
          <cell r="AL96" t="str">
            <v>L</v>
          </cell>
          <cell r="AM96" t="str">
            <v>L</v>
          </cell>
          <cell r="AN96" t="str">
            <v>L</v>
          </cell>
          <cell r="AO96" t="str">
            <v>x</v>
          </cell>
          <cell r="AP96">
            <v>20</v>
          </cell>
          <cell r="AQ96">
            <v>9</v>
          </cell>
          <cell r="AR96">
            <v>0</v>
          </cell>
          <cell r="AS96">
            <v>0</v>
          </cell>
          <cell r="AT96">
            <v>1</v>
          </cell>
          <cell r="AU96">
            <v>0</v>
          </cell>
          <cell r="AV96">
            <v>74.5</v>
          </cell>
          <cell r="AW96">
            <v>0</v>
          </cell>
          <cell r="AX96">
            <v>29</v>
          </cell>
          <cell r="AY96">
            <v>20</v>
          </cell>
          <cell r="AZ96">
            <v>29</v>
          </cell>
          <cell r="CF96">
            <v>10</v>
          </cell>
          <cell r="CG96">
            <v>63</v>
          </cell>
          <cell r="CH96">
            <v>10</v>
          </cell>
          <cell r="CM96">
            <v>123</v>
          </cell>
          <cell r="CN96" t="str">
            <v>Owed 4 days desert allowance, 10 hours overtime want driving cours from 5th to 8th September'2008. Owed 123 rials Eid bonus, 63 hours 200%, 6 days desert allowance for Eid Al Adhah'2008 from 8th to 13th December'2008.</v>
          </cell>
        </row>
        <row r="97">
          <cell r="B97">
            <v>272</v>
          </cell>
          <cell r="C97" t="str">
            <v>R</v>
          </cell>
          <cell r="D97" t="str">
            <v>Jabir Musallam Salim Al Hana'i</v>
          </cell>
          <cell r="E97" t="str">
            <v>Heavy Duty Dvr</v>
          </cell>
          <cell r="G97">
            <v>35727</v>
          </cell>
          <cell r="H97">
            <v>38145</v>
          </cell>
          <cell r="I97" t="str">
            <v>C</v>
          </cell>
          <cell r="J97" t="str">
            <v>Sh:1</v>
          </cell>
          <cell r="K97">
            <v>8</v>
          </cell>
          <cell r="L97">
            <v>8</v>
          </cell>
          <cell r="M97">
            <v>8</v>
          </cell>
          <cell r="N97">
            <v>8</v>
          </cell>
          <cell r="O97">
            <v>8</v>
          </cell>
          <cell r="P97">
            <v>8</v>
          </cell>
          <cell r="Q97">
            <v>8</v>
          </cell>
          <cell r="R97">
            <v>8</v>
          </cell>
          <cell r="S97">
            <v>8</v>
          </cell>
          <cell r="T97">
            <v>8</v>
          </cell>
          <cell r="U97">
            <v>8</v>
          </cell>
          <cell r="V97">
            <v>8</v>
          </cell>
          <cell r="W97">
            <v>8</v>
          </cell>
          <cell r="X97">
            <v>9</v>
          </cell>
          <cell r="Y97">
            <v>9</v>
          </cell>
          <cell r="Z97">
            <v>9</v>
          </cell>
          <cell r="AA97">
            <v>9</v>
          </cell>
          <cell r="AB97">
            <v>9</v>
          </cell>
          <cell r="AC97">
            <v>9</v>
          </cell>
          <cell r="AD97">
            <v>9</v>
          </cell>
          <cell r="AE97">
            <v>9</v>
          </cell>
          <cell r="AF97" t="str">
            <v>L</v>
          </cell>
          <cell r="AG97" t="str">
            <v>L</v>
          </cell>
          <cell r="AH97" t="str">
            <v>L</v>
          </cell>
          <cell r="AI97" t="str">
            <v>L</v>
          </cell>
          <cell r="AJ97" t="str">
            <v>L</v>
          </cell>
          <cell r="AK97" t="str">
            <v>L</v>
          </cell>
          <cell r="AL97" t="str">
            <v>L</v>
          </cell>
          <cell r="AM97" t="str">
            <v>L</v>
          </cell>
          <cell r="AN97" t="str">
            <v>L</v>
          </cell>
          <cell r="AO97" t="str">
            <v>x</v>
          </cell>
          <cell r="AP97">
            <v>21</v>
          </cell>
          <cell r="AQ97">
            <v>9</v>
          </cell>
          <cell r="AR97">
            <v>0</v>
          </cell>
          <cell r="AS97">
            <v>0</v>
          </cell>
          <cell r="AT97">
            <v>0</v>
          </cell>
          <cell r="AU97">
            <v>0</v>
          </cell>
          <cell r="AV97">
            <v>176</v>
          </cell>
          <cell r="AW97">
            <v>0</v>
          </cell>
          <cell r="AX97">
            <v>30</v>
          </cell>
          <cell r="AY97">
            <v>21</v>
          </cell>
          <cell r="AZ97">
            <v>30</v>
          </cell>
          <cell r="CF97">
            <v>41</v>
          </cell>
          <cell r="CG97">
            <v>63</v>
          </cell>
          <cell r="CH97">
            <v>7</v>
          </cell>
          <cell r="CM97">
            <v>123</v>
          </cell>
          <cell r="CN97" t="str">
            <v>Owed one day desert allowance, 2.5 hours overtime for annual medical checkup. Owed 38.5 hours Time as he was driving vibrator from 25th to 31st October 2008. Owed 123 rials Eid bonus, 63 hours 200%, 6 days desert allowance for Eid Al Adhah'2008 from 8th t</v>
          </cell>
        </row>
        <row r="98">
          <cell r="B98">
            <v>273</v>
          </cell>
          <cell r="C98" t="str">
            <v>RL</v>
          </cell>
          <cell r="D98" t="str">
            <v>Zayid Said Khamis Al Qasasibi</v>
          </cell>
          <cell r="E98" t="str">
            <v>Asst Junior Observer</v>
          </cell>
          <cell r="G98">
            <v>35727</v>
          </cell>
          <cell r="H98">
            <v>38136</v>
          </cell>
          <cell r="I98" t="str">
            <v>C</v>
          </cell>
          <cell r="J98" t="str">
            <v>Sh:2</v>
          </cell>
          <cell r="K98" t="str">
            <v>L</v>
          </cell>
          <cell r="L98" t="str">
            <v>L</v>
          </cell>
          <cell r="M98" t="str">
            <v>L</v>
          </cell>
          <cell r="N98" t="str">
            <v>L</v>
          </cell>
          <cell r="O98" t="str">
            <v>L</v>
          </cell>
          <cell r="P98" t="str">
            <v>L</v>
          </cell>
          <cell r="Q98" t="str">
            <v>L</v>
          </cell>
          <cell r="R98">
            <v>8</v>
          </cell>
          <cell r="S98">
            <v>8</v>
          </cell>
          <cell r="T98">
            <v>8</v>
          </cell>
          <cell r="U98">
            <v>8</v>
          </cell>
          <cell r="V98">
            <v>8</v>
          </cell>
          <cell r="W98">
            <v>8</v>
          </cell>
          <cell r="X98">
            <v>9</v>
          </cell>
          <cell r="Y98">
            <v>9</v>
          </cell>
          <cell r="Z98">
            <v>9</v>
          </cell>
          <cell r="AA98">
            <v>9</v>
          </cell>
          <cell r="AB98">
            <v>4</v>
          </cell>
          <cell r="AC98">
            <v>4</v>
          </cell>
          <cell r="AD98">
            <v>4</v>
          </cell>
          <cell r="AE98">
            <v>4</v>
          </cell>
          <cell r="AF98">
            <v>4</v>
          </cell>
          <cell r="AG98">
            <v>4</v>
          </cell>
          <cell r="AH98">
            <v>4</v>
          </cell>
          <cell r="AI98">
            <v>4</v>
          </cell>
          <cell r="AJ98">
            <v>12</v>
          </cell>
          <cell r="AK98">
            <v>12</v>
          </cell>
          <cell r="AL98">
            <v>4</v>
          </cell>
          <cell r="AM98">
            <v>4</v>
          </cell>
          <cell r="AN98">
            <v>4</v>
          </cell>
          <cell r="AO98" t="str">
            <v>x</v>
          </cell>
          <cell r="AP98">
            <v>23</v>
          </cell>
          <cell r="AQ98">
            <v>7</v>
          </cell>
          <cell r="AR98">
            <v>0</v>
          </cell>
          <cell r="AS98">
            <v>0</v>
          </cell>
          <cell r="AT98">
            <v>0</v>
          </cell>
          <cell r="AU98">
            <v>0</v>
          </cell>
          <cell r="AV98">
            <v>128</v>
          </cell>
          <cell r="AW98">
            <v>24</v>
          </cell>
          <cell r="AX98">
            <v>30</v>
          </cell>
          <cell r="AY98">
            <v>23</v>
          </cell>
          <cell r="AZ98">
            <v>30</v>
          </cell>
          <cell r="CF98">
            <v>85.5</v>
          </cell>
          <cell r="CG98">
            <v>72</v>
          </cell>
          <cell r="CH98">
            <v>6</v>
          </cell>
          <cell r="CM98">
            <v>123</v>
          </cell>
          <cell r="CN98" t="str">
            <v>Owed 85.5 hours overtime extra overtime from 2nd to 7th and 12th and 15th and 17th to 23rd October'2008. Owed 123 rials Eid bonus, 72 hours 200%, 6 days desert allowance for Eid Al Adhah'2008 from 8th to 13th December'2008.</v>
          </cell>
        </row>
        <row r="99">
          <cell r="B99">
            <v>277</v>
          </cell>
          <cell r="C99" t="str">
            <v>R</v>
          </cell>
          <cell r="D99" t="str">
            <v>Musabah Musallam Salim Al Hina'I</v>
          </cell>
          <cell r="E99" t="str">
            <v>Labour / Cable</v>
          </cell>
          <cell r="G99">
            <v>35798</v>
          </cell>
          <cell r="H99">
            <v>38145</v>
          </cell>
          <cell r="I99" t="str">
            <v>A</v>
          </cell>
          <cell r="J99" t="str">
            <v>Sh:3</v>
          </cell>
          <cell r="K99">
            <v>12</v>
          </cell>
          <cell r="L99">
            <v>12</v>
          </cell>
          <cell r="M99">
            <v>8.5</v>
          </cell>
          <cell r="N99">
            <v>8.5</v>
          </cell>
          <cell r="O99">
            <v>8.5</v>
          </cell>
          <cell r="P99">
            <v>8.5</v>
          </cell>
          <cell r="Q99">
            <v>4</v>
          </cell>
          <cell r="R99" t="str">
            <v>L</v>
          </cell>
          <cell r="S99" t="str">
            <v>L</v>
          </cell>
          <cell r="T99" t="str">
            <v>L</v>
          </cell>
          <cell r="U99" t="str">
            <v>L</v>
          </cell>
          <cell r="V99" t="str">
            <v>L</v>
          </cell>
          <cell r="W99" t="str">
            <v>L</v>
          </cell>
          <cell r="X99" t="str">
            <v>L</v>
          </cell>
          <cell r="Y99" t="str">
            <v>L</v>
          </cell>
          <cell r="Z99" t="str">
            <v>L</v>
          </cell>
          <cell r="AA99" t="str">
            <v>L</v>
          </cell>
          <cell r="AB99" t="str">
            <v>L</v>
          </cell>
          <cell r="AC99" t="str">
            <v>L</v>
          </cell>
          <cell r="AD99" t="str">
            <v>L</v>
          </cell>
          <cell r="AE99" t="str">
            <v>L</v>
          </cell>
          <cell r="AF99">
            <v>4</v>
          </cell>
          <cell r="AG99">
            <v>4</v>
          </cell>
          <cell r="AH99">
            <v>4</v>
          </cell>
          <cell r="AI99">
            <v>4</v>
          </cell>
          <cell r="AJ99">
            <v>12</v>
          </cell>
          <cell r="AK99">
            <v>12</v>
          </cell>
          <cell r="AL99">
            <v>4</v>
          </cell>
          <cell r="AM99">
            <v>4</v>
          </cell>
          <cell r="AN99">
            <v>4</v>
          </cell>
          <cell r="AO99" t="str">
            <v>x</v>
          </cell>
          <cell r="AP99">
            <v>16</v>
          </cell>
          <cell r="AQ99">
            <v>14</v>
          </cell>
          <cell r="AR99">
            <v>0</v>
          </cell>
          <cell r="AS99">
            <v>0</v>
          </cell>
          <cell r="AT99">
            <v>0</v>
          </cell>
          <cell r="AU99">
            <v>0</v>
          </cell>
          <cell r="AV99">
            <v>90</v>
          </cell>
          <cell r="AW99">
            <v>24</v>
          </cell>
          <cell r="AX99">
            <v>30</v>
          </cell>
          <cell r="AY99">
            <v>16</v>
          </cell>
          <cell r="AZ99">
            <v>30</v>
          </cell>
          <cell r="CF99">
            <v>52</v>
          </cell>
          <cell r="CN99" t="str">
            <v>Owed 52 hours overtime extra overtime from 18th to 19th and 22nd to 31st October'2008.</v>
          </cell>
        </row>
        <row r="100">
          <cell r="B100">
            <v>278</v>
          </cell>
          <cell r="C100" t="str">
            <v>R</v>
          </cell>
          <cell r="D100" t="str">
            <v>Ali Suleiman Saif Al Hashemi</v>
          </cell>
          <cell r="E100" t="str">
            <v>Labour / Driver</v>
          </cell>
          <cell r="G100">
            <v>35798</v>
          </cell>
          <cell r="H100">
            <v>38136</v>
          </cell>
          <cell r="I100" t="str">
            <v xml:space="preserve">  </v>
          </cell>
          <cell r="J100" t="str">
            <v>Sh:1</v>
          </cell>
          <cell r="K100">
            <v>6.5</v>
          </cell>
          <cell r="L100">
            <v>6.5</v>
          </cell>
          <cell r="M100">
            <v>6.5</v>
          </cell>
          <cell r="N100">
            <v>6.5</v>
          </cell>
          <cell r="O100">
            <v>6.5</v>
          </cell>
          <cell r="P100">
            <v>6.5</v>
          </cell>
          <cell r="Q100">
            <v>6.5</v>
          </cell>
          <cell r="R100">
            <v>6.5</v>
          </cell>
          <cell r="S100">
            <v>6.5</v>
          </cell>
          <cell r="T100">
            <v>6.5</v>
          </cell>
          <cell r="U100">
            <v>6.5</v>
          </cell>
          <cell r="V100">
            <v>6.5</v>
          </cell>
          <cell r="W100">
            <v>6.5</v>
          </cell>
          <cell r="X100">
            <v>6.5</v>
          </cell>
          <cell r="Y100">
            <v>6.5</v>
          </cell>
          <cell r="Z100">
            <v>2.5</v>
          </cell>
          <cell r="AA100">
            <v>2.5</v>
          </cell>
          <cell r="AB100">
            <v>2.5</v>
          </cell>
          <cell r="AC100">
            <v>2.5</v>
          </cell>
          <cell r="AD100">
            <v>2.5</v>
          </cell>
          <cell r="AE100">
            <v>2.5</v>
          </cell>
          <cell r="AF100" t="str">
            <v>L</v>
          </cell>
          <cell r="AG100" t="str">
            <v>L</v>
          </cell>
          <cell r="AH100" t="str">
            <v>L</v>
          </cell>
          <cell r="AI100" t="str">
            <v>L</v>
          </cell>
          <cell r="AJ100" t="str">
            <v>L</v>
          </cell>
          <cell r="AK100" t="str">
            <v>L</v>
          </cell>
          <cell r="AL100" t="str">
            <v>L</v>
          </cell>
          <cell r="AM100" t="str">
            <v>L</v>
          </cell>
          <cell r="AN100" t="str">
            <v>L</v>
          </cell>
          <cell r="AO100" t="str">
            <v>x</v>
          </cell>
          <cell r="AP100">
            <v>21</v>
          </cell>
          <cell r="AQ100">
            <v>9</v>
          </cell>
          <cell r="AR100">
            <v>0</v>
          </cell>
          <cell r="AS100">
            <v>0</v>
          </cell>
          <cell r="AT100">
            <v>0</v>
          </cell>
          <cell r="AU100">
            <v>0</v>
          </cell>
          <cell r="AV100">
            <v>112.5</v>
          </cell>
          <cell r="AW100">
            <v>0</v>
          </cell>
          <cell r="AX100">
            <v>30</v>
          </cell>
          <cell r="AY100">
            <v>21</v>
          </cell>
          <cell r="AZ100">
            <v>30</v>
          </cell>
          <cell r="CF100">
            <v>28</v>
          </cell>
          <cell r="CN100" t="str">
            <v>Owed 28 hours overtime extra overtime from 25th to 31st October'2008.</v>
          </cell>
        </row>
        <row r="101">
          <cell r="B101">
            <v>284</v>
          </cell>
          <cell r="C101" t="str">
            <v>S</v>
          </cell>
          <cell r="D101" t="str">
            <v>Hamed Mohammed Rashid Al Maqbali</v>
          </cell>
          <cell r="E101" t="str">
            <v>Labour / Chain Crew</v>
          </cell>
          <cell r="G101">
            <v>35938</v>
          </cell>
          <cell r="H101">
            <v>38135</v>
          </cell>
          <cell r="I101" t="str">
            <v>A</v>
          </cell>
          <cell r="J101" t="str">
            <v>Sh:1</v>
          </cell>
          <cell r="K101">
            <v>8</v>
          </cell>
          <cell r="L101">
            <v>8</v>
          </cell>
          <cell r="M101">
            <v>8</v>
          </cell>
          <cell r="N101">
            <v>6</v>
          </cell>
          <cell r="O101">
            <v>8</v>
          </cell>
          <cell r="P101">
            <v>8</v>
          </cell>
          <cell r="Q101">
            <v>2</v>
          </cell>
          <cell r="R101">
            <v>8</v>
          </cell>
          <cell r="S101">
            <v>8</v>
          </cell>
          <cell r="T101">
            <v>8</v>
          </cell>
          <cell r="U101">
            <v>8</v>
          </cell>
          <cell r="V101">
            <v>8</v>
          </cell>
          <cell r="W101">
            <v>8</v>
          </cell>
          <cell r="X101">
            <v>2</v>
          </cell>
          <cell r="Y101">
            <v>2</v>
          </cell>
          <cell r="Z101">
            <v>2</v>
          </cell>
          <cell r="AA101">
            <v>2</v>
          </cell>
          <cell r="AB101">
            <v>2</v>
          </cell>
          <cell r="AC101">
            <v>2</v>
          </cell>
          <cell r="AD101">
            <v>2</v>
          </cell>
          <cell r="AE101">
            <v>2</v>
          </cell>
          <cell r="AF101" t="str">
            <v>L</v>
          </cell>
          <cell r="AG101" t="str">
            <v>L</v>
          </cell>
          <cell r="AH101" t="str">
            <v>L</v>
          </cell>
          <cell r="AI101" t="str">
            <v>L</v>
          </cell>
          <cell r="AJ101" t="str">
            <v>L</v>
          </cell>
          <cell r="AK101" t="str">
            <v>L</v>
          </cell>
          <cell r="AL101" t="str">
            <v>L</v>
          </cell>
          <cell r="AM101" t="str">
            <v>L</v>
          </cell>
          <cell r="AN101" t="str">
            <v>L</v>
          </cell>
          <cell r="AO101" t="str">
            <v>x</v>
          </cell>
          <cell r="AP101">
            <v>21</v>
          </cell>
          <cell r="AQ101">
            <v>9</v>
          </cell>
          <cell r="AR101">
            <v>0</v>
          </cell>
          <cell r="AS101">
            <v>0</v>
          </cell>
          <cell r="AT101">
            <v>0</v>
          </cell>
          <cell r="AU101">
            <v>0</v>
          </cell>
          <cell r="AV101">
            <v>112</v>
          </cell>
          <cell r="AW101">
            <v>0</v>
          </cell>
          <cell r="AX101">
            <v>30</v>
          </cell>
          <cell r="AY101">
            <v>21</v>
          </cell>
          <cell r="AZ101">
            <v>30</v>
          </cell>
          <cell r="CF101">
            <v>29.5</v>
          </cell>
          <cell r="CG101">
            <v>60</v>
          </cell>
          <cell r="CH101">
            <v>6</v>
          </cell>
          <cell r="CM101">
            <v>123</v>
          </cell>
          <cell r="CN101" t="str">
            <v>Owed 29.5 hours overtime extra overtime from 25th to 31st October'2008. Owed 123 rials Eid bonus, 60 hours 200%, 6 days desert allowance for Eid Al Adhah'2008 from 8th to 13th December'2008.</v>
          </cell>
        </row>
        <row r="102">
          <cell r="B102">
            <v>285</v>
          </cell>
          <cell r="C102" t="str">
            <v>SH</v>
          </cell>
          <cell r="D102" t="str">
            <v>Youseph Said Masoud Al Ghaibi</v>
          </cell>
          <cell r="E102" t="str">
            <v>Labour / Cable</v>
          </cell>
          <cell r="G102">
            <v>36018</v>
          </cell>
          <cell r="H102">
            <v>38068</v>
          </cell>
          <cell r="I102" t="str">
            <v>A</v>
          </cell>
          <cell r="J102" t="str">
            <v>Sh:2</v>
          </cell>
          <cell r="K102" t="str">
            <v>L</v>
          </cell>
          <cell r="L102" t="str">
            <v>L</v>
          </cell>
          <cell r="M102" t="str">
            <v>L</v>
          </cell>
          <cell r="N102" t="str">
            <v>L</v>
          </cell>
          <cell r="O102" t="str">
            <v>L</v>
          </cell>
          <cell r="P102" t="str">
            <v>L</v>
          </cell>
          <cell r="Q102" t="str">
            <v>L</v>
          </cell>
          <cell r="R102">
            <v>11</v>
          </cell>
          <cell r="S102">
            <v>12</v>
          </cell>
          <cell r="T102">
            <v>12</v>
          </cell>
          <cell r="U102">
            <v>12</v>
          </cell>
          <cell r="V102">
            <v>12</v>
          </cell>
          <cell r="W102">
            <v>12</v>
          </cell>
          <cell r="X102">
            <v>12</v>
          </cell>
          <cell r="Y102">
            <v>12</v>
          </cell>
          <cell r="Z102">
            <v>4</v>
          </cell>
          <cell r="AA102">
            <v>4</v>
          </cell>
          <cell r="AB102">
            <v>4</v>
          </cell>
          <cell r="AC102">
            <v>4</v>
          </cell>
          <cell r="AD102">
            <v>4</v>
          </cell>
          <cell r="AE102">
            <v>4</v>
          </cell>
          <cell r="AF102">
            <v>4</v>
          </cell>
          <cell r="AG102">
            <v>4</v>
          </cell>
          <cell r="AH102">
            <v>4</v>
          </cell>
          <cell r="AI102">
            <v>4</v>
          </cell>
          <cell r="AJ102">
            <v>12</v>
          </cell>
          <cell r="AK102">
            <v>12</v>
          </cell>
          <cell r="AL102">
            <v>4</v>
          </cell>
          <cell r="AM102">
            <v>4</v>
          </cell>
          <cell r="AN102">
            <v>4</v>
          </cell>
          <cell r="AO102" t="str">
            <v>x</v>
          </cell>
          <cell r="AP102">
            <v>23</v>
          </cell>
          <cell r="AQ102">
            <v>7</v>
          </cell>
          <cell r="AR102">
            <v>0</v>
          </cell>
          <cell r="AS102">
            <v>0</v>
          </cell>
          <cell r="AT102">
            <v>0</v>
          </cell>
          <cell r="AU102">
            <v>0</v>
          </cell>
          <cell r="AV102">
            <v>147</v>
          </cell>
          <cell r="AW102">
            <v>24</v>
          </cell>
          <cell r="AX102">
            <v>30</v>
          </cell>
          <cell r="AY102">
            <v>23</v>
          </cell>
          <cell r="AZ102">
            <v>30</v>
          </cell>
          <cell r="CF102">
            <v>38</v>
          </cell>
          <cell r="CN102" t="str">
            <v>Owed 38 hours overtime extra overtime from 14th to 23rd October'2008.</v>
          </cell>
        </row>
        <row r="103">
          <cell r="B103">
            <v>287</v>
          </cell>
          <cell r="C103" t="str">
            <v>R</v>
          </cell>
          <cell r="D103" t="str">
            <v>Fadhil Khamis Rashid</v>
          </cell>
          <cell r="E103" t="str">
            <v>Asst Junior Observer</v>
          </cell>
          <cell r="G103">
            <v>36231</v>
          </cell>
          <cell r="H103">
            <v>38105</v>
          </cell>
          <cell r="I103" t="str">
            <v>C1</v>
          </cell>
          <cell r="J103" t="str">
            <v>Sh:2</v>
          </cell>
          <cell r="K103" t="str">
            <v>L</v>
          </cell>
          <cell r="L103" t="str">
            <v>L</v>
          </cell>
          <cell r="M103" t="str">
            <v>L</v>
          </cell>
          <cell r="N103" t="str">
            <v>L</v>
          </cell>
          <cell r="O103" t="str">
            <v>L</v>
          </cell>
          <cell r="P103" t="str">
            <v>L</v>
          </cell>
          <cell r="Q103" t="str">
            <v>L</v>
          </cell>
          <cell r="R103">
            <v>13</v>
          </cell>
          <cell r="S103">
            <v>13</v>
          </cell>
          <cell r="T103">
            <v>13</v>
          </cell>
          <cell r="U103">
            <v>13</v>
          </cell>
          <cell r="V103">
            <v>13</v>
          </cell>
          <cell r="W103">
            <v>13</v>
          </cell>
          <cell r="X103">
            <v>13</v>
          </cell>
          <cell r="Y103">
            <v>13</v>
          </cell>
          <cell r="Z103">
            <v>13</v>
          </cell>
          <cell r="AA103">
            <v>13</v>
          </cell>
          <cell r="AB103">
            <v>4</v>
          </cell>
          <cell r="AC103">
            <v>4</v>
          </cell>
          <cell r="AD103">
            <v>4</v>
          </cell>
          <cell r="AE103">
            <v>4</v>
          </cell>
          <cell r="AF103">
            <v>4</v>
          </cell>
          <cell r="AG103">
            <v>4</v>
          </cell>
          <cell r="AH103">
            <v>4</v>
          </cell>
          <cell r="AI103">
            <v>4</v>
          </cell>
          <cell r="AJ103">
            <v>12</v>
          </cell>
          <cell r="AK103">
            <v>12</v>
          </cell>
          <cell r="AL103">
            <v>4</v>
          </cell>
          <cell r="AM103">
            <v>4</v>
          </cell>
          <cell r="AN103">
            <v>4</v>
          </cell>
          <cell r="AO103" t="str">
            <v>x</v>
          </cell>
          <cell r="AP103">
            <v>23</v>
          </cell>
          <cell r="AQ103">
            <v>7</v>
          </cell>
          <cell r="AR103">
            <v>0</v>
          </cell>
          <cell r="AS103">
            <v>0</v>
          </cell>
          <cell r="AT103">
            <v>0</v>
          </cell>
          <cell r="AU103">
            <v>0</v>
          </cell>
          <cell r="AV103">
            <v>174</v>
          </cell>
          <cell r="AW103">
            <v>24</v>
          </cell>
          <cell r="AX103">
            <v>30</v>
          </cell>
          <cell r="AY103">
            <v>23</v>
          </cell>
          <cell r="AZ103">
            <v>30</v>
          </cell>
          <cell r="CF103">
            <v>100</v>
          </cell>
          <cell r="CN103" t="str">
            <v>Owed 31.5 hours overtime extra overtime from 6th to 11th and 27th to 29th September'2008. Owed 68.5 hours overtime extra overtime from 4th to 6th and 17th to 23rd October'2008.</v>
          </cell>
        </row>
        <row r="104">
          <cell r="B104">
            <v>288</v>
          </cell>
          <cell r="C104" t="str">
            <v>R</v>
          </cell>
          <cell r="D104" t="str">
            <v>Hamdan Hussein Obaid Al Dara'I</v>
          </cell>
          <cell r="E104" t="str">
            <v>Labour / GPS Operator</v>
          </cell>
          <cell r="G104">
            <v>36312</v>
          </cell>
          <cell r="H104">
            <v>38132</v>
          </cell>
          <cell r="I104" t="str">
            <v>A</v>
          </cell>
          <cell r="J104" t="str">
            <v>Sh:1</v>
          </cell>
          <cell r="K104">
            <v>2.5</v>
          </cell>
          <cell r="L104">
            <v>2.5</v>
          </cell>
          <cell r="M104">
            <v>2.5</v>
          </cell>
          <cell r="N104">
            <v>2.5</v>
          </cell>
          <cell r="O104">
            <v>2.5</v>
          </cell>
          <cell r="P104">
            <v>2.5</v>
          </cell>
          <cell r="Q104">
            <v>2.5</v>
          </cell>
          <cell r="R104">
            <v>2.5</v>
          </cell>
          <cell r="S104">
            <v>2.5</v>
          </cell>
          <cell r="T104">
            <v>2.5</v>
          </cell>
          <cell r="U104">
            <v>2.5</v>
          </cell>
          <cell r="V104">
            <v>2.5</v>
          </cell>
          <cell r="W104">
            <v>2.5</v>
          </cell>
          <cell r="X104">
            <v>2.5</v>
          </cell>
          <cell r="Y104">
            <v>2.5</v>
          </cell>
          <cell r="Z104">
            <v>2.5</v>
          </cell>
          <cell r="AA104">
            <v>2.5</v>
          </cell>
          <cell r="AB104">
            <v>2.5</v>
          </cell>
          <cell r="AC104">
            <v>2.5</v>
          </cell>
          <cell r="AD104">
            <v>2.5</v>
          </cell>
          <cell r="AE104">
            <v>2.5</v>
          </cell>
          <cell r="AF104" t="str">
            <v>L</v>
          </cell>
          <cell r="AG104" t="str">
            <v>L</v>
          </cell>
          <cell r="AH104" t="str">
            <v>L</v>
          </cell>
          <cell r="AI104" t="str">
            <v>L</v>
          </cell>
          <cell r="AJ104" t="str">
            <v>L</v>
          </cell>
          <cell r="AK104" t="str">
            <v>L</v>
          </cell>
          <cell r="AL104" t="str">
            <v>L</v>
          </cell>
          <cell r="AM104" t="str">
            <v>L</v>
          </cell>
          <cell r="AN104" t="str">
            <v>L</v>
          </cell>
          <cell r="AO104" t="str">
            <v>x</v>
          </cell>
          <cell r="AP104">
            <v>21</v>
          </cell>
          <cell r="AQ104">
            <v>9</v>
          </cell>
          <cell r="AR104">
            <v>0</v>
          </cell>
          <cell r="AS104">
            <v>0</v>
          </cell>
          <cell r="AT104">
            <v>0</v>
          </cell>
          <cell r="AU104">
            <v>0</v>
          </cell>
          <cell r="AV104">
            <v>52.5</v>
          </cell>
          <cell r="AW104">
            <v>0</v>
          </cell>
          <cell r="AX104">
            <v>30</v>
          </cell>
          <cell r="AY104">
            <v>21</v>
          </cell>
          <cell r="AZ104">
            <v>30</v>
          </cell>
        </row>
        <row r="105">
          <cell r="B105">
            <v>290</v>
          </cell>
          <cell r="C105" t="str">
            <v>SH</v>
          </cell>
          <cell r="D105" t="str">
            <v>Salim Ali Salim</v>
          </cell>
          <cell r="E105" t="str">
            <v>Labour / Cable</v>
          </cell>
          <cell r="G105">
            <v>36418</v>
          </cell>
          <cell r="H105">
            <v>38068</v>
          </cell>
          <cell r="I105" t="str">
            <v>A</v>
          </cell>
          <cell r="J105" t="str">
            <v>Sh:1</v>
          </cell>
          <cell r="K105" t="str">
            <v>H</v>
          </cell>
          <cell r="L105" t="str">
            <v>H</v>
          </cell>
          <cell r="M105" t="str">
            <v>H</v>
          </cell>
          <cell r="N105" t="str">
            <v>H</v>
          </cell>
          <cell r="O105" t="str">
            <v>H</v>
          </cell>
          <cell r="P105" t="str">
            <v>H</v>
          </cell>
          <cell r="Q105" t="str">
            <v>H</v>
          </cell>
          <cell r="R105" t="str">
            <v>H</v>
          </cell>
          <cell r="S105" t="str">
            <v>H</v>
          </cell>
          <cell r="T105" t="str">
            <v>H</v>
          </cell>
          <cell r="U105" t="str">
            <v>H</v>
          </cell>
          <cell r="V105" t="str">
            <v>H</v>
          </cell>
          <cell r="W105" t="str">
            <v>H</v>
          </cell>
          <cell r="X105" t="str">
            <v>H</v>
          </cell>
          <cell r="Y105" t="str">
            <v>H</v>
          </cell>
          <cell r="Z105" t="str">
            <v>H</v>
          </cell>
          <cell r="AA105" t="str">
            <v>H</v>
          </cell>
          <cell r="AB105" t="str">
            <v>H</v>
          </cell>
          <cell r="AC105" t="str">
            <v>H</v>
          </cell>
          <cell r="AD105" t="str">
            <v>H</v>
          </cell>
          <cell r="AE105" t="str">
            <v>H</v>
          </cell>
          <cell r="AF105" t="str">
            <v>H</v>
          </cell>
          <cell r="AG105" t="str">
            <v>H</v>
          </cell>
          <cell r="AH105" t="str">
            <v>H</v>
          </cell>
          <cell r="AI105" t="str">
            <v>H</v>
          </cell>
          <cell r="AJ105" t="str">
            <v>H</v>
          </cell>
          <cell r="AK105" t="str">
            <v>H</v>
          </cell>
          <cell r="AL105" t="str">
            <v>H</v>
          </cell>
          <cell r="AM105" t="str">
            <v>H</v>
          </cell>
          <cell r="AN105" t="str">
            <v>H</v>
          </cell>
          <cell r="AO105" t="str">
            <v>x</v>
          </cell>
          <cell r="AP105">
            <v>0</v>
          </cell>
          <cell r="AQ105">
            <v>0</v>
          </cell>
          <cell r="AR105">
            <v>0</v>
          </cell>
          <cell r="AS105">
            <v>0</v>
          </cell>
          <cell r="AT105">
            <v>0</v>
          </cell>
          <cell r="AU105">
            <v>30</v>
          </cell>
          <cell r="AV105">
            <v>0</v>
          </cell>
          <cell r="AW105">
            <v>0</v>
          </cell>
          <cell r="AX105">
            <v>0</v>
          </cell>
          <cell r="AY105">
            <v>0</v>
          </cell>
          <cell r="AZ105">
            <v>0</v>
          </cell>
        </row>
        <row r="106">
          <cell r="B106">
            <v>292</v>
          </cell>
          <cell r="C106" t="str">
            <v>SH</v>
          </cell>
          <cell r="D106" t="str">
            <v>Suleman Ali Suleman Al Mahrouqi</v>
          </cell>
          <cell r="E106" t="str">
            <v>Heavy Duty Dvr / W</v>
          </cell>
          <cell r="G106">
            <v>36739</v>
          </cell>
          <cell r="H106">
            <v>38145</v>
          </cell>
          <cell r="I106" t="str">
            <v>E</v>
          </cell>
          <cell r="J106" t="str">
            <v>Sh:2</v>
          </cell>
          <cell r="K106" t="str">
            <v>L</v>
          </cell>
          <cell r="L106" t="str">
            <v>L</v>
          </cell>
          <cell r="M106" t="str">
            <v>L</v>
          </cell>
          <cell r="N106" t="str">
            <v>L</v>
          </cell>
          <cell r="O106" t="str">
            <v>L</v>
          </cell>
          <cell r="P106" t="str">
            <v>L</v>
          </cell>
          <cell r="Q106" t="str">
            <v>L</v>
          </cell>
          <cell r="R106">
            <v>4</v>
          </cell>
          <cell r="S106">
            <v>4</v>
          </cell>
          <cell r="T106">
            <v>4</v>
          </cell>
          <cell r="U106">
            <v>4</v>
          </cell>
          <cell r="V106">
            <v>4</v>
          </cell>
          <cell r="W106">
            <v>4</v>
          </cell>
          <cell r="X106">
            <v>4</v>
          </cell>
          <cell r="Y106">
            <v>4</v>
          </cell>
          <cell r="Z106">
            <v>4</v>
          </cell>
          <cell r="AA106">
            <v>4</v>
          </cell>
          <cell r="AB106">
            <v>4</v>
          </cell>
          <cell r="AC106">
            <v>4</v>
          </cell>
          <cell r="AD106">
            <v>4</v>
          </cell>
          <cell r="AE106">
            <v>4</v>
          </cell>
          <cell r="AF106">
            <v>4</v>
          </cell>
          <cell r="AG106">
            <v>4</v>
          </cell>
          <cell r="AH106">
            <v>4</v>
          </cell>
          <cell r="AI106">
            <v>4</v>
          </cell>
          <cell r="AJ106">
            <v>12</v>
          </cell>
          <cell r="AK106">
            <v>12</v>
          </cell>
          <cell r="AL106">
            <v>4</v>
          </cell>
          <cell r="AM106">
            <v>4</v>
          </cell>
          <cell r="AN106">
            <v>4</v>
          </cell>
          <cell r="AO106" t="str">
            <v>x</v>
          </cell>
          <cell r="AP106">
            <v>23</v>
          </cell>
          <cell r="AQ106">
            <v>7</v>
          </cell>
          <cell r="AR106">
            <v>0</v>
          </cell>
          <cell r="AS106">
            <v>0</v>
          </cell>
          <cell r="AT106">
            <v>0</v>
          </cell>
          <cell r="AU106">
            <v>0</v>
          </cell>
          <cell r="AV106">
            <v>84</v>
          </cell>
          <cell r="AW106">
            <v>24</v>
          </cell>
          <cell r="AX106">
            <v>30</v>
          </cell>
          <cell r="AY106">
            <v>23</v>
          </cell>
          <cell r="AZ106">
            <v>30</v>
          </cell>
          <cell r="CG106">
            <v>72</v>
          </cell>
          <cell r="CH106">
            <v>6</v>
          </cell>
          <cell r="CM106">
            <v>123</v>
          </cell>
          <cell r="CN106" t="str">
            <v xml:space="preserve">Owed 123 rials Eid bonus, 72 hours 200%, 6 days desert allowance for Eid Al Adhah'2008 from 8th to 13th December'2008. </v>
          </cell>
        </row>
        <row r="107">
          <cell r="B107">
            <v>293</v>
          </cell>
          <cell r="C107" t="str">
            <v>SH</v>
          </cell>
          <cell r="D107" t="str">
            <v>Qahtan Zaher Nasser Al Gharibi</v>
          </cell>
          <cell r="E107" t="str">
            <v>Vibe Operator</v>
          </cell>
          <cell r="G107">
            <v>37073</v>
          </cell>
          <cell r="H107">
            <v>38145</v>
          </cell>
          <cell r="I107" t="str">
            <v>C</v>
          </cell>
          <cell r="J107" t="str">
            <v>Sh:3</v>
          </cell>
          <cell r="K107">
            <v>8</v>
          </cell>
          <cell r="L107">
            <v>8</v>
          </cell>
          <cell r="M107">
            <v>8</v>
          </cell>
          <cell r="N107">
            <v>8</v>
          </cell>
          <cell r="O107">
            <v>8</v>
          </cell>
          <cell r="P107">
            <v>8</v>
          </cell>
          <cell r="Q107">
            <v>8</v>
          </cell>
          <cell r="R107" t="str">
            <v>L</v>
          </cell>
          <cell r="S107" t="str">
            <v>L</v>
          </cell>
          <cell r="T107" t="str">
            <v>L</v>
          </cell>
          <cell r="U107" t="str">
            <v>L</v>
          </cell>
          <cell r="V107" t="str">
            <v>L</v>
          </cell>
          <cell r="W107" t="str">
            <v>L</v>
          </cell>
          <cell r="X107" t="str">
            <v>L</v>
          </cell>
          <cell r="Y107" t="str">
            <v>L</v>
          </cell>
          <cell r="Z107" t="str">
            <v>L</v>
          </cell>
          <cell r="AA107" t="str">
            <v>L</v>
          </cell>
          <cell r="AB107" t="str">
            <v>L</v>
          </cell>
          <cell r="AC107" t="str">
            <v>L</v>
          </cell>
          <cell r="AD107" t="str">
            <v>L</v>
          </cell>
          <cell r="AE107" t="str">
            <v>L</v>
          </cell>
          <cell r="AF107">
            <v>9</v>
          </cell>
          <cell r="AG107">
            <v>9</v>
          </cell>
          <cell r="AH107">
            <v>9</v>
          </cell>
          <cell r="AI107">
            <v>9</v>
          </cell>
          <cell r="AJ107">
            <v>17</v>
          </cell>
          <cell r="AK107">
            <v>17</v>
          </cell>
          <cell r="AL107">
            <v>9</v>
          </cell>
          <cell r="AM107">
            <v>9</v>
          </cell>
          <cell r="AN107">
            <v>9</v>
          </cell>
          <cell r="AO107" t="str">
            <v>x</v>
          </cell>
          <cell r="AP107">
            <v>16</v>
          </cell>
          <cell r="AQ107">
            <v>14</v>
          </cell>
          <cell r="AR107">
            <v>0</v>
          </cell>
          <cell r="AS107">
            <v>0</v>
          </cell>
          <cell r="AT107">
            <v>0</v>
          </cell>
          <cell r="AU107">
            <v>0</v>
          </cell>
          <cell r="AV107">
            <v>119</v>
          </cell>
          <cell r="AW107">
            <v>34</v>
          </cell>
          <cell r="AX107">
            <v>30</v>
          </cell>
          <cell r="AY107">
            <v>16</v>
          </cell>
          <cell r="AZ107">
            <v>30</v>
          </cell>
          <cell r="CG107">
            <v>102</v>
          </cell>
          <cell r="CH107">
            <v>6</v>
          </cell>
          <cell r="CM107">
            <v>123</v>
          </cell>
          <cell r="CN107" t="str">
            <v xml:space="preserve">Owed 123 rials Eid bonus, 102 hours 200%, 6 days desert allowance for Eid Al Adhah'2008 from 8th to 13th December'2008. </v>
          </cell>
        </row>
        <row r="108">
          <cell r="B108">
            <v>295</v>
          </cell>
          <cell r="C108" t="str">
            <v>R</v>
          </cell>
          <cell r="D108" t="str">
            <v>Ibrahim Salim Said Al Ghafri</v>
          </cell>
          <cell r="E108" t="str">
            <v>Labour</v>
          </cell>
          <cell r="G108">
            <v>37226</v>
          </cell>
          <cell r="H108">
            <v>38145</v>
          </cell>
          <cell r="I108" t="str">
            <v>A</v>
          </cell>
          <cell r="J108" t="str">
            <v>Sh:2</v>
          </cell>
          <cell r="K108" t="str">
            <v>L</v>
          </cell>
          <cell r="L108" t="str">
            <v>L</v>
          </cell>
          <cell r="M108" t="str">
            <v>L</v>
          </cell>
          <cell r="N108" t="str">
            <v>L</v>
          </cell>
          <cell r="O108" t="str">
            <v>L</v>
          </cell>
          <cell r="P108" t="str">
            <v>L</v>
          </cell>
          <cell r="Q108" t="str">
            <v>L</v>
          </cell>
          <cell r="R108">
            <v>6</v>
          </cell>
          <cell r="S108">
            <v>6</v>
          </cell>
          <cell r="T108">
            <v>6</v>
          </cell>
          <cell r="U108">
            <v>6</v>
          </cell>
          <cell r="V108">
            <v>6</v>
          </cell>
          <cell r="W108">
            <v>6</v>
          </cell>
          <cell r="X108">
            <v>6</v>
          </cell>
          <cell r="Y108">
            <v>6</v>
          </cell>
          <cell r="Z108">
            <v>2</v>
          </cell>
          <cell r="AA108">
            <v>2</v>
          </cell>
          <cell r="AB108">
            <v>2</v>
          </cell>
          <cell r="AC108">
            <v>2</v>
          </cell>
          <cell r="AD108">
            <v>2</v>
          </cell>
          <cell r="AE108">
            <v>2</v>
          </cell>
          <cell r="AF108">
            <v>2</v>
          </cell>
          <cell r="AG108">
            <v>2</v>
          </cell>
          <cell r="AH108">
            <v>2</v>
          </cell>
          <cell r="AI108">
            <v>2</v>
          </cell>
          <cell r="AJ108">
            <v>10</v>
          </cell>
          <cell r="AK108">
            <v>10</v>
          </cell>
          <cell r="AL108">
            <v>2</v>
          </cell>
          <cell r="AM108">
            <v>2</v>
          </cell>
          <cell r="AN108">
            <v>2</v>
          </cell>
          <cell r="AO108" t="str">
            <v>x</v>
          </cell>
          <cell r="AP108">
            <v>23</v>
          </cell>
          <cell r="AQ108">
            <v>7</v>
          </cell>
          <cell r="AR108">
            <v>0</v>
          </cell>
          <cell r="AS108">
            <v>0</v>
          </cell>
          <cell r="AT108">
            <v>0</v>
          </cell>
          <cell r="AU108">
            <v>0</v>
          </cell>
          <cell r="AV108">
            <v>74</v>
          </cell>
          <cell r="AW108">
            <v>20</v>
          </cell>
          <cell r="AX108">
            <v>30</v>
          </cell>
          <cell r="AY108">
            <v>23</v>
          </cell>
          <cell r="AZ108">
            <v>30</v>
          </cell>
          <cell r="CF108">
            <v>32</v>
          </cell>
          <cell r="CN108" t="str">
            <v>Owed 32 hours overtime extra overtime from 16th to 23rd October'2008.</v>
          </cell>
        </row>
        <row r="109">
          <cell r="B109">
            <v>297</v>
          </cell>
          <cell r="C109" t="str">
            <v>R</v>
          </cell>
          <cell r="D109" t="str">
            <v>Mohamed Saif Salim Al Sawafi</v>
          </cell>
          <cell r="E109" t="str">
            <v>Heavy Duty Dvr</v>
          </cell>
          <cell r="G109">
            <v>37226</v>
          </cell>
          <cell r="H109">
            <v>38145</v>
          </cell>
          <cell r="I109" t="str">
            <v>A</v>
          </cell>
          <cell r="J109" t="str">
            <v>Sh:2</v>
          </cell>
          <cell r="K109" t="str">
            <v>L</v>
          </cell>
          <cell r="L109" t="str">
            <v>L</v>
          </cell>
          <cell r="M109" t="str">
            <v>L</v>
          </cell>
          <cell r="N109" t="str">
            <v>L</v>
          </cell>
          <cell r="O109" t="str">
            <v>L</v>
          </cell>
          <cell r="P109" t="str">
            <v>L</v>
          </cell>
          <cell r="Q109" t="str">
            <v>L</v>
          </cell>
          <cell r="R109">
            <v>8.5</v>
          </cell>
          <cell r="S109">
            <v>6</v>
          </cell>
          <cell r="T109">
            <v>2.5</v>
          </cell>
          <cell r="U109">
            <v>2.5</v>
          </cell>
          <cell r="V109">
            <v>2.5</v>
          </cell>
          <cell r="W109">
            <v>2.5</v>
          </cell>
          <cell r="X109">
            <v>2.5</v>
          </cell>
          <cell r="Y109">
            <v>2.5</v>
          </cell>
          <cell r="Z109">
            <v>2.5</v>
          </cell>
          <cell r="AA109">
            <v>2.5</v>
          </cell>
          <cell r="AB109">
            <v>2.5</v>
          </cell>
          <cell r="AC109">
            <v>2.5</v>
          </cell>
          <cell r="AD109">
            <v>2.5</v>
          </cell>
          <cell r="AE109">
            <v>2.5</v>
          </cell>
          <cell r="AF109">
            <v>2.5</v>
          </cell>
          <cell r="AG109">
            <v>2.5</v>
          </cell>
          <cell r="AH109">
            <v>2.5</v>
          </cell>
          <cell r="AI109">
            <v>2.5</v>
          </cell>
          <cell r="AJ109">
            <v>10.5</v>
          </cell>
          <cell r="AK109">
            <v>10.5</v>
          </cell>
          <cell r="AL109">
            <v>2.5</v>
          </cell>
          <cell r="AM109">
            <v>2.5</v>
          </cell>
          <cell r="AN109">
            <v>2.5</v>
          </cell>
          <cell r="AO109" t="str">
            <v>x</v>
          </cell>
          <cell r="AP109">
            <v>23</v>
          </cell>
          <cell r="AQ109">
            <v>7</v>
          </cell>
          <cell r="AR109">
            <v>0</v>
          </cell>
          <cell r="AS109">
            <v>0</v>
          </cell>
          <cell r="AT109">
            <v>0</v>
          </cell>
          <cell r="AU109">
            <v>0</v>
          </cell>
          <cell r="AV109">
            <v>62</v>
          </cell>
          <cell r="AW109">
            <v>21</v>
          </cell>
          <cell r="AX109">
            <v>30</v>
          </cell>
          <cell r="AY109">
            <v>23</v>
          </cell>
          <cell r="AZ109">
            <v>30</v>
          </cell>
          <cell r="CF109">
            <v>33</v>
          </cell>
          <cell r="CN109" t="str">
            <v>Owed 33 hours overtime extra overtime from 15th to 20th October'2008.</v>
          </cell>
        </row>
        <row r="110">
          <cell r="B110">
            <v>299</v>
          </cell>
          <cell r="C110" t="str">
            <v>R</v>
          </cell>
          <cell r="D110" t="str">
            <v xml:space="preserve">Ashraf Khanfar Bukheit Al Shukeily </v>
          </cell>
          <cell r="E110" t="str">
            <v>Labour</v>
          </cell>
          <cell r="G110">
            <v>37226</v>
          </cell>
          <cell r="H110">
            <v>38145</v>
          </cell>
          <cell r="I110" t="str">
            <v>A</v>
          </cell>
          <cell r="J110" t="str">
            <v>Sh:2</v>
          </cell>
          <cell r="K110" t="str">
            <v>L</v>
          </cell>
          <cell r="L110" t="str">
            <v>L</v>
          </cell>
          <cell r="M110" t="str">
            <v>L</v>
          </cell>
          <cell r="N110" t="str">
            <v>L</v>
          </cell>
          <cell r="O110" t="str">
            <v>L</v>
          </cell>
          <cell r="P110" t="str">
            <v>L</v>
          </cell>
          <cell r="Q110" t="str">
            <v>L</v>
          </cell>
          <cell r="R110">
            <v>6</v>
          </cell>
          <cell r="S110">
            <v>6</v>
          </cell>
          <cell r="T110">
            <v>6</v>
          </cell>
          <cell r="U110">
            <v>6</v>
          </cell>
          <cell r="V110">
            <v>6</v>
          </cell>
          <cell r="W110">
            <v>6</v>
          </cell>
          <cell r="X110">
            <v>6</v>
          </cell>
          <cell r="Y110">
            <v>6</v>
          </cell>
          <cell r="Z110">
            <v>2</v>
          </cell>
          <cell r="AA110">
            <v>2</v>
          </cell>
          <cell r="AB110">
            <v>2</v>
          </cell>
          <cell r="AC110">
            <v>2</v>
          </cell>
          <cell r="AD110">
            <v>2</v>
          </cell>
          <cell r="AE110">
            <v>2</v>
          </cell>
          <cell r="AF110">
            <v>2</v>
          </cell>
          <cell r="AG110">
            <v>2</v>
          </cell>
          <cell r="AH110">
            <v>2</v>
          </cell>
          <cell r="AI110">
            <v>2</v>
          </cell>
          <cell r="AJ110">
            <v>10</v>
          </cell>
          <cell r="AK110">
            <v>10</v>
          </cell>
          <cell r="AL110">
            <v>2</v>
          </cell>
          <cell r="AM110">
            <v>2</v>
          </cell>
          <cell r="AN110">
            <v>2</v>
          </cell>
          <cell r="AO110" t="str">
            <v>x</v>
          </cell>
          <cell r="AP110">
            <v>23</v>
          </cell>
          <cell r="AQ110">
            <v>7</v>
          </cell>
          <cell r="AR110">
            <v>0</v>
          </cell>
          <cell r="AS110">
            <v>0</v>
          </cell>
          <cell r="AT110">
            <v>0</v>
          </cell>
          <cell r="AU110">
            <v>0</v>
          </cell>
          <cell r="AV110">
            <v>74</v>
          </cell>
          <cell r="AW110">
            <v>20</v>
          </cell>
          <cell r="AX110">
            <v>30</v>
          </cell>
          <cell r="AY110">
            <v>23</v>
          </cell>
          <cell r="AZ110">
            <v>30</v>
          </cell>
        </row>
        <row r="111">
          <cell r="B111">
            <v>309</v>
          </cell>
          <cell r="C111" t="str">
            <v>R</v>
          </cell>
          <cell r="D111" t="str">
            <v>Badar Khamis Salim Al Hattali</v>
          </cell>
          <cell r="E111" t="str">
            <v>Labour / Cable</v>
          </cell>
          <cell r="G111">
            <v>38002</v>
          </cell>
          <cell r="H111">
            <v>38145</v>
          </cell>
          <cell r="I111" t="str">
            <v>A</v>
          </cell>
          <cell r="J111" t="str">
            <v>Sh:2</v>
          </cell>
          <cell r="K111" t="str">
            <v>H</v>
          </cell>
          <cell r="L111" t="str">
            <v>H</v>
          </cell>
          <cell r="M111" t="str">
            <v>H</v>
          </cell>
          <cell r="N111" t="str">
            <v>H</v>
          </cell>
          <cell r="O111" t="str">
            <v>H</v>
          </cell>
          <cell r="P111" t="str">
            <v>H</v>
          </cell>
          <cell r="Q111" t="str">
            <v>H</v>
          </cell>
          <cell r="R111" t="str">
            <v>L</v>
          </cell>
          <cell r="S111" t="str">
            <v>L</v>
          </cell>
          <cell r="T111" t="str">
            <v>L</v>
          </cell>
          <cell r="U111" t="str">
            <v>L</v>
          </cell>
          <cell r="V111" t="str">
            <v>L</v>
          </cell>
          <cell r="W111" t="str">
            <v>L</v>
          </cell>
          <cell r="X111" t="str">
            <v>L</v>
          </cell>
          <cell r="Y111" t="str">
            <v>L</v>
          </cell>
          <cell r="Z111" t="str">
            <v>L</v>
          </cell>
          <cell r="AA111" t="str">
            <v>L</v>
          </cell>
          <cell r="AB111" t="str">
            <v>L</v>
          </cell>
          <cell r="AC111" t="str">
            <v>L</v>
          </cell>
          <cell r="AD111" t="str">
            <v>L</v>
          </cell>
          <cell r="AE111" t="str">
            <v>L</v>
          </cell>
          <cell r="AF111">
            <v>4</v>
          </cell>
          <cell r="AG111">
            <v>4</v>
          </cell>
          <cell r="AH111">
            <v>4</v>
          </cell>
          <cell r="AI111">
            <v>4</v>
          </cell>
          <cell r="AJ111">
            <v>12</v>
          </cell>
          <cell r="AK111">
            <v>12</v>
          </cell>
          <cell r="AL111">
            <v>4</v>
          </cell>
          <cell r="AM111">
            <v>4</v>
          </cell>
          <cell r="AN111">
            <v>4</v>
          </cell>
          <cell r="AO111" t="str">
            <v>x</v>
          </cell>
          <cell r="AP111">
            <v>9</v>
          </cell>
          <cell r="AQ111">
            <v>14</v>
          </cell>
          <cell r="AR111">
            <v>0</v>
          </cell>
          <cell r="AS111">
            <v>0</v>
          </cell>
          <cell r="AT111">
            <v>0</v>
          </cell>
          <cell r="AU111">
            <v>7</v>
          </cell>
          <cell r="AV111">
            <v>28</v>
          </cell>
          <cell r="AW111">
            <v>24</v>
          </cell>
          <cell r="AX111">
            <v>23</v>
          </cell>
          <cell r="AY111">
            <v>9</v>
          </cell>
          <cell r="AZ111">
            <v>23</v>
          </cell>
          <cell r="CG111">
            <v>72</v>
          </cell>
          <cell r="CH111">
            <v>6</v>
          </cell>
          <cell r="CM111">
            <v>123</v>
          </cell>
          <cell r="CN111" t="str">
            <v>Owed 123 rials Eid bonus, 102 hours 200%, 6 days desert allowance for Eid Al Adhah'2008 from 8th to 13th December'2008.</v>
          </cell>
        </row>
        <row r="112">
          <cell r="B112">
            <v>314</v>
          </cell>
          <cell r="D112" t="str">
            <v>Tariq Said Saif Al Musalhi</v>
          </cell>
          <cell r="E112" t="str">
            <v>Vibe Operator</v>
          </cell>
          <cell r="G112" t="str">
            <v>N/A</v>
          </cell>
          <cell r="H112">
            <v>38155</v>
          </cell>
          <cell r="I112" t="str">
            <v>E</v>
          </cell>
          <cell r="J112" t="str">
            <v>Sh:2</v>
          </cell>
          <cell r="K112" t="str">
            <v>L</v>
          </cell>
          <cell r="L112" t="str">
            <v>L</v>
          </cell>
          <cell r="M112" t="str">
            <v>L</v>
          </cell>
          <cell r="N112" t="str">
            <v>L</v>
          </cell>
          <cell r="O112" t="str">
            <v>L</v>
          </cell>
          <cell r="P112" t="str">
            <v>L</v>
          </cell>
          <cell r="Q112" t="str">
            <v>L</v>
          </cell>
          <cell r="R112">
            <v>8</v>
          </cell>
          <cell r="S112">
            <v>8</v>
          </cell>
          <cell r="T112">
            <v>8</v>
          </cell>
          <cell r="U112">
            <v>8</v>
          </cell>
          <cell r="V112">
            <v>8</v>
          </cell>
          <cell r="W112">
            <v>8</v>
          </cell>
          <cell r="X112">
            <v>9</v>
          </cell>
          <cell r="Y112">
            <v>9</v>
          </cell>
          <cell r="Z112">
            <v>9</v>
          </cell>
          <cell r="AA112">
            <v>9</v>
          </cell>
          <cell r="AB112">
            <v>9</v>
          </cell>
          <cell r="AC112">
            <v>9</v>
          </cell>
          <cell r="AD112">
            <v>9</v>
          </cell>
          <cell r="AE112">
            <v>9</v>
          </cell>
          <cell r="AF112">
            <v>9</v>
          </cell>
          <cell r="AG112">
            <v>9</v>
          </cell>
          <cell r="AH112">
            <v>9</v>
          </cell>
          <cell r="AI112">
            <v>9</v>
          </cell>
          <cell r="AJ112">
            <v>17</v>
          </cell>
          <cell r="AK112">
            <v>17</v>
          </cell>
          <cell r="AL112">
            <v>9</v>
          </cell>
          <cell r="AM112">
            <v>9</v>
          </cell>
          <cell r="AN112">
            <v>9</v>
          </cell>
          <cell r="AO112" t="str">
            <v>x</v>
          </cell>
          <cell r="AP112">
            <v>23</v>
          </cell>
          <cell r="AQ112">
            <v>7</v>
          </cell>
          <cell r="AR112">
            <v>0</v>
          </cell>
          <cell r="AS112">
            <v>0</v>
          </cell>
          <cell r="AT112">
            <v>0</v>
          </cell>
          <cell r="AU112">
            <v>0</v>
          </cell>
          <cell r="AV112">
            <v>183</v>
          </cell>
          <cell r="AW112">
            <v>34</v>
          </cell>
          <cell r="AX112">
            <v>30</v>
          </cell>
          <cell r="AY112">
            <v>23</v>
          </cell>
          <cell r="AZ112">
            <v>30</v>
          </cell>
          <cell r="CG112">
            <v>102</v>
          </cell>
          <cell r="CH112">
            <v>6</v>
          </cell>
          <cell r="CM112">
            <v>123</v>
          </cell>
          <cell r="CN112" t="str">
            <v>Owed 123 rials Eid bonus, 102 hours 200%, 6 days desert allowance for Eid Al Adhah'2008 from 8th to 13th December'2008.</v>
          </cell>
        </row>
        <row r="113">
          <cell r="B113">
            <v>316</v>
          </cell>
          <cell r="D113" t="str">
            <v>Najeeb Salim Yaqoout Al Attabi</v>
          </cell>
          <cell r="E113" t="str">
            <v>Labour / Chain Crew</v>
          </cell>
          <cell r="G113" t="str">
            <v>N/A</v>
          </cell>
          <cell r="H113">
            <v>38155</v>
          </cell>
          <cell r="I113" t="str">
            <v>A</v>
          </cell>
          <cell r="J113" t="str">
            <v>Sh:2</v>
          </cell>
          <cell r="K113" t="str">
            <v>L</v>
          </cell>
          <cell r="L113" t="str">
            <v>L</v>
          </cell>
          <cell r="M113" t="str">
            <v>L</v>
          </cell>
          <cell r="N113" t="str">
            <v>L</v>
          </cell>
          <cell r="O113" t="str">
            <v>L</v>
          </cell>
          <cell r="P113" t="str">
            <v>L</v>
          </cell>
          <cell r="Q113" t="str">
            <v>L</v>
          </cell>
          <cell r="R113">
            <v>9.5</v>
          </cell>
          <cell r="S113">
            <v>8</v>
          </cell>
          <cell r="T113">
            <v>2</v>
          </cell>
          <cell r="U113">
            <v>8</v>
          </cell>
          <cell r="V113">
            <v>8</v>
          </cell>
          <cell r="W113">
            <v>8</v>
          </cell>
          <cell r="X113">
            <v>8</v>
          </cell>
          <cell r="Y113">
            <v>2</v>
          </cell>
          <cell r="Z113">
            <v>2</v>
          </cell>
          <cell r="AA113">
            <v>2</v>
          </cell>
          <cell r="AB113">
            <v>2</v>
          </cell>
          <cell r="AC113">
            <v>2</v>
          </cell>
          <cell r="AD113">
            <v>2</v>
          </cell>
          <cell r="AE113">
            <v>2</v>
          </cell>
          <cell r="AF113">
            <v>2</v>
          </cell>
          <cell r="AG113">
            <v>2</v>
          </cell>
          <cell r="AH113">
            <v>2</v>
          </cell>
          <cell r="AI113">
            <v>2</v>
          </cell>
          <cell r="AJ113">
            <v>10</v>
          </cell>
          <cell r="AK113">
            <v>10</v>
          </cell>
          <cell r="AL113">
            <v>2</v>
          </cell>
          <cell r="AM113">
            <v>2</v>
          </cell>
          <cell r="AN113">
            <v>2</v>
          </cell>
          <cell r="AO113" t="str">
            <v>x</v>
          </cell>
          <cell r="AP113">
            <v>23</v>
          </cell>
          <cell r="AQ113">
            <v>7</v>
          </cell>
          <cell r="AR113">
            <v>0</v>
          </cell>
          <cell r="AS113">
            <v>0</v>
          </cell>
          <cell r="AT113">
            <v>0</v>
          </cell>
          <cell r="AU113">
            <v>0</v>
          </cell>
          <cell r="AV113">
            <v>79.5</v>
          </cell>
          <cell r="AW113">
            <v>20</v>
          </cell>
          <cell r="AX113">
            <v>30</v>
          </cell>
          <cell r="AY113">
            <v>23</v>
          </cell>
          <cell r="AZ113">
            <v>30</v>
          </cell>
          <cell r="CF113">
            <v>-6</v>
          </cell>
          <cell r="CG113">
            <v>60</v>
          </cell>
          <cell r="CH113">
            <v>3</v>
          </cell>
          <cell r="CM113">
            <v>123</v>
          </cell>
          <cell r="CN113" t="str">
            <v>Deducted 3 days desert allowance, 6 hours overtime take leave on 22nd to 24th October'2008. Owed 123 rials Eid bonus, 60 hours 200%, 6 days desert allowance for Eid Al Adhah'2008 from 8th to 13th December'2008.</v>
          </cell>
        </row>
        <row r="114">
          <cell r="B114">
            <v>317</v>
          </cell>
          <cell r="D114" t="str">
            <v>Dawoud Sulaiman Said Al Marhouqi</v>
          </cell>
          <cell r="E114" t="str">
            <v>Labour / GPS Operator</v>
          </cell>
          <cell r="G114" t="str">
            <v>N/A</v>
          </cell>
          <cell r="H114">
            <v>38145</v>
          </cell>
          <cell r="I114" t="str">
            <v>A</v>
          </cell>
          <cell r="J114" t="str">
            <v>Sh:2</v>
          </cell>
          <cell r="K114" t="str">
            <v>L</v>
          </cell>
          <cell r="L114" t="str">
            <v>L</v>
          </cell>
          <cell r="M114" t="str">
            <v>L</v>
          </cell>
          <cell r="N114" t="str">
            <v>L</v>
          </cell>
          <cell r="O114" t="str">
            <v>L</v>
          </cell>
          <cell r="P114" t="str">
            <v>L</v>
          </cell>
          <cell r="Q114" t="str">
            <v>L</v>
          </cell>
          <cell r="R114">
            <v>2.5</v>
          </cell>
          <cell r="S114">
            <v>2.5</v>
          </cell>
          <cell r="T114">
            <v>2.5</v>
          </cell>
          <cell r="U114">
            <v>2.5</v>
          </cell>
          <cell r="V114">
            <v>2.5</v>
          </cell>
          <cell r="W114">
            <v>2.5</v>
          </cell>
          <cell r="X114">
            <v>2.5</v>
          </cell>
          <cell r="Y114">
            <v>2.5</v>
          </cell>
          <cell r="Z114">
            <v>2.5</v>
          </cell>
          <cell r="AA114">
            <v>2.5</v>
          </cell>
          <cell r="AB114">
            <v>2.5</v>
          </cell>
          <cell r="AC114">
            <v>2.5</v>
          </cell>
          <cell r="AD114">
            <v>2.5</v>
          </cell>
          <cell r="AE114">
            <v>2.5</v>
          </cell>
          <cell r="AF114">
            <v>2.5</v>
          </cell>
          <cell r="AG114">
            <v>2.5</v>
          </cell>
          <cell r="AH114">
            <v>2.5</v>
          </cell>
          <cell r="AI114">
            <v>2.5</v>
          </cell>
          <cell r="AJ114">
            <v>10.5</v>
          </cell>
          <cell r="AK114">
            <v>10.5</v>
          </cell>
          <cell r="AL114">
            <v>2.5</v>
          </cell>
          <cell r="AM114">
            <v>2.5</v>
          </cell>
          <cell r="AN114">
            <v>2.5</v>
          </cell>
          <cell r="AO114" t="str">
            <v>x</v>
          </cell>
          <cell r="AP114">
            <v>23</v>
          </cell>
          <cell r="AQ114">
            <v>7</v>
          </cell>
          <cell r="AR114">
            <v>0</v>
          </cell>
          <cell r="AS114">
            <v>0</v>
          </cell>
          <cell r="AT114">
            <v>0</v>
          </cell>
          <cell r="AU114">
            <v>0</v>
          </cell>
          <cell r="AV114">
            <v>52.5</v>
          </cell>
          <cell r="AW114">
            <v>21</v>
          </cell>
          <cell r="AX114">
            <v>30</v>
          </cell>
          <cell r="AY114">
            <v>23</v>
          </cell>
          <cell r="AZ114">
            <v>30</v>
          </cell>
          <cell r="CF114">
            <v>28.5</v>
          </cell>
          <cell r="CN114" t="str">
            <v>Owed 28.5 hours overtime extra overtime from 16th to 23rd and 28th October'2008.</v>
          </cell>
        </row>
        <row r="115">
          <cell r="B115">
            <v>320</v>
          </cell>
          <cell r="D115" t="str">
            <v>Mohammed Saleh Ali Al Hina'i</v>
          </cell>
          <cell r="E115" t="str">
            <v>Labour / Asst Junior Observer</v>
          </cell>
          <cell r="G115" t="str">
            <v>N/A</v>
          </cell>
          <cell r="H115">
            <v>38155</v>
          </cell>
          <cell r="I115" t="str">
            <v>C1</v>
          </cell>
          <cell r="J115" t="str">
            <v>Sh:1</v>
          </cell>
          <cell r="K115">
            <v>13</v>
          </cell>
          <cell r="L115">
            <v>13</v>
          </cell>
          <cell r="M115">
            <v>13</v>
          </cell>
          <cell r="N115">
            <v>13</v>
          </cell>
          <cell r="O115">
            <v>13</v>
          </cell>
          <cell r="P115">
            <v>13</v>
          </cell>
          <cell r="Q115">
            <v>13</v>
          </cell>
          <cell r="R115">
            <v>8</v>
          </cell>
          <cell r="S115">
            <v>8</v>
          </cell>
          <cell r="T115">
            <v>8</v>
          </cell>
          <cell r="U115">
            <v>8</v>
          </cell>
          <cell r="V115">
            <v>8</v>
          </cell>
          <cell r="W115">
            <v>8</v>
          </cell>
          <cell r="X115">
            <v>8</v>
          </cell>
          <cell r="Y115">
            <v>8</v>
          </cell>
          <cell r="Z115">
            <v>8</v>
          </cell>
          <cell r="AA115">
            <v>8</v>
          </cell>
          <cell r="AB115">
            <v>4</v>
          </cell>
          <cell r="AC115">
            <v>4</v>
          </cell>
          <cell r="AD115">
            <v>4</v>
          </cell>
          <cell r="AE115">
            <v>4</v>
          </cell>
          <cell r="AF115" t="str">
            <v>L</v>
          </cell>
          <cell r="AG115" t="str">
            <v>L</v>
          </cell>
          <cell r="AH115" t="str">
            <v>L</v>
          </cell>
          <cell r="AI115" t="str">
            <v>L</v>
          </cell>
          <cell r="AJ115" t="str">
            <v>L</v>
          </cell>
          <cell r="AK115" t="str">
            <v>L</v>
          </cell>
          <cell r="AL115" t="str">
            <v>L</v>
          </cell>
          <cell r="AM115" t="str">
            <v>L</v>
          </cell>
          <cell r="AN115" t="str">
            <v>L</v>
          </cell>
          <cell r="AO115" t="str">
            <v>x</v>
          </cell>
          <cell r="AP115">
            <v>21</v>
          </cell>
          <cell r="AQ115">
            <v>9</v>
          </cell>
          <cell r="AR115">
            <v>0</v>
          </cell>
          <cell r="AS115">
            <v>0</v>
          </cell>
          <cell r="AT115">
            <v>0</v>
          </cell>
          <cell r="AU115">
            <v>0</v>
          </cell>
          <cell r="AV115">
            <v>187</v>
          </cell>
          <cell r="AW115">
            <v>0</v>
          </cell>
          <cell r="AX115">
            <v>30</v>
          </cell>
          <cell r="AY115">
            <v>21</v>
          </cell>
          <cell r="AZ115">
            <v>30</v>
          </cell>
          <cell r="CF115">
            <v>56</v>
          </cell>
          <cell r="CN115" t="str">
            <v>Owed 56 hours overtime extra overtime from 25th to 31st October'2008.</v>
          </cell>
        </row>
        <row r="116">
          <cell r="B116">
            <v>321</v>
          </cell>
          <cell r="D116" t="str">
            <v>Hamoud Ali Salim Al Hina'i</v>
          </cell>
          <cell r="E116" t="str">
            <v>Labour / Chain Crew</v>
          </cell>
          <cell r="G116" t="str">
            <v>N/A</v>
          </cell>
          <cell r="H116">
            <v>38155</v>
          </cell>
          <cell r="I116" t="str">
            <v>A</v>
          </cell>
          <cell r="J116" t="str">
            <v>Sh:1</v>
          </cell>
          <cell r="K116">
            <v>7.5</v>
          </cell>
          <cell r="L116">
            <v>2</v>
          </cell>
          <cell r="M116">
            <v>7</v>
          </cell>
          <cell r="N116">
            <v>6</v>
          </cell>
          <cell r="O116">
            <v>8</v>
          </cell>
          <cell r="P116">
            <v>8</v>
          </cell>
          <cell r="Q116">
            <v>8</v>
          </cell>
          <cell r="R116">
            <v>9</v>
          </cell>
          <cell r="S116">
            <v>10</v>
          </cell>
          <cell r="T116">
            <v>2</v>
          </cell>
          <cell r="U116">
            <v>10</v>
          </cell>
          <cell r="V116">
            <v>10</v>
          </cell>
          <cell r="W116">
            <v>10</v>
          </cell>
          <cell r="X116">
            <v>8</v>
          </cell>
          <cell r="Y116">
            <v>2</v>
          </cell>
          <cell r="Z116">
            <v>2</v>
          </cell>
          <cell r="AA116">
            <v>2</v>
          </cell>
          <cell r="AB116">
            <v>2</v>
          </cell>
          <cell r="AC116">
            <v>2</v>
          </cell>
          <cell r="AD116">
            <v>2</v>
          </cell>
          <cell r="AE116">
            <v>2</v>
          </cell>
          <cell r="AF116" t="str">
            <v>L</v>
          </cell>
          <cell r="AG116" t="str">
            <v>L</v>
          </cell>
          <cell r="AH116" t="str">
            <v>L</v>
          </cell>
          <cell r="AI116" t="str">
            <v>L</v>
          </cell>
          <cell r="AJ116" t="str">
            <v>L</v>
          </cell>
          <cell r="AK116" t="str">
            <v>L</v>
          </cell>
          <cell r="AL116" t="str">
            <v>L</v>
          </cell>
          <cell r="AM116" t="str">
            <v>L</v>
          </cell>
          <cell r="AN116" t="str">
            <v>L</v>
          </cell>
          <cell r="AO116" t="str">
            <v>x</v>
          </cell>
          <cell r="AP116">
            <v>21</v>
          </cell>
          <cell r="AQ116">
            <v>9</v>
          </cell>
          <cell r="AR116">
            <v>0</v>
          </cell>
          <cell r="AS116">
            <v>0</v>
          </cell>
          <cell r="AT116">
            <v>0</v>
          </cell>
          <cell r="AU116">
            <v>0</v>
          </cell>
          <cell r="AV116">
            <v>119.5</v>
          </cell>
          <cell r="AW116">
            <v>0</v>
          </cell>
          <cell r="AX116">
            <v>30</v>
          </cell>
          <cell r="AY116">
            <v>21</v>
          </cell>
          <cell r="AZ116">
            <v>30</v>
          </cell>
          <cell r="CF116">
            <v>23</v>
          </cell>
          <cell r="CG116">
            <v>60</v>
          </cell>
          <cell r="CH116">
            <v>6</v>
          </cell>
          <cell r="CM116">
            <v>123</v>
          </cell>
          <cell r="CN116" t="str">
            <v>Owed 23 hours overtime extra overtime from 25th to 28th and 30th October'2008. Owed 123 rials Eid bonus, 60 hours 200%, 6 days desert allowance for Eid Al Adhah'2008 from 8th to 13th December'2008.</v>
          </cell>
        </row>
        <row r="117">
          <cell r="B117">
            <v>322</v>
          </cell>
          <cell r="D117" t="str">
            <v>Mustafa Khanfar Bukheit Al Shakily</v>
          </cell>
          <cell r="E117" t="str">
            <v>Labour / Asst Junior Observer</v>
          </cell>
          <cell r="G117" t="str">
            <v>N/A</v>
          </cell>
          <cell r="H117">
            <v>38155</v>
          </cell>
          <cell r="I117" t="str">
            <v>A</v>
          </cell>
          <cell r="J117" t="str">
            <v>Sh:2</v>
          </cell>
          <cell r="K117" t="str">
            <v>L</v>
          </cell>
          <cell r="L117" t="str">
            <v>L</v>
          </cell>
          <cell r="M117">
            <v>2.5</v>
          </cell>
          <cell r="N117">
            <v>2.5</v>
          </cell>
          <cell r="O117">
            <v>2.5</v>
          </cell>
          <cell r="P117" t="str">
            <v>L</v>
          </cell>
          <cell r="Q117" t="str">
            <v>L</v>
          </cell>
          <cell r="R117">
            <v>4</v>
          </cell>
          <cell r="S117">
            <v>4</v>
          </cell>
          <cell r="T117">
            <v>4</v>
          </cell>
          <cell r="U117">
            <v>4</v>
          </cell>
          <cell r="V117">
            <v>4</v>
          </cell>
          <cell r="W117">
            <v>4</v>
          </cell>
          <cell r="X117">
            <v>4</v>
          </cell>
          <cell r="Y117">
            <v>4</v>
          </cell>
          <cell r="Z117">
            <v>4</v>
          </cell>
          <cell r="AA117">
            <v>4</v>
          </cell>
          <cell r="AB117">
            <v>4</v>
          </cell>
          <cell r="AC117">
            <v>4</v>
          </cell>
          <cell r="AD117">
            <v>4</v>
          </cell>
          <cell r="AE117">
            <v>4</v>
          </cell>
          <cell r="AF117">
            <v>4</v>
          </cell>
          <cell r="AG117">
            <v>4</v>
          </cell>
          <cell r="AH117">
            <v>4</v>
          </cell>
          <cell r="AI117">
            <v>4</v>
          </cell>
          <cell r="AJ117">
            <v>12</v>
          </cell>
          <cell r="AK117">
            <v>12</v>
          </cell>
          <cell r="AL117">
            <v>4</v>
          </cell>
          <cell r="AM117">
            <v>4</v>
          </cell>
          <cell r="AN117">
            <v>4</v>
          </cell>
          <cell r="AO117" t="str">
            <v>x</v>
          </cell>
          <cell r="AP117">
            <v>26</v>
          </cell>
          <cell r="AQ117">
            <v>4</v>
          </cell>
          <cell r="AR117">
            <v>0</v>
          </cell>
          <cell r="AS117">
            <v>0</v>
          </cell>
          <cell r="AT117">
            <v>0</v>
          </cell>
          <cell r="AU117">
            <v>0</v>
          </cell>
          <cell r="AV117">
            <v>91.5</v>
          </cell>
          <cell r="AW117">
            <v>24</v>
          </cell>
          <cell r="AX117">
            <v>30</v>
          </cell>
          <cell r="AY117">
            <v>26</v>
          </cell>
          <cell r="AZ117">
            <v>30</v>
          </cell>
          <cell r="CF117">
            <v>65</v>
          </cell>
          <cell r="CG117">
            <v>72</v>
          </cell>
          <cell r="CH117">
            <v>3</v>
          </cell>
          <cell r="CM117">
            <v>123</v>
          </cell>
          <cell r="CN117" t="str">
            <v xml:space="preserve">Deducted 3 days desert allowance, 12 hours overtime take leave on 22nd to 24th October'2008. Owed 77 hours overtime extra overtime from 2nd to 7th and 17th to 21st October'2008.  Owed 123 rials Eid bonus, 72 hours 200%, 6 days desert allowance for Eid Al </v>
          </cell>
        </row>
        <row r="118">
          <cell r="B118">
            <v>323</v>
          </cell>
          <cell r="D118" t="str">
            <v>Said Batti Ziyad Al Ghafri</v>
          </cell>
          <cell r="E118" t="str">
            <v>Labour / Cable</v>
          </cell>
          <cell r="G118" t="str">
            <v>N/A</v>
          </cell>
          <cell r="H118">
            <v>38155</v>
          </cell>
          <cell r="I118" t="str">
            <v>A</v>
          </cell>
          <cell r="J118" t="str">
            <v>Sh:1</v>
          </cell>
          <cell r="K118">
            <v>4</v>
          </cell>
          <cell r="L118">
            <v>4</v>
          </cell>
          <cell r="M118">
            <v>4</v>
          </cell>
          <cell r="N118">
            <v>4</v>
          </cell>
          <cell r="O118">
            <v>4</v>
          </cell>
          <cell r="P118">
            <v>4</v>
          </cell>
          <cell r="Q118">
            <v>4</v>
          </cell>
          <cell r="R118">
            <v>4</v>
          </cell>
          <cell r="S118">
            <v>4</v>
          </cell>
          <cell r="T118">
            <v>4</v>
          </cell>
          <cell r="U118">
            <v>4</v>
          </cell>
          <cell r="V118">
            <v>4</v>
          </cell>
          <cell r="W118">
            <v>4</v>
          </cell>
          <cell r="X118">
            <v>4</v>
          </cell>
          <cell r="Y118">
            <v>4</v>
          </cell>
          <cell r="Z118">
            <v>4</v>
          </cell>
          <cell r="AA118">
            <v>4</v>
          </cell>
          <cell r="AB118">
            <v>4</v>
          </cell>
          <cell r="AC118">
            <v>4</v>
          </cell>
          <cell r="AD118">
            <v>4</v>
          </cell>
          <cell r="AE118">
            <v>4</v>
          </cell>
          <cell r="AF118" t="str">
            <v>L</v>
          </cell>
          <cell r="AG118" t="str">
            <v>L</v>
          </cell>
          <cell r="AH118" t="str">
            <v>L</v>
          </cell>
          <cell r="AI118" t="str">
            <v>L</v>
          </cell>
          <cell r="AJ118" t="str">
            <v>L</v>
          </cell>
          <cell r="AK118" t="str">
            <v>L</v>
          </cell>
          <cell r="AL118" t="str">
            <v>L</v>
          </cell>
          <cell r="AM118" t="str">
            <v>L</v>
          </cell>
          <cell r="AN118" t="str">
            <v>L</v>
          </cell>
          <cell r="AO118" t="str">
            <v>x</v>
          </cell>
          <cell r="AP118">
            <v>21</v>
          </cell>
          <cell r="AQ118">
            <v>9</v>
          </cell>
          <cell r="AR118">
            <v>0</v>
          </cell>
          <cell r="AS118">
            <v>0</v>
          </cell>
          <cell r="AT118">
            <v>0</v>
          </cell>
          <cell r="AU118">
            <v>0</v>
          </cell>
          <cell r="AV118">
            <v>84</v>
          </cell>
          <cell r="AW118">
            <v>0</v>
          </cell>
          <cell r="AX118">
            <v>30</v>
          </cell>
          <cell r="AY118">
            <v>21</v>
          </cell>
          <cell r="AZ118">
            <v>30</v>
          </cell>
          <cell r="CF118">
            <v>44</v>
          </cell>
          <cell r="CN118" t="str">
            <v>Owed 44 hours overtime extra overtime from 2nd to 7th and 25th to 31st October'2008.</v>
          </cell>
        </row>
        <row r="119">
          <cell r="B119">
            <v>326</v>
          </cell>
          <cell r="D119" t="str">
            <v>Mohammed Salim Ghanim Al Ghafri</v>
          </cell>
          <cell r="E119" t="str">
            <v>Asst Junior Observer</v>
          </cell>
          <cell r="G119" t="str">
            <v>N/A</v>
          </cell>
          <cell r="H119">
            <v>38155</v>
          </cell>
          <cell r="I119" t="str">
            <v>C1</v>
          </cell>
          <cell r="J119" t="str">
            <v>Sh:1</v>
          </cell>
          <cell r="K119">
            <v>13</v>
          </cell>
          <cell r="L119">
            <v>13</v>
          </cell>
          <cell r="M119">
            <v>13</v>
          </cell>
          <cell r="N119">
            <v>13</v>
          </cell>
          <cell r="O119">
            <v>13</v>
          </cell>
          <cell r="P119">
            <v>13</v>
          </cell>
          <cell r="Q119">
            <v>13</v>
          </cell>
          <cell r="R119">
            <v>13</v>
          </cell>
          <cell r="S119">
            <v>13</v>
          </cell>
          <cell r="T119">
            <v>13</v>
          </cell>
          <cell r="U119">
            <v>13</v>
          </cell>
          <cell r="V119">
            <v>13</v>
          </cell>
          <cell r="W119">
            <v>13</v>
          </cell>
          <cell r="X119">
            <v>13</v>
          </cell>
          <cell r="Y119">
            <v>13</v>
          </cell>
          <cell r="Z119">
            <v>13</v>
          </cell>
          <cell r="AA119">
            <v>13</v>
          </cell>
          <cell r="AB119">
            <v>13</v>
          </cell>
          <cell r="AC119">
            <v>13</v>
          </cell>
          <cell r="AD119">
            <v>13</v>
          </cell>
          <cell r="AE119">
            <v>4</v>
          </cell>
          <cell r="AF119" t="str">
            <v>L</v>
          </cell>
          <cell r="AG119" t="str">
            <v>L</v>
          </cell>
          <cell r="AH119" t="str">
            <v>L</v>
          </cell>
          <cell r="AI119" t="str">
            <v>L</v>
          </cell>
          <cell r="AJ119" t="str">
            <v>L</v>
          </cell>
          <cell r="AK119" t="str">
            <v>L</v>
          </cell>
          <cell r="AL119" t="str">
            <v>L</v>
          </cell>
          <cell r="AM119" t="str">
            <v>L</v>
          </cell>
          <cell r="AN119" t="str">
            <v>L</v>
          </cell>
          <cell r="AO119" t="str">
            <v>x</v>
          </cell>
          <cell r="AP119">
            <v>21</v>
          </cell>
          <cell r="AQ119">
            <v>9</v>
          </cell>
          <cell r="AR119">
            <v>0</v>
          </cell>
          <cell r="AS119">
            <v>0</v>
          </cell>
          <cell r="AT119">
            <v>0</v>
          </cell>
          <cell r="AU119">
            <v>0</v>
          </cell>
          <cell r="AV119">
            <v>264</v>
          </cell>
          <cell r="AW119">
            <v>0</v>
          </cell>
          <cell r="AX119">
            <v>30</v>
          </cell>
          <cell r="AY119">
            <v>21</v>
          </cell>
          <cell r="AZ119">
            <v>30</v>
          </cell>
          <cell r="CF119">
            <v>108</v>
          </cell>
          <cell r="CH119">
            <v>4</v>
          </cell>
          <cell r="CN119" t="str">
            <v>Owed 98 hours overtime extra overtime from 2nd to 7th and 25th to 31st October'2008. Owed 4 days desert allowance, 10 hours overtime went driving cours on 7th to 8th and 10th September'2008.</v>
          </cell>
        </row>
        <row r="120">
          <cell r="B120">
            <v>328</v>
          </cell>
          <cell r="D120" t="str">
            <v>Khalid Yasir Twalib Al Nasseri</v>
          </cell>
          <cell r="E120" t="str">
            <v>Asst Junior Observer</v>
          </cell>
          <cell r="G120" t="str">
            <v>N/A</v>
          </cell>
          <cell r="H120">
            <v>38161</v>
          </cell>
          <cell r="I120" t="str">
            <v>C1</v>
          </cell>
          <cell r="J120" t="str">
            <v>Sh:3</v>
          </cell>
          <cell r="K120">
            <v>13</v>
          </cell>
          <cell r="L120">
            <v>13</v>
          </cell>
          <cell r="M120">
            <v>13</v>
          </cell>
          <cell r="N120">
            <v>13</v>
          </cell>
          <cell r="O120">
            <v>13</v>
          </cell>
          <cell r="P120">
            <v>13</v>
          </cell>
          <cell r="Q120">
            <v>4</v>
          </cell>
          <cell r="R120" t="str">
            <v>L</v>
          </cell>
          <cell r="S120" t="str">
            <v>L</v>
          </cell>
          <cell r="T120" t="str">
            <v>L</v>
          </cell>
          <cell r="U120" t="str">
            <v>L</v>
          </cell>
          <cell r="V120" t="str">
            <v>L</v>
          </cell>
          <cell r="W120" t="str">
            <v>L</v>
          </cell>
          <cell r="X120" t="str">
            <v>L</v>
          </cell>
          <cell r="Y120" t="str">
            <v>L</v>
          </cell>
          <cell r="Z120" t="str">
            <v>L</v>
          </cell>
          <cell r="AA120" t="str">
            <v>L</v>
          </cell>
          <cell r="AB120" t="str">
            <v>L</v>
          </cell>
          <cell r="AC120" t="str">
            <v>L</v>
          </cell>
          <cell r="AD120" t="str">
            <v>L</v>
          </cell>
          <cell r="AE120" t="str">
            <v>L</v>
          </cell>
          <cell r="AF120">
            <v>4</v>
          </cell>
          <cell r="AG120">
            <v>4</v>
          </cell>
          <cell r="AH120">
            <v>4</v>
          </cell>
          <cell r="AI120">
            <v>4</v>
          </cell>
          <cell r="AJ120">
            <v>12</v>
          </cell>
          <cell r="AK120">
            <v>12</v>
          </cell>
          <cell r="AL120">
            <v>4</v>
          </cell>
          <cell r="AM120">
            <v>4</v>
          </cell>
          <cell r="AN120">
            <v>4</v>
          </cell>
          <cell r="AO120" t="str">
            <v>x</v>
          </cell>
          <cell r="AP120">
            <v>16</v>
          </cell>
          <cell r="AQ120">
            <v>14</v>
          </cell>
          <cell r="AR120">
            <v>0</v>
          </cell>
          <cell r="AS120">
            <v>0</v>
          </cell>
          <cell r="AT120">
            <v>0</v>
          </cell>
          <cell r="AU120">
            <v>0</v>
          </cell>
          <cell r="AV120">
            <v>110</v>
          </cell>
          <cell r="AW120">
            <v>24</v>
          </cell>
          <cell r="AX120">
            <v>30</v>
          </cell>
          <cell r="AY120">
            <v>16</v>
          </cell>
          <cell r="AZ120">
            <v>30</v>
          </cell>
          <cell r="CF120">
            <v>112.5</v>
          </cell>
          <cell r="CN120" t="str">
            <v>Owed 112.5 hours overtime extra overtime from 13th and 17th to to 31st October'2008.</v>
          </cell>
        </row>
        <row r="121">
          <cell r="B121">
            <v>329</v>
          </cell>
          <cell r="D121" t="str">
            <v>Said Salim Amir Al Harasi</v>
          </cell>
          <cell r="E121" t="str">
            <v>Labour / Chain Crew</v>
          </cell>
          <cell r="G121" t="str">
            <v>N/A</v>
          </cell>
          <cell r="H121">
            <v>38161</v>
          </cell>
          <cell r="I121" t="str">
            <v>A</v>
          </cell>
          <cell r="J121" t="str">
            <v>Sh:3</v>
          </cell>
          <cell r="K121">
            <v>8</v>
          </cell>
          <cell r="L121">
            <v>8</v>
          </cell>
          <cell r="M121">
            <v>8</v>
          </cell>
          <cell r="N121">
            <v>2</v>
          </cell>
          <cell r="O121">
            <v>8</v>
          </cell>
          <cell r="P121">
            <v>8</v>
          </cell>
          <cell r="Q121">
            <v>2</v>
          </cell>
          <cell r="R121" t="str">
            <v>L</v>
          </cell>
          <cell r="S121" t="str">
            <v>L</v>
          </cell>
          <cell r="T121" t="str">
            <v>L</v>
          </cell>
          <cell r="U121" t="str">
            <v>L</v>
          </cell>
          <cell r="V121" t="str">
            <v>L</v>
          </cell>
          <cell r="W121" t="str">
            <v>L</v>
          </cell>
          <cell r="X121" t="str">
            <v>L</v>
          </cell>
          <cell r="Y121" t="str">
            <v>L</v>
          </cell>
          <cell r="Z121" t="str">
            <v>L</v>
          </cell>
          <cell r="AA121" t="str">
            <v>L</v>
          </cell>
          <cell r="AB121" t="str">
            <v>L</v>
          </cell>
          <cell r="AC121" t="str">
            <v>L</v>
          </cell>
          <cell r="AD121" t="str">
            <v>L</v>
          </cell>
          <cell r="AE121" t="str">
            <v>L</v>
          </cell>
          <cell r="AF121">
            <v>2</v>
          </cell>
          <cell r="AG121">
            <v>2</v>
          </cell>
          <cell r="AH121">
            <v>2</v>
          </cell>
          <cell r="AI121">
            <v>2</v>
          </cell>
          <cell r="AJ121">
            <v>10</v>
          </cell>
          <cell r="AK121">
            <v>10</v>
          </cell>
          <cell r="AL121">
            <v>2</v>
          </cell>
          <cell r="AM121">
            <v>2</v>
          </cell>
          <cell r="AN121">
            <v>2</v>
          </cell>
          <cell r="AO121" t="str">
            <v>x</v>
          </cell>
          <cell r="AP121">
            <v>16</v>
          </cell>
          <cell r="AQ121">
            <v>14</v>
          </cell>
          <cell r="AR121">
            <v>0</v>
          </cell>
          <cell r="AS121">
            <v>0</v>
          </cell>
          <cell r="AT121">
            <v>0</v>
          </cell>
          <cell r="AU121">
            <v>0</v>
          </cell>
          <cell r="AV121">
            <v>58</v>
          </cell>
          <cell r="AW121">
            <v>20</v>
          </cell>
          <cell r="AX121">
            <v>30</v>
          </cell>
          <cell r="AY121">
            <v>16</v>
          </cell>
          <cell r="AZ121">
            <v>30</v>
          </cell>
          <cell r="CF121">
            <v>60</v>
          </cell>
          <cell r="CG121">
            <v>60</v>
          </cell>
          <cell r="CH121">
            <v>6</v>
          </cell>
          <cell r="CM121">
            <v>123</v>
          </cell>
          <cell r="CN121" t="str">
            <v>Owed 60 hours overtime extra overtime from 16th and 18th to 31st October'2008. Owed 123 rials Eid bonus, 60 hours 200%, 6 days desert allowance for Eid Al Adhah'2008 from 8th to 13th December'2008.</v>
          </cell>
        </row>
        <row r="122">
          <cell r="B122">
            <v>331</v>
          </cell>
          <cell r="D122" t="str">
            <v>Zayid Abdullah Salim Al Attabi</v>
          </cell>
          <cell r="E122" t="str">
            <v>Labour / Chain Crew</v>
          </cell>
          <cell r="G122" t="str">
            <v>N/A</v>
          </cell>
          <cell r="H122">
            <v>38192</v>
          </cell>
          <cell r="I122" t="str">
            <v>A</v>
          </cell>
          <cell r="J122" t="str">
            <v>Sh:3</v>
          </cell>
          <cell r="K122">
            <v>2</v>
          </cell>
          <cell r="L122">
            <v>2</v>
          </cell>
          <cell r="M122">
            <v>2</v>
          </cell>
          <cell r="N122">
            <v>2</v>
          </cell>
          <cell r="O122">
            <v>2</v>
          </cell>
          <cell r="P122">
            <v>2</v>
          </cell>
          <cell r="Q122">
            <v>2</v>
          </cell>
          <cell r="R122" t="str">
            <v>L</v>
          </cell>
          <cell r="S122" t="str">
            <v>L</v>
          </cell>
          <cell r="T122" t="str">
            <v>L</v>
          </cell>
          <cell r="U122" t="str">
            <v>L</v>
          </cell>
          <cell r="V122" t="str">
            <v>L</v>
          </cell>
          <cell r="W122" t="str">
            <v>L</v>
          </cell>
          <cell r="X122" t="str">
            <v>L</v>
          </cell>
          <cell r="Y122" t="str">
            <v>L</v>
          </cell>
          <cell r="Z122" t="str">
            <v>L</v>
          </cell>
          <cell r="AA122" t="str">
            <v>L</v>
          </cell>
          <cell r="AB122" t="str">
            <v>L</v>
          </cell>
          <cell r="AC122" t="str">
            <v>L</v>
          </cell>
          <cell r="AD122" t="str">
            <v>L</v>
          </cell>
          <cell r="AE122" t="str">
            <v>L</v>
          </cell>
          <cell r="AF122">
            <v>2</v>
          </cell>
          <cell r="AG122">
            <v>2</v>
          </cell>
          <cell r="AH122">
            <v>2</v>
          </cell>
          <cell r="AI122">
            <v>2</v>
          </cell>
          <cell r="AJ122">
            <v>10</v>
          </cell>
          <cell r="AK122">
            <v>10</v>
          </cell>
          <cell r="AL122">
            <v>2</v>
          </cell>
          <cell r="AM122">
            <v>2</v>
          </cell>
          <cell r="AN122">
            <v>2</v>
          </cell>
          <cell r="AO122" t="str">
            <v>x</v>
          </cell>
          <cell r="AP122">
            <v>16</v>
          </cell>
          <cell r="AQ122">
            <v>14</v>
          </cell>
          <cell r="AR122">
            <v>0</v>
          </cell>
          <cell r="AS122">
            <v>0</v>
          </cell>
          <cell r="AT122">
            <v>0</v>
          </cell>
          <cell r="AU122">
            <v>0</v>
          </cell>
          <cell r="AV122">
            <v>28</v>
          </cell>
          <cell r="AW122">
            <v>20</v>
          </cell>
          <cell r="AX122">
            <v>30</v>
          </cell>
          <cell r="AY122">
            <v>16</v>
          </cell>
          <cell r="AZ122">
            <v>30</v>
          </cell>
        </row>
        <row r="123">
          <cell r="B123">
            <v>336</v>
          </cell>
          <cell r="D123" t="str">
            <v>Suliman Suliyam Al Dara'I</v>
          </cell>
          <cell r="E123" t="str">
            <v>Vibe Operator</v>
          </cell>
          <cell r="G123" t="str">
            <v>N/A</v>
          </cell>
          <cell r="H123">
            <v>38185</v>
          </cell>
          <cell r="I123" t="str">
            <v>E</v>
          </cell>
          <cell r="J123" t="str">
            <v>Sh:3</v>
          </cell>
          <cell r="K123">
            <v>8</v>
          </cell>
          <cell r="L123">
            <v>8</v>
          </cell>
          <cell r="M123">
            <v>8</v>
          </cell>
          <cell r="N123">
            <v>8</v>
          </cell>
          <cell r="O123">
            <v>8</v>
          </cell>
          <cell r="P123">
            <v>8</v>
          </cell>
          <cell r="Q123">
            <v>8</v>
          </cell>
          <cell r="R123" t="str">
            <v>L</v>
          </cell>
          <cell r="S123" t="str">
            <v>L</v>
          </cell>
          <cell r="T123" t="str">
            <v>L</v>
          </cell>
          <cell r="U123" t="str">
            <v>L</v>
          </cell>
          <cell r="V123" t="str">
            <v>L</v>
          </cell>
          <cell r="W123" t="str">
            <v>L</v>
          </cell>
          <cell r="X123" t="str">
            <v>L</v>
          </cell>
          <cell r="Y123" t="str">
            <v>L</v>
          </cell>
          <cell r="Z123" t="str">
            <v>L</v>
          </cell>
          <cell r="AA123" t="str">
            <v>L</v>
          </cell>
          <cell r="AB123" t="str">
            <v>L</v>
          </cell>
          <cell r="AC123" t="str">
            <v>L</v>
          </cell>
          <cell r="AD123" t="str">
            <v>L</v>
          </cell>
          <cell r="AE123" t="str">
            <v>L</v>
          </cell>
          <cell r="AF123">
            <v>9</v>
          </cell>
          <cell r="AG123">
            <v>9</v>
          </cell>
          <cell r="AH123">
            <v>9</v>
          </cell>
          <cell r="AI123">
            <v>9</v>
          </cell>
          <cell r="AJ123">
            <v>17</v>
          </cell>
          <cell r="AK123">
            <v>17</v>
          </cell>
          <cell r="AL123">
            <v>9</v>
          </cell>
          <cell r="AM123">
            <v>9</v>
          </cell>
          <cell r="AN123">
            <v>9</v>
          </cell>
          <cell r="AO123" t="str">
            <v>x</v>
          </cell>
          <cell r="AP123">
            <v>16</v>
          </cell>
          <cell r="AQ123">
            <v>14</v>
          </cell>
          <cell r="AR123">
            <v>0</v>
          </cell>
          <cell r="AS123">
            <v>0</v>
          </cell>
          <cell r="AT123">
            <v>0</v>
          </cell>
          <cell r="AU123">
            <v>0</v>
          </cell>
          <cell r="AV123">
            <v>119</v>
          </cell>
          <cell r="AW123">
            <v>34</v>
          </cell>
          <cell r="AX123">
            <v>30</v>
          </cell>
          <cell r="AY123">
            <v>16</v>
          </cell>
          <cell r="AZ123">
            <v>30</v>
          </cell>
        </row>
        <row r="124">
          <cell r="B124">
            <v>338</v>
          </cell>
          <cell r="D124" t="str">
            <v>Ahmed Saif Muhana Al Hashimy</v>
          </cell>
          <cell r="E124" t="str">
            <v>Asst Mech Auto Electrical ' Workshop '</v>
          </cell>
          <cell r="G124" t="str">
            <v>N/A</v>
          </cell>
          <cell r="H124">
            <v>38196</v>
          </cell>
          <cell r="I124" t="str">
            <v>A</v>
          </cell>
          <cell r="J124" t="str">
            <v>Sh:3</v>
          </cell>
          <cell r="K124">
            <v>2</v>
          </cell>
          <cell r="L124">
            <v>2</v>
          </cell>
          <cell r="M124">
            <v>2</v>
          </cell>
          <cell r="N124">
            <v>2</v>
          </cell>
          <cell r="O124">
            <v>2</v>
          </cell>
          <cell r="P124">
            <v>2</v>
          </cell>
          <cell r="Q124">
            <v>2</v>
          </cell>
          <cell r="R124" t="str">
            <v>L</v>
          </cell>
          <cell r="S124" t="str">
            <v>L</v>
          </cell>
          <cell r="T124" t="str">
            <v>L</v>
          </cell>
          <cell r="U124" t="str">
            <v>L</v>
          </cell>
          <cell r="V124" t="str">
            <v>L</v>
          </cell>
          <cell r="W124" t="str">
            <v>L</v>
          </cell>
          <cell r="X124" t="str">
            <v>L</v>
          </cell>
          <cell r="Y124" t="str">
            <v>L</v>
          </cell>
          <cell r="Z124" t="str">
            <v>L</v>
          </cell>
          <cell r="AA124" t="str">
            <v>L</v>
          </cell>
          <cell r="AB124" t="str">
            <v>L</v>
          </cell>
          <cell r="AC124" t="str">
            <v>L</v>
          </cell>
          <cell r="AD124" t="str">
            <v>L</v>
          </cell>
          <cell r="AE124" t="str">
            <v>L</v>
          </cell>
          <cell r="AF124">
            <v>2</v>
          </cell>
          <cell r="AG124">
            <v>2</v>
          </cell>
          <cell r="AH124">
            <v>2</v>
          </cell>
          <cell r="AI124">
            <v>2</v>
          </cell>
          <cell r="AJ124">
            <v>10</v>
          </cell>
          <cell r="AK124">
            <v>10</v>
          </cell>
          <cell r="AL124">
            <v>2</v>
          </cell>
          <cell r="AM124">
            <v>2</v>
          </cell>
          <cell r="AN124">
            <v>2</v>
          </cell>
          <cell r="AO124" t="str">
            <v>x</v>
          </cell>
          <cell r="AP124">
            <v>16</v>
          </cell>
          <cell r="AQ124">
            <v>14</v>
          </cell>
          <cell r="AR124">
            <v>0</v>
          </cell>
          <cell r="AS124">
            <v>0</v>
          </cell>
          <cell r="AT124">
            <v>0</v>
          </cell>
          <cell r="AU124">
            <v>0</v>
          </cell>
          <cell r="AV124">
            <v>28</v>
          </cell>
          <cell r="AW124">
            <v>20</v>
          </cell>
          <cell r="AX124">
            <v>30</v>
          </cell>
          <cell r="AY124">
            <v>16</v>
          </cell>
          <cell r="AZ124">
            <v>30</v>
          </cell>
          <cell r="CF124">
            <v>125</v>
          </cell>
          <cell r="CG124">
            <v>60</v>
          </cell>
          <cell r="CH124">
            <v>6</v>
          </cell>
          <cell r="CM124">
            <v>123</v>
          </cell>
          <cell r="CN124" t="str">
            <v>Owed 125 hours overtime extra overtime from 2nd to 4th and 11th to 31st October'2008. Owed 123 rials Eid bonus, 60 hours 200%, 6 days desert allowance for Eid Al Adhah'2008 from 8th to 13th December'2008.</v>
          </cell>
        </row>
        <row r="125">
          <cell r="B125">
            <v>339</v>
          </cell>
          <cell r="D125" t="str">
            <v>Soud Salim Ali Al Abri</v>
          </cell>
          <cell r="E125" t="str">
            <v>Asst Mech Auto AC Mech ' Workshop '</v>
          </cell>
          <cell r="G125" t="str">
            <v>N/A</v>
          </cell>
          <cell r="H125">
            <v>38196</v>
          </cell>
          <cell r="I125" t="str">
            <v>A</v>
          </cell>
          <cell r="J125" t="str">
            <v>Sh:1</v>
          </cell>
          <cell r="K125">
            <v>0</v>
          </cell>
          <cell r="L125" t="str">
            <v>A</v>
          </cell>
          <cell r="M125">
            <v>2</v>
          </cell>
          <cell r="N125">
            <v>2</v>
          </cell>
          <cell r="O125">
            <v>2</v>
          </cell>
          <cell r="P125">
            <v>2</v>
          </cell>
          <cell r="Q125">
            <v>2</v>
          </cell>
          <cell r="R125">
            <v>2</v>
          </cell>
          <cell r="S125">
            <v>2</v>
          </cell>
          <cell r="T125">
            <v>2</v>
          </cell>
          <cell r="U125">
            <v>2</v>
          </cell>
          <cell r="V125">
            <v>2</v>
          </cell>
          <cell r="W125">
            <v>2</v>
          </cell>
          <cell r="X125">
            <v>2</v>
          </cell>
          <cell r="Y125">
            <v>2</v>
          </cell>
          <cell r="Z125">
            <v>2</v>
          </cell>
          <cell r="AA125">
            <v>2</v>
          </cell>
          <cell r="AB125">
            <v>2</v>
          </cell>
          <cell r="AC125">
            <v>2</v>
          </cell>
          <cell r="AD125">
            <v>2</v>
          </cell>
          <cell r="AE125">
            <v>2</v>
          </cell>
          <cell r="AF125" t="str">
            <v>L</v>
          </cell>
          <cell r="AG125" t="str">
            <v>L</v>
          </cell>
          <cell r="AH125" t="str">
            <v>L</v>
          </cell>
          <cell r="AI125" t="str">
            <v>L</v>
          </cell>
          <cell r="AJ125" t="str">
            <v>L</v>
          </cell>
          <cell r="AK125" t="str">
            <v>L</v>
          </cell>
          <cell r="AL125" t="str">
            <v>L</v>
          </cell>
          <cell r="AM125" t="str">
            <v>L</v>
          </cell>
          <cell r="AN125" t="str">
            <v>L</v>
          </cell>
          <cell r="AO125" t="str">
            <v>x</v>
          </cell>
          <cell r="AP125">
            <v>20</v>
          </cell>
          <cell r="AQ125">
            <v>9</v>
          </cell>
          <cell r="AR125">
            <v>0</v>
          </cell>
          <cell r="AS125">
            <v>0</v>
          </cell>
          <cell r="AT125">
            <v>1</v>
          </cell>
          <cell r="AU125">
            <v>0</v>
          </cell>
          <cell r="AV125">
            <v>38</v>
          </cell>
          <cell r="AW125">
            <v>0</v>
          </cell>
          <cell r="AX125">
            <v>29</v>
          </cell>
          <cell r="AY125">
            <v>20</v>
          </cell>
          <cell r="AZ125">
            <v>29</v>
          </cell>
          <cell r="CF125">
            <v>54</v>
          </cell>
          <cell r="CN125" t="str">
            <v>Owed 54 hours overtime extra overtime from 5th to 7th and 25th to 31st October'2008.</v>
          </cell>
        </row>
        <row r="126">
          <cell r="B126">
            <v>348</v>
          </cell>
          <cell r="D126" t="str">
            <v>Ali Saleh Hamood Al Ami</v>
          </cell>
          <cell r="E126" t="str">
            <v>GPS Operator</v>
          </cell>
          <cell r="G126" t="str">
            <v>N/A</v>
          </cell>
          <cell r="H126">
            <v>38334</v>
          </cell>
          <cell r="I126" t="str">
            <v>C</v>
          </cell>
          <cell r="J126" t="str">
            <v>Sh:1</v>
          </cell>
          <cell r="K126">
            <v>2</v>
          </cell>
          <cell r="L126" t="str">
            <v>L</v>
          </cell>
          <cell r="M126" t="str">
            <v>L</v>
          </cell>
          <cell r="N126">
            <v>2</v>
          </cell>
          <cell r="O126">
            <v>2</v>
          </cell>
          <cell r="P126">
            <v>2</v>
          </cell>
          <cell r="Q126">
            <v>2</v>
          </cell>
          <cell r="R126">
            <v>2</v>
          </cell>
          <cell r="S126">
            <v>2</v>
          </cell>
          <cell r="T126" t="str">
            <v>L</v>
          </cell>
          <cell r="U126">
            <v>2</v>
          </cell>
          <cell r="V126">
            <v>2</v>
          </cell>
          <cell r="W126">
            <v>2</v>
          </cell>
          <cell r="X126">
            <v>2</v>
          </cell>
          <cell r="Y126">
            <v>2.5</v>
          </cell>
          <cell r="Z126">
            <v>2.5</v>
          </cell>
          <cell r="AA126">
            <v>2.5</v>
          </cell>
          <cell r="AB126">
            <v>2.5</v>
          </cell>
          <cell r="AC126">
            <v>2.5</v>
          </cell>
          <cell r="AD126">
            <v>2.5</v>
          </cell>
          <cell r="AE126">
            <v>2.5</v>
          </cell>
          <cell r="AF126" t="str">
            <v>L</v>
          </cell>
          <cell r="AG126" t="str">
            <v>L</v>
          </cell>
          <cell r="AH126" t="str">
            <v>L</v>
          </cell>
          <cell r="AI126" t="str">
            <v>L</v>
          </cell>
          <cell r="AJ126" t="str">
            <v>L</v>
          </cell>
          <cell r="AK126" t="str">
            <v>L</v>
          </cell>
          <cell r="AL126" t="str">
            <v>L</v>
          </cell>
          <cell r="AM126" t="str">
            <v>L</v>
          </cell>
          <cell r="AN126" t="str">
            <v>L</v>
          </cell>
          <cell r="AO126" t="str">
            <v>x</v>
          </cell>
          <cell r="AP126">
            <v>18</v>
          </cell>
          <cell r="AQ126">
            <v>12</v>
          </cell>
          <cell r="AR126">
            <v>0</v>
          </cell>
          <cell r="AS126">
            <v>0</v>
          </cell>
          <cell r="AT126">
            <v>0</v>
          </cell>
          <cell r="AU126">
            <v>0</v>
          </cell>
          <cell r="AV126">
            <v>39.5</v>
          </cell>
          <cell r="AW126">
            <v>0</v>
          </cell>
          <cell r="AX126">
            <v>30</v>
          </cell>
          <cell r="AY126">
            <v>18</v>
          </cell>
          <cell r="AZ126">
            <v>30</v>
          </cell>
          <cell r="CF126">
            <v>31</v>
          </cell>
          <cell r="CG126">
            <v>63</v>
          </cell>
          <cell r="CH126">
            <v>6</v>
          </cell>
          <cell r="CM126">
            <v>123</v>
          </cell>
          <cell r="CN126" t="str">
            <v>Owed 31 hours overtime extra overtime from 26th to 27th October'2008. Owed 123 rials Eid bonus, 63 hours 200%, 6 days desert allowance for Eid Al Adhah'2008 from 8th to 13th December'2008.</v>
          </cell>
        </row>
        <row r="127">
          <cell r="B127">
            <v>354</v>
          </cell>
          <cell r="D127" t="str">
            <v>Suleiman Humaid Zaher Al Maadi</v>
          </cell>
          <cell r="E127" t="str">
            <v>Labour / Driver</v>
          </cell>
          <cell r="G127" t="str">
            <v>N/A</v>
          </cell>
          <cell r="H127">
            <v>38687</v>
          </cell>
          <cell r="I127" t="str">
            <v>A</v>
          </cell>
          <cell r="J127" t="str">
            <v>Sh:1</v>
          </cell>
          <cell r="K127">
            <v>2.5</v>
          </cell>
          <cell r="L127">
            <v>6.5</v>
          </cell>
          <cell r="M127">
            <v>6.5</v>
          </cell>
          <cell r="N127">
            <v>6.5</v>
          </cell>
          <cell r="O127">
            <v>6.5</v>
          </cell>
          <cell r="P127">
            <v>6.5</v>
          </cell>
          <cell r="Q127">
            <v>6.5</v>
          </cell>
          <cell r="R127">
            <v>6.5</v>
          </cell>
          <cell r="S127">
            <v>6.5</v>
          </cell>
          <cell r="T127">
            <v>6.5</v>
          </cell>
          <cell r="U127">
            <v>6.5</v>
          </cell>
          <cell r="V127">
            <v>6.5</v>
          </cell>
          <cell r="W127">
            <v>6.5</v>
          </cell>
          <cell r="X127">
            <v>6.5</v>
          </cell>
          <cell r="Y127">
            <v>6.5</v>
          </cell>
          <cell r="Z127">
            <v>2.5</v>
          </cell>
          <cell r="AA127">
            <v>2.5</v>
          </cell>
          <cell r="AB127">
            <v>2.5</v>
          </cell>
          <cell r="AC127">
            <v>2.5</v>
          </cell>
          <cell r="AD127">
            <v>2.5</v>
          </cell>
          <cell r="AE127">
            <v>2.5</v>
          </cell>
          <cell r="AF127" t="str">
            <v>L</v>
          </cell>
          <cell r="AG127" t="str">
            <v>L</v>
          </cell>
          <cell r="AH127" t="str">
            <v>L</v>
          </cell>
          <cell r="AI127" t="str">
            <v>L</v>
          </cell>
          <cell r="AJ127" t="str">
            <v>L</v>
          </cell>
          <cell r="AK127" t="str">
            <v>L</v>
          </cell>
          <cell r="AL127" t="str">
            <v>L</v>
          </cell>
          <cell r="AM127" t="str">
            <v>L</v>
          </cell>
          <cell r="AN127" t="str">
            <v>L</v>
          </cell>
          <cell r="AO127" t="str">
            <v>x</v>
          </cell>
          <cell r="AP127">
            <v>21</v>
          </cell>
          <cell r="AQ127">
            <v>9</v>
          </cell>
          <cell r="AR127">
            <v>0</v>
          </cell>
          <cell r="AS127">
            <v>0</v>
          </cell>
          <cell r="AT127">
            <v>0</v>
          </cell>
          <cell r="AU127">
            <v>0</v>
          </cell>
          <cell r="AV127">
            <v>108.5</v>
          </cell>
          <cell r="AW127">
            <v>0</v>
          </cell>
          <cell r="AX127">
            <v>30</v>
          </cell>
          <cell r="AY127">
            <v>21</v>
          </cell>
          <cell r="AZ127">
            <v>30</v>
          </cell>
          <cell r="CF127">
            <v>-2.5</v>
          </cell>
          <cell r="CG127">
            <v>63</v>
          </cell>
          <cell r="CH127">
            <v>6</v>
          </cell>
          <cell r="CM127">
            <v>123</v>
          </cell>
          <cell r="CN127" t="str">
            <v>Deducted 2.5 hours overtime on 28th October'2008 leaft crew. Owed 123 rials Eid bonus, 63 hours 200%, 6 days desert allowance for Eid Al Adhah'2008 from 8th to 13th December'2008.</v>
          </cell>
        </row>
        <row r="128">
          <cell r="B128">
            <v>355</v>
          </cell>
          <cell r="D128" t="str">
            <v>Abdullah Khamis Salim Al Harrasi</v>
          </cell>
          <cell r="E128" t="str">
            <v>Labour / Chain Crew</v>
          </cell>
          <cell r="G128" t="str">
            <v>N/A</v>
          </cell>
          <cell r="H128">
            <v>38687</v>
          </cell>
          <cell r="I128" t="str">
            <v>A</v>
          </cell>
          <cell r="J128" t="str">
            <v>Sh:1</v>
          </cell>
          <cell r="K128">
            <v>7.5</v>
          </cell>
          <cell r="L128">
            <v>2</v>
          </cell>
          <cell r="M128">
            <v>7</v>
          </cell>
          <cell r="N128">
            <v>2</v>
          </cell>
          <cell r="O128">
            <v>8</v>
          </cell>
          <cell r="P128">
            <v>8</v>
          </cell>
          <cell r="Q128">
            <v>2</v>
          </cell>
          <cell r="R128">
            <v>2</v>
          </cell>
          <cell r="S128">
            <v>8</v>
          </cell>
          <cell r="T128">
            <v>2</v>
          </cell>
          <cell r="U128">
            <v>8</v>
          </cell>
          <cell r="V128">
            <v>2</v>
          </cell>
          <cell r="W128">
            <v>8</v>
          </cell>
          <cell r="X128">
            <v>8</v>
          </cell>
          <cell r="Y128">
            <v>2</v>
          </cell>
          <cell r="Z128">
            <v>2</v>
          </cell>
          <cell r="AA128">
            <v>2</v>
          </cell>
          <cell r="AB128">
            <v>2</v>
          </cell>
          <cell r="AC128">
            <v>2</v>
          </cell>
          <cell r="AD128" t="str">
            <v>A</v>
          </cell>
          <cell r="AE128" t="str">
            <v>A</v>
          </cell>
          <cell r="AF128" t="str">
            <v>L</v>
          </cell>
          <cell r="AG128" t="str">
            <v>L</v>
          </cell>
          <cell r="AH128" t="str">
            <v>L</v>
          </cell>
          <cell r="AI128" t="str">
            <v>L</v>
          </cell>
          <cell r="AJ128" t="str">
            <v>L</v>
          </cell>
          <cell r="AK128" t="str">
            <v>L</v>
          </cell>
          <cell r="AL128" t="str">
            <v>L</v>
          </cell>
          <cell r="AM128" t="str">
            <v>L</v>
          </cell>
          <cell r="AN128" t="str">
            <v>L</v>
          </cell>
          <cell r="AO128" t="str">
            <v>x</v>
          </cell>
          <cell r="AP128">
            <v>19</v>
          </cell>
          <cell r="AQ128">
            <v>9</v>
          </cell>
          <cell r="AR128">
            <v>0</v>
          </cell>
          <cell r="AS128">
            <v>0</v>
          </cell>
          <cell r="AT128">
            <v>2</v>
          </cell>
          <cell r="AU128">
            <v>0</v>
          </cell>
          <cell r="AV128">
            <v>84.5</v>
          </cell>
          <cell r="AW128">
            <v>0</v>
          </cell>
          <cell r="AX128">
            <v>28</v>
          </cell>
          <cell r="AY128">
            <v>19</v>
          </cell>
          <cell r="AZ128">
            <v>28</v>
          </cell>
          <cell r="CG128">
            <v>60</v>
          </cell>
          <cell r="CH128">
            <v>6</v>
          </cell>
          <cell r="CM128">
            <v>123</v>
          </cell>
          <cell r="CN128" t="str">
            <v>Owed 123 rials Eid bonus, 63 hours 200%, 6 days desert allowance for Eid Al Adhah'2008 from 8th to 13th December'2008.</v>
          </cell>
        </row>
        <row r="129">
          <cell r="B129">
            <v>356</v>
          </cell>
          <cell r="D129" t="str">
            <v>Adil Khalfan Salim Al Rijbi</v>
          </cell>
          <cell r="E129" t="str">
            <v>Labour</v>
          </cell>
          <cell r="G129" t="str">
            <v>N/A</v>
          </cell>
          <cell r="H129">
            <v>38687</v>
          </cell>
          <cell r="I129" t="str">
            <v>A</v>
          </cell>
          <cell r="J129" t="str">
            <v>Sh:3</v>
          </cell>
          <cell r="K129">
            <v>6</v>
          </cell>
          <cell r="L129">
            <v>6</v>
          </cell>
          <cell r="M129">
            <v>6</v>
          </cell>
          <cell r="N129">
            <v>6</v>
          </cell>
          <cell r="O129">
            <v>6</v>
          </cell>
          <cell r="P129">
            <v>6</v>
          </cell>
          <cell r="Q129">
            <v>2</v>
          </cell>
          <cell r="R129" t="str">
            <v>L</v>
          </cell>
          <cell r="S129" t="str">
            <v>L</v>
          </cell>
          <cell r="T129" t="str">
            <v>L</v>
          </cell>
          <cell r="U129" t="str">
            <v>L</v>
          </cell>
          <cell r="V129" t="str">
            <v>L</v>
          </cell>
          <cell r="W129" t="str">
            <v>L</v>
          </cell>
          <cell r="X129" t="str">
            <v>L</v>
          </cell>
          <cell r="Y129" t="str">
            <v>L</v>
          </cell>
          <cell r="Z129" t="str">
            <v>L</v>
          </cell>
          <cell r="AA129" t="str">
            <v>L</v>
          </cell>
          <cell r="AB129" t="str">
            <v>L</v>
          </cell>
          <cell r="AC129" t="str">
            <v>L</v>
          </cell>
          <cell r="AD129" t="str">
            <v>L</v>
          </cell>
          <cell r="AE129" t="str">
            <v>L</v>
          </cell>
          <cell r="AF129">
            <v>2</v>
          </cell>
          <cell r="AG129">
            <v>2</v>
          </cell>
          <cell r="AH129">
            <v>2</v>
          </cell>
          <cell r="AI129">
            <v>2</v>
          </cell>
          <cell r="AJ129">
            <v>10</v>
          </cell>
          <cell r="AK129">
            <v>10</v>
          </cell>
          <cell r="AL129">
            <v>2</v>
          </cell>
          <cell r="AM129">
            <v>2</v>
          </cell>
          <cell r="AN129">
            <v>2</v>
          </cell>
          <cell r="AO129" t="str">
            <v>x</v>
          </cell>
          <cell r="AP129">
            <v>16</v>
          </cell>
          <cell r="AQ129">
            <v>14</v>
          </cell>
          <cell r="AR129">
            <v>0</v>
          </cell>
          <cell r="AS129">
            <v>0</v>
          </cell>
          <cell r="AT129">
            <v>0</v>
          </cell>
          <cell r="AU129">
            <v>0</v>
          </cell>
          <cell r="AV129">
            <v>52</v>
          </cell>
          <cell r="AW129">
            <v>20</v>
          </cell>
          <cell r="AX129">
            <v>30</v>
          </cell>
          <cell r="AY129">
            <v>16</v>
          </cell>
          <cell r="AZ129">
            <v>30</v>
          </cell>
          <cell r="CF129">
            <v>60</v>
          </cell>
          <cell r="CG129">
            <v>60</v>
          </cell>
          <cell r="CH129">
            <v>6</v>
          </cell>
          <cell r="CM129">
            <v>123</v>
          </cell>
          <cell r="CN129" t="str">
            <v>Owed 60 hours overtime extra overtime from 16th to 23rd and 25th to 31st October'2008. Owed 123 rials Eid bonus, 60 hours 200%, 6 days desert allowance for Eid Al Adhah'2008 from 8th to 13th December'2008.</v>
          </cell>
        </row>
        <row r="130">
          <cell r="B130">
            <v>359</v>
          </cell>
          <cell r="D130" t="str">
            <v>Hamed Ali Saif Al Hina'I</v>
          </cell>
          <cell r="E130" t="str">
            <v>Labour / Asst Junior Observer</v>
          </cell>
          <cell r="G130" t="str">
            <v>N/A</v>
          </cell>
          <cell r="H130">
            <v>38687</v>
          </cell>
          <cell r="I130" t="str">
            <v>C1</v>
          </cell>
          <cell r="J130" t="str">
            <v>Sh:1</v>
          </cell>
          <cell r="K130">
            <v>13</v>
          </cell>
          <cell r="L130">
            <v>13</v>
          </cell>
          <cell r="M130">
            <v>13</v>
          </cell>
          <cell r="N130">
            <v>13</v>
          </cell>
          <cell r="O130">
            <v>13</v>
          </cell>
          <cell r="P130">
            <v>13</v>
          </cell>
          <cell r="Q130">
            <v>13</v>
          </cell>
          <cell r="R130">
            <v>13</v>
          </cell>
          <cell r="S130">
            <v>13</v>
          </cell>
          <cell r="T130">
            <v>13</v>
          </cell>
          <cell r="U130">
            <v>13</v>
          </cell>
          <cell r="V130">
            <v>13</v>
          </cell>
          <cell r="W130">
            <v>13</v>
          </cell>
          <cell r="X130">
            <v>13</v>
          </cell>
          <cell r="Y130">
            <v>13</v>
          </cell>
          <cell r="Z130">
            <v>4</v>
          </cell>
          <cell r="AA130">
            <v>4</v>
          </cell>
          <cell r="AB130">
            <v>4</v>
          </cell>
          <cell r="AC130">
            <v>4</v>
          </cell>
          <cell r="AD130">
            <v>4</v>
          </cell>
          <cell r="AE130">
            <v>4</v>
          </cell>
          <cell r="AF130" t="str">
            <v>L</v>
          </cell>
          <cell r="AG130" t="str">
            <v>L</v>
          </cell>
          <cell r="AH130" t="str">
            <v>L</v>
          </cell>
          <cell r="AI130" t="str">
            <v>L</v>
          </cell>
          <cell r="AJ130" t="str">
            <v>L</v>
          </cell>
          <cell r="AK130" t="str">
            <v>L</v>
          </cell>
          <cell r="AL130" t="str">
            <v>L</v>
          </cell>
          <cell r="AM130" t="str">
            <v>L</v>
          </cell>
          <cell r="AN130" t="str">
            <v>L</v>
          </cell>
          <cell r="AO130" t="str">
            <v>x</v>
          </cell>
          <cell r="AP130">
            <v>21</v>
          </cell>
          <cell r="AQ130">
            <v>9</v>
          </cell>
          <cell r="AR130">
            <v>0</v>
          </cell>
          <cell r="AS130">
            <v>0</v>
          </cell>
          <cell r="AT130">
            <v>0</v>
          </cell>
          <cell r="AU130">
            <v>0</v>
          </cell>
          <cell r="AV130">
            <v>219</v>
          </cell>
          <cell r="AW130">
            <v>0</v>
          </cell>
          <cell r="AX130">
            <v>30</v>
          </cell>
          <cell r="AY130">
            <v>21</v>
          </cell>
          <cell r="AZ130">
            <v>30</v>
          </cell>
          <cell r="CF130">
            <v>56</v>
          </cell>
          <cell r="CN130" t="str">
            <v>Owed 56 hours overtime extra overtime from 25th to 31st October'2008.</v>
          </cell>
        </row>
        <row r="131">
          <cell r="B131">
            <v>360</v>
          </cell>
          <cell r="D131" t="str">
            <v>Hani Salim Abdullah Al Sharouqi</v>
          </cell>
          <cell r="E131" t="str">
            <v>Labour</v>
          </cell>
          <cell r="G131" t="str">
            <v>N/A</v>
          </cell>
          <cell r="H131">
            <v>38687</v>
          </cell>
          <cell r="I131" t="str">
            <v>A</v>
          </cell>
          <cell r="J131" t="str">
            <v>Sh:2</v>
          </cell>
          <cell r="K131" t="str">
            <v>L</v>
          </cell>
          <cell r="L131" t="str">
            <v>L</v>
          </cell>
          <cell r="M131" t="str">
            <v>L</v>
          </cell>
          <cell r="N131" t="str">
            <v>L</v>
          </cell>
          <cell r="O131" t="str">
            <v>L</v>
          </cell>
          <cell r="P131" t="str">
            <v>L</v>
          </cell>
          <cell r="Q131" t="str">
            <v>L</v>
          </cell>
          <cell r="R131">
            <v>2</v>
          </cell>
          <cell r="S131">
            <v>2</v>
          </cell>
          <cell r="T131">
            <v>2</v>
          </cell>
          <cell r="U131">
            <v>2</v>
          </cell>
          <cell r="V131">
            <v>2</v>
          </cell>
          <cell r="W131">
            <v>2</v>
          </cell>
          <cell r="X131">
            <v>2</v>
          </cell>
          <cell r="Y131">
            <v>2</v>
          </cell>
          <cell r="Z131">
            <v>2</v>
          </cell>
          <cell r="AA131">
            <v>2</v>
          </cell>
          <cell r="AB131">
            <v>2</v>
          </cell>
          <cell r="AC131">
            <v>2</v>
          </cell>
          <cell r="AD131">
            <v>2</v>
          </cell>
          <cell r="AE131">
            <v>2</v>
          </cell>
          <cell r="AF131">
            <v>2</v>
          </cell>
          <cell r="AG131">
            <v>2</v>
          </cell>
          <cell r="AH131">
            <v>2</v>
          </cell>
          <cell r="AI131">
            <v>2</v>
          </cell>
          <cell r="AJ131">
            <v>10</v>
          </cell>
          <cell r="AK131">
            <v>10</v>
          </cell>
          <cell r="AL131">
            <v>2</v>
          </cell>
          <cell r="AM131">
            <v>2</v>
          </cell>
          <cell r="AN131">
            <v>2</v>
          </cell>
          <cell r="AO131" t="str">
            <v>x</v>
          </cell>
          <cell r="AP131">
            <v>23</v>
          </cell>
          <cell r="AQ131">
            <v>7</v>
          </cell>
          <cell r="AR131">
            <v>0</v>
          </cell>
          <cell r="AS131">
            <v>0</v>
          </cell>
          <cell r="AT131">
            <v>0</v>
          </cell>
          <cell r="AU131">
            <v>0</v>
          </cell>
          <cell r="AV131">
            <v>42</v>
          </cell>
          <cell r="AW131">
            <v>20</v>
          </cell>
          <cell r="AX131">
            <v>30</v>
          </cell>
          <cell r="AY131">
            <v>23</v>
          </cell>
          <cell r="AZ131">
            <v>30</v>
          </cell>
          <cell r="CG131">
            <v>60</v>
          </cell>
          <cell r="CH131">
            <v>6</v>
          </cell>
          <cell r="CM131">
            <v>123</v>
          </cell>
          <cell r="CN131" t="str">
            <v>Owed 123 rials Eid bonus, 60 hours 200%, 6 days desert allowance for Eid Al Adhah'2008 from 8th to 13th December'2008.</v>
          </cell>
        </row>
        <row r="132">
          <cell r="B132">
            <v>361</v>
          </cell>
          <cell r="D132" t="str">
            <v>Hassan Mohammed Johar Al Ghafri</v>
          </cell>
          <cell r="E132" t="str">
            <v>Labour</v>
          </cell>
          <cell r="G132" t="str">
            <v>N/A</v>
          </cell>
          <cell r="H132">
            <v>38687</v>
          </cell>
          <cell r="I132" t="str">
            <v>A</v>
          </cell>
          <cell r="J132" t="str">
            <v>Sh:2</v>
          </cell>
          <cell r="K132" t="str">
            <v>L</v>
          </cell>
          <cell r="L132" t="str">
            <v>L</v>
          </cell>
          <cell r="M132" t="str">
            <v>L</v>
          </cell>
          <cell r="N132" t="str">
            <v>L</v>
          </cell>
          <cell r="O132" t="str">
            <v>L</v>
          </cell>
          <cell r="P132" t="str">
            <v>L</v>
          </cell>
          <cell r="Q132" t="str">
            <v>L</v>
          </cell>
          <cell r="R132">
            <v>2</v>
          </cell>
          <cell r="S132">
            <v>2</v>
          </cell>
          <cell r="T132">
            <v>6</v>
          </cell>
          <cell r="U132">
            <v>6</v>
          </cell>
          <cell r="V132">
            <v>6</v>
          </cell>
          <cell r="W132">
            <v>2</v>
          </cell>
          <cell r="X132">
            <v>2</v>
          </cell>
          <cell r="Y132">
            <v>6</v>
          </cell>
          <cell r="Z132">
            <v>2</v>
          </cell>
          <cell r="AA132">
            <v>2</v>
          </cell>
          <cell r="AB132">
            <v>2</v>
          </cell>
          <cell r="AC132">
            <v>2</v>
          </cell>
          <cell r="AD132">
            <v>2</v>
          </cell>
          <cell r="AE132">
            <v>2</v>
          </cell>
          <cell r="AF132">
            <v>2</v>
          </cell>
          <cell r="AG132">
            <v>2</v>
          </cell>
          <cell r="AH132">
            <v>2</v>
          </cell>
          <cell r="AI132">
            <v>2</v>
          </cell>
          <cell r="AJ132">
            <v>10</v>
          </cell>
          <cell r="AK132">
            <v>10</v>
          </cell>
          <cell r="AL132">
            <v>2</v>
          </cell>
          <cell r="AM132">
            <v>2</v>
          </cell>
          <cell r="AN132">
            <v>2</v>
          </cell>
          <cell r="AO132" t="str">
            <v>x</v>
          </cell>
          <cell r="AP132">
            <v>23</v>
          </cell>
          <cell r="AQ132">
            <v>7</v>
          </cell>
          <cell r="AR132">
            <v>0</v>
          </cell>
          <cell r="AS132">
            <v>0</v>
          </cell>
          <cell r="AT132">
            <v>0</v>
          </cell>
          <cell r="AU132">
            <v>0</v>
          </cell>
          <cell r="AV132">
            <v>58</v>
          </cell>
          <cell r="AW132">
            <v>20</v>
          </cell>
          <cell r="AX132">
            <v>30</v>
          </cell>
          <cell r="AY132">
            <v>23</v>
          </cell>
          <cell r="AZ132">
            <v>30</v>
          </cell>
        </row>
        <row r="133">
          <cell r="B133">
            <v>362</v>
          </cell>
          <cell r="D133" t="str">
            <v>Hilal Hamed Said Al Faruqani</v>
          </cell>
          <cell r="E133" t="str">
            <v>Labour / GPS Operator</v>
          </cell>
          <cell r="G133" t="str">
            <v>N/A</v>
          </cell>
          <cell r="H133">
            <v>38687</v>
          </cell>
          <cell r="I133" t="str">
            <v>A</v>
          </cell>
          <cell r="J133" t="str">
            <v>Sh:2</v>
          </cell>
          <cell r="K133" t="str">
            <v>L</v>
          </cell>
          <cell r="L133" t="str">
            <v>L</v>
          </cell>
          <cell r="M133" t="str">
            <v>L</v>
          </cell>
          <cell r="N133" t="str">
            <v>L</v>
          </cell>
          <cell r="O133" t="str">
            <v>L</v>
          </cell>
          <cell r="P133" t="str">
            <v>L</v>
          </cell>
          <cell r="Q133" t="str">
            <v>L</v>
          </cell>
          <cell r="R133">
            <v>2.5</v>
          </cell>
          <cell r="S133">
            <v>2.5</v>
          </cell>
          <cell r="T133">
            <v>2.5</v>
          </cell>
          <cell r="U133">
            <v>2.5</v>
          </cell>
          <cell r="V133">
            <v>2.5</v>
          </cell>
          <cell r="W133">
            <v>2.5</v>
          </cell>
          <cell r="X133">
            <v>2.5</v>
          </cell>
          <cell r="Y133">
            <v>2.5</v>
          </cell>
          <cell r="Z133">
            <v>2.5</v>
          </cell>
          <cell r="AA133">
            <v>2.5</v>
          </cell>
          <cell r="AB133">
            <v>2.5</v>
          </cell>
          <cell r="AC133">
            <v>2.5</v>
          </cell>
          <cell r="AD133">
            <v>2.5</v>
          </cell>
          <cell r="AE133">
            <v>2.5</v>
          </cell>
          <cell r="AF133">
            <v>2.5</v>
          </cell>
          <cell r="AG133">
            <v>2.5</v>
          </cell>
          <cell r="AH133">
            <v>2.5</v>
          </cell>
          <cell r="AI133">
            <v>2.5</v>
          </cell>
          <cell r="AJ133">
            <v>10.5</v>
          </cell>
          <cell r="AK133">
            <v>10.5</v>
          </cell>
          <cell r="AL133">
            <v>2.5</v>
          </cell>
          <cell r="AM133">
            <v>2.5</v>
          </cell>
          <cell r="AN133">
            <v>2.5</v>
          </cell>
          <cell r="AO133" t="str">
            <v>x</v>
          </cell>
          <cell r="AP133">
            <v>23</v>
          </cell>
          <cell r="AQ133">
            <v>7</v>
          </cell>
          <cell r="AR133">
            <v>0</v>
          </cell>
          <cell r="AS133">
            <v>0</v>
          </cell>
          <cell r="AT133">
            <v>0</v>
          </cell>
          <cell r="AU133">
            <v>0</v>
          </cell>
          <cell r="AV133">
            <v>52.5</v>
          </cell>
          <cell r="AW133">
            <v>21</v>
          </cell>
          <cell r="AX133">
            <v>30</v>
          </cell>
          <cell r="AY133">
            <v>23</v>
          </cell>
          <cell r="AZ133">
            <v>30</v>
          </cell>
          <cell r="CG133">
            <v>63</v>
          </cell>
          <cell r="CH133">
            <v>6</v>
          </cell>
          <cell r="CM133">
            <v>123</v>
          </cell>
          <cell r="CN133" t="str">
            <v>Owed 123 rials Eid bonus, 63 hours 200%, 6 days desert allowance for Eid Al Adhah'2008 from 8th to 13th December'2008.</v>
          </cell>
        </row>
        <row r="134">
          <cell r="B134">
            <v>363</v>
          </cell>
          <cell r="D134" t="str">
            <v>Imad Musabah Ziyad Al Ghafri</v>
          </cell>
          <cell r="E134" t="str">
            <v>Labour / Chain Crew</v>
          </cell>
          <cell r="G134" t="str">
            <v>N/A</v>
          </cell>
          <cell r="H134">
            <v>38687</v>
          </cell>
          <cell r="I134" t="str">
            <v>A</v>
          </cell>
          <cell r="J134" t="str">
            <v>Sh:2</v>
          </cell>
          <cell r="K134" t="str">
            <v>L</v>
          </cell>
          <cell r="L134" t="str">
            <v>L</v>
          </cell>
          <cell r="M134" t="str">
            <v>L</v>
          </cell>
          <cell r="N134" t="str">
            <v>L</v>
          </cell>
          <cell r="O134" t="str">
            <v>L</v>
          </cell>
          <cell r="P134" t="str">
            <v>L</v>
          </cell>
          <cell r="Q134" t="str">
            <v>L</v>
          </cell>
          <cell r="R134">
            <v>6</v>
          </cell>
          <cell r="S134">
            <v>6</v>
          </cell>
          <cell r="T134">
            <v>6</v>
          </cell>
          <cell r="U134">
            <v>6</v>
          </cell>
          <cell r="V134">
            <v>6</v>
          </cell>
          <cell r="W134">
            <v>6</v>
          </cell>
          <cell r="X134">
            <v>6</v>
          </cell>
          <cell r="Y134">
            <v>6</v>
          </cell>
          <cell r="Z134">
            <v>2</v>
          </cell>
          <cell r="AA134">
            <v>2</v>
          </cell>
          <cell r="AB134">
            <v>2</v>
          </cell>
          <cell r="AC134">
            <v>2</v>
          </cell>
          <cell r="AD134">
            <v>2</v>
          </cell>
          <cell r="AE134">
            <v>2</v>
          </cell>
          <cell r="AF134">
            <v>2</v>
          </cell>
          <cell r="AG134">
            <v>2</v>
          </cell>
          <cell r="AH134">
            <v>2</v>
          </cell>
          <cell r="AI134">
            <v>2</v>
          </cell>
          <cell r="AJ134">
            <v>10</v>
          </cell>
          <cell r="AK134">
            <v>10</v>
          </cell>
          <cell r="AL134">
            <v>2</v>
          </cell>
          <cell r="AM134">
            <v>2</v>
          </cell>
          <cell r="AN134">
            <v>2</v>
          </cell>
          <cell r="AO134" t="str">
            <v>x</v>
          </cell>
          <cell r="AP134">
            <v>23</v>
          </cell>
          <cell r="AQ134">
            <v>7</v>
          </cell>
          <cell r="AR134">
            <v>0</v>
          </cell>
          <cell r="AS134">
            <v>0</v>
          </cell>
          <cell r="AT134">
            <v>0</v>
          </cell>
          <cell r="AU134">
            <v>0</v>
          </cell>
          <cell r="AV134">
            <v>74</v>
          </cell>
          <cell r="AW134">
            <v>20</v>
          </cell>
          <cell r="AX134">
            <v>30</v>
          </cell>
          <cell r="AY134">
            <v>23</v>
          </cell>
          <cell r="AZ134">
            <v>30</v>
          </cell>
          <cell r="CF134">
            <v>32</v>
          </cell>
          <cell r="CN134" t="str">
            <v>Owed 32 hours overtime extra overtime from 16th 23rd October'2008.</v>
          </cell>
        </row>
        <row r="135">
          <cell r="B135">
            <v>364</v>
          </cell>
          <cell r="D135" t="str">
            <v>Issa Abdullah Muftah Al Ghafri</v>
          </cell>
          <cell r="E135" t="str">
            <v>Labour</v>
          </cell>
          <cell r="G135" t="str">
            <v>N/A</v>
          </cell>
          <cell r="H135">
            <v>38687</v>
          </cell>
          <cell r="I135" t="str">
            <v>A</v>
          </cell>
          <cell r="J135" t="str">
            <v>Sh:3</v>
          </cell>
          <cell r="K135" t="str">
            <v>L</v>
          </cell>
          <cell r="L135" t="str">
            <v>L</v>
          </cell>
          <cell r="M135" t="str">
            <v>L</v>
          </cell>
          <cell r="N135" t="str">
            <v>L</v>
          </cell>
          <cell r="O135" t="str">
            <v>L</v>
          </cell>
          <cell r="P135" t="str">
            <v>L</v>
          </cell>
          <cell r="Q135" t="str">
            <v>L</v>
          </cell>
          <cell r="R135" t="str">
            <v>L</v>
          </cell>
          <cell r="S135" t="str">
            <v>L</v>
          </cell>
          <cell r="T135" t="str">
            <v>L</v>
          </cell>
          <cell r="U135" t="str">
            <v>L</v>
          </cell>
          <cell r="V135" t="str">
            <v>L</v>
          </cell>
          <cell r="W135" t="str">
            <v>L</v>
          </cell>
          <cell r="X135" t="str">
            <v>L</v>
          </cell>
          <cell r="Y135" t="str">
            <v>L</v>
          </cell>
          <cell r="Z135" t="str">
            <v>L</v>
          </cell>
          <cell r="AA135" t="str">
            <v>L</v>
          </cell>
          <cell r="AB135" t="str">
            <v>L</v>
          </cell>
          <cell r="AC135" t="str">
            <v>L</v>
          </cell>
          <cell r="AD135" t="str">
            <v>L</v>
          </cell>
          <cell r="AE135" t="str">
            <v>L</v>
          </cell>
          <cell r="AF135">
            <v>2</v>
          </cell>
          <cell r="AG135">
            <v>2</v>
          </cell>
          <cell r="AH135">
            <v>2</v>
          </cell>
          <cell r="AI135">
            <v>2</v>
          </cell>
          <cell r="AJ135">
            <v>10</v>
          </cell>
          <cell r="AK135">
            <v>10</v>
          </cell>
          <cell r="AL135">
            <v>2</v>
          </cell>
          <cell r="AM135">
            <v>2</v>
          </cell>
          <cell r="AN135">
            <v>2</v>
          </cell>
          <cell r="AO135" t="str">
            <v>x</v>
          </cell>
          <cell r="AP135">
            <v>9</v>
          </cell>
          <cell r="AQ135">
            <v>21</v>
          </cell>
          <cell r="AR135">
            <v>0</v>
          </cell>
          <cell r="AS135">
            <v>0</v>
          </cell>
          <cell r="AT135">
            <v>0</v>
          </cell>
          <cell r="AU135">
            <v>0</v>
          </cell>
          <cell r="AV135">
            <v>14</v>
          </cell>
          <cell r="AW135">
            <v>20</v>
          </cell>
          <cell r="AX135">
            <v>30</v>
          </cell>
          <cell r="AY135">
            <v>9</v>
          </cell>
          <cell r="AZ135">
            <v>30</v>
          </cell>
        </row>
        <row r="136">
          <cell r="B136">
            <v>365</v>
          </cell>
          <cell r="D136" t="str">
            <v>Mahmoud Nasser Ali Al Hina'I</v>
          </cell>
          <cell r="E136" t="str">
            <v>Labour / Chain Crew</v>
          </cell>
          <cell r="G136" t="str">
            <v>N/A</v>
          </cell>
          <cell r="H136">
            <v>38687</v>
          </cell>
          <cell r="I136" t="str">
            <v>A</v>
          </cell>
          <cell r="J136" t="str">
            <v>Sh:1</v>
          </cell>
          <cell r="K136">
            <v>7.5</v>
          </cell>
          <cell r="L136">
            <v>2</v>
          </cell>
          <cell r="M136">
            <v>7</v>
          </cell>
          <cell r="N136">
            <v>6</v>
          </cell>
          <cell r="O136">
            <v>8</v>
          </cell>
          <cell r="P136">
            <v>8</v>
          </cell>
          <cell r="Q136">
            <v>2</v>
          </cell>
          <cell r="R136">
            <v>8</v>
          </cell>
          <cell r="S136">
            <v>8</v>
          </cell>
          <cell r="T136">
            <v>8</v>
          </cell>
          <cell r="U136">
            <v>8</v>
          </cell>
          <cell r="V136">
            <v>8</v>
          </cell>
          <cell r="W136">
            <v>8</v>
          </cell>
          <cell r="X136">
            <v>8</v>
          </cell>
          <cell r="Y136">
            <v>8</v>
          </cell>
          <cell r="Z136">
            <v>2</v>
          </cell>
          <cell r="AA136">
            <v>2</v>
          </cell>
          <cell r="AB136">
            <v>2</v>
          </cell>
          <cell r="AC136">
            <v>2</v>
          </cell>
          <cell r="AD136">
            <v>2</v>
          </cell>
          <cell r="AE136">
            <v>2</v>
          </cell>
          <cell r="AF136" t="str">
            <v>L</v>
          </cell>
          <cell r="AG136" t="str">
            <v>L</v>
          </cell>
          <cell r="AH136" t="str">
            <v>L</v>
          </cell>
          <cell r="AI136" t="str">
            <v>L</v>
          </cell>
          <cell r="AJ136" t="str">
            <v>L</v>
          </cell>
          <cell r="AK136" t="str">
            <v>L</v>
          </cell>
          <cell r="AL136" t="str">
            <v>L</v>
          </cell>
          <cell r="AM136" t="str">
            <v>L</v>
          </cell>
          <cell r="AN136" t="str">
            <v>L</v>
          </cell>
          <cell r="AO136" t="str">
            <v>x</v>
          </cell>
          <cell r="AP136">
            <v>21</v>
          </cell>
          <cell r="AQ136">
            <v>9</v>
          </cell>
          <cell r="AR136">
            <v>0</v>
          </cell>
          <cell r="AS136">
            <v>0</v>
          </cell>
          <cell r="AT136">
            <v>0</v>
          </cell>
          <cell r="AU136">
            <v>0</v>
          </cell>
          <cell r="AV136">
            <v>116.5</v>
          </cell>
          <cell r="AW136">
            <v>0</v>
          </cell>
          <cell r="AX136">
            <v>30</v>
          </cell>
          <cell r="AY136">
            <v>21</v>
          </cell>
          <cell r="AZ136">
            <v>30</v>
          </cell>
          <cell r="CF136">
            <v>46</v>
          </cell>
          <cell r="CG136">
            <v>60</v>
          </cell>
          <cell r="CH136">
            <v>6</v>
          </cell>
          <cell r="CM136">
            <v>123</v>
          </cell>
          <cell r="CN136" t="str">
            <v>Owed 46 hours overtime extra overtime from 2nd and 7th and 25th to 28th and 30th to 31st October'2008. Owed 123 rials Eid bonus, 60 hours 200%, 6 days desert allowance for Eid Al Adhah'2008 from 8th to 13th December'2008.</v>
          </cell>
        </row>
        <row r="137">
          <cell r="B137">
            <v>366</v>
          </cell>
          <cell r="D137" t="str">
            <v>Khalid Yaqoub Mohammed Al Housni</v>
          </cell>
          <cell r="E137" t="str">
            <v>Labour / Driver</v>
          </cell>
          <cell r="G137" t="str">
            <v>N/A</v>
          </cell>
          <cell r="H137">
            <v>38687</v>
          </cell>
          <cell r="I137" t="str">
            <v>A</v>
          </cell>
          <cell r="J137" t="str">
            <v>Sh:2</v>
          </cell>
          <cell r="K137" t="str">
            <v>L</v>
          </cell>
          <cell r="L137" t="str">
            <v>L</v>
          </cell>
          <cell r="M137" t="str">
            <v>L</v>
          </cell>
          <cell r="N137" t="str">
            <v>L</v>
          </cell>
          <cell r="O137" t="str">
            <v>L</v>
          </cell>
          <cell r="P137" t="str">
            <v>L</v>
          </cell>
          <cell r="Q137" t="str">
            <v>L</v>
          </cell>
          <cell r="R137">
            <v>2.5</v>
          </cell>
          <cell r="S137">
            <v>2.5</v>
          </cell>
          <cell r="T137">
            <v>2.5</v>
          </cell>
          <cell r="U137">
            <v>2.5</v>
          </cell>
          <cell r="V137">
            <v>2.5</v>
          </cell>
          <cell r="W137">
            <v>2.5</v>
          </cell>
          <cell r="X137">
            <v>2.5</v>
          </cell>
          <cell r="Y137">
            <v>2.5</v>
          </cell>
          <cell r="Z137">
            <v>2.5</v>
          </cell>
          <cell r="AA137">
            <v>2.5</v>
          </cell>
          <cell r="AB137">
            <v>2.5</v>
          </cell>
          <cell r="AC137">
            <v>2.5</v>
          </cell>
          <cell r="AD137">
            <v>2.5</v>
          </cell>
          <cell r="AE137">
            <v>2.5</v>
          </cell>
          <cell r="AF137">
            <v>2.5</v>
          </cell>
          <cell r="AG137">
            <v>2.5</v>
          </cell>
          <cell r="AH137">
            <v>2.5</v>
          </cell>
          <cell r="AI137">
            <v>2.5</v>
          </cell>
          <cell r="AJ137">
            <v>10.5</v>
          </cell>
          <cell r="AK137">
            <v>10.5</v>
          </cell>
          <cell r="AL137">
            <v>2.5</v>
          </cell>
          <cell r="AM137">
            <v>2.5</v>
          </cell>
          <cell r="AN137">
            <v>2.5</v>
          </cell>
          <cell r="AO137" t="str">
            <v>x</v>
          </cell>
          <cell r="AP137">
            <v>23</v>
          </cell>
          <cell r="AQ137">
            <v>7</v>
          </cell>
          <cell r="AR137">
            <v>0</v>
          </cell>
          <cell r="AS137">
            <v>0</v>
          </cell>
          <cell r="AT137">
            <v>0</v>
          </cell>
          <cell r="AU137">
            <v>0</v>
          </cell>
          <cell r="AV137">
            <v>52.5</v>
          </cell>
          <cell r="AW137">
            <v>21</v>
          </cell>
          <cell r="AX137">
            <v>30</v>
          </cell>
          <cell r="AY137">
            <v>23</v>
          </cell>
          <cell r="AZ137">
            <v>30</v>
          </cell>
          <cell r="CF137">
            <v>-2.5</v>
          </cell>
          <cell r="CG137">
            <v>63</v>
          </cell>
          <cell r="CH137">
            <v>6</v>
          </cell>
          <cell r="CM137">
            <v>123</v>
          </cell>
          <cell r="CN137" t="str">
            <v>Owed 16 hours overtime extra overtime from 3rd to 4th and 6th to 10th and 27th to 29th September'2008. Dudected 28 hours overtime extra overtime from 5th to 6th and 10th to 16th to 23rd October'2008 not driving vibroter anowed 9.5 hours overtime from 10th</v>
          </cell>
        </row>
        <row r="138">
          <cell r="B138">
            <v>367</v>
          </cell>
          <cell r="D138" t="str">
            <v>Waleed Khamis Mohammed Al Yaqoubi</v>
          </cell>
          <cell r="E138" t="str">
            <v>Labour / Chain Crew</v>
          </cell>
          <cell r="G138" t="str">
            <v>N/A</v>
          </cell>
          <cell r="H138">
            <v>38687</v>
          </cell>
          <cell r="I138" t="str">
            <v>A</v>
          </cell>
          <cell r="J138" t="str">
            <v>Sh:3</v>
          </cell>
          <cell r="K138">
            <v>2</v>
          </cell>
          <cell r="L138">
            <v>2</v>
          </cell>
          <cell r="M138">
            <v>2</v>
          </cell>
          <cell r="N138">
            <v>2</v>
          </cell>
          <cell r="O138">
            <v>0</v>
          </cell>
          <cell r="P138" t="str">
            <v>A</v>
          </cell>
          <cell r="Q138" t="str">
            <v>A</v>
          </cell>
          <cell r="R138" t="str">
            <v>L</v>
          </cell>
          <cell r="S138" t="str">
            <v>L</v>
          </cell>
          <cell r="T138" t="str">
            <v>L</v>
          </cell>
          <cell r="U138" t="str">
            <v>L</v>
          </cell>
          <cell r="V138" t="str">
            <v>L</v>
          </cell>
          <cell r="W138" t="str">
            <v>L</v>
          </cell>
          <cell r="X138" t="str">
            <v>L</v>
          </cell>
          <cell r="Y138" t="str">
            <v>L</v>
          </cell>
          <cell r="Z138" t="str">
            <v>L</v>
          </cell>
          <cell r="AA138" t="str">
            <v>L</v>
          </cell>
          <cell r="AB138" t="str">
            <v>L</v>
          </cell>
          <cell r="AC138" t="str">
            <v>L</v>
          </cell>
          <cell r="AD138" t="str">
            <v>L</v>
          </cell>
          <cell r="AE138" t="str">
            <v>L</v>
          </cell>
          <cell r="AF138">
            <v>2</v>
          </cell>
          <cell r="AG138">
            <v>2</v>
          </cell>
          <cell r="AH138">
            <v>2</v>
          </cell>
          <cell r="AI138">
            <v>2</v>
          </cell>
          <cell r="AJ138">
            <v>10</v>
          </cell>
          <cell r="AK138">
            <v>10</v>
          </cell>
          <cell r="AL138">
            <v>2</v>
          </cell>
          <cell r="AM138">
            <v>2</v>
          </cell>
          <cell r="AN138">
            <v>2</v>
          </cell>
          <cell r="AO138" t="str">
            <v>x</v>
          </cell>
          <cell r="AP138">
            <v>14</v>
          </cell>
          <cell r="AQ138">
            <v>14</v>
          </cell>
          <cell r="AR138">
            <v>0</v>
          </cell>
          <cell r="AS138">
            <v>0</v>
          </cell>
          <cell r="AT138">
            <v>2</v>
          </cell>
          <cell r="AU138">
            <v>0</v>
          </cell>
          <cell r="AV138">
            <v>22</v>
          </cell>
          <cell r="AW138">
            <v>20</v>
          </cell>
          <cell r="AX138">
            <v>28</v>
          </cell>
          <cell r="AY138">
            <v>14</v>
          </cell>
          <cell r="AZ138">
            <v>28</v>
          </cell>
        </row>
        <row r="139">
          <cell r="B139">
            <v>368</v>
          </cell>
          <cell r="D139" t="str">
            <v>Saleh Ali Amur Al Hina'I</v>
          </cell>
          <cell r="E139" t="str">
            <v>Labour / Cable</v>
          </cell>
          <cell r="G139" t="str">
            <v>N/A</v>
          </cell>
          <cell r="H139">
            <v>38687</v>
          </cell>
          <cell r="I139" t="str">
            <v>A</v>
          </cell>
          <cell r="J139" t="str">
            <v>Sh:3</v>
          </cell>
          <cell r="K139">
            <v>4</v>
          </cell>
          <cell r="L139">
            <v>4</v>
          </cell>
          <cell r="M139">
            <v>4</v>
          </cell>
          <cell r="N139">
            <v>4</v>
          </cell>
          <cell r="O139">
            <v>4</v>
          </cell>
          <cell r="P139">
            <v>4</v>
          </cell>
          <cell r="Q139">
            <v>4</v>
          </cell>
          <cell r="R139" t="str">
            <v>L</v>
          </cell>
          <cell r="S139" t="str">
            <v>L</v>
          </cell>
          <cell r="T139" t="str">
            <v>L</v>
          </cell>
          <cell r="U139" t="str">
            <v>L</v>
          </cell>
          <cell r="V139" t="str">
            <v>L</v>
          </cell>
          <cell r="W139" t="str">
            <v>L</v>
          </cell>
          <cell r="X139" t="str">
            <v>L</v>
          </cell>
          <cell r="Y139" t="str">
            <v>L</v>
          </cell>
          <cell r="Z139" t="str">
            <v>L</v>
          </cell>
          <cell r="AA139" t="str">
            <v>L</v>
          </cell>
          <cell r="AB139" t="str">
            <v>L</v>
          </cell>
          <cell r="AC139" t="str">
            <v>L</v>
          </cell>
          <cell r="AD139" t="str">
            <v>L</v>
          </cell>
          <cell r="AE139" t="str">
            <v>L</v>
          </cell>
          <cell r="AF139">
            <v>4</v>
          </cell>
          <cell r="AG139">
            <v>4</v>
          </cell>
          <cell r="AH139">
            <v>4</v>
          </cell>
          <cell r="AI139">
            <v>4</v>
          </cell>
          <cell r="AJ139">
            <v>12</v>
          </cell>
          <cell r="AK139">
            <v>12</v>
          </cell>
          <cell r="AL139">
            <v>4</v>
          </cell>
          <cell r="AM139">
            <v>4</v>
          </cell>
          <cell r="AN139">
            <v>4</v>
          </cell>
          <cell r="AO139" t="str">
            <v>x</v>
          </cell>
          <cell r="AP139">
            <v>16</v>
          </cell>
          <cell r="AQ139">
            <v>14</v>
          </cell>
          <cell r="AR139">
            <v>0</v>
          </cell>
          <cell r="AS139">
            <v>0</v>
          </cell>
          <cell r="AT139">
            <v>0</v>
          </cell>
          <cell r="AU139">
            <v>0</v>
          </cell>
          <cell r="AV139">
            <v>56</v>
          </cell>
          <cell r="AW139">
            <v>24</v>
          </cell>
          <cell r="AX139">
            <v>30</v>
          </cell>
          <cell r="AY139">
            <v>16</v>
          </cell>
          <cell r="AZ139">
            <v>30</v>
          </cell>
          <cell r="CF139">
            <v>88.5</v>
          </cell>
          <cell r="CG139">
            <v>72</v>
          </cell>
          <cell r="CH139">
            <v>6</v>
          </cell>
          <cell r="CM139">
            <v>123</v>
          </cell>
          <cell r="CN139" t="str">
            <v>Owed 88.5 hours overtime extra overtime from 2nd to 3rd and 15th to 31st October'2008. Owed 123 rials Eid bonus, 72 hours 200%, 6 days desert allowance for Eid Al Adhah'2008 from 8th to 13th December'2008.</v>
          </cell>
        </row>
        <row r="140">
          <cell r="B140">
            <v>369</v>
          </cell>
          <cell r="D140" t="str">
            <v>Suleiman Salam Manin Al Rashid</v>
          </cell>
          <cell r="E140" t="str">
            <v>Labour / Asst Junior Observer</v>
          </cell>
          <cell r="G140" t="str">
            <v>N/A</v>
          </cell>
          <cell r="H140">
            <v>38687</v>
          </cell>
          <cell r="I140" t="str">
            <v>A</v>
          </cell>
          <cell r="J140" t="str">
            <v>Sh:3</v>
          </cell>
          <cell r="K140">
            <v>13</v>
          </cell>
          <cell r="L140">
            <v>13</v>
          </cell>
          <cell r="M140">
            <v>13</v>
          </cell>
          <cell r="N140">
            <v>13</v>
          </cell>
          <cell r="O140">
            <v>13</v>
          </cell>
          <cell r="P140">
            <v>13</v>
          </cell>
          <cell r="Q140">
            <v>4</v>
          </cell>
          <cell r="R140" t="str">
            <v>L</v>
          </cell>
          <cell r="S140" t="str">
            <v>L</v>
          </cell>
          <cell r="T140" t="str">
            <v>L</v>
          </cell>
          <cell r="U140" t="str">
            <v>L</v>
          </cell>
          <cell r="V140" t="str">
            <v>L</v>
          </cell>
          <cell r="W140" t="str">
            <v>L</v>
          </cell>
          <cell r="X140" t="str">
            <v>L</v>
          </cell>
          <cell r="Y140" t="str">
            <v>L</v>
          </cell>
          <cell r="Z140" t="str">
            <v>L</v>
          </cell>
          <cell r="AA140" t="str">
            <v>L</v>
          </cell>
          <cell r="AB140" t="str">
            <v>L</v>
          </cell>
          <cell r="AC140" t="str">
            <v>L</v>
          </cell>
          <cell r="AD140" t="str">
            <v>L</v>
          </cell>
          <cell r="AE140" t="str">
            <v>L</v>
          </cell>
          <cell r="AF140">
            <v>4</v>
          </cell>
          <cell r="AG140">
            <v>4</v>
          </cell>
          <cell r="AH140">
            <v>4</v>
          </cell>
          <cell r="AI140">
            <v>4</v>
          </cell>
          <cell r="AJ140">
            <v>12</v>
          </cell>
          <cell r="AK140">
            <v>12</v>
          </cell>
          <cell r="AL140">
            <v>4</v>
          </cell>
          <cell r="AM140">
            <v>4</v>
          </cell>
          <cell r="AN140">
            <v>4</v>
          </cell>
          <cell r="AO140" t="str">
            <v>x</v>
          </cell>
          <cell r="AP140">
            <v>16</v>
          </cell>
          <cell r="AQ140">
            <v>14</v>
          </cell>
          <cell r="AR140">
            <v>0</v>
          </cell>
          <cell r="AS140">
            <v>0</v>
          </cell>
          <cell r="AT140">
            <v>0</v>
          </cell>
          <cell r="AU140">
            <v>0</v>
          </cell>
          <cell r="AV140">
            <v>110</v>
          </cell>
          <cell r="AW140">
            <v>24</v>
          </cell>
          <cell r="AX140">
            <v>30</v>
          </cell>
          <cell r="AY140">
            <v>16</v>
          </cell>
          <cell r="AZ140">
            <v>30</v>
          </cell>
          <cell r="CG140">
            <v>72</v>
          </cell>
          <cell r="CH140">
            <v>6</v>
          </cell>
          <cell r="CM140">
            <v>123</v>
          </cell>
          <cell r="CN140" t="str">
            <v>Owed 123 rials Eid bonus, 60 hours 200%, 6 days desert allowance for Eid Al Adhah'2008 from 8th to 13th December'2008.</v>
          </cell>
        </row>
        <row r="141">
          <cell r="B141">
            <v>370</v>
          </cell>
          <cell r="D141" t="str">
            <v>Taqi Obaid Khadoom</v>
          </cell>
          <cell r="E141" t="str">
            <v>Labour</v>
          </cell>
          <cell r="G141" t="str">
            <v>N/A</v>
          </cell>
          <cell r="H141">
            <v>38687</v>
          </cell>
          <cell r="I141" t="str">
            <v>A</v>
          </cell>
          <cell r="J141" t="str">
            <v>Sh:3</v>
          </cell>
          <cell r="K141">
            <v>6</v>
          </cell>
          <cell r="L141">
            <v>6</v>
          </cell>
          <cell r="M141">
            <v>2</v>
          </cell>
          <cell r="N141" t="str">
            <v>L</v>
          </cell>
          <cell r="O141" t="str">
            <v>L</v>
          </cell>
          <cell r="P141" t="str">
            <v>L</v>
          </cell>
          <cell r="Q141" t="str">
            <v>L</v>
          </cell>
          <cell r="R141" t="str">
            <v>L</v>
          </cell>
          <cell r="S141" t="str">
            <v>L</v>
          </cell>
          <cell r="T141" t="str">
            <v>L</v>
          </cell>
          <cell r="U141" t="str">
            <v>L</v>
          </cell>
          <cell r="V141" t="str">
            <v>L</v>
          </cell>
          <cell r="W141" t="str">
            <v>L</v>
          </cell>
          <cell r="X141" t="str">
            <v>L</v>
          </cell>
          <cell r="Y141" t="str">
            <v>L</v>
          </cell>
          <cell r="Z141" t="str">
            <v>L</v>
          </cell>
          <cell r="AA141" t="str">
            <v>L</v>
          </cell>
          <cell r="AB141" t="str">
            <v>L</v>
          </cell>
          <cell r="AC141" t="str">
            <v>L</v>
          </cell>
          <cell r="AD141" t="str">
            <v>L</v>
          </cell>
          <cell r="AE141" t="str">
            <v>L</v>
          </cell>
          <cell r="AF141">
            <v>2</v>
          </cell>
          <cell r="AG141">
            <v>2</v>
          </cell>
          <cell r="AH141">
            <v>2</v>
          </cell>
          <cell r="AI141">
            <v>2</v>
          </cell>
          <cell r="AJ141">
            <v>10</v>
          </cell>
          <cell r="AK141">
            <v>10</v>
          </cell>
          <cell r="AL141">
            <v>2</v>
          </cell>
          <cell r="AM141">
            <v>2</v>
          </cell>
          <cell r="AN141">
            <v>2</v>
          </cell>
          <cell r="AO141" t="str">
            <v>x</v>
          </cell>
          <cell r="AP141">
            <v>12</v>
          </cell>
          <cell r="AQ141">
            <v>18</v>
          </cell>
          <cell r="AR141">
            <v>0</v>
          </cell>
          <cell r="AS141">
            <v>0</v>
          </cell>
          <cell r="AT141">
            <v>0</v>
          </cell>
          <cell r="AU141">
            <v>0</v>
          </cell>
          <cell r="AV141">
            <v>28</v>
          </cell>
          <cell r="AW141">
            <v>20</v>
          </cell>
          <cell r="AX141">
            <v>30</v>
          </cell>
          <cell r="AY141">
            <v>12</v>
          </cell>
          <cell r="AZ141">
            <v>30</v>
          </cell>
          <cell r="CF141">
            <v>18</v>
          </cell>
          <cell r="CH141">
            <v>-3</v>
          </cell>
          <cell r="CI141">
            <v>-2</v>
          </cell>
          <cell r="CJ141">
            <v>-2</v>
          </cell>
          <cell r="CK141">
            <v>-2</v>
          </cell>
          <cell r="CL141">
            <v>-2</v>
          </cell>
          <cell r="CN141" t="str">
            <v>Dudected 2 days basic allowance, 2 days housing allowance, 2 days date allowance, 2 day monthly ration, 3 days desert allowance, 6 hours overtime is sick on 28th October and absent from 29th to 30th October'2008. Owed 24 hours overtime extra overtime from</v>
          </cell>
        </row>
        <row r="142">
          <cell r="B142">
            <v>371</v>
          </cell>
          <cell r="D142" t="str">
            <v>Hilal Marzouq Salmeen Al Ghafri</v>
          </cell>
          <cell r="E142" t="str">
            <v>Labour</v>
          </cell>
          <cell r="G142" t="str">
            <v>N/A</v>
          </cell>
          <cell r="H142">
            <v>38687</v>
          </cell>
          <cell r="I142" t="str">
            <v>A</v>
          </cell>
          <cell r="J142" t="str">
            <v>Sh:3</v>
          </cell>
          <cell r="K142">
            <v>2</v>
          </cell>
          <cell r="L142">
            <v>2</v>
          </cell>
          <cell r="M142">
            <v>2</v>
          </cell>
          <cell r="N142">
            <v>2</v>
          </cell>
          <cell r="O142">
            <v>2</v>
          </cell>
          <cell r="P142">
            <v>2</v>
          </cell>
          <cell r="Q142">
            <v>2</v>
          </cell>
          <cell r="R142" t="str">
            <v>L</v>
          </cell>
          <cell r="S142" t="str">
            <v>L</v>
          </cell>
          <cell r="T142" t="str">
            <v>L</v>
          </cell>
          <cell r="U142" t="str">
            <v>L</v>
          </cell>
          <cell r="V142" t="str">
            <v>L</v>
          </cell>
          <cell r="W142" t="str">
            <v>L</v>
          </cell>
          <cell r="X142" t="str">
            <v>L</v>
          </cell>
          <cell r="Y142" t="str">
            <v>L</v>
          </cell>
          <cell r="Z142" t="str">
            <v>L</v>
          </cell>
          <cell r="AA142" t="str">
            <v>L</v>
          </cell>
          <cell r="AB142" t="str">
            <v>L</v>
          </cell>
          <cell r="AC142" t="str">
            <v>L</v>
          </cell>
          <cell r="AD142" t="str">
            <v>L</v>
          </cell>
          <cell r="AE142" t="str">
            <v>L</v>
          </cell>
          <cell r="AF142">
            <v>2</v>
          </cell>
          <cell r="AG142">
            <v>2</v>
          </cell>
          <cell r="AH142">
            <v>2</v>
          </cell>
          <cell r="AI142">
            <v>2</v>
          </cell>
          <cell r="AJ142">
            <v>10</v>
          </cell>
          <cell r="AK142">
            <v>10</v>
          </cell>
          <cell r="AL142">
            <v>2</v>
          </cell>
          <cell r="AM142">
            <v>2</v>
          </cell>
          <cell r="AN142">
            <v>2</v>
          </cell>
          <cell r="AO142" t="str">
            <v>x</v>
          </cell>
          <cell r="AP142">
            <v>16</v>
          </cell>
          <cell r="AQ142">
            <v>14</v>
          </cell>
          <cell r="AR142">
            <v>0</v>
          </cell>
          <cell r="AS142">
            <v>0</v>
          </cell>
          <cell r="AT142">
            <v>0</v>
          </cell>
          <cell r="AU142">
            <v>0</v>
          </cell>
          <cell r="AV142">
            <v>28</v>
          </cell>
          <cell r="AW142">
            <v>20</v>
          </cell>
          <cell r="AX142">
            <v>30</v>
          </cell>
          <cell r="AY142">
            <v>16</v>
          </cell>
          <cell r="AZ142">
            <v>30</v>
          </cell>
        </row>
        <row r="143">
          <cell r="B143">
            <v>372</v>
          </cell>
          <cell r="D143" t="str">
            <v>Ismail Ali Said Al Busa'idi</v>
          </cell>
          <cell r="E143" t="str">
            <v>Labour / GPS Operator</v>
          </cell>
          <cell r="G143" t="str">
            <v>N/A</v>
          </cell>
          <cell r="H143">
            <v>38687</v>
          </cell>
          <cell r="I143" t="str">
            <v>A</v>
          </cell>
          <cell r="J143" t="str">
            <v>Sh:1</v>
          </cell>
          <cell r="K143">
            <v>2.5</v>
          </cell>
          <cell r="L143">
            <v>2.5</v>
          </cell>
          <cell r="M143">
            <v>2.5</v>
          </cell>
          <cell r="N143">
            <v>2.5</v>
          </cell>
          <cell r="O143">
            <v>2.5</v>
          </cell>
          <cell r="P143">
            <v>2.5</v>
          </cell>
          <cell r="Q143">
            <v>2.5</v>
          </cell>
          <cell r="R143">
            <v>2.5</v>
          </cell>
          <cell r="S143">
            <v>2.5</v>
          </cell>
          <cell r="T143">
            <v>2.5</v>
          </cell>
          <cell r="U143">
            <v>2.5</v>
          </cell>
          <cell r="V143">
            <v>2.5</v>
          </cell>
          <cell r="W143">
            <v>2.5</v>
          </cell>
          <cell r="X143">
            <v>2.5</v>
          </cell>
          <cell r="Y143">
            <v>2.5</v>
          </cell>
          <cell r="Z143">
            <v>2.5</v>
          </cell>
          <cell r="AA143">
            <v>2.5</v>
          </cell>
          <cell r="AB143">
            <v>2.5</v>
          </cell>
          <cell r="AC143">
            <v>2.5</v>
          </cell>
          <cell r="AD143">
            <v>2.5</v>
          </cell>
          <cell r="AE143">
            <v>2.5</v>
          </cell>
          <cell r="AF143" t="str">
            <v>L</v>
          </cell>
          <cell r="AG143" t="str">
            <v>L</v>
          </cell>
          <cell r="AH143" t="str">
            <v>L</v>
          </cell>
          <cell r="AI143" t="str">
            <v>L</v>
          </cell>
          <cell r="AJ143" t="str">
            <v>L</v>
          </cell>
          <cell r="AK143" t="str">
            <v>L</v>
          </cell>
          <cell r="AL143" t="str">
            <v>L</v>
          </cell>
          <cell r="AM143" t="str">
            <v>L</v>
          </cell>
          <cell r="AN143" t="str">
            <v>L</v>
          </cell>
          <cell r="AO143" t="str">
            <v>x</v>
          </cell>
          <cell r="AP143">
            <v>21</v>
          </cell>
          <cell r="AQ143">
            <v>9</v>
          </cell>
          <cell r="AR143">
            <v>0</v>
          </cell>
          <cell r="AS143">
            <v>0</v>
          </cell>
          <cell r="AT143">
            <v>0</v>
          </cell>
          <cell r="AU143">
            <v>0</v>
          </cell>
          <cell r="AV143">
            <v>52.5</v>
          </cell>
          <cell r="AW143">
            <v>0</v>
          </cell>
          <cell r="AX143">
            <v>30</v>
          </cell>
          <cell r="AY143">
            <v>21</v>
          </cell>
          <cell r="AZ143">
            <v>30</v>
          </cell>
          <cell r="CG143">
            <v>63</v>
          </cell>
          <cell r="CH143">
            <v>6</v>
          </cell>
          <cell r="CM143">
            <v>123</v>
          </cell>
          <cell r="CN143" t="str">
            <v>Owed 123 rials Eid bonus, 63 hours 200%, 6 days desert allowance for Eid Al Adhah'2008 from 8th to 13th December'2008.</v>
          </cell>
        </row>
        <row r="144">
          <cell r="B144">
            <v>373</v>
          </cell>
          <cell r="D144" t="str">
            <v>Ahmed Suleiman Said Al Mahrouqi</v>
          </cell>
          <cell r="E144" t="str">
            <v>Heavy Duty Dvr</v>
          </cell>
          <cell r="G144" t="str">
            <v>N/A</v>
          </cell>
          <cell r="H144">
            <v>38687</v>
          </cell>
          <cell r="I144" t="str">
            <v>A</v>
          </cell>
          <cell r="J144" t="str">
            <v>Sh:2</v>
          </cell>
          <cell r="K144" t="str">
            <v>L</v>
          </cell>
          <cell r="L144" t="str">
            <v>L</v>
          </cell>
          <cell r="M144" t="str">
            <v>L</v>
          </cell>
          <cell r="N144" t="str">
            <v>L</v>
          </cell>
          <cell r="O144" t="str">
            <v>L</v>
          </cell>
          <cell r="P144" t="str">
            <v>L</v>
          </cell>
          <cell r="Q144" t="str">
            <v>L</v>
          </cell>
          <cell r="R144">
            <v>14.5</v>
          </cell>
          <cell r="S144">
            <v>10.5</v>
          </cell>
          <cell r="T144">
            <v>11</v>
          </cell>
          <cell r="U144">
            <v>11</v>
          </cell>
          <cell r="V144">
            <v>12</v>
          </cell>
          <cell r="W144">
            <v>10.5</v>
          </cell>
          <cell r="X144">
            <v>11</v>
          </cell>
          <cell r="Y144">
            <v>11</v>
          </cell>
          <cell r="Z144">
            <v>11</v>
          </cell>
          <cell r="AA144">
            <v>2.5</v>
          </cell>
          <cell r="AB144">
            <v>2.5</v>
          </cell>
          <cell r="AC144">
            <v>2.5</v>
          </cell>
          <cell r="AD144">
            <v>2.5</v>
          </cell>
          <cell r="AE144">
            <v>2.5</v>
          </cell>
          <cell r="AF144">
            <v>2.5</v>
          </cell>
          <cell r="AG144">
            <v>2.5</v>
          </cell>
          <cell r="AH144">
            <v>2.5</v>
          </cell>
          <cell r="AI144">
            <v>2.5</v>
          </cell>
          <cell r="AJ144">
            <v>10.5</v>
          </cell>
          <cell r="AK144">
            <v>10.5</v>
          </cell>
          <cell r="AL144">
            <v>2.5</v>
          </cell>
          <cell r="AM144">
            <v>2.5</v>
          </cell>
          <cell r="AN144">
            <v>2.5</v>
          </cell>
          <cell r="AO144" t="str">
            <v>x</v>
          </cell>
          <cell r="AP144">
            <v>23</v>
          </cell>
          <cell r="AQ144">
            <v>7</v>
          </cell>
          <cell r="AR144">
            <v>0</v>
          </cell>
          <cell r="AS144">
            <v>0</v>
          </cell>
          <cell r="AT144">
            <v>0</v>
          </cell>
          <cell r="AU144">
            <v>0</v>
          </cell>
          <cell r="AV144">
            <v>132.5</v>
          </cell>
          <cell r="AW144">
            <v>21</v>
          </cell>
          <cell r="AX144">
            <v>30</v>
          </cell>
          <cell r="AY144">
            <v>23</v>
          </cell>
          <cell r="AZ144">
            <v>30</v>
          </cell>
          <cell r="CF144">
            <v>20</v>
          </cell>
          <cell r="CN144" t="str">
            <v>Owed 20 hours overtime extra overtime from 17th to 21st October'2008.</v>
          </cell>
        </row>
        <row r="145">
          <cell r="B145">
            <v>374</v>
          </cell>
          <cell r="D145" t="str">
            <v>Dawoud Mohammed Azan Al Qasmi</v>
          </cell>
          <cell r="E145" t="str">
            <v>Asst Junior Observer</v>
          </cell>
          <cell r="G145" t="str">
            <v>N/A</v>
          </cell>
          <cell r="H145">
            <v>38687</v>
          </cell>
          <cell r="I145" t="str">
            <v>C1</v>
          </cell>
          <cell r="J145" t="str">
            <v>Sh:2</v>
          </cell>
          <cell r="K145" t="str">
            <v>L</v>
          </cell>
          <cell r="L145" t="str">
            <v>L</v>
          </cell>
          <cell r="M145" t="str">
            <v>L</v>
          </cell>
          <cell r="N145" t="str">
            <v>L</v>
          </cell>
          <cell r="O145" t="str">
            <v>L</v>
          </cell>
          <cell r="P145" t="str">
            <v>L</v>
          </cell>
          <cell r="Q145" t="str">
            <v>L</v>
          </cell>
          <cell r="R145">
            <v>13</v>
          </cell>
          <cell r="S145">
            <v>13</v>
          </cell>
          <cell r="T145">
            <v>13</v>
          </cell>
          <cell r="U145">
            <v>13</v>
          </cell>
          <cell r="V145">
            <v>13</v>
          </cell>
          <cell r="W145">
            <v>13</v>
          </cell>
          <cell r="X145">
            <v>13.5</v>
          </cell>
          <cell r="Y145">
            <v>13</v>
          </cell>
          <cell r="Z145">
            <v>13</v>
          </cell>
          <cell r="AA145">
            <v>13</v>
          </cell>
          <cell r="AB145">
            <v>13</v>
          </cell>
          <cell r="AC145">
            <v>13</v>
          </cell>
          <cell r="AD145">
            <v>4</v>
          </cell>
          <cell r="AE145">
            <v>4</v>
          </cell>
          <cell r="AF145">
            <v>4</v>
          </cell>
          <cell r="AG145">
            <v>4</v>
          </cell>
          <cell r="AH145">
            <v>4</v>
          </cell>
          <cell r="AI145">
            <v>4</v>
          </cell>
          <cell r="AJ145">
            <v>12</v>
          </cell>
          <cell r="AK145">
            <v>12</v>
          </cell>
          <cell r="AL145">
            <v>4</v>
          </cell>
          <cell r="AM145">
            <v>4</v>
          </cell>
          <cell r="AN145">
            <v>4</v>
          </cell>
          <cell r="AO145" t="str">
            <v>x</v>
          </cell>
          <cell r="AP145">
            <v>23</v>
          </cell>
          <cell r="AQ145">
            <v>7</v>
          </cell>
          <cell r="AR145">
            <v>0</v>
          </cell>
          <cell r="AS145">
            <v>0</v>
          </cell>
          <cell r="AT145">
            <v>0</v>
          </cell>
          <cell r="AU145">
            <v>0</v>
          </cell>
          <cell r="AV145">
            <v>192.5</v>
          </cell>
          <cell r="AW145">
            <v>24</v>
          </cell>
          <cell r="AX145">
            <v>30</v>
          </cell>
          <cell r="AY145">
            <v>23</v>
          </cell>
          <cell r="AZ145">
            <v>30</v>
          </cell>
          <cell r="CF145">
            <v>42</v>
          </cell>
          <cell r="CN145" t="str">
            <v xml:space="preserve">Owed 42 hours overtime extra overtime from 18th to 23rd October'2008. </v>
          </cell>
        </row>
        <row r="146">
          <cell r="B146">
            <v>377</v>
          </cell>
          <cell r="D146" t="str">
            <v>Salim Khalfan Salim Al Rajibi</v>
          </cell>
          <cell r="E146" t="str">
            <v>Labour / Driver</v>
          </cell>
          <cell r="G146" t="str">
            <v>N/A</v>
          </cell>
          <cell r="H146">
            <v>38899</v>
          </cell>
          <cell r="I146" t="str">
            <v>A</v>
          </cell>
          <cell r="J146" t="str">
            <v>Sh:3</v>
          </cell>
          <cell r="K146">
            <v>6.5</v>
          </cell>
          <cell r="L146">
            <v>6.5</v>
          </cell>
          <cell r="M146">
            <v>6.5</v>
          </cell>
          <cell r="N146">
            <v>2.5</v>
          </cell>
          <cell r="O146">
            <v>6.5</v>
          </cell>
          <cell r="P146">
            <v>6.5</v>
          </cell>
          <cell r="Q146">
            <v>2.5</v>
          </cell>
          <cell r="R146" t="str">
            <v>L</v>
          </cell>
          <cell r="S146" t="str">
            <v>L</v>
          </cell>
          <cell r="T146" t="str">
            <v>L</v>
          </cell>
          <cell r="U146" t="str">
            <v>L</v>
          </cell>
          <cell r="V146" t="str">
            <v>L</v>
          </cell>
          <cell r="W146" t="str">
            <v>L</v>
          </cell>
          <cell r="X146" t="str">
            <v>L</v>
          </cell>
          <cell r="Y146" t="str">
            <v>L</v>
          </cell>
          <cell r="Z146" t="str">
            <v>L</v>
          </cell>
          <cell r="AA146" t="str">
            <v>L</v>
          </cell>
          <cell r="AB146" t="str">
            <v>L</v>
          </cell>
          <cell r="AC146" t="str">
            <v>L</v>
          </cell>
          <cell r="AD146" t="str">
            <v>L</v>
          </cell>
          <cell r="AE146" t="str">
            <v>L</v>
          </cell>
          <cell r="AF146">
            <v>2.5</v>
          </cell>
          <cell r="AG146">
            <v>2.5</v>
          </cell>
          <cell r="AH146">
            <v>2.5</v>
          </cell>
          <cell r="AI146">
            <v>2.5</v>
          </cell>
          <cell r="AJ146">
            <v>10.5</v>
          </cell>
          <cell r="AK146">
            <v>10.5</v>
          </cell>
          <cell r="AL146">
            <v>2.5</v>
          </cell>
          <cell r="AM146">
            <v>2.5</v>
          </cell>
          <cell r="AN146">
            <v>2.5</v>
          </cell>
          <cell r="AO146" t="str">
            <v>x</v>
          </cell>
          <cell r="AP146">
            <v>16</v>
          </cell>
          <cell r="AQ146">
            <v>14</v>
          </cell>
          <cell r="AR146">
            <v>0</v>
          </cell>
          <cell r="AS146">
            <v>0</v>
          </cell>
          <cell r="AT146">
            <v>0</v>
          </cell>
          <cell r="AU146">
            <v>0</v>
          </cell>
          <cell r="AV146">
            <v>55</v>
          </cell>
          <cell r="AW146">
            <v>21</v>
          </cell>
          <cell r="AX146">
            <v>30</v>
          </cell>
          <cell r="AY146">
            <v>16</v>
          </cell>
          <cell r="AZ146">
            <v>30</v>
          </cell>
          <cell r="CF146">
            <v>44.5</v>
          </cell>
          <cell r="CG146">
            <v>63</v>
          </cell>
          <cell r="CH146">
            <v>4</v>
          </cell>
          <cell r="CM146">
            <v>123</v>
          </cell>
          <cell r="CN146" t="str">
            <v>Deducted two day desert allowance, 7.5 hours overtime left morning on 26th October and 27th to 28th October'2008 take leave is son sick. Owed 52 hours overtime extra overtime from 16th to 25th and 29th to 31st October'2008. Owed 123 rials Eid bonus, 63 ho</v>
          </cell>
        </row>
        <row r="147">
          <cell r="B147">
            <v>378</v>
          </cell>
          <cell r="D147" t="str">
            <v>Al Sabaa Juma Al Sabaa Al Jadeedi</v>
          </cell>
          <cell r="E147" t="str">
            <v>Labour / Chain Crew</v>
          </cell>
          <cell r="G147" t="str">
            <v>N/A</v>
          </cell>
          <cell r="H147">
            <v>38899</v>
          </cell>
          <cell r="I147" t="str">
            <v>A</v>
          </cell>
          <cell r="J147" t="str">
            <v>Sh:2</v>
          </cell>
          <cell r="K147" t="str">
            <v>H</v>
          </cell>
          <cell r="L147" t="str">
            <v>H</v>
          </cell>
          <cell r="M147" t="str">
            <v>H</v>
          </cell>
          <cell r="N147" t="str">
            <v>H</v>
          </cell>
          <cell r="O147" t="str">
            <v>H</v>
          </cell>
          <cell r="P147" t="str">
            <v>H</v>
          </cell>
          <cell r="Q147" t="str">
            <v>H</v>
          </cell>
          <cell r="R147" t="str">
            <v>H</v>
          </cell>
          <cell r="S147" t="str">
            <v>H</v>
          </cell>
          <cell r="T147" t="str">
            <v>H</v>
          </cell>
          <cell r="U147" t="str">
            <v>H</v>
          </cell>
          <cell r="V147" t="str">
            <v>H</v>
          </cell>
          <cell r="W147" t="str">
            <v>H</v>
          </cell>
          <cell r="X147" t="str">
            <v>H</v>
          </cell>
          <cell r="Y147">
            <v>2</v>
          </cell>
          <cell r="Z147">
            <v>2</v>
          </cell>
          <cell r="AA147">
            <v>2</v>
          </cell>
          <cell r="AB147">
            <v>2</v>
          </cell>
          <cell r="AC147">
            <v>2</v>
          </cell>
          <cell r="AD147">
            <v>2</v>
          </cell>
          <cell r="AE147">
            <v>2</v>
          </cell>
          <cell r="AF147">
            <v>2</v>
          </cell>
          <cell r="AG147">
            <v>2</v>
          </cell>
          <cell r="AH147">
            <v>2</v>
          </cell>
          <cell r="AI147">
            <v>2</v>
          </cell>
          <cell r="AJ147">
            <v>10</v>
          </cell>
          <cell r="AK147">
            <v>10</v>
          </cell>
          <cell r="AL147">
            <v>2</v>
          </cell>
          <cell r="AM147">
            <v>2</v>
          </cell>
          <cell r="AN147">
            <v>2</v>
          </cell>
          <cell r="AO147" t="str">
            <v>x</v>
          </cell>
          <cell r="AP147">
            <v>16</v>
          </cell>
          <cell r="AQ147">
            <v>0</v>
          </cell>
          <cell r="AR147">
            <v>0</v>
          </cell>
          <cell r="AS147">
            <v>0</v>
          </cell>
          <cell r="AT147">
            <v>0</v>
          </cell>
          <cell r="AU147">
            <v>14</v>
          </cell>
          <cell r="AV147">
            <v>28</v>
          </cell>
          <cell r="AW147">
            <v>20</v>
          </cell>
          <cell r="AX147">
            <v>16</v>
          </cell>
          <cell r="AY147">
            <v>16</v>
          </cell>
          <cell r="AZ147">
            <v>16</v>
          </cell>
          <cell r="CG147">
            <v>60</v>
          </cell>
          <cell r="CH147">
            <v>6</v>
          </cell>
          <cell r="CM147">
            <v>123</v>
          </cell>
          <cell r="CN147" t="str">
            <v>Owed 123 rials Eid bonus, 60 hours 200%, 6 days desert allowance for Eid Al Adhah'2008 from 8th to 13th December'2008.</v>
          </cell>
        </row>
        <row r="148">
          <cell r="B148">
            <v>381</v>
          </cell>
          <cell r="D148" t="str">
            <v>Youseph Abdullah Bukheit Al Ghafri</v>
          </cell>
          <cell r="E148" t="str">
            <v>Labour</v>
          </cell>
          <cell r="G148" t="str">
            <v>N/A</v>
          </cell>
          <cell r="H148">
            <v>38899</v>
          </cell>
          <cell r="I148" t="str">
            <v>A</v>
          </cell>
          <cell r="J148" t="str">
            <v>Sh:1</v>
          </cell>
          <cell r="K148">
            <v>2</v>
          </cell>
          <cell r="L148">
            <v>2</v>
          </cell>
          <cell r="M148">
            <v>2</v>
          </cell>
          <cell r="N148">
            <v>2</v>
          </cell>
          <cell r="O148">
            <v>2</v>
          </cell>
          <cell r="P148">
            <v>2</v>
          </cell>
          <cell r="Q148">
            <v>2</v>
          </cell>
          <cell r="R148">
            <v>2</v>
          </cell>
          <cell r="S148">
            <v>2</v>
          </cell>
          <cell r="T148">
            <v>2</v>
          </cell>
          <cell r="U148">
            <v>2</v>
          </cell>
          <cell r="V148">
            <v>2</v>
          </cell>
          <cell r="W148">
            <v>2</v>
          </cell>
          <cell r="X148">
            <v>2</v>
          </cell>
          <cell r="Y148">
            <v>2</v>
          </cell>
          <cell r="Z148">
            <v>2</v>
          </cell>
          <cell r="AA148">
            <v>2</v>
          </cell>
          <cell r="AB148">
            <v>2</v>
          </cell>
          <cell r="AC148">
            <v>2</v>
          </cell>
          <cell r="AD148">
            <v>2</v>
          </cell>
          <cell r="AE148">
            <v>2</v>
          </cell>
          <cell r="AF148" t="str">
            <v>L</v>
          </cell>
          <cell r="AG148" t="str">
            <v>L</v>
          </cell>
          <cell r="AH148" t="str">
            <v>L</v>
          </cell>
          <cell r="AI148" t="str">
            <v>L</v>
          </cell>
          <cell r="AJ148" t="str">
            <v>L</v>
          </cell>
          <cell r="AK148" t="str">
            <v>L</v>
          </cell>
          <cell r="AL148" t="str">
            <v>L</v>
          </cell>
          <cell r="AM148" t="str">
            <v>L</v>
          </cell>
          <cell r="AN148" t="str">
            <v>L</v>
          </cell>
          <cell r="AO148" t="str">
            <v>x</v>
          </cell>
          <cell r="AP148">
            <v>21</v>
          </cell>
          <cell r="AQ148">
            <v>9</v>
          </cell>
          <cell r="AR148">
            <v>0</v>
          </cell>
          <cell r="AS148">
            <v>0</v>
          </cell>
          <cell r="AT148">
            <v>0</v>
          </cell>
          <cell r="AU148">
            <v>0</v>
          </cell>
          <cell r="AV148">
            <v>42</v>
          </cell>
          <cell r="AW148">
            <v>0</v>
          </cell>
          <cell r="AX148">
            <v>30</v>
          </cell>
          <cell r="AY148">
            <v>21</v>
          </cell>
          <cell r="AZ148">
            <v>30</v>
          </cell>
          <cell r="CG148">
            <v>60</v>
          </cell>
          <cell r="CH148">
            <v>6</v>
          </cell>
          <cell r="CM148">
            <v>123</v>
          </cell>
          <cell r="CN148" t="str">
            <v>Owed 123 rials Eid bonus, 60 hours 200%, 6 days desert allowance for Eid Al Adhah'2008 from 8th to 13th December'2008.</v>
          </cell>
        </row>
        <row r="149">
          <cell r="B149">
            <v>382</v>
          </cell>
          <cell r="D149" t="str">
            <v>Mohammed Suliman Said Al Qasmi</v>
          </cell>
          <cell r="E149" t="str">
            <v>Labour</v>
          </cell>
          <cell r="G149" t="str">
            <v>N/A</v>
          </cell>
          <cell r="H149">
            <v>38899</v>
          </cell>
          <cell r="I149" t="str">
            <v>A</v>
          </cell>
          <cell r="J149" t="str">
            <v>Sh:2</v>
          </cell>
          <cell r="K149" t="str">
            <v>L</v>
          </cell>
          <cell r="L149" t="str">
            <v>L</v>
          </cell>
          <cell r="M149" t="str">
            <v>L</v>
          </cell>
          <cell r="N149" t="str">
            <v>L</v>
          </cell>
          <cell r="O149" t="str">
            <v>L</v>
          </cell>
          <cell r="P149" t="str">
            <v>L</v>
          </cell>
          <cell r="Q149" t="str">
            <v>L</v>
          </cell>
          <cell r="R149">
            <v>6</v>
          </cell>
          <cell r="S149">
            <v>6</v>
          </cell>
          <cell r="T149">
            <v>7</v>
          </cell>
          <cell r="U149">
            <v>6</v>
          </cell>
          <cell r="V149">
            <v>7</v>
          </cell>
          <cell r="W149">
            <v>7</v>
          </cell>
          <cell r="X149">
            <v>6</v>
          </cell>
          <cell r="Y149">
            <v>6</v>
          </cell>
          <cell r="Z149">
            <v>2</v>
          </cell>
          <cell r="AA149">
            <v>2</v>
          </cell>
          <cell r="AB149">
            <v>2</v>
          </cell>
          <cell r="AC149">
            <v>2</v>
          </cell>
          <cell r="AD149">
            <v>2</v>
          </cell>
          <cell r="AE149">
            <v>2</v>
          </cell>
          <cell r="AF149">
            <v>2</v>
          </cell>
          <cell r="AG149">
            <v>2</v>
          </cell>
          <cell r="AH149">
            <v>2</v>
          </cell>
          <cell r="AI149">
            <v>2</v>
          </cell>
          <cell r="AJ149">
            <v>10</v>
          </cell>
          <cell r="AK149">
            <v>10</v>
          </cell>
          <cell r="AL149">
            <v>2</v>
          </cell>
          <cell r="AM149">
            <v>2</v>
          </cell>
          <cell r="AN149">
            <v>2</v>
          </cell>
          <cell r="AO149" t="str">
            <v>x</v>
          </cell>
          <cell r="AP149">
            <v>23</v>
          </cell>
          <cell r="AQ149">
            <v>7</v>
          </cell>
          <cell r="AR149">
            <v>0</v>
          </cell>
          <cell r="AS149">
            <v>0</v>
          </cell>
          <cell r="AT149">
            <v>0</v>
          </cell>
          <cell r="AU149">
            <v>0</v>
          </cell>
          <cell r="AV149">
            <v>77</v>
          </cell>
          <cell r="AW149">
            <v>20</v>
          </cell>
          <cell r="AX149">
            <v>30</v>
          </cell>
          <cell r="AY149">
            <v>23</v>
          </cell>
          <cell r="AZ149">
            <v>30</v>
          </cell>
          <cell r="CF149">
            <v>8</v>
          </cell>
          <cell r="CG149">
            <v>60</v>
          </cell>
          <cell r="CH149">
            <v>6</v>
          </cell>
          <cell r="CM149">
            <v>123</v>
          </cell>
          <cell r="CN149" t="str">
            <v>Owed 8 hours overtime extra overtime from 17th and 21st October'2008. Owed 123 rials Eid bonus, 60 hours 200%, 6 days desert allowance for Eid Al Adhah'2008 from 8th to 13th December'2008.</v>
          </cell>
        </row>
        <row r="150">
          <cell r="B150">
            <v>384</v>
          </cell>
          <cell r="D150" t="str">
            <v>Yousuf Musabah Ghanim Al Ghafri</v>
          </cell>
          <cell r="E150" t="str">
            <v>Labour</v>
          </cell>
          <cell r="G150" t="str">
            <v>N/A</v>
          </cell>
          <cell r="H150">
            <v>38899</v>
          </cell>
          <cell r="I150" t="str">
            <v>A</v>
          </cell>
          <cell r="J150" t="str">
            <v>Sh:3</v>
          </cell>
          <cell r="K150">
            <v>2</v>
          </cell>
          <cell r="L150">
            <v>2</v>
          </cell>
          <cell r="M150">
            <v>0</v>
          </cell>
          <cell r="N150" t="str">
            <v>L</v>
          </cell>
          <cell r="O150" t="str">
            <v>L</v>
          </cell>
          <cell r="P150" t="str">
            <v>L</v>
          </cell>
          <cell r="Q150" t="str">
            <v>L</v>
          </cell>
          <cell r="R150" t="str">
            <v>L</v>
          </cell>
          <cell r="S150" t="str">
            <v>L</v>
          </cell>
          <cell r="T150" t="str">
            <v>L</v>
          </cell>
          <cell r="U150" t="str">
            <v>L</v>
          </cell>
          <cell r="V150" t="str">
            <v>L</v>
          </cell>
          <cell r="W150" t="str">
            <v>L</v>
          </cell>
          <cell r="X150" t="str">
            <v>L</v>
          </cell>
          <cell r="Y150" t="str">
            <v>L</v>
          </cell>
          <cell r="Z150" t="str">
            <v>L</v>
          </cell>
          <cell r="AA150" t="str">
            <v>L</v>
          </cell>
          <cell r="AB150" t="str">
            <v>L</v>
          </cell>
          <cell r="AC150" t="str">
            <v>L</v>
          </cell>
          <cell r="AD150" t="str">
            <v>L</v>
          </cell>
          <cell r="AE150" t="str">
            <v>L</v>
          </cell>
          <cell r="AF150">
            <v>2</v>
          </cell>
          <cell r="AG150">
            <v>2</v>
          </cell>
          <cell r="AH150">
            <v>2</v>
          </cell>
          <cell r="AI150">
            <v>2</v>
          </cell>
          <cell r="AJ150">
            <v>10</v>
          </cell>
          <cell r="AK150">
            <v>10</v>
          </cell>
          <cell r="AL150">
            <v>2</v>
          </cell>
          <cell r="AM150">
            <v>2</v>
          </cell>
          <cell r="AN150">
            <v>2</v>
          </cell>
          <cell r="AO150" t="str">
            <v>x</v>
          </cell>
          <cell r="AP150">
            <v>12</v>
          </cell>
          <cell r="AQ150">
            <v>18</v>
          </cell>
          <cell r="AR150">
            <v>0</v>
          </cell>
          <cell r="AS150">
            <v>0</v>
          </cell>
          <cell r="AT150">
            <v>0</v>
          </cell>
          <cell r="AU150">
            <v>0</v>
          </cell>
          <cell r="AV150">
            <v>18</v>
          </cell>
          <cell r="AW150">
            <v>20</v>
          </cell>
          <cell r="AX150">
            <v>30</v>
          </cell>
          <cell r="AY150">
            <v>12</v>
          </cell>
          <cell r="AZ150">
            <v>30</v>
          </cell>
          <cell r="CG150">
            <v>60</v>
          </cell>
          <cell r="CH150">
            <v>6</v>
          </cell>
          <cell r="CM150">
            <v>123</v>
          </cell>
          <cell r="CN150" t="str">
            <v>Owed 123 rials Eid bonus, 60 hours 200%, 6 days desert allowance for Eid Al Adhah'2008 from 8th to 13th December'2008.</v>
          </cell>
        </row>
        <row r="151">
          <cell r="B151">
            <v>385</v>
          </cell>
          <cell r="D151" t="str">
            <v xml:space="preserve">Nasser Sulaiman Hamood Al Tabahi </v>
          </cell>
          <cell r="E151" t="str">
            <v>Labour</v>
          </cell>
          <cell r="G151" t="str">
            <v>N/A</v>
          </cell>
          <cell r="H151">
            <v>38899</v>
          </cell>
          <cell r="I151" t="str">
            <v>A</v>
          </cell>
          <cell r="J151" t="str">
            <v>Sh:3</v>
          </cell>
          <cell r="K151" t="str">
            <v>H</v>
          </cell>
          <cell r="L151" t="str">
            <v>H</v>
          </cell>
          <cell r="M151" t="str">
            <v>H</v>
          </cell>
          <cell r="N151" t="str">
            <v>H</v>
          </cell>
          <cell r="O151" t="str">
            <v>H</v>
          </cell>
          <cell r="P151" t="str">
            <v>H</v>
          </cell>
          <cell r="Q151" t="str">
            <v>H</v>
          </cell>
          <cell r="R151" t="str">
            <v>H</v>
          </cell>
          <cell r="S151" t="str">
            <v>H</v>
          </cell>
          <cell r="T151" t="str">
            <v>H</v>
          </cell>
          <cell r="U151" t="str">
            <v>H</v>
          </cell>
          <cell r="V151" t="str">
            <v>H</v>
          </cell>
          <cell r="W151" t="str">
            <v>H</v>
          </cell>
          <cell r="X151" t="str">
            <v>H</v>
          </cell>
          <cell r="Y151" t="str">
            <v>H</v>
          </cell>
          <cell r="Z151" t="str">
            <v>H</v>
          </cell>
          <cell r="AA151" t="str">
            <v>H</v>
          </cell>
          <cell r="AB151" t="str">
            <v>H</v>
          </cell>
          <cell r="AC151" t="str">
            <v>H</v>
          </cell>
          <cell r="AD151" t="str">
            <v>H</v>
          </cell>
          <cell r="AE151" t="str">
            <v>H</v>
          </cell>
          <cell r="AF151" t="str">
            <v>H</v>
          </cell>
          <cell r="AG151" t="str">
            <v>H</v>
          </cell>
          <cell r="AH151" t="str">
            <v>H</v>
          </cell>
          <cell r="AI151" t="str">
            <v>H</v>
          </cell>
          <cell r="AJ151" t="str">
            <v>H</v>
          </cell>
          <cell r="AK151" t="str">
            <v>H</v>
          </cell>
          <cell r="AL151" t="str">
            <v>H</v>
          </cell>
          <cell r="AM151" t="str">
            <v>H</v>
          </cell>
          <cell r="AN151" t="str">
            <v>H</v>
          </cell>
          <cell r="AO151" t="str">
            <v>x</v>
          </cell>
          <cell r="AP151">
            <v>0</v>
          </cell>
          <cell r="AQ151">
            <v>0</v>
          </cell>
          <cell r="AR151">
            <v>0</v>
          </cell>
          <cell r="AS151">
            <v>0</v>
          </cell>
          <cell r="AT151">
            <v>0</v>
          </cell>
          <cell r="AU151">
            <v>30</v>
          </cell>
          <cell r="AV151">
            <v>0</v>
          </cell>
          <cell r="AW151">
            <v>0</v>
          </cell>
          <cell r="AX151">
            <v>0</v>
          </cell>
          <cell r="AY151">
            <v>0</v>
          </cell>
          <cell r="AZ151">
            <v>0</v>
          </cell>
        </row>
        <row r="152">
          <cell r="B152">
            <v>386</v>
          </cell>
          <cell r="D152" t="str">
            <v>Saif Hamood Yasir Al Harrasi</v>
          </cell>
          <cell r="E152" t="str">
            <v>Labour / GPS Operator</v>
          </cell>
          <cell r="G152" t="str">
            <v>N/A</v>
          </cell>
          <cell r="H152">
            <v>38899</v>
          </cell>
          <cell r="I152" t="str">
            <v>A</v>
          </cell>
          <cell r="J152" t="str">
            <v>Sh:2</v>
          </cell>
          <cell r="K152" t="str">
            <v>L</v>
          </cell>
          <cell r="L152" t="str">
            <v>L</v>
          </cell>
          <cell r="M152" t="str">
            <v>L</v>
          </cell>
          <cell r="N152" t="str">
            <v>L</v>
          </cell>
          <cell r="O152" t="str">
            <v>L</v>
          </cell>
          <cell r="P152" t="str">
            <v>L</v>
          </cell>
          <cell r="Q152" t="str">
            <v>L</v>
          </cell>
          <cell r="R152">
            <v>2.5</v>
          </cell>
          <cell r="S152">
            <v>2.5</v>
          </cell>
          <cell r="T152">
            <v>2.5</v>
          </cell>
          <cell r="U152">
            <v>2.5</v>
          </cell>
          <cell r="V152">
            <v>2.5</v>
          </cell>
          <cell r="W152">
            <v>2.5</v>
          </cell>
          <cell r="X152">
            <v>2.5</v>
          </cell>
          <cell r="Y152">
            <v>2.5</v>
          </cell>
          <cell r="Z152">
            <v>2.5</v>
          </cell>
          <cell r="AA152">
            <v>2.5</v>
          </cell>
          <cell r="AB152">
            <v>2.5</v>
          </cell>
          <cell r="AC152">
            <v>2.5</v>
          </cell>
          <cell r="AD152">
            <v>2.5</v>
          </cell>
          <cell r="AE152">
            <v>2.5</v>
          </cell>
          <cell r="AF152">
            <v>2.5</v>
          </cell>
          <cell r="AG152">
            <v>2.5</v>
          </cell>
          <cell r="AH152">
            <v>2.5</v>
          </cell>
          <cell r="AI152">
            <v>2.5</v>
          </cell>
          <cell r="AJ152">
            <v>10.5</v>
          </cell>
          <cell r="AK152">
            <v>10.5</v>
          </cell>
          <cell r="AL152">
            <v>2.5</v>
          </cell>
          <cell r="AM152">
            <v>2.5</v>
          </cell>
          <cell r="AN152">
            <v>2.5</v>
          </cell>
          <cell r="AO152" t="str">
            <v>x</v>
          </cell>
          <cell r="AP152">
            <v>23</v>
          </cell>
          <cell r="AQ152">
            <v>7</v>
          </cell>
          <cell r="AR152">
            <v>0</v>
          </cell>
          <cell r="AS152">
            <v>0</v>
          </cell>
          <cell r="AT152">
            <v>0</v>
          </cell>
          <cell r="AU152">
            <v>0</v>
          </cell>
          <cell r="AV152">
            <v>52.5</v>
          </cell>
          <cell r="AW152">
            <v>21</v>
          </cell>
          <cell r="AX152">
            <v>30</v>
          </cell>
          <cell r="AY152">
            <v>23</v>
          </cell>
          <cell r="AZ152">
            <v>30</v>
          </cell>
          <cell r="CF152">
            <v>6</v>
          </cell>
          <cell r="CN152" t="str">
            <v>Owed 6 hours overtime extra overtime from 15th October'2008.</v>
          </cell>
        </row>
        <row r="153">
          <cell r="B153">
            <v>387</v>
          </cell>
          <cell r="D153" t="str">
            <v>Yasir Abdullah Rashid Al Kalbani</v>
          </cell>
          <cell r="E153" t="str">
            <v>Labour / Chain Crew</v>
          </cell>
          <cell r="G153" t="str">
            <v>N/A</v>
          </cell>
          <cell r="H153">
            <v>38899</v>
          </cell>
          <cell r="I153" t="str">
            <v>A</v>
          </cell>
          <cell r="J153" t="str">
            <v>Sh:1</v>
          </cell>
          <cell r="K153" t="str">
            <v>H</v>
          </cell>
          <cell r="L153" t="str">
            <v>H</v>
          </cell>
          <cell r="M153" t="str">
            <v>H</v>
          </cell>
          <cell r="N153" t="str">
            <v>H</v>
          </cell>
          <cell r="O153" t="str">
            <v>H</v>
          </cell>
          <cell r="P153" t="str">
            <v>H</v>
          </cell>
          <cell r="Q153" t="str">
            <v>H</v>
          </cell>
          <cell r="R153" t="str">
            <v>H</v>
          </cell>
          <cell r="S153" t="str">
            <v>H</v>
          </cell>
          <cell r="T153" t="str">
            <v>H</v>
          </cell>
          <cell r="U153" t="str">
            <v>H</v>
          </cell>
          <cell r="V153" t="str">
            <v>H</v>
          </cell>
          <cell r="W153" t="str">
            <v>H</v>
          </cell>
          <cell r="X153" t="str">
            <v>H</v>
          </cell>
          <cell r="Y153" t="str">
            <v>H</v>
          </cell>
          <cell r="Z153" t="str">
            <v>H</v>
          </cell>
          <cell r="AA153" t="str">
            <v>H</v>
          </cell>
          <cell r="AB153" t="str">
            <v>H</v>
          </cell>
          <cell r="AC153" t="str">
            <v>H</v>
          </cell>
          <cell r="AD153" t="str">
            <v>H</v>
          </cell>
          <cell r="AE153" t="str">
            <v>H</v>
          </cell>
          <cell r="AF153" t="str">
            <v>H</v>
          </cell>
          <cell r="AG153" t="str">
            <v>H</v>
          </cell>
          <cell r="AH153" t="str">
            <v>H</v>
          </cell>
          <cell r="AI153" t="str">
            <v>H</v>
          </cell>
          <cell r="AJ153" t="str">
            <v>H</v>
          </cell>
          <cell r="AK153" t="str">
            <v>H</v>
          </cell>
          <cell r="AL153" t="str">
            <v>H</v>
          </cell>
          <cell r="AM153" t="str">
            <v>H</v>
          </cell>
          <cell r="AN153" t="str">
            <v>H</v>
          </cell>
          <cell r="AO153" t="str">
            <v>x</v>
          </cell>
          <cell r="AP153">
            <v>0</v>
          </cell>
          <cell r="AQ153">
            <v>0</v>
          </cell>
          <cell r="AR153">
            <v>0</v>
          </cell>
          <cell r="AS153">
            <v>0</v>
          </cell>
          <cell r="AT153">
            <v>0</v>
          </cell>
          <cell r="AU153">
            <v>30</v>
          </cell>
          <cell r="AV153">
            <v>0</v>
          </cell>
          <cell r="AW153">
            <v>0</v>
          </cell>
          <cell r="AX153">
            <v>0</v>
          </cell>
          <cell r="AY153">
            <v>0</v>
          </cell>
          <cell r="AZ153">
            <v>0</v>
          </cell>
        </row>
        <row r="154">
          <cell r="B154">
            <v>388</v>
          </cell>
          <cell r="D154" t="str">
            <v>Jamal Abdullah Khalfan Al Sharji</v>
          </cell>
          <cell r="E154" t="str">
            <v>Labour</v>
          </cell>
          <cell r="G154" t="str">
            <v>N/A</v>
          </cell>
          <cell r="H154">
            <v>38899</v>
          </cell>
          <cell r="I154" t="str">
            <v>A</v>
          </cell>
          <cell r="J154" t="str">
            <v>Sh:1</v>
          </cell>
          <cell r="K154">
            <v>2</v>
          </cell>
          <cell r="L154">
            <v>2</v>
          </cell>
          <cell r="M154">
            <v>5.5</v>
          </cell>
          <cell r="N154">
            <v>6</v>
          </cell>
          <cell r="O154">
            <v>13</v>
          </cell>
          <cell r="P154">
            <v>10</v>
          </cell>
          <cell r="Q154">
            <v>9</v>
          </cell>
          <cell r="R154">
            <v>9</v>
          </cell>
          <cell r="S154">
            <v>10</v>
          </cell>
          <cell r="T154">
            <v>10</v>
          </cell>
          <cell r="U154">
            <v>10</v>
          </cell>
          <cell r="V154">
            <v>10</v>
          </cell>
          <cell r="W154">
            <v>10</v>
          </cell>
          <cell r="X154">
            <v>10</v>
          </cell>
          <cell r="Y154">
            <v>10</v>
          </cell>
          <cell r="Z154">
            <v>2</v>
          </cell>
          <cell r="AA154">
            <v>2</v>
          </cell>
          <cell r="AB154">
            <v>2</v>
          </cell>
          <cell r="AC154">
            <v>2</v>
          </cell>
          <cell r="AD154" t="str">
            <v>A</v>
          </cell>
          <cell r="AE154" t="str">
            <v>A</v>
          </cell>
          <cell r="AF154" t="str">
            <v>L</v>
          </cell>
          <cell r="AG154" t="str">
            <v>L</v>
          </cell>
          <cell r="AH154" t="str">
            <v>L</v>
          </cell>
          <cell r="AI154" t="str">
            <v>L</v>
          </cell>
          <cell r="AJ154" t="str">
            <v>L</v>
          </cell>
          <cell r="AK154" t="str">
            <v>L</v>
          </cell>
          <cell r="AL154" t="str">
            <v>L</v>
          </cell>
          <cell r="AM154" t="str">
            <v>L</v>
          </cell>
          <cell r="AN154" t="str">
            <v>L</v>
          </cell>
          <cell r="AO154" t="str">
            <v>x</v>
          </cell>
          <cell r="AP154">
            <v>19</v>
          </cell>
          <cell r="AQ154">
            <v>9</v>
          </cell>
          <cell r="AR154">
            <v>0</v>
          </cell>
          <cell r="AS154">
            <v>0</v>
          </cell>
          <cell r="AT154">
            <v>2</v>
          </cell>
          <cell r="AU154">
            <v>0</v>
          </cell>
          <cell r="AV154">
            <v>134.5</v>
          </cell>
          <cell r="AW154">
            <v>0</v>
          </cell>
          <cell r="AX154">
            <v>28</v>
          </cell>
          <cell r="AY154">
            <v>19</v>
          </cell>
          <cell r="AZ154">
            <v>28</v>
          </cell>
          <cell r="CF154">
            <v>12</v>
          </cell>
          <cell r="CN154" t="str">
            <v>Owed 12 hours overtime extra overtime from 29th to 31st October'2008.</v>
          </cell>
        </row>
        <row r="155">
          <cell r="B155">
            <v>389</v>
          </cell>
          <cell r="D155" t="str">
            <v>Mohammed Ali Said Al Mahrouqi</v>
          </cell>
          <cell r="E155" t="str">
            <v>Labour</v>
          </cell>
          <cell r="G155" t="str">
            <v>N/A</v>
          </cell>
          <cell r="H155">
            <v>38899</v>
          </cell>
          <cell r="I155" t="str">
            <v>A</v>
          </cell>
          <cell r="J155" t="str">
            <v>Sh:3</v>
          </cell>
          <cell r="K155">
            <v>6</v>
          </cell>
          <cell r="L155">
            <v>6</v>
          </cell>
          <cell r="M155">
            <v>6</v>
          </cell>
          <cell r="N155">
            <v>6</v>
          </cell>
          <cell r="O155">
            <v>6</v>
          </cell>
          <cell r="P155" t="str">
            <v>C</v>
          </cell>
          <cell r="Q155" t="str">
            <v>C</v>
          </cell>
          <cell r="R155" t="str">
            <v>L</v>
          </cell>
          <cell r="S155" t="str">
            <v>L</v>
          </cell>
          <cell r="T155" t="str">
            <v>L</v>
          </cell>
          <cell r="U155" t="str">
            <v>L</v>
          </cell>
          <cell r="V155" t="str">
            <v>L</v>
          </cell>
          <cell r="W155" t="str">
            <v>L</v>
          </cell>
          <cell r="X155" t="str">
            <v>L</v>
          </cell>
          <cell r="Y155" t="str">
            <v>L</v>
          </cell>
          <cell r="Z155" t="str">
            <v>L</v>
          </cell>
          <cell r="AA155" t="str">
            <v>L</v>
          </cell>
          <cell r="AB155" t="str">
            <v>L</v>
          </cell>
          <cell r="AC155" t="str">
            <v>L</v>
          </cell>
          <cell r="AD155" t="str">
            <v>L</v>
          </cell>
          <cell r="AE155" t="str">
            <v>L</v>
          </cell>
          <cell r="AF155">
            <v>2</v>
          </cell>
          <cell r="AG155">
            <v>2</v>
          </cell>
          <cell r="AH155">
            <v>2</v>
          </cell>
          <cell r="AI155">
            <v>2</v>
          </cell>
          <cell r="AJ155">
            <v>10</v>
          </cell>
          <cell r="AK155">
            <v>10</v>
          </cell>
          <cell r="AL155">
            <v>2</v>
          </cell>
          <cell r="AM155">
            <v>2</v>
          </cell>
          <cell r="AN155">
            <v>2</v>
          </cell>
          <cell r="AO155" t="str">
            <v>x</v>
          </cell>
          <cell r="AP155">
            <v>14</v>
          </cell>
          <cell r="AQ155">
            <v>16</v>
          </cell>
          <cell r="AR155">
            <v>0</v>
          </cell>
          <cell r="AS155">
            <v>0</v>
          </cell>
          <cell r="AT155">
            <v>0</v>
          </cell>
          <cell r="AU155">
            <v>0</v>
          </cell>
          <cell r="AV155">
            <v>44</v>
          </cell>
          <cell r="AW155">
            <v>20</v>
          </cell>
          <cell r="AX155">
            <v>30</v>
          </cell>
          <cell r="AY155">
            <v>14</v>
          </cell>
          <cell r="AZ155">
            <v>30</v>
          </cell>
          <cell r="CF155">
            <v>56</v>
          </cell>
          <cell r="CN155" t="str">
            <v>Owed 56 hours overtime extra overtime from 16th to 20th and 22nd to 28th and 30th to 31st October'2008.</v>
          </cell>
        </row>
        <row r="156">
          <cell r="B156">
            <v>390</v>
          </cell>
          <cell r="D156" t="str">
            <v>Salim Mubarak Hamed Al Shaibani</v>
          </cell>
          <cell r="E156" t="str">
            <v>Asst Junior Observer</v>
          </cell>
          <cell r="G156" t="str">
            <v>N/A</v>
          </cell>
          <cell r="H156">
            <v>38899</v>
          </cell>
          <cell r="I156" t="str">
            <v>C1</v>
          </cell>
          <cell r="J156" t="str">
            <v>Sh:3</v>
          </cell>
          <cell r="K156">
            <v>13</v>
          </cell>
          <cell r="L156">
            <v>13</v>
          </cell>
          <cell r="M156">
            <v>13</v>
          </cell>
          <cell r="N156">
            <v>13</v>
          </cell>
          <cell r="O156">
            <v>13</v>
          </cell>
          <cell r="P156">
            <v>13</v>
          </cell>
          <cell r="Q156">
            <v>4</v>
          </cell>
          <cell r="R156" t="str">
            <v>L</v>
          </cell>
          <cell r="S156" t="str">
            <v>L</v>
          </cell>
          <cell r="T156" t="str">
            <v>L</v>
          </cell>
          <cell r="U156" t="str">
            <v>L</v>
          </cell>
          <cell r="V156" t="str">
            <v>L</v>
          </cell>
          <cell r="W156" t="str">
            <v>L</v>
          </cell>
          <cell r="X156" t="str">
            <v>L</v>
          </cell>
          <cell r="Y156" t="str">
            <v>L</v>
          </cell>
          <cell r="Z156" t="str">
            <v>L</v>
          </cell>
          <cell r="AA156" t="str">
            <v>L</v>
          </cell>
          <cell r="AB156" t="str">
            <v>L</v>
          </cell>
          <cell r="AC156" t="str">
            <v>L</v>
          </cell>
          <cell r="AD156" t="str">
            <v>L</v>
          </cell>
          <cell r="AE156" t="str">
            <v>L</v>
          </cell>
          <cell r="AF156">
            <v>4</v>
          </cell>
          <cell r="AG156">
            <v>4</v>
          </cell>
          <cell r="AH156">
            <v>4</v>
          </cell>
          <cell r="AI156">
            <v>4</v>
          </cell>
          <cell r="AJ156">
            <v>12</v>
          </cell>
          <cell r="AK156">
            <v>12</v>
          </cell>
          <cell r="AL156">
            <v>4</v>
          </cell>
          <cell r="AM156">
            <v>4</v>
          </cell>
          <cell r="AN156">
            <v>4</v>
          </cell>
          <cell r="AO156" t="str">
            <v>x</v>
          </cell>
          <cell r="AP156">
            <v>16</v>
          </cell>
          <cell r="AQ156">
            <v>14</v>
          </cell>
          <cell r="AR156">
            <v>0</v>
          </cell>
          <cell r="AS156">
            <v>0</v>
          </cell>
          <cell r="AT156">
            <v>0</v>
          </cell>
          <cell r="AU156">
            <v>0</v>
          </cell>
          <cell r="AV156">
            <v>110</v>
          </cell>
          <cell r="AW156">
            <v>24</v>
          </cell>
          <cell r="AX156">
            <v>30</v>
          </cell>
          <cell r="AY156">
            <v>16</v>
          </cell>
          <cell r="AZ156">
            <v>30</v>
          </cell>
          <cell r="CF156">
            <v>127.5</v>
          </cell>
          <cell r="CG156">
            <v>72</v>
          </cell>
          <cell r="CH156">
            <v>6</v>
          </cell>
          <cell r="CM156">
            <v>123</v>
          </cell>
          <cell r="CN156" t="str">
            <v>Owed 127.5 hours overtime extra overtime from 2nd to 3rd and 13th and 17th to 31st October'2008. Owed 123 rials Eid bonus, 60 hours 200%, 6 days desert allowance for Eid Al Adhah'2008 from 8th to 13th December'2008.Owed 123 rials Eid bonus, 72 hours 200%,</v>
          </cell>
        </row>
        <row r="157">
          <cell r="B157">
            <v>391</v>
          </cell>
          <cell r="D157" t="str">
            <v>Hilal Khalfan Ghalib Al Qasmi</v>
          </cell>
          <cell r="E157" t="str">
            <v>Labour</v>
          </cell>
          <cell r="G157" t="str">
            <v>N/A</v>
          </cell>
          <cell r="H157">
            <v>38899</v>
          </cell>
          <cell r="I157" t="str">
            <v>A</v>
          </cell>
          <cell r="J157" t="str">
            <v>Sh:1</v>
          </cell>
          <cell r="K157" t="str">
            <v>S</v>
          </cell>
          <cell r="L157" t="str">
            <v>S</v>
          </cell>
          <cell r="M157" t="str">
            <v>S</v>
          </cell>
          <cell r="N157" t="str">
            <v>L</v>
          </cell>
          <cell r="O157" t="str">
            <v>L</v>
          </cell>
          <cell r="P157">
            <v>2</v>
          </cell>
          <cell r="Q157">
            <v>2</v>
          </cell>
          <cell r="R157">
            <v>2</v>
          </cell>
          <cell r="S157">
            <v>2</v>
          </cell>
          <cell r="T157">
            <v>2</v>
          </cell>
          <cell r="U157">
            <v>2</v>
          </cell>
          <cell r="V157">
            <v>2</v>
          </cell>
          <cell r="W157">
            <v>2</v>
          </cell>
          <cell r="X157">
            <v>2</v>
          </cell>
          <cell r="Y157">
            <v>2</v>
          </cell>
          <cell r="Z157">
            <v>2</v>
          </cell>
          <cell r="AA157">
            <v>2</v>
          </cell>
          <cell r="AB157">
            <v>2</v>
          </cell>
          <cell r="AC157">
            <v>2</v>
          </cell>
          <cell r="AD157">
            <v>2</v>
          </cell>
          <cell r="AE157">
            <v>2</v>
          </cell>
          <cell r="AF157" t="str">
            <v>L</v>
          </cell>
          <cell r="AG157" t="str">
            <v>L</v>
          </cell>
          <cell r="AH157" t="str">
            <v>L</v>
          </cell>
          <cell r="AI157" t="str">
            <v>L</v>
          </cell>
          <cell r="AJ157" t="str">
            <v>L</v>
          </cell>
          <cell r="AK157" t="str">
            <v>L</v>
          </cell>
          <cell r="AL157" t="str">
            <v>L</v>
          </cell>
          <cell r="AM157" t="str">
            <v>L</v>
          </cell>
          <cell r="AN157" t="str">
            <v>L</v>
          </cell>
          <cell r="AO157" t="str">
            <v>x</v>
          </cell>
          <cell r="AP157">
            <v>16</v>
          </cell>
          <cell r="AQ157">
            <v>11</v>
          </cell>
          <cell r="AR157">
            <v>3</v>
          </cell>
          <cell r="AS157">
            <v>0</v>
          </cell>
          <cell r="AT157">
            <v>0</v>
          </cell>
          <cell r="AU157">
            <v>0</v>
          </cell>
          <cell r="AV157">
            <v>32</v>
          </cell>
          <cell r="AW157">
            <v>0</v>
          </cell>
          <cell r="AX157">
            <v>30</v>
          </cell>
          <cell r="AY157">
            <v>16</v>
          </cell>
          <cell r="AZ157">
            <v>30</v>
          </cell>
          <cell r="CF157">
            <v>-4</v>
          </cell>
          <cell r="CG157">
            <v>60</v>
          </cell>
          <cell r="CH157">
            <v>5</v>
          </cell>
          <cell r="CM157">
            <v>123</v>
          </cell>
          <cell r="CN157" t="str">
            <v>Deducted one day desert allowance, 4 hours overtime left morning on 30th October and 31st October'2008 is sick. Owed 123 rials Eid bonus, 60 hours 200%, 6 days desert allowance for Eid Al Adhah'2008 from 8th to 13th December'2008.</v>
          </cell>
        </row>
        <row r="158">
          <cell r="B158">
            <v>392</v>
          </cell>
          <cell r="D158" t="str">
            <v>Mossa Mussabah Khalfan Al Ghafri</v>
          </cell>
          <cell r="E158" t="str">
            <v>Radio Operator</v>
          </cell>
          <cell r="G158" t="str">
            <v>N/A</v>
          </cell>
          <cell r="H158">
            <v>38899</v>
          </cell>
          <cell r="I158" t="str">
            <v>B</v>
          </cell>
          <cell r="J158" t="str">
            <v>Sh:2</v>
          </cell>
          <cell r="K158" t="str">
            <v>L</v>
          </cell>
          <cell r="L158" t="str">
            <v>L</v>
          </cell>
          <cell r="M158" t="str">
            <v>L</v>
          </cell>
          <cell r="N158" t="str">
            <v>L</v>
          </cell>
          <cell r="O158" t="str">
            <v>L</v>
          </cell>
          <cell r="P158" t="str">
            <v>L</v>
          </cell>
          <cell r="Q158" t="str">
            <v>L</v>
          </cell>
          <cell r="R158">
            <v>8</v>
          </cell>
          <cell r="S158">
            <v>8</v>
          </cell>
          <cell r="T158">
            <v>8</v>
          </cell>
          <cell r="U158">
            <v>8</v>
          </cell>
          <cell r="V158">
            <v>8</v>
          </cell>
          <cell r="W158">
            <v>9.5</v>
          </cell>
          <cell r="X158">
            <v>8</v>
          </cell>
          <cell r="Y158">
            <v>8</v>
          </cell>
          <cell r="Z158">
            <v>8</v>
          </cell>
          <cell r="AA158">
            <v>2</v>
          </cell>
          <cell r="AB158">
            <v>2</v>
          </cell>
          <cell r="AC158">
            <v>2</v>
          </cell>
          <cell r="AD158">
            <v>2</v>
          </cell>
          <cell r="AE158">
            <v>2</v>
          </cell>
          <cell r="AF158">
            <v>2</v>
          </cell>
          <cell r="AG158">
            <v>2</v>
          </cell>
          <cell r="AH158">
            <v>2</v>
          </cell>
          <cell r="AI158">
            <v>2</v>
          </cell>
          <cell r="AJ158">
            <v>10</v>
          </cell>
          <cell r="AK158">
            <v>10</v>
          </cell>
          <cell r="AL158">
            <v>2</v>
          </cell>
          <cell r="AM158">
            <v>2</v>
          </cell>
          <cell r="AN158">
            <v>2</v>
          </cell>
          <cell r="AO158" t="str">
            <v>x</v>
          </cell>
          <cell r="AP158">
            <v>23</v>
          </cell>
          <cell r="AQ158">
            <v>7</v>
          </cell>
          <cell r="AR158">
            <v>0</v>
          </cell>
          <cell r="AS158">
            <v>0</v>
          </cell>
          <cell r="AT158">
            <v>0</v>
          </cell>
          <cell r="AU158">
            <v>0</v>
          </cell>
          <cell r="AV158">
            <v>97.5</v>
          </cell>
          <cell r="AW158">
            <v>20</v>
          </cell>
          <cell r="AX158">
            <v>30</v>
          </cell>
          <cell r="AY158">
            <v>23</v>
          </cell>
          <cell r="AZ158">
            <v>30</v>
          </cell>
          <cell r="CF158">
            <v>36.5</v>
          </cell>
          <cell r="CN158" t="str">
            <v>Owed 36.5 hours overtime extra overtime from 17th to 21st October'2008.</v>
          </cell>
        </row>
        <row r="159">
          <cell r="B159">
            <v>393</v>
          </cell>
          <cell r="D159" t="str">
            <v>Abdullah Said Khamis Al Qassabi</v>
          </cell>
          <cell r="E159" t="str">
            <v>Labour</v>
          </cell>
          <cell r="G159" t="str">
            <v>N/A</v>
          </cell>
          <cell r="H159">
            <v>38899</v>
          </cell>
          <cell r="I159" t="str">
            <v>A</v>
          </cell>
          <cell r="J159" t="str">
            <v>Sh:1</v>
          </cell>
          <cell r="K159">
            <v>6</v>
          </cell>
          <cell r="L159">
            <v>6</v>
          </cell>
          <cell r="M159">
            <v>6</v>
          </cell>
          <cell r="N159">
            <v>6</v>
          </cell>
          <cell r="O159">
            <v>6</v>
          </cell>
          <cell r="P159">
            <v>6</v>
          </cell>
          <cell r="Q159">
            <v>6</v>
          </cell>
          <cell r="R159">
            <v>6</v>
          </cell>
          <cell r="S159">
            <v>6</v>
          </cell>
          <cell r="T159">
            <v>6</v>
          </cell>
          <cell r="U159">
            <v>6</v>
          </cell>
          <cell r="V159">
            <v>6</v>
          </cell>
          <cell r="W159">
            <v>6</v>
          </cell>
          <cell r="X159">
            <v>6</v>
          </cell>
          <cell r="Y159">
            <v>6</v>
          </cell>
          <cell r="Z159">
            <v>2</v>
          </cell>
          <cell r="AA159">
            <v>2</v>
          </cell>
          <cell r="AB159">
            <v>2</v>
          </cell>
          <cell r="AC159">
            <v>2</v>
          </cell>
          <cell r="AD159">
            <v>2</v>
          </cell>
          <cell r="AE159">
            <v>2</v>
          </cell>
          <cell r="AF159" t="str">
            <v>L</v>
          </cell>
          <cell r="AG159" t="str">
            <v>L</v>
          </cell>
          <cell r="AH159" t="str">
            <v>L</v>
          </cell>
          <cell r="AI159" t="str">
            <v>L</v>
          </cell>
          <cell r="AJ159" t="str">
            <v>L</v>
          </cell>
          <cell r="AK159" t="str">
            <v>L</v>
          </cell>
          <cell r="AL159" t="str">
            <v>L</v>
          </cell>
          <cell r="AM159" t="str">
            <v>L</v>
          </cell>
          <cell r="AN159" t="str">
            <v>L</v>
          </cell>
          <cell r="AO159" t="str">
            <v>x</v>
          </cell>
          <cell r="AP159">
            <v>21</v>
          </cell>
          <cell r="AQ159">
            <v>9</v>
          </cell>
          <cell r="AR159">
            <v>0</v>
          </cell>
          <cell r="AS159">
            <v>0</v>
          </cell>
          <cell r="AT159">
            <v>0</v>
          </cell>
          <cell r="AU159">
            <v>0</v>
          </cell>
          <cell r="AV159">
            <v>102</v>
          </cell>
          <cell r="AW159">
            <v>0</v>
          </cell>
          <cell r="AX159">
            <v>30</v>
          </cell>
          <cell r="AY159">
            <v>21</v>
          </cell>
          <cell r="AZ159">
            <v>30</v>
          </cell>
          <cell r="CF159">
            <v>28</v>
          </cell>
          <cell r="CG159">
            <v>60</v>
          </cell>
          <cell r="CH159">
            <v>6</v>
          </cell>
          <cell r="CM159">
            <v>123</v>
          </cell>
          <cell r="CN159" t="str">
            <v>Owed 28 hours overtime extra overtime from 25th to 31st October'2008. Owed 123 rials Eid bonus, 60 hours 200%, 6 days desert allowance for Eid Al Adhah'2008 from 8th to 13th December'2008.</v>
          </cell>
        </row>
        <row r="160">
          <cell r="B160">
            <v>394</v>
          </cell>
          <cell r="D160" t="str">
            <v>Husni Mubarak Hamed Al Asmi</v>
          </cell>
          <cell r="E160" t="str">
            <v>Labour / Driver</v>
          </cell>
          <cell r="G160" t="str">
            <v>N/A</v>
          </cell>
          <cell r="H160">
            <v>38948</v>
          </cell>
          <cell r="I160" t="str">
            <v>A</v>
          </cell>
          <cell r="J160" t="str">
            <v>Sh:1</v>
          </cell>
          <cell r="K160">
            <v>6.5</v>
          </cell>
          <cell r="L160">
            <v>6.5</v>
          </cell>
          <cell r="M160">
            <v>6.5</v>
          </cell>
          <cell r="N160">
            <v>6.5</v>
          </cell>
          <cell r="O160">
            <v>6.5</v>
          </cell>
          <cell r="P160">
            <v>6.5</v>
          </cell>
          <cell r="Q160">
            <v>6.5</v>
          </cell>
          <cell r="R160">
            <v>6.5</v>
          </cell>
          <cell r="S160">
            <v>6.5</v>
          </cell>
          <cell r="T160">
            <v>6.5</v>
          </cell>
          <cell r="U160">
            <v>6.5</v>
          </cell>
          <cell r="V160">
            <v>6.5</v>
          </cell>
          <cell r="W160">
            <v>6.5</v>
          </cell>
          <cell r="X160">
            <v>6.5</v>
          </cell>
          <cell r="Y160">
            <v>6.5</v>
          </cell>
          <cell r="Z160">
            <v>2.5</v>
          </cell>
          <cell r="AA160">
            <v>2.5</v>
          </cell>
          <cell r="AB160">
            <v>2.5</v>
          </cell>
          <cell r="AC160">
            <v>2.5</v>
          </cell>
          <cell r="AD160">
            <v>2.5</v>
          </cell>
          <cell r="AE160">
            <v>2.5</v>
          </cell>
          <cell r="AF160" t="str">
            <v>L</v>
          </cell>
          <cell r="AG160" t="str">
            <v>L</v>
          </cell>
          <cell r="AH160" t="str">
            <v>L</v>
          </cell>
          <cell r="AI160" t="str">
            <v>L</v>
          </cell>
          <cell r="AJ160" t="str">
            <v>L</v>
          </cell>
          <cell r="AK160" t="str">
            <v>L</v>
          </cell>
          <cell r="AL160" t="str">
            <v>L</v>
          </cell>
          <cell r="AM160" t="str">
            <v>L</v>
          </cell>
          <cell r="AN160" t="str">
            <v>L</v>
          </cell>
          <cell r="AO160" t="str">
            <v>x</v>
          </cell>
          <cell r="AP160">
            <v>21</v>
          </cell>
          <cell r="AQ160">
            <v>9</v>
          </cell>
          <cell r="AR160">
            <v>0</v>
          </cell>
          <cell r="AS160">
            <v>0</v>
          </cell>
          <cell r="AT160">
            <v>0</v>
          </cell>
          <cell r="AU160">
            <v>0</v>
          </cell>
          <cell r="AV160">
            <v>112.5</v>
          </cell>
          <cell r="AW160">
            <v>0</v>
          </cell>
          <cell r="AX160">
            <v>30</v>
          </cell>
          <cell r="AY160">
            <v>21</v>
          </cell>
          <cell r="AZ160">
            <v>30</v>
          </cell>
          <cell r="CF160">
            <v>28</v>
          </cell>
          <cell r="CG160">
            <v>63</v>
          </cell>
          <cell r="CH160">
            <v>6</v>
          </cell>
          <cell r="CM160">
            <v>123</v>
          </cell>
          <cell r="CN160" t="str">
            <v>Owed 28 hours overtime extra overtime from 25th to 31st October'2008. Owed 123 rials Eid bonus, 63 hours 200%, 6 days desert allowance for Eid Al Adhah'2008 from 8th to 13th December'2008.</v>
          </cell>
        </row>
        <row r="161">
          <cell r="B161">
            <v>395</v>
          </cell>
          <cell r="D161" t="str">
            <v>Khalid Said Khalfan Al Ghafri</v>
          </cell>
          <cell r="E161" t="str">
            <v>Labour / Driver</v>
          </cell>
          <cell r="G161" t="str">
            <v>N/A</v>
          </cell>
          <cell r="H161">
            <v>38899</v>
          </cell>
          <cell r="I161" t="str">
            <v>A</v>
          </cell>
          <cell r="J161" t="str">
            <v>Sh:2</v>
          </cell>
          <cell r="K161" t="str">
            <v>L</v>
          </cell>
          <cell r="L161" t="str">
            <v>L</v>
          </cell>
          <cell r="M161" t="str">
            <v>L</v>
          </cell>
          <cell r="N161" t="str">
            <v>L</v>
          </cell>
          <cell r="O161" t="str">
            <v>L</v>
          </cell>
          <cell r="P161" t="str">
            <v>L</v>
          </cell>
          <cell r="Q161" t="str">
            <v>L</v>
          </cell>
          <cell r="R161">
            <v>6.5</v>
          </cell>
          <cell r="S161">
            <v>6.5</v>
          </cell>
          <cell r="T161">
            <v>6.5</v>
          </cell>
          <cell r="U161">
            <v>6.5</v>
          </cell>
          <cell r="V161">
            <v>6.5</v>
          </cell>
          <cell r="W161">
            <v>6.5</v>
          </cell>
          <cell r="X161">
            <v>6.5</v>
          </cell>
          <cell r="Y161">
            <v>6.5</v>
          </cell>
          <cell r="Z161">
            <v>2.5</v>
          </cell>
          <cell r="AA161">
            <v>2.5</v>
          </cell>
          <cell r="AB161">
            <v>2.5</v>
          </cell>
          <cell r="AC161">
            <v>2.5</v>
          </cell>
          <cell r="AD161">
            <v>2.5</v>
          </cell>
          <cell r="AE161">
            <v>2.5</v>
          </cell>
          <cell r="AF161">
            <v>2.5</v>
          </cell>
          <cell r="AG161">
            <v>2.5</v>
          </cell>
          <cell r="AH161">
            <v>2.5</v>
          </cell>
          <cell r="AI161">
            <v>2.5</v>
          </cell>
          <cell r="AJ161">
            <v>10.5</v>
          </cell>
          <cell r="AK161">
            <v>10.5</v>
          </cell>
          <cell r="AL161">
            <v>2.5</v>
          </cell>
          <cell r="AM161">
            <v>2.5</v>
          </cell>
          <cell r="AN161">
            <v>2.5</v>
          </cell>
          <cell r="AO161" t="str">
            <v>x</v>
          </cell>
          <cell r="AP161">
            <v>23</v>
          </cell>
          <cell r="AQ161">
            <v>7</v>
          </cell>
          <cell r="AR161">
            <v>0</v>
          </cell>
          <cell r="AS161">
            <v>0</v>
          </cell>
          <cell r="AT161">
            <v>0</v>
          </cell>
          <cell r="AU161">
            <v>0</v>
          </cell>
          <cell r="AV161">
            <v>84.5</v>
          </cell>
          <cell r="AW161">
            <v>21</v>
          </cell>
          <cell r="AX161">
            <v>30</v>
          </cell>
          <cell r="AY161">
            <v>23</v>
          </cell>
          <cell r="AZ161">
            <v>30</v>
          </cell>
          <cell r="CG161">
            <v>63</v>
          </cell>
          <cell r="CH161">
            <v>6</v>
          </cell>
          <cell r="CM161">
            <v>123</v>
          </cell>
          <cell r="CN161" t="str">
            <v>Owed 123 rials Eid bonus, 63 hours 200%, 6 days desert allowance for Eid Al Adhah'2008 from 8th to 13th December'2008.</v>
          </cell>
        </row>
        <row r="162">
          <cell r="B162">
            <v>396</v>
          </cell>
          <cell r="D162" t="str">
            <v>Alli Saif Hamed Al Hinai</v>
          </cell>
          <cell r="E162" t="str">
            <v>Labour</v>
          </cell>
          <cell r="G162" t="str">
            <v>N/A</v>
          </cell>
          <cell r="H162">
            <v>38899</v>
          </cell>
          <cell r="I162" t="str">
            <v>A</v>
          </cell>
          <cell r="J162" t="str">
            <v>Sh:1</v>
          </cell>
          <cell r="K162">
            <v>6</v>
          </cell>
          <cell r="L162">
            <v>6</v>
          </cell>
          <cell r="M162">
            <v>6</v>
          </cell>
          <cell r="N162">
            <v>6</v>
          </cell>
          <cell r="O162">
            <v>6</v>
          </cell>
          <cell r="P162">
            <v>6</v>
          </cell>
          <cell r="Q162">
            <v>6</v>
          </cell>
          <cell r="R162">
            <v>7</v>
          </cell>
          <cell r="S162">
            <v>7</v>
          </cell>
          <cell r="T162">
            <v>0</v>
          </cell>
          <cell r="U162" t="str">
            <v>L</v>
          </cell>
          <cell r="V162" t="str">
            <v>L</v>
          </cell>
          <cell r="W162">
            <v>7.5</v>
          </cell>
          <cell r="X162">
            <v>6</v>
          </cell>
          <cell r="Y162">
            <v>7</v>
          </cell>
          <cell r="Z162">
            <v>2</v>
          </cell>
          <cell r="AA162">
            <v>2</v>
          </cell>
          <cell r="AB162">
            <v>2</v>
          </cell>
          <cell r="AC162">
            <v>2</v>
          </cell>
          <cell r="AD162">
            <v>2</v>
          </cell>
          <cell r="AE162">
            <v>2</v>
          </cell>
          <cell r="AF162" t="str">
            <v>L</v>
          </cell>
          <cell r="AG162" t="str">
            <v>L</v>
          </cell>
          <cell r="AH162" t="str">
            <v>L</v>
          </cell>
          <cell r="AI162" t="str">
            <v>L</v>
          </cell>
          <cell r="AJ162" t="str">
            <v>L</v>
          </cell>
          <cell r="AK162" t="str">
            <v>L</v>
          </cell>
          <cell r="AL162" t="str">
            <v>L</v>
          </cell>
          <cell r="AM162" t="str">
            <v>L</v>
          </cell>
          <cell r="AN162" t="str">
            <v>L</v>
          </cell>
          <cell r="AO162" t="str">
            <v>x</v>
          </cell>
          <cell r="AP162">
            <v>19</v>
          </cell>
          <cell r="AQ162">
            <v>11</v>
          </cell>
          <cell r="AR162">
            <v>0</v>
          </cell>
          <cell r="AS162">
            <v>0</v>
          </cell>
          <cell r="AT162">
            <v>0</v>
          </cell>
          <cell r="AU162">
            <v>0</v>
          </cell>
          <cell r="AV162">
            <v>88.5</v>
          </cell>
          <cell r="AW162">
            <v>0</v>
          </cell>
          <cell r="AX162">
            <v>30</v>
          </cell>
          <cell r="AY162">
            <v>19</v>
          </cell>
          <cell r="AZ162">
            <v>30</v>
          </cell>
          <cell r="CF162">
            <v>40</v>
          </cell>
          <cell r="CG162">
            <v>4</v>
          </cell>
          <cell r="CN162" t="str">
            <v>Owed 40 hours overtime extra overtime from 5th to 7th and 25th to 31st October'2008 and owed 4 hours overtime 200% for 4th October'2008.</v>
          </cell>
        </row>
        <row r="163">
          <cell r="B163">
            <v>397</v>
          </cell>
          <cell r="D163" t="str">
            <v>Naji Bati Said Al Ghafri</v>
          </cell>
          <cell r="E163" t="str">
            <v>Labour / Driver</v>
          </cell>
          <cell r="G163" t="str">
            <v>N/A</v>
          </cell>
          <cell r="H163">
            <v>38899</v>
          </cell>
          <cell r="I163" t="str">
            <v>A</v>
          </cell>
          <cell r="J163" t="str">
            <v>Sh:2</v>
          </cell>
          <cell r="K163" t="str">
            <v>L</v>
          </cell>
          <cell r="L163" t="str">
            <v>L</v>
          </cell>
          <cell r="M163" t="str">
            <v>L</v>
          </cell>
          <cell r="N163" t="str">
            <v>L</v>
          </cell>
          <cell r="O163" t="str">
            <v>L</v>
          </cell>
          <cell r="P163" t="str">
            <v>L</v>
          </cell>
          <cell r="Q163" t="str">
            <v>L</v>
          </cell>
          <cell r="R163">
            <v>2.5</v>
          </cell>
          <cell r="S163">
            <v>2.5</v>
          </cell>
          <cell r="T163">
            <v>2.5</v>
          </cell>
          <cell r="U163">
            <v>2.5</v>
          </cell>
          <cell r="V163">
            <v>2.5</v>
          </cell>
          <cell r="W163">
            <v>2.5</v>
          </cell>
          <cell r="X163">
            <v>2.5</v>
          </cell>
          <cell r="Y163">
            <v>2.5</v>
          </cell>
          <cell r="Z163">
            <v>2.5</v>
          </cell>
          <cell r="AA163">
            <v>2.5</v>
          </cell>
          <cell r="AB163">
            <v>2.5</v>
          </cell>
          <cell r="AC163">
            <v>2.5</v>
          </cell>
          <cell r="AD163">
            <v>2.5</v>
          </cell>
          <cell r="AE163">
            <v>2.5</v>
          </cell>
          <cell r="AF163">
            <v>2.5</v>
          </cell>
          <cell r="AG163">
            <v>2.5</v>
          </cell>
          <cell r="AH163">
            <v>2.5</v>
          </cell>
          <cell r="AI163">
            <v>2.5</v>
          </cell>
          <cell r="AJ163">
            <v>10.5</v>
          </cell>
          <cell r="AK163">
            <v>10.5</v>
          </cell>
          <cell r="AL163">
            <v>2.5</v>
          </cell>
          <cell r="AM163">
            <v>2.5</v>
          </cell>
          <cell r="AN163">
            <v>2.5</v>
          </cell>
          <cell r="AO163" t="str">
            <v>x</v>
          </cell>
          <cell r="AP163">
            <v>23</v>
          </cell>
          <cell r="AQ163">
            <v>7</v>
          </cell>
          <cell r="AR163">
            <v>0</v>
          </cell>
          <cell r="AS163">
            <v>0</v>
          </cell>
          <cell r="AT163">
            <v>0</v>
          </cell>
          <cell r="AU163">
            <v>0</v>
          </cell>
          <cell r="AV163">
            <v>52.5</v>
          </cell>
          <cell r="AW163">
            <v>21</v>
          </cell>
          <cell r="AX163">
            <v>30</v>
          </cell>
          <cell r="AY163">
            <v>23</v>
          </cell>
          <cell r="AZ163">
            <v>30</v>
          </cell>
          <cell r="CF163">
            <v>37</v>
          </cell>
          <cell r="CG163">
            <v>63</v>
          </cell>
          <cell r="CH163">
            <v>9</v>
          </cell>
          <cell r="CM163">
            <v>123</v>
          </cell>
          <cell r="CN163" t="str">
            <v>Owed 1 hours overtime for 8th to 9th October'2008 was acting driver. Owed 32 hours overtime extra overtime from 16th to 23rd October'2008. Owed 123 rials Eid bonus, 63 hours 200%, 6 days desert allowance for Eid Al Adhah'2008 from 8th to 13th December'200</v>
          </cell>
        </row>
        <row r="164">
          <cell r="B164">
            <v>398</v>
          </cell>
          <cell r="D164" t="str">
            <v>Said Suliman Abdullah Al Mahrouqi</v>
          </cell>
          <cell r="E164" t="str">
            <v>Labour</v>
          </cell>
          <cell r="G164" t="str">
            <v>N/A</v>
          </cell>
          <cell r="H164">
            <v>38899</v>
          </cell>
          <cell r="I164" t="str">
            <v>A</v>
          </cell>
          <cell r="J164" t="str">
            <v>Sh:1</v>
          </cell>
          <cell r="K164">
            <v>6</v>
          </cell>
          <cell r="L164">
            <v>6</v>
          </cell>
          <cell r="M164">
            <v>6</v>
          </cell>
          <cell r="N164">
            <v>6</v>
          </cell>
          <cell r="O164">
            <v>6</v>
          </cell>
          <cell r="P164">
            <v>6</v>
          </cell>
          <cell r="Q164">
            <v>6</v>
          </cell>
          <cell r="R164">
            <v>6</v>
          </cell>
          <cell r="S164">
            <v>6</v>
          </cell>
          <cell r="T164">
            <v>6</v>
          </cell>
          <cell r="U164">
            <v>6</v>
          </cell>
          <cell r="V164">
            <v>6</v>
          </cell>
          <cell r="W164">
            <v>0</v>
          </cell>
          <cell r="X164" t="str">
            <v>A</v>
          </cell>
          <cell r="Y164">
            <v>6</v>
          </cell>
          <cell r="Z164">
            <v>2</v>
          </cell>
          <cell r="AA164">
            <v>2</v>
          </cell>
          <cell r="AB164">
            <v>2</v>
          </cell>
          <cell r="AC164">
            <v>2</v>
          </cell>
          <cell r="AD164">
            <v>2</v>
          </cell>
          <cell r="AE164">
            <v>2</v>
          </cell>
          <cell r="AF164" t="str">
            <v>L</v>
          </cell>
          <cell r="AG164" t="str">
            <v>L</v>
          </cell>
          <cell r="AH164" t="str">
            <v>L</v>
          </cell>
          <cell r="AI164" t="str">
            <v>L</v>
          </cell>
          <cell r="AJ164" t="str">
            <v>L</v>
          </cell>
          <cell r="AK164" t="str">
            <v>L</v>
          </cell>
          <cell r="AL164" t="str">
            <v>L</v>
          </cell>
          <cell r="AM164" t="str">
            <v>L</v>
          </cell>
          <cell r="AN164" t="str">
            <v>L</v>
          </cell>
          <cell r="AO164" t="str">
            <v>x</v>
          </cell>
          <cell r="AP164">
            <v>20</v>
          </cell>
          <cell r="AQ164">
            <v>9</v>
          </cell>
          <cell r="AR164">
            <v>0</v>
          </cell>
          <cell r="AS164">
            <v>0</v>
          </cell>
          <cell r="AT164">
            <v>1</v>
          </cell>
          <cell r="AU164">
            <v>0</v>
          </cell>
          <cell r="AV164">
            <v>90</v>
          </cell>
          <cell r="AW164">
            <v>0</v>
          </cell>
          <cell r="AX164">
            <v>29</v>
          </cell>
          <cell r="AY164">
            <v>20</v>
          </cell>
          <cell r="AZ164">
            <v>29</v>
          </cell>
          <cell r="CF164">
            <v>16</v>
          </cell>
          <cell r="CG164">
            <v>60</v>
          </cell>
          <cell r="CH164">
            <v>6</v>
          </cell>
          <cell r="CM164">
            <v>123</v>
          </cell>
          <cell r="CN164" t="str">
            <v>Owed 16 hours overtime extra overtime from 27th to 28th and 30th 31st October'2008. Owed 123 rials Eid bonus, 60 hours 200%, 6 days desert allowance for Eid Al Adhah'2008 from 8th to 13th December'2008.</v>
          </cell>
        </row>
        <row r="165">
          <cell r="B165">
            <v>400</v>
          </cell>
          <cell r="D165" t="str">
            <v>Nasser Suliman Sabaa Al-Hanai</v>
          </cell>
          <cell r="E165" t="str">
            <v>Labour / Chain Crew</v>
          </cell>
          <cell r="G165" t="str">
            <v>N/A</v>
          </cell>
          <cell r="H165">
            <v>38899</v>
          </cell>
          <cell r="I165" t="str">
            <v>A</v>
          </cell>
          <cell r="J165" t="str">
            <v>Sh:3</v>
          </cell>
          <cell r="K165" t="str">
            <v>H</v>
          </cell>
          <cell r="L165" t="str">
            <v>H</v>
          </cell>
          <cell r="M165" t="str">
            <v>H</v>
          </cell>
          <cell r="N165">
            <v>2</v>
          </cell>
          <cell r="O165">
            <v>2</v>
          </cell>
          <cell r="P165">
            <v>2</v>
          </cell>
          <cell r="Q165">
            <v>2</v>
          </cell>
          <cell r="R165" t="str">
            <v>L</v>
          </cell>
          <cell r="S165" t="str">
            <v>L</v>
          </cell>
          <cell r="T165" t="str">
            <v>L</v>
          </cell>
          <cell r="U165" t="str">
            <v>L</v>
          </cell>
          <cell r="V165" t="str">
            <v>L</v>
          </cell>
          <cell r="W165" t="str">
            <v>L</v>
          </cell>
          <cell r="X165" t="str">
            <v>L</v>
          </cell>
          <cell r="Y165" t="str">
            <v>L</v>
          </cell>
          <cell r="Z165" t="str">
            <v>L</v>
          </cell>
          <cell r="AA165" t="str">
            <v>L</v>
          </cell>
          <cell r="AB165" t="str">
            <v>L</v>
          </cell>
          <cell r="AC165" t="str">
            <v>L</v>
          </cell>
          <cell r="AD165" t="str">
            <v>L</v>
          </cell>
          <cell r="AE165" t="str">
            <v>L</v>
          </cell>
          <cell r="AF165">
            <v>2</v>
          </cell>
          <cell r="AG165">
            <v>2</v>
          </cell>
          <cell r="AH165">
            <v>2</v>
          </cell>
          <cell r="AI165">
            <v>2</v>
          </cell>
          <cell r="AJ165">
            <v>10</v>
          </cell>
          <cell r="AK165">
            <v>10</v>
          </cell>
          <cell r="AL165">
            <v>2</v>
          </cell>
          <cell r="AM165">
            <v>2</v>
          </cell>
          <cell r="AN165">
            <v>2</v>
          </cell>
          <cell r="AO165" t="str">
            <v>x</v>
          </cell>
          <cell r="AP165">
            <v>13</v>
          </cell>
          <cell r="AQ165">
            <v>14</v>
          </cell>
          <cell r="AR165">
            <v>0</v>
          </cell>
          <cell r="AS165">
            <v>0</v>
          </cell>
          <cell r="AT165">
            <v>0</v>
          </cell>
          <cell r="AU165">
            <v>3</v>
          </cell>
          <cell r="AV165">
            <v>22</v>
          </cell>
          <cell r="AW165">
            <v>20</v>
          </cell>
          <cell r="AX165">
            <v>27</v>
          </cell>
          <cell r="AY165">
            <v>13</v>
          </cell>
          <cell r="AZ165">
            <v>27</v>
          </cell>
          <cell r="CG165">
            <v>60</v>
          </cell>
          <cell r="CH165">
            <v>6</v>
          </cell>
          <cell r="CM165">
            <v>123</v>
          </cell>
          <cell r="CN165" t="str">
            <v>Owed 123 rials Eid bonus, 60 hours 200%, 6 days desert allowance for Eid Al Adhah'2008 from 8th to 13th December'2008.</v>
          </cell>
        </row>
        <row r="166">
          <cell r="B166">
            <v>401</v>
          </cell>
          <cell r="D166" t="str">
            <v>Malik Khalifa Said Al Shohoomi</v>
          </cell>
          <cell r="E166" t="str">
            <v>Asst Mech ' Workshop '</v>
          </cell>
          <cell r="G166" t="str">
            <v>N/A</v>
          </cell>
          <cell r="H166">
            <v>38899</v>
          </cell>
          <cell r="I166" t="str">
            <v>A</v>
          </cell>
          <cell r="J166" t="str">
            <v>Sh:1</v>
          </cell>
          <cell r="K166">
            <v>2</v>
          </cell>
          <cell r="L166">
            <v>2</v>
          </cell>
          <cell r="M166">
            <v>2</v>
          </cell>
          <cell r="N166">
            <v>2</v>
          </cell>
          <cell r="O166">
            <v>0</v>
          </cell>
          <cell r="P166" t="str">
            <v>C</v>
          </cell>
          <cell r="Q166">
            <v>2</v>
          </cell>
          <cell r="R166">
            <v>2</v>
          </cell>
          <cell r="S166">
            <v>2</v>
          </cell>
          <cell r="T166">
            <v>2</v>
          </cell>
          <cell r="U166">
            <v>2</v>
          </cell>
          <cell r="V166">
            <v>2</v>
          </cell>
          <cell r="W166">
            <v>2</v>
          </cell>
          <cell r="X166">
            <v>2</v>
          </cell>
          <cell r="Y166">
            <v>2</v>
          </cell>
          <cell r="Z166">
            <v>2</v>
          </cell>
          <cell r="AA166">
            <v>2</v>
          </cell>
          <cell r="AB166">
            <v>2</v>
          </cell>
          <cell r="AC166">
            <v>2</v>
          </cell>
          <cell r="AD166">
            <v>2</v>
          </cell>
          <cell r="AE166">
            <v>2</v>
          </cell>
          <cell r="AF166" t="str">
            <v>L</v>
          </cell>
          <cell r="AG166" t="str">
            <v>L</v>
          </cell>
          <cell r="AH166" t="str">
            <v>L</v>
          </cell>
          <cell r="AI166" t="str">
            <v>L</v>
          </cell>
          <cell r="AJ166" t="str">
            <v>L</v>
          </cell>
          <cell r="AK166" t="str">
            <v>L</v>
          </cell>
          <cell r="AL166" t="str">
            <v>L</v>
          </cell>
          <cell r="AM166" t="str">
            <v>L</v>
          </cell>
          <cell r="AN166" t="str">
            <v>L</v>
          </cell>
          <cell r="AO166" t="str">
            <v>x</v>
          </cell>
          <cell r="AP166">
            <v>20</v>
          </cell>
          <cell r="AQ166">
            <v>10</v>
          </cell>
          <cell r="AR166">
            <v>0</v>
          </cell>
          <cell r="AS166">
            <v>0</v>
          </cell>
          <cell r="AT166">
            <v>0</v>
          </cell>
          <cell r="AU166">
            <v>0</v>
          </cell>
          <cell r="AV166">
            <v>38</v>
          </cell>
          <cell r="AW166">
            <v>0</v>
          </cell>
          <cell r="AX166">
            <v>30</v>
          </cell>
          <cell r="AY166">
            <v>20</v>
          </cell>
          <cell r="AZ166">
            <v>30</v>
          </cell>
          <cell r="CF166">
            <v>57</v>
          </cell>
          <cell r="CG166">
            <v>60</v>
          </cell>
          <cell r="CH166">
            <v>6</v>
          </cell>
          <cell r="CM166">
            <v>123</v>
          </cell>
          <cell r="CN166" t="str">
            <v>Owed 57 hours overtime extra overtime from 5th to 7th and 25th to 31st October'2008. Owed 123 rials Eid bonus, 60 hours 200%, 6 days desert allowance for Eid Al Adhah'2008 from 8th to 13th December'2008.</v>
          </cell>
        </row>
        <row r="167">
          <cell r="B167">
            <v>406</v>
          </cell>
          <cell r="D167" t="str">
            <v>Abdullah Nasser Saif Khimais</v>
          </cell>
          <cell r="E167" t="str">
            <v>Labour</v>
          </cell>
          <cell r="G167" t="str">
            <v>N/A</v>
          </cell>
          <cell r="H167">
            <v>38992</v>
          </cell>
          <cell r="I167" t="str">
            <v>A</v>
          </cell>
          <cell r="J167" t="str">
            <v>Sh:3</v>
          </cell>
          <cell r="K167">
            <v>2</v>
          </cell>
          <cell r="L167">
            <v>2</v>
          </cell>
          <cell r="M167">
            <v>2</v>
          </cell>
          <cell r="N167">
            <v>2</v>
          </cell>
          <cell r="O167">
            <v>2</v>
          </cell>
          <cell r="P167">
            <v>2</v>
          </cell>
          <cell r="Q167">
            <v>2</v>
          </cell>
          <cell r="R167" t="str">
            <v>L</v>
          </cell>
          <cell r="S167" t="str">
            <v>L</v>
          </cell>
          <cell r="T167" t="str">
            <v>L</v>
          </cell>
          <cell r="U167" t="str">
            <v>L</v>
          </cell>
          <cell r="V167" t="str">
            <v>L</v>
          </cell>
          <cell r="W167" t="str">
            <v>L</v>
          </cell>
          <cell r="X167" t="str">
            <v>L</v>
          </cell>
          <cell r="Y167" t="str">
            <v>L</v>
          </cell>
          <cell r="Z167" t="str">
            <v>L</v>
          </cell>
          <cell r="AA167" t="str">
            <v>L</v>
          </cell>
          <cell r="AB167" t="str">
            <v>L</v>
          </cell>
          <cell r="AC167" t="str">
            <v>L</v>
          </cell>
          <cell r="AD167" t="str">
            <v>L</v>
          </cell>
          <cell r="AE167" t="str">
            <v>L</v>
          </cell>
          <cell r="AF167">
            <v>2</v>
          </cell>
          <cell r="AG167">
            <v>2</v>
          </cell>
          <cell r="AH167">
            <v>2</v>
          </cell>
          <cell r="AI167">
            <v>2</v>
          </cell>
          <cell r="AJ167">
            <v>10</v>
          </cell>
          <cell r="AK167">
            <v>10</v>
          </cell>
          <cell r="AL167">
            <v>2</v>
          </cell>
          <cell r="AM167">
            <v>2</v>
          </cell>
          <cell r="AN167">
            <v>2</v>
          </cell>
          <cell r="AO167" t="str">
            <v>x</v>
          </cell>
          <cell r="AP167">
            <v>16</v>
          </cell>
          <cell r="AQ167">
            <v>14</v>
          </cell>
          <cell r="AR167">
            <v>0</v>
          </cell>
          <cell r="AS167">
            <v>0</v>
          </cell>
          <cell r="AT167">
            <v>0</v>
          </cell>
          <cell r="AU167">
            <v>0</v>
          </cell>
          <cell r="AV167">
            <v>28</v>
          </cell>
          <cell r="AW167">
            <v>20</v>
          </cell>
          <cell r="AX167">
            <v>30</v>
          </cell>
          <cell r="AY167">
            <v>16</v>
          </cell>
          <cell r="AZ167">
            <v>30</v>
          </cell>
        </row>
        <row r="168">
          <cell r="B168">
            <v>407</v>
          </cell>
          <cell r="D168" t="str">
            <v>Abdullah Musabah Jamil Al Rashid</v>
          </cell>
          <cell r="E168" t="str">
            <v xml:space="preserve">Labour </v>
          </cell>
          <cell r="G168" t="str">
            <v>N/A</v>
          </cell>
          <cell r="H168" t="str">
            <v>N/A</v>
          </cell>
          <cell r="I168" t="str">
            <v>A</v>
          </cell>
          <cell r="J168" t="str">
            <v>Sh:2</v>
          </cell>
          <cell r="K168" t="str">
            <v>L</v>
          </cell>
          <cell r="L168" t="str">
            <v>L</v>
          </cell>
          <cell r="M168" t="str">
            <v>L</v>
          </cell>
          <cell r="N168" t="str">
            <v>L</v>
          </cell>
          <cell r="O168" t="str">
            <v>L</v>
          </cell>
          <cell r="P168" t="str">
            <v>L</v>
          </cell>
          <cell r="Q168" t="str">
            <v>L</v>
          </cell>
          <cell r="R168">
            <v>9</v>
          </cell>
          <cell r="S168">
            <v>10</v>
          </cell>
          <cell r="T168">
            <v>10</v>
          </cell>
          <cell r="U168">
            <v>10</v>
          </cell>
          <cell r="V168">
            <v>10</v>
          </cell>
          <cell r="W168">
            <v>10</v>
          </cell>
          <cell r="X168">
            <v>10</v>
          </cell>
          <cell r="Y168">
            <v>10</v>
          </cell>
          <cell r="Z168">
            <v>2</v>
          </cell>
          <cell r="AA168">
            <v>2</v>
          </cell>
          <cell r="AB168" t="str">
            <v>L</v>
          </cell>
          <cell r="AC168">
            <v>2</v>
          </cell>
          <cell r="AD168">
            <v>2</v>
          </cell>
          <cell r="AE168">
            <v>2</v>
          </cell>
          <cell r="AF168">
            <v>2</v>
          </cell>
          <cell r="AG168">
            <v>2</v>
          </cell>
          <cell r="AH168">
            <v>2</v>
          </cell>
          <cell r="AI168">
            <v>2</v>
          </cell>
          <cell r="AJ168">
            <v>10</v>
          </cell>
          <cell r="AK168">
            <v>10</v>
          </cell>
          <cell r="AL168">
            <v>2</v>
          </cell>
          <cell r="AM168">
            <v>2</v>
          </cell>
          <cell r="AN168">
            <v>2</v>
          </cell>
          <cell r="AO168" t="str">
            <v>x</v>
          </cell>
          <cell r="AP168">
            <v>22</v>
          </cell>
          <cell r="AQ168">
            <v>8</v>
          </cell>
          <cell r="AR168">
            <v>0</v>
          </cell>
          <cell r="AS168">
            <v>0</v>
          </cell>
          <cell r="AT168">
            <v>0</v>
          </cell>
          <cell r="AU168">
            <v>0</v>
          </cell>
          <cell r="AV168">
            <v>103</v>
          </cell>
          <cell r="AW168">
            <v>20</v>
          </cell>
          <cell r="AX168">
            <v>30</v>
          </cell>
          <cell r="AY168">
            <v>22</v>
          </cell>
          <cell r="AZ168">
            <v>30</v>
          </cell>
          <cell r="CF168">
            <v>37</v>
          </cell>
          <cell r="CN168" t="str">
            <v>Owed 37 hours overtime extra overtime from 7th and 15th to 16th and 21st and 17th to 20th October'2008.</v>
          </cell>
        </row>
        <row r="169">
          <cell r="B169">
            <v>408</v>
          </cell>
          <cell r="D169" t="str">
            <v>Khalil Sulaiman Al Balushi</v>
          </cell>
          <cell r="E169" t="str">
            <v>Labour</v>
          </cell>
          <cell r="G169" t="str">
            <v>N/A</v>
          </cell>
          <cell r="H169">
            <v>38990</v>
          </cell>
          <cell r="I169" t="str">
            <v>A</v>
          </cell>
          <cell r="J169" t="str">
            <v>Sh:1</v>
          </cell>
          <cell r="K169" t="str">
            <v>A</v>
          </cell>
          <cell r="L169" t="str">
            <v>A</v>
          </cell>
          <cell r="M169" t="str">
            <v>A</v>
          </cell>
          <cell r="N169" t="str">
            <v>A</v>
          </cell>
          <cell r="O169" t="str">
            <v>A</v>
          </cell>
          <cell r="P169" t="str">
            <v>A</v>
          </cell>
          <cell r="Q169" t="str">
            <v>A</v>
          </cell>
          <cell r="R169" t="str">
            <v>A</v>
          </cell>
          <cell r="S169" t="str">
            <v>A</v>
          </cell>
          <cell r="T169" t="str">
            <v>A</v>
          </cell>
          <cell r="U169" t="str">
            <v>A</v>
          </cell>
          <cell r="V169" t="str">
            <v>A</v>
          </cell>
          <cell r="W169" t="str">
            <v>A</v>
          </cell>
          <cell r="X169" t="str">
            <v>A</v>
          </cell>
          <cell r="Y169" t="str">
            <v>A</v>
          </cell>
          <cell r="Z169" t="str">
            <v>A</v>
          </cell>
          <cell r="AA169" t="str">
            <v>A</v>
          </cell>
          <cell r="AB169" t="str">
            <v>A</v>
          </cell>
          <cell r="AC169" t="str">
            <v>A</v>
          </cell>
          <cell r="AD169" t="str">
            <v>A</v>
          </cell>
          <cell r="AE169" t="str">
            <v>A</v>
          </cell>
          <cell r="AF169" t="str">
            <v>A</v>
          </cell>
          <cell r="AG169" t="str">
            <v>A</v>
          </cell>
          <cell r="AH169" t="str">
            <v>A</v>
          </cell>
          <cell r="AI169" t="str">
            <v>A</v>
          </cell>
          <cell r="AJ169" t="str">
            <v>A</v>
          </cell>
          <cell r="AK169" t="str">
            <v>A</v>
          </cell>
          <cell r="AL169" t="str">
            <v>A</v>
          </cell>
          <cell r="AM169" t="str">
            <v>A</v>
          </cell>
          <cell r="AN169" t="str">
            <v>A</v>
          </cell>
          <cell r="AO169" t="str">
            <v>x</v>
          </cell>
          <cell r="AP169">
            <v>0</v>
          </cell>
          <cell r="AQ169">
            <v>0</v>
          </cell>
          <cell r="AR169">
            <v>0</v>
          </cell>
          <cell r="AS169">
            <v>0</v>
          </cell>
          <cell r="AT169">
            <v>30</v>
          </cell>
          <cell r="AU169">
            <v>0</v>
          </cell>
          <cell r="AV169">
            <v>0</v>
          </cell>
          <cell r="AW169">
            <v>0</v>
          </cell>
          <cell r="AX169">
            <v>0</v>
          </cell>
          <cell r="AY169">
            <v>0</v>
          </cell>
          <cell r="AZ169">
            <v>0</v>
          </cell>
          <cell r="CN169" t="str">
            <v>Dudected 5 days basic allowance, 5 days housing allowance, 5 days date allowance, 25day monthly ration, 7 days desert allowance, 14 hours overtime is sick on 25th October and absent from 26th October and is send sick leave for 27th October'2008 after hi d</v>
          </cell>
        </row>
        <row r="170">
          <cell r="B170">
            <v>409</v>
          </cell>
          <cell r="D170" t="str">
            <v>Ali Salim Rashid Al Habsi</v>
          </cell>
          <cell r="E170" t="str">
            <v>Labour</v>
          </cell>
          <cell r="G170" t="str">
            <v>N/A</v>
          </cell>
          <cell r="H170">
            <v>39056</v>
          </cell>
          <cell r="I170" t="str">
            <v>A</v>
          </cell>
          <cell r="J170" t="str">
            <v>Sh:3</v>
          </cell>
          <cell r="K170">
            <v>6</v>
          </cell>
          <cell r="L170">
            <v>6</v>
          </cell>
          <cell r="M170">
            <v>6</v>
          </cell>
          <cell r="N170">
            <v>6</v>
          </cell>
          <cell r="O170">
            <v>6</v>
          </cell>
          <cell r="P170">
            <v>6</v>
          </cell>
          <cell r="Q170">
            <v>2</v>
          </cell>
          <cell r="R170" t="str">
            <v>L</v>
          </cell>
          <cell r="S170" t="str">
            <v>L</v>
          </cell>
          <cell r="T170" t="str">
            <v>L</v>
          </cell>
          <cell r="U170" t="str">
            <v>L</v>
          </cell>
          <cell r="V170" t="str">
            <v>L</v>
          </cell>
          <cell r="W170" t="str">
            <v>L</v>
          </cell>
          <cell r="X170" t="str">
            <v>L</v>
          </cell>
          <cell r="Y170" t="str">
            <v>L</v>
          </cell>
          <cell r="Z170" t="str">
            <v>L</v>
          </cell>
          <cell r="AA170" t="str">
            <v>L</v>
          </cell>
          <cell r="AB170" t="str">
            <v>L</v>
          </cell>
          <cell r="AC170" t="str">
            <v>L</v>
          </cell>
          <cell r="AD170" t="str">
            <v>L</v>
          </cell>
          <cell r="AE170" t="str">
            <v>L</v>
          </cell>
          <cell r="AF170">
            <v>2</v>
          </cell>
          <cell r="AG170">
            <v>2</v>
          </cell>
          <cell r="AH170">
            <v>2</v>
          </cell>
          <cell r="AI170">
            <v>2</v>
          </cell>
          <cell r="AJ170">
            <v>10</v>
          </cell>
          <cell r="AK170">
            <v>10</v>
          </cell>
          <cell r="AL170">
            <v>2</v>
          </cell>
          <cell r="AM170">
            <v>2</v>
          </cell>
          <cell r="AN170">
            <v>2</v>
          </cell>
          <cell r="AO170" t="str">
            <v>x</v>
          </cell>
          <cell r="AP170">
            <v>16</v>
          </cell>
          <cell r="AQ170">
            <v>14</v>
          </cell>
          <cell r="AR170">
            <v>0</v>
          </cell>
          <cell r="AS170">
            <v>0</v>
          </cell>
          <cell r="AT170">
            <v>0</v>
          </cell>
          <cell r="AU170">
            <v>0</v>
          </cell>
          <cell r="AV170">
            <v>52</v>
          </cell>
          <cell r="AW170">
            <v>20</v>
          </cell>
          <cell r="AX170">
            <v>30</v>
          </cell>
          <cell r="AY170">
            <v>16</v>
          </cell>
          <cell r="AZ170">
            <v>30</v>
          </cell>
          <cell r="CF170">
            <v>60</v>
          </cell>
          <cell r="CN170" t="str">
            <v>Owed 60 hours overtime extra overtime from 16th to 23rd and 25th to 31st October'2008.</v>
          </cell>
        </row>
        <row r="171">
          <cell r="B171">
            <v>411</v>
          </cell>
          <cell r="D171" t="str">
            <v>Suliman Nasser Said Al Harasi</v>
          </cell>
          <cell r="E171" t="str">
            <v>Labour</v>
          </cell>
          <cell r="G171" t="str">
            <v>N/A</v>
          </cell>
          <cell r="H171">
            <v>38990</v>
          </cell>
          <cell r="I171" t="str">
            <v>A</v>
          </cell>
          <cell r="J171" t="str">
            <v>Sh:3</v>
          </cell>
          <cell r="K171">
            <v>2</v>
          </cell>
          <cell r="L171">
            <v>2</v>
          </cell>
          <cell r="M171">
            <v>2</v>
          </cell>
          <cell r="N171">
            <v>2</v>
          </cell>
          <cell r="O171">
            <v>2</v>
          </cell>
          <cell r="P171">
            <v>2</v>
          </cell>
          <cell r="Q171">
            <v>2</v>
          </cell>
          <cell r="R171" t="str">
            <v>L</v>
          </cell>
          <cell r="S171" t="str">
            <v>L</v>
          </cell>
          <cell r="T171" t="str">
            <v>L</v>
          </cell>
          <cell r="U171" t="str">
            <v>L</v>
          </cell>
          <cell r="V171" t="str">
            <v>L</v>
          </cell>
          <cell r="W171" t="str">
            <v>L</v>
          </cell>
          <cell r="X171" t="str">
            <v>L</v>
          </cell>
          <cell r="Y171" t="str">
            <v>L</v>
          </cell>
          <cell r="Z171" t="str">
            <v>L</v>
          </cell>
          <cell r="AA171" t="str">
            <v>L</v>
          </cell>
          <cell r="AB171" t="str">
            <v>L</v>
          </cell>
          <cell r="AC171" t="str">
            <v>L</v>
          </cell>
          <cell r="AD171" t="str">
            <v>L</v>
          </cell>
          <cell r="AE171" t="str">
            <v>L</v>
          </cell>
          <cell r="AF171">
            <v>2</v>
          </cell>
          <cell r="AG171">
            <v>2</v>
          </cell>
          <cell r="AH171">
            <v>2</v>
          </cell>
          <cell r="AI171">
            <v>2</v>
          </cell>
          <cell r="AJ171">
            <v>10</v>
          </cell>
          <cell r="AK171">
            <v>10</v>
          </cell>
          <cell r="AL171">
            <v>2</v>
          </cell>
          <cell r="AM171">
            <v>2</v>
          </cell>
          <cell r="AN171">
            <v>2</v>
          </cell>
          <cell r="AO171" t="str">
            <v>x</v>
          </cell>
          <cell r="AP171">
            <v>16</v>
          </cell>
          <cell r="AQ171">
            <v>14</v>
          </cell>
          <cell r="AR171">
            <v>0</v>
          </cell>
          <cell r="AS171">
            <v>0</v>
          </cell>
          <cell r="AT171">
            <v>0</v>
          </cell>
          <cell r="AU171">
            <v>0</v>
          </cell>
          <cell r="AV171">
            <v>28</v>
          </cell>
          <cell r="AW171">
            <v>20</v>
          </cell>
          <cell r="AX171">
            <v>30</v>
          </cell>
          <cell r="AY171">
            <v>16</v>
          </cell>
          <cell r="AZ171">
            <v>30</v>
          </cell>
        </row>
        <row r="172">
          <cell r="B172">
            <v>413</v>
          </cell>
          <cell r="D172" t="str">
            <v>Ahmed Sulaiman Nasser Al Hinai</v>
          </cell>
          <cell r="E172" t="str">
            <v>Labour</v>
          </cell>
          <cell r="G172" t="str">
            <v>N/A</v>
          </cell>
          <cell r="H172">
            <v>38990</v>
          </cell>
          <cell r="I172" t="str">
            <v>A</v>
          </cell>
          <cell r="J172" t="str">
            <v>Sh:3</v>
          </cell>
          <cell r="K172">
            <v>2</v>
          </cell>
          <cell r="L172">
            <v>2</v>
          </cell>
          <cell r="M172">
            <v>2</v>
          </cell>
          <cell r="N172">
            <v>0</v>
          </cell>
          <cell r="O172" t="str">
            <v>L</v>
          </cell>
          <cell r="P172" t="str">
            <v>L</v>
          </cell>
          <cell r="Q172" t="str">
            <v>L</v>
          </cell>
          <cell r="R172" t="str">
            <v>L</v>
          </cell>
          <cell r="S172" t="str">
            <v>L</v>
          </cell>
          <cell r="T172" t="str">
            <v>L</v>
          </cell>
          <cell r="U172" t="str">
            <v>L</v>
          </cell>
          <cell r="V172" t="str">
            <v>L</v>
          </cell>
          <cell r="W172" t="str">
            <v>L</v>
          </cell>
          <cell r="X172" t="str">
            <v>L</v>
          </cell>
          <cell r="Y172" t="str">
            <v>L</v>
          </cell>
          <cell r="Z172" t="str">
            <v>L</v>
          </cell>
          <cell r="AA172" t="str">
            <v>L</v>
          </cell>
          <cell r="AB172" t="str">
            <v>L</v>
          </cell>
          <cell r="AC172" t="str">
            <v>L</v>
          </cell>
          <cell r="AD172" t="str">
            <v>L</v>
          </cell>
          <cell r="AE172" t="str">
            <v>L</v>
          </cell>
          <cell r="AF172" t="str">
            <v>A</v>
          </cell>
          <cell r="AG172" t="str">
            <v>A</v>
          </cell>
          <cell r="AH172" t="str">
            <v>A</v>
          </cell>
          <cell r="AI172" t="str">
            <v>A</v>
          </cell>
          <cell r="AJ172" t="str">
            <v>A</v>
          </cell>
          <cell r="AK172" t="str">
            <v>A</v>
          </cell>
          <cell r="AL172" t="str">
            <v>A</v>
          </cell>
          <cell r="AM172" t="str">
            <v>A</v>
          </cell>
          <cell r="AN172" t="str">
            <v>A</v>
          </cell>
          <cell r="AO172" t="str">
            <v>x</v>
          </cell>
          <cell r="AP172">
            <v>4</v>
          </cell>
          <cell r="AQ172">
            <v>17</v>
          </cell>
          <cell r="AR172">
            <v>0</v>
          </cell>
          <cell r="AS172">
            <v>0</v>
          </cell>
          <cell r="AT172">
            <v>9</v>
          </cell>
          <cell r="AU172">
            <v>0</v>
          </cell>
          <cell r="AV172">
            <v>6</v>
          </cell>
          <cell r="AW172">
            <v>0</v>
          </cell>
          <cell r="AX172">
            <v>21</v>
          </cell>
          <cell r="AY172">
            <v>4</v>
          </cell>
          <cell r="AZ172">
            <v>21</v>
          </cell>
          <cell r="CF172">
            <v>64</v>
          </cell>
          <cell r="CG172">
            <v>60</v>
          </cell>
          <cell r="CH172">
            <v>6</v>
          </cell>
          <cell r="CM172">
            <v>123</v>
          </cell>
          <cell r="CN172" t="str">
            <v>Owed 64 hours overtime extra overtime from 17th to 31st October'2008.  Owed 123 rials Eid bonus, 63 hours 200%, 6 days desert allowance for Eid Al Adhah'2008 from 8th to 13th December'2008.</v>
          </cell>
        </row>
        <row r="173">
          <cell r="B173">
            <v>414</v>
          </cell>
          <cell r="D173" t="str">
            <v>Hamed Khalifa Salim Al Hinai</v>
          </cell>
          <cell r="E173" t="str">
            <v>Labour / Chain Crew</v>
          </cell>
          <cell r="G173" t="str">
            <v>N/A</v>
          </cell>
          <cell r="H173">
            <v>38990</v>
          </cell>
          <cell r="I173" t="str">
            <v>A</v>
          </cell>
          <cell r="J173" t="str">
            <v>Sh:3</v>
          </cell>
          <cell r="K173">
            <v>10</v>
          </cell>
          <cell r="L173">
            <v>10</v>
          </cell>
          <cell r="M173">
            <v>10</v>
          </cell>
          <cell r="N173">
            <v>10</v>
          </cell>
          <cell r="O173">
            <v>10</v>
          </cell>
          <cell r="P173">
            <v>10</v>
          </cell>
          <cell r="Q173">
            <v>2</v>
          </cell>
          <cell r="R173" t="str">
            <v>L</v>
          </cell>
          <cell r="S173" t="str">
            <v>L</v>
          </cell>
          <cell r="T173" t="str">
            <v>L</v>
          </cell>
          <cell r="U173" t="str">
            <v>L</v>
          </cell>
          <cell r="V173" t="str">
            <v>L</v>
          </cell>
          <cell r="W173" t="str">
            <v>L</v>
          </cell>
          <cell r="X173" t="str">
            <v>L</v>
          </cell>
          <cell r="Y173" t="str">
            <v>L</v>
          </cell>
          <cell r="Z173" t="str">
            <v>L</v>
          </cell>
          <cell r="AA173" t="str">
            <v>L</v>
          </cell>
          <cell r="AB173" t="str">
            <v>L</v>
          </cell>
          <cell r="AC173" t="str">
            <v>L</v>
          </cell>
          <cell r="AD173" t="str">
            <v>L</v>
          </cell>
          <cell r="AE173" t="str">
            <v>L</v>
          </cell>
          <cell r="AF173">
            <v>2</v>
          </cell>
          <cell r="AG173">
            <v>2</v>
          </cell>
          <cell r="AH173">
            <v>2</v>
          </cell>
          <cell r="AI173">
            <v>2</v>
          </cell>
          <cell r="AJ173">
            <v>10</v>
          </cell>
          <cell r="AK173">
            <v>10</v>
          </cell>
          <cell r="AL173">
            <v>2</v>
          </cell>
          <cell r="AM173">
            <v>2</v>
          </cell>
          <cell r="AN173">
            <v>2</v>
          </cell>
          <cell r="AO173" t="str">
            <v>x</v>
          </cell>
          <cell r="AP173">
            <v>16</v>
          </cell>
          <cell r="AQ173">
            <v>14</v>
          </cell>
          <cell r="AR173">
            <v>0</v>
          </cell>
          <cell r="AS173">
            <v>0</v>
          </cell>
          <cell r="AT173">
            <v>0</v>
          </cell>
          <cell r="AU173">
            <v>0</v>
          </cell>
          <cell r="AV173">
            <v>76</v>
          </cell>
          <cell r="AW173">
            <v>20</v>
          </cell>
          <cell r="AX173">
            <v>30</v>
          </cell>
          <cell r="AY173">
            <v>16</v>
          </cell>
          <cell r="AZ173">
            <v>30</v>
          </cell>
          <cell r="CF173">
            <v>132</v>
          </cell>
          <cell r="CG173">
            <v>60</v>
          </cell>
          <cell r="CH173">
            <v>6</v>
          </cell>
          <cell r="CM173">
            <v>123</v>
          </cell>
          <cell r="CN173" t="str">
            <v>Owed 132 hours overtime extra overtime from 15th to 31st October'2008. Owed 123 rials Eid bonus, 60 hours 200%, 6 days desert allowance for Eid Al Adhah'2008 from 8th to 13th December'2008.</v>
          </cell>
        </row>
        <row r="174">
          <cell r="B174">
            <v>415</v>
          </cell>
          <cell r="D174" t="str">
            <v>Amjad Sulaiman Saif Al Mahrouqi</v>
          </cell>
          <cell r="E174" t="str">
            <v>Labour</v>
          </cell>
          <cell r="G174" t="str">
            <v>N/A</v>
          </cell>
          <cell r="H174">
            <v>38990</v>
          </cell>
          <cell r="I174" t="str">
            <v>A</v>
          </cell>
          <cell r="J174" t="str">
            <v>Sh:2</v>
          </cell>
          <cell r="K174" t="str">
            <v>L</v>
          </cell>
          <cell r="L174" t="str">
            <v>L</v>
          </cell>
          <cell r="M174" t="str">
            <v>L</v>
          </cell>
          <cell r="N174" t="str">
            <v>L</v>
          </cell>
          <cell r="O174" t="str">
            <v>L</v>
          </cell>
          <cell r="P174" t="str">
            <v>L</v>
          </cell>
          <cell r="Q174" t="str">
            <v>L</v>
          </cell>
          <cell r="R174" t="str">
            <v>S</v>
          </cell>
          <cell r="S174" t="str">
            <v>S</v>
          </cell>
          <cell r="T174" t="str">
            <v>A</v>
          </cell>
          <cell r="U174">
            <v>7</v>
          </cell>
          <cell r="V174">
            <v>7</v>
          </cell>
          <cell r="W174">
            <v>7</v>
          </cell>
          <cell r="X174">
            <v>7</v>
          </cell>
          <cell r="Y174">
            <v>7</v>
          </cell>
          <cell r="Z174">
            <v>2</v>
          </cell>
          <cell r="AA174">
            <v>2</v>
          </cell>
          <cell r="AB174">
            <v>2</v>
          </cell>
          <cell r="AC174">
            <v>2</v>
          </cell>
          <cell r="AD174">
            <v>2</v>
          </cell>
          <cell r="AE174">
            <v>2</v>
          </cell>
          <cell r="AF174">
            <v>2</v>
          </cell>
          <cell r="AG174">
            <v>2</v>
          </cell>
          <cell r="AH174">
            <v>2</v>
          </cell>
          <cell r="AI174">
            <v>2</v>
          </cell>
          <cell r="AJ174">
            <v>10</v>
          </cell>
          <cell r="AK174">
            <v>10</v>
          </cell>
          <cell r="AL174">
            <v>2</v>
          </cell>
          <cell r="AM174">
            <v>2</v>
          </cell>
          <cell r="AN174">
            <v>2</v>
          </cell>
          <cell r="AO174" t="str">
            <v>x</v>
          </cell>
          <cell r="AP174">
            <v>20</v>
          </cell>
          <cell r="AQ174">
            <v>7</v>
          </cell>
          <cell r="AR174">
            <v>2</v>
          </cell>
          <cell r="AS174">
            <v>0</v>
          </cell>
          <cell r="AT174">
            <v>1</v>
          </cell>
          <cell r="AU174">
            <v>0</v>
          </cell>
          <cell r="AV174">
            <v>61</v>
          </cell>
          <cell r="AW174">
            <v>20</v>
          </cell>
          <cell r="AX174">
            <v>29</v>
          </cell>
          <cell r="AY174">
            <v>20</v>
          </cell>
          <cell r="AZ174">
            <v>29</v>
          </cell>
          <cell r="CF174">
            <v>20</v>
          </cell>
          <cell r="CG174">
            <v>60</v>
          </cell>
          <cell r="CH174">
            <v>6</v>
          </cell>
          <cell r="CM174">
            <v>123</v>
          </cell>
          <cell r="CN174" t="str">
            <v>Owed 20 hours overtime extra overtime from 19th to 23rd October'2008. Owed 123 rials Eid bonus, 60 hours 200%, 6 days desert allowance for Eid Al Adhah'2008 from 8th to 13th December'2008.</v>
          </cell>
        </row>
        <row r="175">
          <cell r="B175">
            <v>417</v>
          </cell>
          <cell r="D175" t="str">
            <v>Talal Ali Abdullah Al Manai</v>
          </cell>
          <cell r="E175" t="str">
            <v>Labour / Driver</v>
          </cell>
          <cell r="G175" t="str">
            <v>N/A</v>
          </cell>
          <cell r="H175">
            <v>38990</v>
          </cell>
          <cell r="I175" t="str">
            <v>A</v>
          </cell>
          <cell r="J175" t="str">
            <v>Sh:1</v>
          </cell>
          <cell r="K175">
            <v>2.5</v>
          </cell>
          <cell r="L175">
            <v>6.5</v>
          </cell>
          <cell r="M175">
            <v>6.5</v>
          </cell>
          <cell r="N175">
            <v>6.5</v>
          </cell>
          <cell r="O175">
            <v>6.5</v>
          </cell>
          <cell r="P175">
            <v>6.5</v>
          </cell>
          <cell r="Q175">
            <v>6.5</v>
          </cell>
          <cell r="R175">
            <v>2.5</v>
          </cell>
          <cell r="S175">
            <v>2.5</v>
          </cell>
          <cell r="T175">
            <v>2.5</v>
          </cell>
          <cell r="U175">
            <v>2.5</v>
          </cell>
          <cell r="V175">
            <v>2.5</v>
          </cell>
          <cell r="W175">
            <v>2.5</v>
          </cell>
          <cell r="X175">
            <v>2.5</v>
          </cell>
          <cell r="Y175">
            <v>2.5</v>
          </cell>
          <cell r="Z175">
            <v>2.5</v>
          </cell>
          <cell r="AA175">
            <v>2.5</v>
          </cell>
          <cell r="AB175">
            <v>2.5</v>
          </cell>
          <cell r="AC175">
            <v>2.5</v>
          </cell>
          <cell r="AD175">
            <v>2.5</v>
          </cell>
          <cell r="AE175">
            <v>2.5</v>
          </cell>
          <cell r="AF175" t="str">
            <v>L</v>
          </cell>
          <cell r="AG175" t="str">
            <v>L</v>
          </cell>
          <cell r="AH175" t="str">
            <v>L</v>
          </cell>
          <cell r="AI175" t="str">
            <v>L</v>
          </cell>
          <cell r="AJ175" t="str">
            <v>L</v>
          </cell>
          <cell r="AK175" t="str">
            <v>L</v>
          </cell>
          <cell r="AL175" t="str">
            <v>L</v>
          </cell>
          <cell r="AM175" t="str">
            <v>L</v>
          </cell>
          <cell r="AN175" t="str">
            <v>L</v>
          </cell>
          <cell r="AO175" t="str">
            <v>x</v>
          </cell>
          <cell r="AP175">
            <v>21</v>
          </cell>
          <cell r="AQ175">
            <v>9</v>
          </cell>
          <cell r="AR175">
            <v>0</v>
          </cell>
          <cell r="AS175">
            <v>0</v>
          </cell>
          <cell r="AT175">
            <v>0</v>
          </cell>
          <cell r="AU175">
            <v>0</v>
          </cell>
          <cell r="AV175">
            <v>76.5</v>
          </cell>
          <cell r="AW175">
            <v>0</v>
          </cell>
          <cell r="AX175">
            <v>30</v>
          </cell>
          <cell r="AY175">
            <v>21</v>
          </cell>
          <cell r="AZ175">
            <v>30</v>
          </cell>
          <cell r="CF175">
            <v>24</v>
          </cell>
          <cell r="CG175">
            <v>63</v>
          </cell>
          <cell r="CH175">
            <v>6</v>
          </cell>
          <cell r="CM175">
            <v>123</v>
          </cell>
          <cell r="CN175" t="str">
            <v>Owed 24 hours overtime extra overtime from 25th to 30th October'2008. Owed 123 rials Eid bonus, 63 hours 200%, 6 days desert allowance for Eid Al Adhah'2008 from 8th to 13th December'2008.</v>
          </cell>
        </row>
        <row r="176">
          <cell r="B176">
            <v>418</v>
          </cell>
          <cell r="D176" t="str">
            <v>Sultan Mohamed Rashid Al Shukaili</v>
          </cell>
          <cell r="E176" t="str">
            <v>Labour</v>
          </cell>
          <cell r="G176" t="str">
            <v>N/A</v>
          </cell>
          <cell r="H176">
            <v>38990</v>
          </cell>
          <cell r="I176" t="str">
            <v>A</v>
          </cell>
          <cell r="J176" t="str">
            <v>Sh:3</v>
          </cell>
          <cell r="K176">
            <v>2</v>
          </cell>
          <cell r="L176">
            <v>2</v>
          </cell>
          <cell r="M176">
            <v>2</v>
          </cell>
          <cell r="N176">
            <v>2</v>
          </cell>
          <cell r="O176">
            <v>2</v>
          </cell>
          <cell r="P176">
            <v>2</v>
          </cell>
          <cell r="Q176">
            <v>2</v>
          </cell>
          <cell r="R176" t="str">
            <v>L</v>
          </cell>
          <cell r="S176" t="str">
            <v>L</v>
          </cell>
          <cell r="T176" t="str">
            <v>L</v>
          </cell>
          <cell r="U176" t="str">
            <v>L</v>
          </cell>
          <cell r="V176" t="str">
            <v>L</v>
          </cell>
          <cell r="W176" t="str">
            <v>L</v>
          </cell>
          <cell r="X176" t="str">
            <v>L</v>
          </cell>
          <cell r="Y176" t="str">
            <v>L</v>
          </cell>
          <cell r="Z176" t="str">
            <v>L</v>
          </cell>
          <cell r="AA176" t="str">
            <v>L</v>
          </cell>
          <cell r="AB176" t="str">
            <v>L</v>
          </cell>
          <cell r="AC176" t="str">
            <v>L</v>
          </cell>
          <cell r="AD176" t="str">
            <v>L</v>
          </cell>
          <cell r="AE176" t="str">
            <v>L</v>
          </cell>
          <cell r="AF176">
            <v>2</v>
          </cell>
          <cell r="AG176">
            <v>2</v>
          </cell>
          <cell r="AH176">
            <v>2</v>
          </cell>
          <cell r="AI176">
            <v>2</v>
          </cell>
          <cell r="AJ176">
            <v>10</v>
          </cell>
          <cell r="AK176">
            <v>10</v>
          </cell>
          <cell r="AL176">
            <v>2</v>
          </cell>
          <cell r="AM176">
            <v>2</v>
          </cell>
          <cell r="AN176">
            <v>2</v>
          </cell>
          <cell r="AO176" t="str">
            <v>x</v>
          </cell>
          <cell r="AP176">
            <v>16</v>
          </cell>
          <cell r="AQ176">
            <v>14</v>
          </cell>
          <cell r="AR176">
            <v>0</v>
          </cell>
          <cell r="AS176">
            <v>0</v>
          </cell>
          <cell r="AT176">
            <v>0</v>
          </cell>
          <cell r="AU176">
            <v>0</v>
          </cell>
          <cell r="AV176">
            <v>28</v>
          </cell>
          <cell r="AW176">
            <v>20</v>
          </cell>
          <cell r="AX176">
            <v>30</v>
          </cell>
          <cell r="AY176">
            <v>16</v>
          </cell>
          <cell r="AZ176">
            <v>30</v>
          </cell>
          <cell r="CF176">
            <v>95</v>
          </cell>
          <cell r="CG176">
            <v>60</v>
          </cell>
          <cell r="CH176">
            <v>6</v>
          </cell>
          <cell r="CM176">
            <v>123</v>
          </cell>
          <cell r="CN176" t="str">
            <v>Owed 95 hours overtime extra overtime from 2nd to 3rd and 15th to 31st October'2008. Owed 123 rials Eid bonus, 60 hours 200%, 6 days desert allowance for Eid Al Adhah'2008 from 8th to 13th December'2008.</v>
          </cell>
        </row>
        <row r="177">
          <cell r="B177">
            <v>419</v>
          </cell>
          <cell r="D177" t="str">
            <v>Aadil Mohammed Said Al Mahrouqi</v>
          </cell>
          <cell r="E177" t="str">
            <v>Asst Mech ' Workshop '</v>
          </cell>
          <cell r="G177" t="str">
            <v>N/A</v>
          </cell>
          <cell r="H177">
            <v>39081</v>
          </cell>
          <cell r="I177" t="str">
            <v>C1</v>
          </cell>
          <cell r="J177" t="str">
            <v>Sh:3</v>
          </cell>
          <cell r="K177">
            <v>2</v>
          </cell>
          <cell r="L177">
            <v>2</v>
          </cell>
          <cell r="M177">
            <v>2</v>
          </cell>
          <cell r="N177">
            <v>2</v>
          </cell>
          <cell r="O177">
            <v>2</v>
          </cell>
          <cell r="P177">
            <v>2</v>
          </cell>
          <cell r="Q177">
            <v>2</v>
          </cell>
          <cell r="R177" t="str">
            <v>L</v>
          </cell>
          <cell r="S177" t="str">
            <v>L</v>
          </cell>
          <cell r="T177" t="str">
            <v>L</v>
          </cell>
          <cell r="U177" t="str">
            <v>L</v>
          </cell>
          <cell r="V177" t="str">
            <v>L</v>
          </cell>
          <cell r="W177" t="str">
            <v>L</v>
          </cell>
          <cell r="X177" t="str">
            <v>L</v>
          </cell>
          <cell r="Y177" t="str">
            <v>L</v>
          </cell>
          <cell r="Z177" t="str">
            <v>L</v>
          </cell>
          <cell r="AA177" t="str">
            <v>L</v>
          </cell>
          <cell r="AB177" t="str">
            <v>L</v>
          </cell>
          <cell r="AC177" t="str">
            <v>L</v>
          </cell>
          <cell r="AD177" t="str">
            <v>L</v>
          </cell>
          <cell r="AE177" t="str">
            <v>L</v>
          </cell>
          <cell r="AF177">
            <v>2</v>
          </cell>
          <cell r="AG177">
            <v>2</v>
          </cell>
          <cell r="AH177">
            <v>2</v>
          </cell>
          <cell r="AI177">
            <v>2</v>
          </cell>
          <cell r="AJ177">
            <v>10</v>
          </cell>
          <cell r="AK177">
            <v>10</v>
          </cell>
          <cell r="AL177">
            <v>2</v>
          </cell>
          <cell r="AM177">
            <v>2</v>
          </cell>
          <cell r="AN177">
            <v>2</v>
          </cell>
          <cell r="AO177" t="str">
            <v>x</v>
          </cell>
          <cell r="AP177">
            <v>16</v>
          </cell>
          <cell r="AQ177">
            <v>14</v>
          </cell>
          <cell r="AR177">
            <v>0</v>
          </cell>
          <cell r="AS177">
            <v>0</v>
          </cell>
          <cell r="AT177">
            <v>0</v>
          </cell>
          <cell r="AU177">
            <v>0</v>
          </cell>
          <cell r="AV177">
            <v>28</v>
          </cell>
          <cell r="AW177">
            <v>20</v>
          </cell>
          <cell r="AX177">
            <v>30</v>
          </cell>
          <cell r="AY177">
            <v>16</v>
          </cell>
          <cell r="AZ177">
            <v>30</v>
          </cell>
          <cell r="CF177">
            <v>123</v>
          </cell>
          <cell r="CG177">
            <v>60</v>
          </cell>
          <cell r="CH177">
            <v>6</v>
          </cell>
          <cell r="CM177">
            <v>123</v>
          </cell>
          <cell r="CN177" t="str">
            <v>Owed 123 hours overtime extra overtime from 2nd to 4th and 11th to 31st October'2008. Owed 123 rials Eid bonus, 60 hours 200%, 6 days desert allowance for Eid Al Adhah'2008 from 8th to 13th December'2008.</v>
          </cell>
        </row>
        <row r="178">
          <cell r="B178">
            <v>421</v>
          </cell>
          <cell r="D178" t="str">
            <v>Yousef Said Ali Al Amri</v>
          </cell>
          <cell r="E178" t="str">
            <v>Vibe Operator</v>
          </cell>
          <cell r="G178" t="str">
            <v>N/A</v>
          </cell>
          <cell r="H178">
            <v>39114</v>
          </cell>
          <cell r="I178" t="str">
            <v>E</v>
          </cell>
          <cell r="J178" t="str">
            <v>Sh:3</v>
          </cell>
          <cell r="K178">
            <v>8</v>
          </cell>
          <cell r="L178">
            <v>8</v>
          </cell>
          <cell r="M178">
            <v>8</v>
          </cell>
          <cell r="N178">
            <v>8</v>
          </cell>
          <cell r="O178">
            <v>8</v>
          </cell>
          <cell r="P178">
            <v>8</v>
          </cell>
          <cell r="Q178">
            <v>8</v>
          </cell>
          <cell r="R178" t="str">
            <v>L</v>
          </cell>
          <cell r="S178" t="str">
            <v>L</v>
          </cell>
          <cell r="T178" t="str">
            <v>L</v>
          </cell>
          <cell r="U178" t="str">
            <v>L</v>
          </cell>
          <cell r="V178" t="str">
            <v>L</v>
          </cell>
          <cell r="W178" t="str">
            <v>L</v>
          </cell>
          <cell r="X178" t="str">
            <v>L</v>
          </cell>
          <cell r="Y178" t="str">
            <v>L</v>
          </cell>
          <cell r="Z178" t="str">
            <v>L</v>
          </cell>
          <cell r="AA178" t="str">
            <v>L</v>
          </cell>
          <cell r="AB178" t="str">
            <v>L</v>
          </cell>
          <cell r="AC178" t="str">
            <v>L</v>
          </cell>
          <cell r="AD178" t="str">
            <v>L</v>
          </cell>
          <cell r="AE178" t="str">
            <v>L</v>
          </cell>
          <cell r="AF178">
            <v>9</v>
          </cell>
          <cell r="AG178">
            <v>9</v>
          </cell>
          <cell r="AH178">
            <v>9</v>
          </cell>
          <cell r="AI178">
            <v>9</v>
          </cell>
          <cell r="AJ178">
            <v>17</v>
          </cell>
          <cell r="AK178">
            <v>17</v>
          </cell>
          <cell r="AL178">
            <v>9</v>
          </cell>
          <cell r="AM178">
            <v>9</v>
          </cell>
          <cell r="AN178">
            <v>9</v>
          </cell>
          <cell r="AO178" t="str">
            <v>x</v>
          </cell>
          <cell r="AP178">
            <v>16</v>
          </cell>
          <cell r="AQ178">
            <v>14</v>
          </cell>
          <cell r="AR178">
            <v>0</v>
          </cell>
          <cell r="AS178">
            <v>0</v>
          </cell>
          <cell r="AT178">
            <v>0</v>
          </cell>
          <cell r="AU178">
            <v>0</v>
          </cell>
          <cell r="AV178">
            <v>119</v>
          </cell>
          <cell r="AW178">
            <v>34</v>
          </cell>
          <cell r="AX178">
            <v>30</v>
          </cell>
          <cell r="AY178">
            <v>16</v>
          </cell>
          <cell r="AZ178">
            <v>30</v>
          </cell>
          <cell r="CG178">
            <v>102</v>
          </cell>
          <cell r="CH178">
            <v>6</v>
          </cell>
          <cell r="CM178">
            <v>123</v>
          </cell>
          <cell r="CN178" t="str">
            <v>Owed 123 rials Eid bonus, 102 hours 200%, 6 days desert allowance for Eid Al Adhah'2008 from 8th to 13th December'2008.</v>
          </cell>
        </row>
        <row r="179">
          <cell r="B179">
            <v>422</v>
          </cell>
          <cell r="D179" t="str">
            <v>Mohammed Hamed Suidan Al Junaibi</v>
          </cell>
          <cell r="E179" t="str">
            <v>Vibe Operator</v>
          </cell>
          <cell r="G179" t="str">
            <v>N/A</v>
          </cell>
          <cell r="H179">
            <v>39114</v>
          </cell>
          <cell r="I179" t="str">
            <v>E</v>
          </cell>
          <cell r="J179" t="str">
            <v>Sh:1</v>
          </cell>
          <cell r="K179">
            <v>8</v>
          </cell>
          <cell r="L179">
            <v>8</v>
          </cell>
          <cell r="M179">
            <v>8</v>
          </cell>
          <cell r="N179">
            <v>8</v>
          </cell>
          <cell r="O179">
            <v>8</v>
          </cell>
          <cell r="P179">
            <v>8</v>
          </cell>
          <cell r="Q179">
            <v>8</v>
          </cell>
          <cell r="R179">
            <v>8</v>
          </cell>
          <cell r="S179">
            <v>8</v>
          </cell>
          <cell r="T179">
            <v>8</v>
          </cell>
          <cell r="U179" t="str">
            <v>C</v>
          </cell>
          <cell r="V179" t="str">
            <v>C</v>
          </cell>
          <cell r="W179" t="str">
            <v>L</v>
          </cell>
          <cell r="X179">
            <v>9</v>
          </cell>
          <cell r="Y179">
            <v>9</v>
          </cell>
          <cell r="Z179">
            <v>9</v>
          </cell>
          <cell r="AA179">
            <v>9</v>
          </cell>
          <cell r="AB179">
            <v>9</v>
          </cell>
          <cell r="AC179">
            <v>9</v>
          </cell>
          <cell r="AD179">
            <v>9</v>
          </cell>
          <cell r="AE179">
            <v>9</v>
          </cell>
          <cell r="AF179" t="str">
            <v>L</v>
          </cell>
          <cell r="AG179" t="str">
            <v>L</v>
          </cell>
          <cell r="AH179" t="str">
            <v>L</v>
          </cell>
          <cell r="AI179" t="str">
            <v>L</v>
          </cell>
          <cell r="AJ179" t="str">
            <v>L</v>
          </cell>
          <cell r="AK179" t="str">
            <v>L</v>
          </cell>
          <cell r="AL179" t="str">
            <v>L</v>
          </cell>
          <cell r="AM179" t="str">
            <v>L</v>
          </cell>
          <cell r="AN179" t="str">
            <v>L</v>
          </cell>
          <cell r="AO179" t="str">
            <v>x</v>
          </cell>
          <cell r="AP179">
            <v>18</v>
          </cell>
          <cell r="AQ179">
            <v>12</v>
          </cell>
          <cell r="AR179">
            <v>0</v>
          </cell>
          <cell r="AS179">
            <v>0</v>
          </cell>
          <cell r="AT179">
            <v>0</v>
          </cell>
          <cell r="AU179">
            <v>0</v>
          </cell>
          <cell r="AV179">
            <v>152</v>
          </cell>
          <cell r="AW179">
            <v>0</v>
          </cell>
          <cell r="AX179">
            <v>30</v>
          </cell>
          <cell r="AY179">
            <v>18</v>
          </cell>
          <cell r="AZ179">
            <v>30</v>
          </cell>
          <cell r="CG179">
            <v>102</v>
          </cell>
          <cell r="CH179">
            <v>6</v>
          </cell>
          <cell r="CM179">
            <v>123</v>
          </cell>
          <cell r="CN179" t="str">
            <v>Owed 123 rials Eid bonus, 102 hours 200%, 6 days desert allowance for Eid Al Adhah'2008 from 8th to 13th December'2008.</v>
          </cell>
        </row>
        <row r="180">
          <cell r="B180">
            <v>423</v>
          </cell>
          <cell r="D180" t="str">
            <v>Touyel Edd Hamed  Al Dara'I</v>
          </cell>
          <cell r="E180" t="str">
            <v>Vibe Operator</v>
          </cell>
          <cell r="G180" t="str">
            <v>N/A</v>
          </cell>
          <cell r="H180">
            <v>39114</v>
          </cell>
          <cell r="I180" t="str">
            <v>E</v>
          </cell>
          <cell r="J180" t="str">
            <v>Sh:2</v>
          </cell>
          <cell r="K180" t="str">
            <v>L</v>
          </cell>
          <cell r="L180" t="str">
            <v>L</v>
          </cell>
          <cell r="M180" t="str">
            <v>L</v>
          </cell>
          <cell r="N180" t="str">
            <v>L</v>
          </cell>
          <cell r="O180" t="str">
            <v>L</v>
          </cell>
          <cell r="P180" t="str">
            <v>L</v>
          </cell>
          <cell r="Q180" t="str">
            <v>L</v>
          </cell>
          <cell r="R180">
            <v>8</v>
          </cell>
          <cell r="S180">
            <v>8</v>
          </cell>
          <cell r="T180">
            <v>8</v>
          </cell>
          <cell r="U180">
            <v>8</v>
          </cell>
          <cell r="V180">
            <v>8</v>
          </cell>
          <cell r="W180" t="str">
            <v>C</v>
          </cell>
          <cell r="X180" t="str">
            <v>C</v>
          </cell>
          <cell r="Y180">
            <v>9</v>
          </cell>
          <cell r="Z180">
            <v>9</v>
          </cell>
          <cell r="AA180">
            <v>9</v>
          </cell>
          <cell r="AB180">
            <v>9</v>
          </cell>
          <cell r="AC180">
            <v>9</v>
          </cell>
          <cell r="AD180">
            <v>9</v>
          </cell>
          <cell r="AE180">
            <v>9</v>
          </cell>
          <cell r="AF180">
            <v>9</v>
          </cell>
          <cell r="AG180">
            <v>9</v>
          </cell>
          <cell r="AH180">
            <v>9</v>
          </cell>
          <cell r="AI180">
            <v>9</v>
          </cell>
          <cell r="AJ180">
            <v>17</v>
          </cell>
          <cell r="AK180">
            <v>17</v>
          </cell>
          <cell r="AL180">
            <v>9</v>
          </cell>
          <cell r="AM180">
            <v>9</v>
          </cell>
          <cell r="AN180">
            <v>9</v>
          </cell>
          <cell r="AO180" t="str">
            <v>x</v>
          </cell>
          <cell r="AP180">
            <v>21</v>
          </cell>
          <cell r="AQ180">
            <v>9</v>
          </cell>
          <cell r="AR180">
            <v>0</v>
          </cell>
          <cell r="AS180">
            <v>0</v>
          </cell>
          <cell r="AT180">
            <v>0</v>
          </cell>
          <cell r="AU180">
            <v>0</v>
          </cell>
          <cell r="AV180">
            <v>166</v>
          </cell>
          <cell r="AW180">
            <v>34</v>
          </cell>
          <cell r="AX180">
            <v>30</v>
          </cell>
          <cell r="AY180">
            <v>21</v>
          </cell>
          <cell r="AZ180">
            <v>30</v>
          </cell>
          <cell r="CG180">
            <v>102</v>
          </cell>
          <cell r="CH180">
            <v>6</v>
          </cell>
          <cell r="CM180">
            <v>123</v>
          </cell>
          <cell r="CN180" t="str">
            <v>Owed 123 rials Eid bonus, 102 hours 200%, 6 days desert allowance for Eid Al Adhah'2008 from 8th to 13th December'2008.</v>
          </cell>
        </row>
        <row r="181">
          <cell r="B181">
            <v>424</v>
          </cell>
          <cell r="D181" t="str">
            <v>Awadh Marzouq Abdullah Al Dara'I</v>
          </cell>
          <cell r="E181" t="str">
            <v>Heavy Duty Dvr</v>
          </cell>
          <cell r="G181" t="str">
            <v>N/A</v>
          </cell>
          <cell r="H181">
            <v>39448</v>
          </cell>
          <cell r="I181" t="str">
            <v>E</v>
          </cell>
          <cell r="J181" t="str">
            <v>Sh:3</v>
          </cell>
          <cell r="K181">
            <v>6.5</v>
          </cell>
          <cell r="L181">
            <v>6.5</v>
          </cell>
          <cell r="M181">
            <v>6.5</v>
          </cell>
          <cell r="N181">
            <v>6.5</v>
          </cell>
          <cell r="O181">
            <v>6.5</v>
          </cell>
          <cell r="P181">
            <v>0</v>
          </cell>
          <cell r="Q181" t="str">
            <v>L</v>
          </cell>
          <cell r="R181" t="str">
            <v>L</v>
          </cell>
          <cell r="S181" t="str">
            <v>L</v>
          </cell>
          <cell r="T181" t="str">
            <v>L</v>
          </cell>
          <cell r="U181" t="str">
            <v>L</v>
          </cell>
          <cell r="V181" t="str">
            <v>L</v>
          </cell>
          <cell r="W181" t="str">
            <v>L</v>
          </cell>
          <cell r="X181" t="str">
            <v>L</v>
          </cell>
          <cell r="Y181" t="str">
            <v>L</v>
          </cell>
          <cell r="Z181" t="str">
            <v>L</v>
          </cell>
          <cell r="AA181" t="str">
            <v>L</v>
          </cell>
          <cell r="AB181" t="str">
            <v>L</v>
          </cell>
          <cell r="AC181" t="str">
            <v>L</v>
          </cell>
          <cell r="AD181" t="str">
            <v>L</v>
          </cell>
          <cell r="AE181" t="str">
            <v>L</v>
          </cell>
          <cell r="AF181">
            <v>2.5</v>
          </cell>
          <cell r="AG181">
            <v>2.5</v>
          </cell>
          <cell r="AH181">
            <v>2.5</v>
          </cell>
          <cell r="AI181">
            <v>2.5</v>
          </cell>
          <cell r="AJ181">
            <v>10.5</v>
          </cell>
          <cell r="AK181">
            <v>10.5</v>
          </cell>
          <cell r="AL181">
            <v>2.5</v>
          </cell>
          <cell r="AM181">
            <v>2.5</v>
          </cell>
          <cell r="AN181">
            <v>2.5</v>
          </cell>
          <cell r="AO181" t="str">
            <v>x</v>
          </cell>
          <cell r="AP181">
            <v>15</v>
          </cell>
          <cell r="AQ181">
            <v>15</v>
          </cell>
          <cell r="AR181">
            <v>0</v>
          </cell>
          <cell r="AS181">
            <v>0</v>
          </cell>
          <cell r="AT181">
            <v>0</v>
          </cell>
          <cell r="AU181">
            <v>0</v>
          </cell>
          <cell r="AV181">
            <v>50</v>
          </cell>
          <cell r="AW181">
            <v>21</v>
          </cell>
          <cell r="AX181">
            <v>30</v>
          </cell>
          <cell r="AY181">
            <v>15</v>
          </cell>
          <cell r="AZ181">
            <v>30</v>
          </cell>
          <cell r="CF181">
            <v>64</v>
          </cell>
          <cell r="CN181" t="str">
            <v>Owed 64 hours overtime extra overtime from 16th to 28th and 30th to 31st October'2008.</v>
          </cell>
        </row>
        <row r="182">
          <cell r="B182">
            <v>425</v>
          </cell>
          <cell r="D182" t="str">
            <v>Khalifa Ali Salim Al Hina’I</v>
          </cell>
          <cell r="E182" t="str">
            <v>Heavy Duty Dvr</v>
          </cell>
          <cell r="G182" t="str">
            <v>N/A</v>
          </cell>
          <cell r="H182">
            <v>39448</v>
          </cell>
          <cell r="I182" t="str">
            <v>E</v>
          </cell>
          <cell r="J182" t="str">
            <v>Sh:1</v>
          </cell>
          <cell r="K182">
            <v>6.5</v>
          </cell>
          <cell r="L182">
            <v>6.5</v>
          </cell>
          <cell r="M182">
            <v>6.5</v>
          </cell>
          <cell r="N182">
            <v>6.5</v>
          </cell>
          <cell r="O182">
            <v>6.5</v>
          </cell>
          <cell r="P182">
            <v>6.5</v>
          </cell>
          <cell r="Q182">
            <v>6.5</v>
          </cell>
          <cell r="R182">
            <v>7.5</v>
          </cell>
          <cell r="S182">
            <v>7.5</v>
          </cell>
          <cell r="T182">
            <v>7.5</v>
          </cell>
          <cell r="U182">
            <v>7.5</v>
          </cell>
          <cell r="V182">
            <v>8</v>
          </cell>
          <cell r="W182">
            <v>8</v>
          </cell>
          <cell r="X182">
            <v>6.5</v>
          </cell>
          <cell r="Y182">
            <v>7.5</v>
          </cell>
          <cell r="Z182">
            <v>2.5</v>
          </cell>
          <cell r="AA182">
            <v>2.5</v>
          </cell>
          <cell r="AB182">
            <v>2.5</v>
          </cell>
          <cell r="AC182">
            <v>2.5</v>
          </cell>
          <cell r="AD182">
            <v>2.5</v>
          </cell>
          <cell r="AE182">
            <v>2.5</v>
          </cell>
          <cell r="AF182" t="str">
            <v>L</v>
          </cell>
          <cell r="AG182" t="str">
            <v>L</v>
          </cell>
          <cell r="AH182" t="str">
            <v>L</v>
          </cell>
          <cell r="AI182" t="str">
            <v>L</v>
          </cell>
          <cell r="AJ182" t="str">
            <v>L</v>
          </cell>
          <cell r="AK182" t="str">
            <v>L</v>
          </cell>
          <cell r="AL182" t="str">
            <v>L</v>
          </cell>
          <cell r="AM182" t="str">
            <v>L</v>
          </cell>
          <cell r="AN182" t="str">
            <v>L</v>
          </cell>
          <cell r="AO182" t="str">
            <v>x</v>
          </cell>
          <cell r="AP182">
            <v>21</v>
          </cell>
          <cell r="AQ182">
            <v>9</v>
          </cell>
          <cell r="AR182">
            <v>0</v>
          </cell>
          <cell r="AS182">
            <v>0</v>
          </cell>
          <cell r="AT182">
            <v>0</v>
          </cell>
          <cell r="AU182">
            <v>0</v>
          </cell>
          <cell r="AV182">
            <v>120.5</v>
          </cell>
          <cell r="AW182">
            <v>0</v>
          </cell>
          <cell r="AX182">
            <v>30</v>
          </cell>
          <cell r="AY182">
            <v>21</v>
          </cell>
          <cell r="AZ182">
            <v>30</v>
          </cell>
          <cell r="CF182">
            <v>28</v>
          </cell>
          <cell r="CG182">
            <v>63</v>
          </cell>
          <cell r="CH182">
            <v>6</v>
          </cell>
          <cell r="CM182">
            <v>123</v>
          </cell>
          <cell r="CN182" t="str">
            <v>Owed 28 hours overtime extra overtime from 25th to 31st October'2008. Owed 123 rials Eid bonus, 63 hours 200%, 6 days desert allowance for Eid Al Adhah'2008 from 8th to 13th December'2008.</v>
          </cell>
        </row>
        <row r="183">
          <cell r="B183">
            <v>426</v>
          </cell>
          <cell r="D183" t="str">
            <v>Moosa Mubarak Habib Al Hadi</v>
          </cell>
          <cell r="E183" t="str">
            <v>Labour / Driver</v>
          </cell>
          <cell r="G183" t="str">
            <v>N/A</v>
          </cell>
          <cell r="H183">
            <v>39448</v>
          </cell>
          <cell r="I183" t="str">
            <v>A</v>
          </cell>
          <cell r="J183" t="str">
            <v>Sh:2</v>
          </cell>
          <cell r="K183" t="str">
            <v>L</v>
          </cell>
          <cell r="L183" t="str">
            <v>L</v>
          </cell>
          <cell r="M183" t="str">
            <v>L</v>
          </cell>
          <cell r="N183" t="str">
            <v>L</v>
          </cell>
          <cell r="O183" t="str">
            <v>L</v>
          </cell>
          <cell r="P183" t="str">
            <v>L</v>
          </cell>
          <cell r="Q183" t="str">
            <v>L</v>
          </cell>
          <cell r="R183" t="str">
            <v>L</v>
          </cell>
          <cell r="S183" t="str">
            <v>L</v>
          </cell>
          <cell r="T183" t="str">
            <v>L</v>
          </cell>
          <cell r="U183" t="str">
            <v>L</v>
          </cell>
          <cell r="V183">
            <v>6.5</v>
          </cell>
          <cell r="W183">
            <v>6.5</v>
          </cell>
          <cell r="X183">
            <v>6.5</v>
          </cell>
          <cell r="Y183">
            <v>6.5</v>
          </cell>
          <cell r="Z183">
            <v>2.5</v>
          </cell>
          <cell r="AA183">
            <v>2.5</v>
          </cell>
          <cell r="AB183">
            <v>2.5</v>
          </cell>
          <cell r="AC183">
            <v>2.5</v>
          </cell>
          <cell r="AD183">
            <v>2.5</v>
          </cell>
          <cell r="AE183">
            <v>2.5</v>
          </cell>
          <cell r="AF183" t="str">
            <v>C</v>
          </cell>
          <cell r="AG183" t="str">
            <v>C</v>
          </cell>
          <cell r="AH183" t="str">
            <v>C</v>
          </cell>
          <cell r="AI183" t="str">
            <v>C</v>
          </cell>
          <cell r="AJ183" t="str">
            <v>C</v>
          </cell>
          <cell r="AK183" t="str">
            <v>C</v>
          </cell>
          <cell r="AL183" t="str">
            <v>C</v>
          </cell>
          <cell r="AM183" t="str">
            <v>C</v>
          </cell>
          <cell r="AN183" t="str">
            <v>C</v>
          </cell>
          <cell r="AO183" t="str">
            <v>x</v>
          </cell>
          <cell r="AP183">
            <v>10</v>
          </cell>
          <cell r="AQ183">
            <v>20</v>
          </cell>
          <cell r="AR183">
            <v>0</v>
          </cell>
          <cell r="AS183">
            <v>0</v>
          </cell>
          <cell r="AT183">
            <v>0</v>
          </cell>
          <cell r="AU183">
            <v>0</v>
          </cell>
          <cell r="AV183">
            <v>41</v>
          </cell>
          <cell r="AW183">
            <v>0</v>
          </cell>
          <cell r="AX183">
            <v>30</v>
          </cell>
          <cell r="AY183">
            <v>10</v>
          </cell>
          <cell r="AZ183">
            <v>30</v>
          </cell>
          <cell r="CF183">
            <v>32</v>
          </cell>
          <cell r="CN183" t="str">
            <v>Owed 32 hours overtime extra overtime from 16th to 23st October'2008.</v>
          </cell>
        </row>
        <row r="184">
          <cell r="B184">
            <v>427</v>
          </cell>
          <cell r="D184" t="str">
            <v>Said Dheeb Saif Al Ma'ni</v>
          </cell>
          <cell r="E184" t="str">
            <v>Labour / Driver</v>
          </cell>
          <cell r="G184" t="str">
            <v>N/A</v>
          </cell>
          <cell r="H184">
            <v>39459</v>
          </cell>
          <cell r="I184" t="str">
            <v>A</v>
          </cell>
          <cell r="J184" t="str">
            <v>Sh:1</v>
          </cell>
          <cell r="K184">
            <v>6.5</v>
          </cell>
          <cell r="L184">
            <v>6.5</v>
          </cell>
          <cell r="M184">
            <v>6.5</v>
          </cell>
          <cell r="N184">
            <v>6.5</v>
          </cell>
          <cell r="O184">
            <v>6.5</v>
          </cell>
          <cell r="P184">
            <v>6.5</v>
          </cell>
          <cell r="Q184">
            <v>6.5</v>
          </cell>
          <cell r="R184">
            <v>6.5</v>
          </cell>
          <cell r="S184">
            <v>6.5</v>
          </cell>
          <cell r="T184">
            <v>6.5</v>
          </cell>
          <cell r="U184">
            <v>6.5</v>
          </cell>
          <cell r="V184">
            <v>6.5</v>
          </cell>
          <cell r="W184">
            <v>6.5</v>
          </cell>
          <cell r="X184">
            <v>6.5</v>
          </cell>
          <cell r="Y184">
            <v>6.5</v>
          </cell>
          <cell r="Z184">
            <v>2.5</v>
          </cell>
          <cell r="AA184">
            <v>2.5</v>
          </cell>
          <cell r="AB184">
            <v>2.5</v>
          </cell>
          <cell r="AC184">
            <v>2.5</v>
          </cell>
          <cell r="AD184">
            <v>2.5</v>
          </cell>
          <cell r="AE184">
            <v>2.5</v>
          </cell>
          <cell r="AF184" t="str">
            <v>L</v>
          </cell>
          <cell r="AG184" t="str">
            <v>L</v>
          </cell>
          <cell r="AH184" t="str">
            <v>L</v>
          </cell>
          <cell r="AI184" t="str">
            <v>L</v>
          </cell>
          <cell r="AJ184" t="str">
            <v>L</v>
          </cell>
          <cell r="AK184" t="str">
            <v>L</v>
          </cell>
          <cell r="AL184" t="str">
            <v>L</v>
          </cell>
          <cell r="AM184" t="str">
            <v>L</v>
          </cell>
          <cell r="AN184" t="str">
            <v>L</v>
          </cell>
          <cell r="AO184" t="str">
            <v>x</v>
          </cell>
          <cell r="AP184">
            <v>21</v>
          </cell>
          <cell r="AQ184">
            <v>9</v>
          </cell>
          <cell r="AR184">
            <v>0</v>
          </cell>
          <cell r="AS184">
            <v>0</v>
          </cell>
          <cell r="AT184">
            <v>0</v>
          </cell>
          <cell r="AU184">
            <v>0</v>
          </cell>
          <cell r="AV184">
            <v>112.5</v>
          </cell>
          <cell r="AW184">
            <v>0</v>
          </cell>
          <cell r="AX184">
            <v>30</v>
          </cell>
          <cell r="AY184">
            <v>21</v>
          </cell>
          <cell r="AZ184">
            <v>30</v>
          </cell>
          <cell r="CF184">
            <v>28</v>
          </cell>
          <cell r="CG184">
            <v>63</v>
          </cell>
          <cell r="CH184">
            <v>6</v>
          </cell>
          <cell r="CM184">
            <v>123</v>
          </cell>
          <cell r="CN184" t="str">
            <v>Owed 28 hours overtime extra overtime from 25th to 31st October'2008. Owed 123 rials Eid bonus, 63 hours 200%, 6 days desert allowance for Eid Al Adhah'2008 from 8th to 13th December'2008.</v>
          </cell>
        </row>
        <row r="185">
          <cell r="B185">
            <v>429</v>
          </cell>
          <cell r="D185" t="str">
            <v>Sulaiman Hamdan Salim Al Hina'I</v>
          </cell>
          <cell r="E185" t="str">
            <v>Asst Mech ' Vibe '</v>
          </cell>
          <cell r="G185" t="str">
            <v>N/A</v>
          </cell>
          <cell r="H185">
            <v>39448</v>
          </cell>
          <cell r="I185" t="str">
            <v>C1</v>
          </cell>
          <cell r="J185" t="str">
            <v>Sh:2</v>
          </cell>
          <cell r="K185" t="str">
            <v>L</v>
          </cell>
          <cell r="L185" t="str">
            <v>L</v>
          </cell>
          <cell r="M185" t="str">
            <v>L</v>
          </cell>
          <cell r="N185" t="str">
            <v>L</v>
          </cell>
          <cell r="O185" t="str">
            <v>L</v>
          </cell>
          <cell r="P185" t="str">
            <v>L</v>
          </cell>
          <cell r="Q185" t="str">
            <v>L</v>
          </cell>
          <cell r="R185">
            <v>2</v>
          </cell>
          <cell r="S185">
            <v>2</v>
          </cell>
          <cell r="T185">
            <v>2</v>
          </cell>
          <cell r="U185">
            <v>2</v>
          </cell>
          <cell r="V185">
            <v>2</v>
          </cell>
          <cell r="W185">
            <v>2</v>
          </cell>
          <cell r="X185">
            <v>2</v>
          </cell>
          <cell r="Y185">
            <v>2</v>
          </cell>
          <cell r="Z185">
            <v>2</v>
          </cell>
          <cell r="AA185">
            <v>2</v>
          </cell>
          <cell r="AB185">
            <v>2</v>
          </cell>
          <cell r="AC185">
            <v>2</v>
          </cell>
          <cell r="AD185">
            <v>2</v>
          </cell>
          <cell r="AE185">
            <v>2</v>
          </cell>
          <cell r="AF185">
            <v>2</v>
          </cell>
          <cell r="AG185">
            <v>2</v>
          </cell>
          <cell r="AH185">
            <v>2</v>
          </cell>
          <cell r="AI185">
            <v>2</v>
          </cell>
          <cell r="AJ185">
            <v>10</v>
          </cell>
          <cell r="AK185" t="str">
            <v>C</v>
          </cell>
          <cell r="AL185" t="str">
            <v>C</v>
          </cell>
          <cell r="AM185" t="str">
            <v>C</v>
          </cell>
          <cell r="AN185" t="str">
            <v>C</v>
          </cell>
          <cell r="AO185" t="str">
            <v>x</v>
          </cell>
          <cell r="AP185">
            <v>19</v>
          </cell>
          <cell r="AQ185">
            <v>11</v>
          </cell>
          <cell r="AR185">
            <v>0</v>
          </cell>
          <cell r="AS185">
            <v>0</v>
          </cell>
          <cell r="AT185">
            <v>0</v>
          </cell>
          <cell r="AU185">
            <v>0</v>
          </cell>
          <cell r="AV185">
            <v>36</v>
          </cell>
          <cell r="AW185">
            <v>10</v>
          </cell>
          <cell r="AX185">
            <v>30</v>
          </cell>
          <cell r="AY185">
            <v>19</v>
          </cell>
          <cell r="AZ185">
            <v>30</v>
          </cell>
          <cell r="CF185">
            <v>165</v>
          </cell>
          <cell r="CN185" t="str">
            <v>Owed 165 hours overtime extra overtime from 2nd to 24th October'2008.</v>
          </cell>
        </row>
        <row r="186">
          <cell r="B186">
            <v>433</v>
          </cell>
          <cell r="D186" t="str">
            <v>Said Eid Hamed Al Dara'I</v>
          </cell>
          <cell r="E186" t="str">
            <v>Labour / Driver</v>
          </cell>
          <cell r="G186" t="str">
            <v>N/A</v>
          </cell>
          <cell r="H186">
            <v>39620</v>
          </cell>
          <cell r="I186" t="str">
            <v>A</v>
          </cell>
          <cell r="J186" t="str">
            <v>Sh:1</v>
          </cell>
          <cell r="K186">
            <v>6.5</v>
          </cell>
          <cell r="L186">
            <v>6.5</v>
          </cell>
          <cell r="M186">
            <v>6.5</v>
          </cell>
          <cell r="N186">
            <v>6.5</v>
          </cell>
          <cell r="O186">
            <v>6.5</v>
          </cell>
          <cell r="P186">
            <v>6.5</v>
          </cell>
          <cell r="Q186">
            <v>6.5</v>
          </cell>
          <cell r="R186">
            <v>6.5</v>
          </cell>
          <cell r="S186">
            <v>6.5</v>
          </cell>
          <cell r="T186">
            <v>6.5</v>
          </cell>
          <cell r="U186">
            <v>6.5</v>
          </cell>
          <cell r="V186">
            <v>6.5</v>
          </cell>
          <cell r="W186">
            <v>6.5</v>
          </cell>
          <cell r="X186">
            <v>6.5</v>
          </cell>
          <cell r="Y186">
            <v>6.5</v>
          </cell>
          <cell r="Z186">
            <v>2.5</v>
          </cell>
          <cell r="AA186">
            <v>2.5</v>
          </cell>
          <cell r="AB186">
            <v>2.5</v>
          </cell>
          <cell r="AC186">
            <v>2.5</v>
          </cell>
          <cell r="AD186">
            <v>2.5</v>
          </cell>
          <cell r="AE186">
            <v>2.5</v>
          </cell>
          <cell r="AF186" t="str">
            <v>L</v>
          </cell>
          <cell r="AG186" t="str">
            <v>L</v>
          </cell>
          <cell r="AH186" t="str">
            <v>L</v>
          </cell>
          <cell r="AI186" t="str">
            <v>L</v>
          </cell>
          <cell r="AJ186" t="str">
            <v>L</v>
          </cell>
          <cell r="AK186" t="str">
            <v>L</v>
          </cell>
          <cell r="AL186" t="str">
            <v>L</v>
          </cell>
          <cell r="AM186" t="str">
            <v>L</v>
          </cell>
          <cell r="AN186" t="str">
            <v>L</v>
          </cell>
          <cell r="AO186" t="str">
            <v>x</v>
          </cell>
          <cell r="AP186">
            <v>21</v>
          </cell>
          <cell r="AQ186">
            <v>9</v>
          </cell>
          <cell r="AR186">
            <v>0</v>
          </cell>
          <cell r="AS186">
            <v>0</v>
          </cell>
          <cell r="AT186">
            <v>0</v>
          </cell>
          <cell r="AU186">
            <v>0</v>
          </cell>
          <cell r="AV186">
            <v>112.5</v>
          </cell>
          <cell r="AW186">
            <v>0</v>
          </cell>
          <cell r="AX186">
            <v>30</v>
          </cell>
          <cell r="AY186">
            <v>21</v>
          </cell>
          <cell r="AZ186">
            <v>30</v>
          </cell>
          <cell r="CF186">
            <v>21.5</v>
          </cell>
          <cell r="CG186">
            <v>63</v>
          </cell>
          <cell r="CH186">
            <v>5</v>
          </cell>
          <cell r="CM186">
            <v>123</v>
          </cell>
          <cell r="CN186" t="str">
            <v>Deducted one day desert allowance, 2.5 hours overtime take leave on 25th October'2008. Owed 24 hours overtime extra overtime from 26th to 31st October'2008. Owed 123 rials Eid bonus, 63 hours 200%, 6 days desert allowance for Eid Al Adhah'2008 from 8th to</v>
          </cell>
        </row>
        <row r="187">
          <cell r="B187">
            <v>434</v>
          </cell>
          <cell r="D187" t="str">
            <v>Talal Said Abdullah Sidery</v>
          </cell>
          <cell r="E187" t="str">
            <v>Labour / Driver</v>
          </cell>
          <cell r="G187" t="str">
            <v>N/A</v>
          </cell>
          <cell r="H187">
            <v>39620</v>
          </cell>
          <cell r="I187" t="str">
            <v>A</v>
          </cell>
          <cell r="J187" t="str">
            <v>Sh:1</v>
          </cell>
          <cell r="K187">
            <v>6.5</v>
          </cell>
          <cell r="L187">
            <v>6.5</v>
          </cell>
          <cell r="M187">
            <v>6.5</v>
          </cell>
          <cell r="N187">
            <v>6.5</v>
          </cell>
          <cell r="O187">
            <v>6.5</v>
          </cell>
          <cell r="P187">
            <v>6.5</v>
          </cell>
          <cell r="Q187">
            <v>6.5</v>
          </cell>
          <cell r="R187">
            <v>6.5</v>
          </cell>
          <cell r="S187">
            <v>6.5</v>
          </cell>
          <cell r="T187">
            <v>6.5</v>
          </cell>
          <cell r="U187">
            <v>6.5</v>
          </cell>
          <cell r="V187">
            <v>6.5</v>
          </cell>
          <cell r="W187">
            <v>6.5</v>
          </cell>
          <cell r="X187">
            <v>6.5</v>
          </cell>
          <cell r="Y187">
            <v>6.5</v>
          </cell>
          <cell r="Z187">
            <v>2.5</v>
          </cell>
          <cell r="AA187">
            <v>2.5</v>
          </cell>
          <cell r="AB187">
            <v>2.5</v>
          </cell>
          <cell r="AC187">
            <v>2.5</v>
          </cell>
          <cell r="AD187">
            <v>2.5</v>
          </cell>
          <cell r="AE187">
            <v>2.5</v>
          </cell>
          <cell r="AF187" t="str">
            <v>L</v>
          </cell>
          <cell r="AG187" t="str">
            <v>L</v>
          </cell>
          <cell r="AH187" t="str">
            <v>L</v>
          </cell>
          <cell r="AI187" t="str">
            <v>L</v>
          </cell>
          <cell r="AJ187" t="str">
            <v>L</v>
          </cell>
          <cell r="AK187" t="str">
            <v>L</v>
          </cell>
          <cell r="AL187" t="str">
            <v>L</v>
          </cell>
          <cell r="AM187" t="str">
            <v>L</v>
          </cell>
          <cell r="AN187" t="str">
            <v>L</v>
          </cell>
          <cell r="AO187" t="str">
            <v>x</v>
          </cell>
          <cell r="AP187">
            <v>21</v>
          </cell>
          <cell r="AQ187">
            <v>9</v>
          </cell>
          <cell r="AR187">
            <v>0</v>
          </cell>
          <cell r="AS187">
            <v>0</v>
          </cell>
          <cell r="AT187">
            <v>0</v>
          </cell>
          <cell r="AU187">
            <v>0</v>
          </cell>
          <cell r="AV187">
            <v>112.5</v>
          </cell>
          <cell r="AW187">
            <v>0</v>
          </cell>
          <cell r="AX187">
            <v>30</v>
          </cell>
          <cell r="AY187">
            <v>21</v>
          </cell>
          <cell r="AZ187">
            <v>30</v>
          </cell>
          <cell r="CF187">
            <v>28</v>
          </cell>
          <cell r="CG187">
            <v>63</v>
          </cell>
          <cell r="CH187">
            <v>6</v>
          </cell>
          <cell r="CM187">
            <v>123</v>
          </cell>
          <cell r="CN187" t="str">
            <v xml:space="preserve"> Owed 123 rials Eid bonus, 63 hours 200%, 6 days desert allowance for Eid Al Adhah'2008 from 8th to 13th December'2008. Owed 28 hours overtime work extra overtime from 25th to 31st October'2008.</v>
          </cell>
        </row>
        <row r="188">
          <cell r="B188">
            <v>435</v>
          </cell>
          <cell r="D188" t="str">
            <v>Marhoon Salim Fadhil Al Siyabi</v>
          </cell>
          <cell r="E188" t="str">
            <v>Labour / Driver</v>
          </cell>
          <cell r="G188" t="str">
            <v>N/A</v>
          </cell>
          <cell r="H188">
            <v>39630</v>
          </cell>
          <cell r="I188" t="str">
            <v>A</v>
          </cell>
          <cell r="J188" t="str">
            <v>Sh:2</v>
          </cell>
          <cell r="K188" t="str">
            <v>L</v>
          </cell>
          <cell r="L188" t="str">
            <v>L</v>
          </cell>
          <cell r="M188" t="str">
            <v>L</v>
          </cell>
          <cell r="N188" t="str">
            <v>L</v>
          </cell>
          <cell r="O188" t="str">
            <v>L</v>
          </cell>
          <cell r="P188" t="str">
            <v>L</v>
          </cell>
          <cell r="Q188" t="str">
            <v>L</v>
          </cell>
          <cell r="R188" t="str">
            <v>C</v>
          </cell>
          <cell r="S188" t="str">
            <v>C</v>
          </cell>
          <cell r="T188" t="str">
            <v>L</v>
          </cell>
          <cell r="U188">
            <v>2.5</v>
          </cell>
          <cell r="V188">
            <v>6.5</v>
          </cell>
          <cell r="W188">
            <v>2.5</v>
          </cell>
          <cell r="X188">
            <v>6.5</v>
          </cell>
          <cell r="Y188">
            <v>6.5</v>
          </cell>
          <cell r="Z188">
            <v>2.5</v>
          </cell>
          <cell r="AA188">
            <v>2.5</v>
          </cell>
          <cell r="AB188">
            <v>2.5</v>
          </cell>
          <cell r="AC188">
            <v>2.5</v>
          </cell>
          <cell r="AD188">
            <v>2.5</v>
          </cell>
          <cell r="AE188">
            <v>2.5</v>
          </cell>
          <cell r="AF188">
            <v>2.5</v>
          </cell>
          <cell r="AG188">
            <v>2.5</v>
          </cell>
          <cell r="AH188">
            <v>2.5</v>
          </cell>
          <cell r="AI188">
            <v>2.5</v>
          </cell>
          <cell r="AJ188">
            <v>10.5</v>
          </cell>
          <cell r="AK188">
            <v>10.5</v>
          </cell>
          <cell r="AL188">
            <v>2.5</v>
          </cell>
          <cell r="AM188">
            <v>2.5</v>
          </cell>
          <cell r="AN188">
            <v>2.5</v>
          </cell>
          <cell r="AO188" t="str">
            <v>x</v>
          </cell>
          <cell r="AP188">
            <v>20</v>
          </cell>
          <cell r="AQ188">
            <v>10</v>
          </cell>
          <cell r="AR188">
            <v>0</v>
          </cell>
          <cell r="AS188">
            <v>0</v>
          </cell>
          <cell r="AT188">
            <v>0</v>
          </cell>
          <cell r="AU188">
            <v>0</v>
          </cell>
          <cell r="AV188">
            <v>57</v>
          </cell>
          <cell r="AW188">
            <v>21</v>
          </cell>
          <cell r="AX188">
            <v>30</v>
          </cell>
          <cell r="AY188">
            <v>20</v>
          </cell>
          <cell r="AZ188">
            <v>30</v>
          </cell>
          <cell r="CF188">
            <v>20</v>
          </cell>
          <cell r="CG188">
            <v>63</v>
          </cell>
          <cell r="CH188">
            <v>6</v>
          </cell>
          <cell r="CM188">
            <v>123</v>
          </cell>
          <cell r="CN188" t="str">
            <v>Owed 20 hours overtime extra overtime from 17th and 20th to 23rd October'2008.  Owed 123 rials Eid bonus, 63 hours 200%, 6 days desert allowance for Eid Al Adhah'2008 from 8th to 13th December'2008.</v>
          </cell>
        </row>
        <row r="189">
          <cell r="B189">
            <v>436</v>
          </cell>
          <cell r="D189" t="str">
            <v>Khalifa Khamis Abdullah Al Ghafri</v>
          </cell>
          <cell r="E189" t="str">
            <v>Labour / Driver</v>
          </cell>
          <cell r="G189" t="str">
            <v>N/A</v>
          </cell>
          <cell r="H189">
            <v>39630</v>
          </cell>
          <cell r="I189" t="str">
            <v>A</v>
          </cell>
          <cell r="J189" t="str">
            <v>Sh:2</v>
          </cell>
          <cell r="K189" t="str">
            <v>L</v>
          </cell>
          <cell r="L189" t="str">
            <v>L</v>
          </cell>
          <cell r="M189" t="str">
            <v>L</v>
          </cell>
          <cell r="N189" t="str">
            <v>L</v>
          </cell>
          <cell r="O189" t="str">
            <v>L</v>
          </cell>
          <cell r="P189" t="str">
            <v>L</v>
          </cell>
          <cell r="Q189" t="str">
            <v>L</v>
          </cell>
          <cell r="R189">
            <v>6.5</v>
          </cell>
          <cell r="S189">
            <v>6.5</v>
          </cell>
          <cell r="T189">
            <v>6.5</v>
          </cell>
          <cell r="U189">
            <v>6.5</v>
          </cell>
          <cell r="V189">
            <v>6.5</v>
          </cell>
          <cell r="W189">
            <v>6.5</v>
          </cell>
          <cell r="X189">
            <v>6.5</v>
          </cell>
          <cell r="Y189">
            <v>6.5</v>
          </cell>
          <cell r="Z189">
            <v>2.5</v>
          </cell>
          <cell r="AA189">
            <v>2.5</v>
          </cell>
          <cell r="AB189">
            <v>2.5</v>
          </cell>
          <cell r="AC189">
            <v>2.5</v>
          </cell>
          <cell r="AD189">
            <v>2.5</v>
          </cell>
          <cell r="AE189">
            <v>2.5</v>
          </cell>
          <cell r="AF189">
            <v>2.5</v>
          </cell>
          <cell r="AG189">
            <v>2.5</v>
          </cell>
          <cell r="AH189">
            <v>2.5</v>
          </cell>
          <cell r="AI189">
            <v>2.5</v>
          </cell>
          <cell r="AJ189">
            <v>10.5</v>
          </cell>
          <cell r="AK189">
            <v>10.5</v>
          </cell>
          <cell r="AL189">
            <v>2.5</v>
          </cell>
          <cell r="AM189">
            <v>2.5</v>
          </cell>
          <cell r="AN189">
            <v>2.5</v>
          </cell>
          <cell r="AO189" t="str">
            <v>x</v>
          </cell>
          <cell r="AP189">
            <v>23</v>
          </cell>
          <cell r="AQ189">
            <v>7</v>
          </cell>
          <cell r="AR189">
            <v>0</v>
          </cell>
          <cell r="AS189">
            <v>0</v>
          </cell>
          <cell r="AT189">
            <v>0</v>
          </cell>
          <cell r="AU189">
            <v>0</v>
          </cell>
          <cell r="AV189">
            <v>84.5</v>
          </cell>
          <cell r="AW189">
            <v>21</v>
          </cell>
          <cell r="AX189">
            <v>30</v>
          </cell>
          <cell r="AY189">
            <v>23</v>
          </cell>
          <cell r="AZ189">
            <v>30</v>
          </cell>
          <cell r="CF189">
            <v>28</v>
          </cell>
          <cell r="CN189" t="str">
            <v>Owed 28 hours overtime extra overtime from 16th to 20th and 22nd to 23rd October'2008.</v>
          </cell>
        </row>
        <row r="190">
          <cell r="B190">
            <v>437</v>
          </cell>
          <cell r="D190" t="str">
            <v>Hamdan Salim Hamdan Al Hashmi</v>
          </cell>
          <cell r="E190" t="str">
            <v>Labour / Driver</v>
          </cell>
          <cell r="G190" t="str">
            <v>N/A</v>
          </cell>
          <cell r="H190">
            <v>39630</v>
          </cell>
          <cell r="I190" t="str">
            <v>A</v>
          </cell>
          <cell r="J190" t="str">
            <v>Sh:3</v>
          </cell>
          <cell r="K190">
            <v>6.5</v>
          </cell>
          <cell r="L190">
            <v>6.5</v>
          </cell>
          <cell r="M190">
            <v>6.5</v>
          </cell>
          <cell r="N190">
            <v>0</v>
          </cell>
          <cell r="O190" t="str">
            <v>A</v>
          </cell>
          <cell r="P190" t="str">
            <v>A</v>
          </cell>
          <cell r="Q190" t="str">
            <v>A</v>
          </cell>
          <cell r="R190" t="str">
            <v>L</v>
          </cell>
          <cell r="S190" t="str">
            <v>L</v>
          </cell>
          <cell r="T190" t="str">
            <v>L</v>
          </cell>
          <cell r="U190" t="str">
            <v>L</v>
          </cell>
          <cell r="V190" t="str">
            <v>L</v>
          </cell>
          <cell r="W190" t="str">
            <v>L</v>
          </cell>
          <cell r="X190" t="str">
            <v>L</v>
          </cell>
          <cell r="Y190" t="str">
            <v>L</v>
          </cell>
          <cell r="Z190" t="str">
            <v>L</v>
          </cell>
          <cell r="AA190" t="str">
            <v>L</v>
          </cell>
          <cell r="AB190" t="str">
            <v>L</v>
          </cell>
          <cell r="AC190" t="str">
            <v>L</v>
          </cell>
          <cell r="AD190" t="str">
            <v>L</v>
          </cell>
          <cell r="AE190" t="str">
            <v>L</v>
          </cell>
          <cell r="AF190">
            <v>2.5</v>
          </cell>
          <cell r="AG190">
            <v>2.5</v>
          </cell>
          <cell r="AH190">
            <v>2.5</v>
          </cell>
          <cell r="AI190">
            <v>2.5</v>
          </cell>
          <cell r="AJ190">
            <v>10.5</v>
          </cell>
          <cell r="AK190">
            <v>10.5</v>
          </cell>
          <cell r="AL190">
            <v>2.5</v>
          </cell>
          <cell r="AM190">
            <v>2.5</v>
          </cell>
          <cell r="AN190">
            <v>2.5</v>
          </cell>
          <cell r="AO190" t="str">
            <v>x</v>
          </cell>
          <cell r="AP190">
            <v>13</v>
          </cell>
          <cell r="AQ190">
            <v>14</v>
          </cell>
          <cell r="AR190">
            <v>0</v>
          </cell>
          <cell r="AS190">
            <v>0</v>
          </cell>
          <cell r="AT190">
            <v>3</v>
          </cell>
          <cell r="AU190">
            <v>0</v>
          </cell>
          <cell r="AV190">
            <v>37</v>
          </cell>
          <cell r="AW190">
            <v>21</v>
          </cell>
          <cell r="AX190">
            <v>27</v>
          </cell>
          <cell r="AY190">
            <v>13</v>
          </cell>
          <cell r="AZ190">
            <v>27</v>
          </cell>
          <cell r="CF190">
            <v>64</v>
          </cell>
          <cell r="CN190" t="str">
            <v>Owed 64 hours overtime extra overtime from 16th to 31st October'2008.</v>
          </cell>
        </row>
        <row r="191">
          <cell r="B191">
            <v>438</v>
          </cell>
          <cell r="D191" t="str">
            <v>Khalifa Salim Khalifa Al Balushi</v>
          </cell>
          <cell r="E191" t="str">
            <v>Labour / Driver</v>
          </cell>
          <cell r="G191" t="str">
            <v>N/A</v>
          </cell>
          <cell r="H191">
            <v>39630</v>
          </cell>
          <cell r="I191" t="str">
            <v>A</v>
          </cell>
          <cell r="J191" t="str">
            <v>Sh:3</v>
          </cell>
          <cell r="K191">
            <v>6.5</v>
          </cell>
          <cell r="L191">
            <v>6.5</v>
          </cell>
          <cell r="M191">
            <v>6.5</v>
          </cell>
          <cell r="N191">
            <v>6.5</v>
          </cell>
          <cell r="O191">
            <v>6.5</v>
          </cell>
          <cell r="P191">
            <v>6.5</v>
          </cell>
          <cell r="Q191">
            <v>2.5</v>
          </cell>
          <cell r="R191" t="str">
            <v>L</v>
          </cell>
          <cell r="S191" t="str">
            <v>L</v>
          </cell>
          <cell r="T191" t="str">
            <v>L</v>
          </cell>
          <cell r="U191" t="str">
            <v>L</v>
          </cell>
          <cell r="V191" t="str">
            <v>L</v>
          </cell>
          <cell r="W191" t="str">
            <v>L</v>
          </cell>
          <cell r="X191" t="str">
            <v>L</v>
          </cell>
          <cell r="Y191" t="str">
            <v>L</v>
          </cell>
          <cell r="Z191" t="str">
            <v>L</v>
          </cell>
          <cell r="AA191" t="str">
            <v>L</v>
          </cell>
          <cell r="AB191" t="str">
            <v>L</v>
          </cell>
          <cell r="AC191" t="str">
            <v>L</v>
          </cell>
          <cell r="AD191" t="str">
            <v>L</v>
          </cell>
          <cell r="AE191" t="str">
            <v>L</v>
          </cell>
          <cell r="AF191">
            <v>2.5</v>
          </cell>
          <cell r="AG191">
            <v>2.5</v>
          </cell>
          <cell r="AH191">
            <v>2.5</v>
          </cell>
          <cell r="AI191">
            <v>2.5</v>
          </cell>
          <cell r="AJ191">
            <v>10.5</v>
          </cell>
          <cell r="AK191">
            <v>10.5</v>
          </cell>
          <cell r="AL191">
            <v>2.5</v>
          </cell>
          <cell r="AM191">
            <v>2.5</v>
          </cell>
          <cell r="AN191">
            <v>2.5</v>
          </cell>
          <cell r="AO191" t="str">
            <v>x</v>
          </cell>
          <cell r="AP191">
            <v>16</v>
          </cell>
          <cell r="AQ191">
            <v>14</v>
          </cell>
          <cell r="AR191">
            <v>0</v>
          </cell>
          <cell r="AS191">
            <v>0</v>
          </cell>
          <cell r="AT191">
            <v>0</v>
          </cell>
          <cell r="AU191">
            <v>0</v>
          </cell>
          <cell r="AV191">
            <v>59</v>
          </cell>
          <cell r="AW191">
            <v>21</v>
          </cell>
          <cell r="AX191">
            <v>30</v>
          </cell>
          <cell r="AY191">
            <v>16</v>
          </cell>
          <cell r="AZ191">
            <v>30</v>
          </cell>
          <cell r="CF191">
            <v>64</v>
          </cell>
          <cell r="CN191" t="str">
            <v>Owed 64 hours overtime extra overtime from 16th to 31st October'2008.</v>
          </cell>
        </row>
        <row r="192">
          <cell r="B192">
            <v>439</v>
          </cell>
          <cell r="D192" t="str">
            <v>Suleiman Saif Mohammed Al Hinai</v>
          </cell>
          <cell r="E192" t="str">
            <v>Labour / Driver</v>
          </cell>
          <cell r="G192" t="str">
            <v>N/A</v>
          </cell>
          <cell r="H192">
            <v>39630</v>
          </cell>
          <cell r="I192" t="str">
            <v>A</v>
          </cell>
          <cell r="J192" t="str">
            <v>Sh:1</v>
          </cell>
          <cell r="K192">
            <v>6.5</v>
          </cell>
          <cell r="L192">
            <v>6.5</v>
          </cell>
          <cell r="M192">
            <v>6.5</v>
          </cell>
          <cell r="N192">
            <v>6.5</v>
          </cell>
          <cell r="O192">
            <v>6.5</v>
          </cell>
          <cell r="P192">
            <v>6.5</v>
          </cell>
          <cell r="Q192">
            <v>6.5</v>
          </cell>
          <cell r="R192">
            <v>6.5</v>
          </cell>
          <cell r="S192">
            <v>6.5</v>
          </cell>
          <cell r="T192">
            <v>0</v>
          </cell>
          <cell r="U192" t="str">
            <v>L</v>
          </cell>
          <cell r="V192" t="str">
            <v>L</v>
          </cell>
          <cell r="W192">
            <v>6.5</v>
          </cell>
          <cell r="X192">
            <v>6.5</v>
          </cell>
          <cell r="Y192">
            <v>6.5</v>
          </cell>
          <cell r="Z192">
            <v>2.5</v>
          </cell>
          <cell r="AA192">
            <v>2.5</v>
          </cell>
          <cell r="AB192">
            <v>2.5</v>
          </cell>
          <cell r="AC192">
            <v>2.5</v>
          </cell>
          <cell r="AD192">
            <v>2.5</v>
          </cell>
          <cell r="AE192">
            <v>2.5</v>
          </cell>
          <cell r="AF192" t="str">
            <v>L</v>
          </cell>
          <cell r="AG192" t="str">
            <v>L</v>
          </cell>
          <cell r="AH192" t="str">
            <v>L</v>
          </cell>
          <cell r="AI192" t="str">
            <v>L</v>
          </cell>
          <cell r="AJ192" t="str">
            <v>L</v>
          </cell>
          <cell r="AK192" t="str">
            <v>L</v>
          </cell>
          <cell r="AL192" t="str">
            <v>L</v>
          </cell>
          <cell r="AM192" t="str">
            <v>L</v>
          </cell>
          <cell r="AN192" t="str">
            <v>L</v>
          </cell>
          <cell r="AO192" t="str">
            <v>x</v>
          </cell>
          <cell r="AP192">
            <v>19</v>
          </cell>
          <cell r="AQ192">
            <v>11</v>
          </cell>
          <cell r="AR192">
            <v>0</v>
          </cell>
          <cell r="AS192">
            <v>0</v>
          </cell>
          <cell r="AT192">
            <v>0</v>
          </cell>
          <cell r="AU192">
            <v>0</v>
          </cell>
          <cell r="AV192">
            <v>93</v>
          </cell>
          <cell r="AW192">
            <v>0</v>
          </cell>
          <cell r="AX192">
            <v>30</v>
          </cell>
          <cell r="AY192">
            <v>19</v>
          </cell>
          <cell r="AZ192">
            <v>30</v>
          </cell>
          <cell r="CF192">
            <v>28</v>
          </cell>
          <cell r="CN192" t="str">
            <v>Owed 28 hours overtime extra overtime from 25th to 31st October'2008.</v>
          </cell>
        </row>
        <row r="193">
          <cell r="B193">
            <v>440</v>
          </cell>
          <cell r="D193" t="str">
            <v>Ali Sultan Mohammed Al Shaibani</v>
          </cell>
          <cell r="E193" t="str">
            <v>Labour / Driver</v>
          </cell>
          <cell r="G193" t="str">
            <v>N/A</v>
          </cell>
          <cell r="H193">
            <v>39662</v>
          </cell>
          <cell r="I193" t="str">
            <v>A</v>
          </cell>
          <cell r="J193" t="str">
            <v>Sh:3</v>
          </cell>
          <cell r="K193">
            <v>6.5</v>
          </cell>
          <cell r="L193">
            <v>6.5</v>
          </cell>
          <cell r="M193">
            <v>6.5</v>
          </cell>
          <cell r="N193">
            <v>6.5</v>
          </cell>
          <cell r="O193">
            <v>6.5</v>
          </cell>
          <cell r="P193">
            <v>6.5</v>
          </cell>
          <cell r="Q193">
            <v>0</v>
          </cell>
          <cell r="R193" t="str">
            <v>L</v>
          </cell>
          <cell r="S193" t="str">
            <v>L</v>
          </cell>
          <cell r="T193" t="str">
            <v>L</v>
          </cell>
          <cell r="U193" t="str">
            <v>L</v>
          </cell>
          <cell r="V193" t="str">
            <v>L</v>
          </cell>
          <cell r="W193" t="str">
            <v>L</v>
          </cell>
          <cell r="X193" t="str">
            <v>L</v>
          </cell>
          <cell r="Y193" t="str">
            <v>L</v>
          </cell>
          <cell r="Z193" t="str">
            <v>L</v>
          </cell>
          <cell r="AA193" t="str">
            <v>L</v>
          </cell>
          <cell r="AB193" t="str">
            <v>L</v>
          </cell>
          <cell r="AC193" t="str">
            <v>L</v>
          </cell>
          <cell r="AD193" t="str">
            <v>L</v>
          </cell>
          <cell r="AE193" t="str">
            <v>L</v>
          </cell>
          <cell r="AF193">
            <v>2.5</v>
          </cell>
          <cell r="AG193">
            <v>2.5</v>
          </cell>
          <cell r="AH193">
            <v>2.5</v>
          </cell>
          <cell r="AI193">
            <v>2.5</v>
          </cell>
          <cell r="AJ193">
            <v>10.5</v>
          </cell>
          <cell r="AK193">
            <v>10.5</v>
          </cell>
          <cell r="AL193">
            <v>2.5</v>
          </cell>
          <cell r="AM193">
            <v>2.5</v>
          </cell>
          <cell r="AN193">
            <v>2.5</v>
          </cell>
          <cell r="AO193" t="str">
            <v>x</v>
          </cell>
          <cell r="AP193">
            <v>16</v>
          </cell>
          <cell r="AQ193">
            <v>14</v>
          </cell>
          <cell r="AR193">
            <v>0</v>
          </cell>
          <cell r="AS193">
            <v>0</v>
          </cell>
          <cell r="AT193">
            <v>0</v>
          </cell>
          <cell r="AU193">
            <v>0</v>
          </cell>
          <cell r="AV193">
            <v>56.5</v>
          </cell>
          <cell r="AW193">
            <v>21</v>
          </cell>
          <cell r="AX193">
            <v>30</v>
          </cell>
          <cell r="AY193">
            <v>16</v>
          </cell>
          <cell r="AZ193">
            <v>30</v>
          </cell>
          <cell r="CF193">
            <v>64</v>
          </cell>
          <cell r="CG193">
            <v>63</v>
          </cell>
          <cell r="CH193">
            <v>6</v>
          </cell>
          <cell r="CM193">
            <v>123</v>
          </cell>
          <cell r="CN193" t="str">
            <v>Owed 64 hours overtime extra overtime from 17th to 31st October'2008.  Owed 123 rials Eid bonus, 63 hours 200%, 6 days desert allowance for Eid Al Adhah'2008 from 8th to 13th December'2008.</v>
          </cell>
        </row>
        <row r="194">
          <cell r="B194">
            <v>441</v>
          </cell>
          <cell r="D194" t="str">
            <v>Talal Salim Mattar Al Jahwari</v>
          </cell>
          <cell r="E194" t="str">
            <v>Labour / Cable</v>
          </cell>
          <cell r="G194" t="str">
            <v>N/A</v>
          </cell>
          <cell r="H194">
            <v>39662</v>
          </cell>
          <cell r="I194" t="str">
            <v>A</v>
          </cell>
          <cell r="J194" t="str">
            <v>Sh:3</v>
          </cell>
          <cell r="K194">
            <v>4</v>
          </cell>
          <cell r="L194">
            <v>4</v>
          </cell>
          <cell r="M194">
            <v>4</v>
          </cell>
          <cell r="N194">
            <v>4</v>
          </cell>
          <cell r="O194">
            <v>0</v>
          </cell>
          <cell r="P194" t="str">
            <v>L</v>
          </cell>
          <cell r="Q194" t="str">
            <v>L</v>
          </cell>
          <cell r="R194" t="str">
            <v>L</v>
          </cell>
          <cell r="S194" t="str">
            <v>L</v>
          </cell>
          <cell r="T194" t="str">
            <v>L</v>
          </cell>
          <cell r="U194" t="str">
            <v>L</v>
          </cell>
          <cell r="V194" t="str">
            <v>L</v>
          </cell>
          <cell r="W194" t="str">
            <v>L</v>
          </cell>
          <cell r="X194" t="str">
            <v>L</v>
          </cell>
          <cell r="Y194" t="str">
            <v>L</v>
          </cell>
          <cell r="Z194" t="str">
            <v>L</v>
          </cell>
          <cell r="AA194" t="str">
            <v>L</v>
          </cell>
          <cell r="AB194" t="str">
            <v>L</v>
          </cell>
          <cell r="AC194" t="str">
            <v>L</v>
          </cell>
          <cell r="AD194" t="str">
            <v>L</v>
          </cell>
          <cell r="AE194" t="str">
            <v>L</v>
          </cell>
          <cell r="AF194">
            <v>4</v>
          </cell>
          <cell r="AG194">
            <v>4</v>
          </cell>
          <cell r="AH194">
            <v>4</v>
          </cell>
          <cell r="AI194">
            <v>4</v>
          </cell>
          <cell r="AJ194">
            <v>12</v>
          </cell>
          <cell r="AK194">
            <v>12</v>
          </cell>
          <cell r="AL194">
            <v>4</v>
          </cell>
          <cell r="AM194">
            <v>4</v>
          </cell>
          <cell r="AN194">
            <v>4</v>
          </cell>
          <cell r="AO194" t="str">
            <v>x</v>
          </cell>
          <cell r="AP194">
            <v>14</v>
          </cell>
          <cell r="AQ194">
            <v>16</v>
          </cell>
          <cell r="AR194">
            <v>0</v>
          </cell>
          <cell r="AS194">
            <v>0</v>
          </cell>
          <cell r="AT194">
            <v>0</v>
          </cell>
          <cell r="AU194">
            <v>0</v>
          </cell>
          <cell r="AV194">
            <v>44</v>
          </cell>
          <cell r="AW194">
            <v>24</v>
          </cell>
          <cell r="AX194">
            <v>30</v>
          </cell>
          <cell r="AY194">
            <v>14</v>
          </cell>
          <cell r="AZ194">
            <v>30</v>
          </cell>
          <cell r="CF194">
            <v>147</v>
          </cell>
          <cell r="CN194" t="str">
            <v>Owed 147 hours overtime extra overtime from 2nd to 3rd and 12th to 31st October'2008.</v>
          </cell>
        </row>
        <row r="195">
          <cell r="B195">
            <v>442</v>
          </cell>
          <cell r="D195" t="str">
            <v xml:space="preserve">Badar Salim Hamed Alawi </v>
          </cell>
          <cell r="E195" t="str">
            <v>Labour / Driver</v>
          </cell>
          <cell r="G195" t="str">
            <v>N/A</v>
          </cell>
          <cell r="H195">
            <v>39659</v>
          </cell>
          <cell r="I195" t="str">
            <v>A</v>
          </cell>
          <cell r="J195" t="str">
            <v>Sh:3</v>
          </cell>
          <cell r="K195" t="str">
            <v>A</v>
          </cell>
          <cell r="L195" t="str">
            <v>A</v>
          </cell>
          <cell r="M195" t="str">
            <v>A</v>
          </cell>
          <cell r="N195" t="str">
            <v>A</v>
          </cell>
          <cell r="O195" t="str">
            <v>A</v>
          </cell>
          <cell r="P195" t="str">
            <v>A</v>
          </cell>
          <cell r="Q195" t="str">
            <v>A</v>
          </cell>
          <cell r="R195" t="str">
            <v>L</v>
          </cell>
          <cell r="S195" t="str">
            <v>L</v>
          </cell>
          <cell r="T195" t="str">
            <v>L</v>
          </cell>
          <cell r="U195" t="str">
            <v>L</v>
          </cell>
          <cell r="V195" t="str">
            <v>L</v>
          </cell>
          <cell r="W195" t="str">
            <v>L</v>
          </cell>
          <cell r="X195" t="str">
            <v>L</v>
          </cell>
          <cell r="Y195" t="str">
            <v>L</v>
          </cell>
          <cell r="Z195" t="str">
            <v>L</v>
          </cell>
          <cell r="AA195" t="str">
            <v>L</v>
          </cell>
          <cell r="AB195" t="str">
            <v>L</v>
          </cell>
          <cell r="AC195" t="str">
            <v>L</v>
          </cell>
          <cell r="AD195" t="str">
            <v>L</v>
          </cell>
          <cell r="AE195" t="str">
            <v>L</v>
          </cell>
          <cell r="AF195">
            <v>2.5</v>
          </cell>
          <cell r="AG195">
            <v>2.5</v>
          </cell>
          <cell r="AH195">
            <v>2.5</v>
          </cell>
          <cell r="AI195">
            <v>2.5</v>
          </cell>
          <cell r="AJ195">
            <v>10.5</v>
          </cell>
          <cell r="AK195">
            <v>10.5</v>
          </cell>
          <cell r="AL195">
            <v>2.5</v>
          </cell>
          <cell r="AM195">
            <v>2.5</v>
          </cell>
          <cell r="AN195">
            <v>2.5</v>
          </cell>
          <cell r="AO195" t="str">
            <v>x</v>
          </cell>
          <cell r="AP195">
            <v>9</v>
          </cell>
          <cell r="AQ195">
            <v>14</v>
          </cell>
          <cell r="AR195">
            <v>0</v>
          </cell>
          <cell r="AS195">
            <v>0</v>
          </cell>
          <cell r="AT195">
            <v>7</v>
          </cell>
          <cell r="AU195">
            <v>0</v>
          </cell>
          <cell r="AV195">
            <v>17.5</v>
          </cell>
          <cell r="AW195">
            <v>21</v>
          </cell>
          <cell r="AX195">
            <v>23</v>
          </cell>
          <cell r="AY195">
            <v>9</v>
          </cell>
          <cell r="AZ195">
            <v>23</v>
          </cell>
          <cell r="CF195">
            <v>8</v>
          </cell>
          <cell r="CH195">
            <v>-8</v>
          </cell>
          <cell r="CI195">
            <v>-6</v>
          </cell>
          <cell r="CJ195">
            <v>-6</v>
          </cell>
          <cell r="CK195">
            <v>-6</v>
          </cell>
          <cell r="CL195">
            <v>-6</v>
          </cell>
          <cell r="CN195" t="str">
            <v>Deducted 2 days desert allowance, 5 hours overtime take leave on 24th to 25th October'2008. Owed 28 hours overtime extra overtime from 16th to 22nd October'2008. Dedduct 15 hours overtime and 6 days desert all, 6 days Ration, 6 days date all, 6 days Housi</v>
          </cell>
        </row>
        <row r="196">
          <cell r="B196">
            <v>443</v>
          </cell>
          <cell r="D196" t="str">
            <v>Talal Gharib Shafi Al Balushi</v>
          </cell>
          <cell r="E196" t="str">
            <v>Labour / Driver</v>
          </cell>
          <cell r="G196" t="str">
            <v>N/A</v>
          </cell>
          <cell r="H196">
            <v>39661</v>
          </cell>
          <cell r="I196" t="str">
            <v>A</v>
          </cell>
          <cell r="J196" t="str">
            <v>Sh:2</v>
          </cell>
          <cell r="K196" t="str">
            <v>L</v>
          </cell>
          <cell r="L196" t="str">
            <v>L</v>
          </cell>
          <cell r="M196" t="str">
            <v>L</v>
          </cell>
          <cell r="N196" t="str">
            <v>L</v>
          </cell>
          <cell r="O196" t="str">
            <v>L</v>
          </cell>
          <cell r="P196" t="str">
            <v>L</v>
          </cell>
          <cell r="Q196" t="str">
            <v>L</v>
          </cell>
          <cell r="R196">
            <v>6.5</v>
          </cell>
          <cell r="S196">
            <v>6.5</v>
          </cell>
          <cell r="T196">
            <v>6.5</v>
          </cell>
          <cell r="U196">
            <v>6.5</v>
          </cell>
          <cell r="V196">
            <v>6.5</v>
          </cell>
          <cell r="W196">
            <v>6.5</v>
          </cell>
          <cell r="X196">
            <v>6.5</v>
          </cell>
          <cell r="Y196">
            <v>2.5</v>
          </cell>
          <cell r="Z196">
            <v>2.5</v>
          </cell>
          <cell r="AA196">
            <v>2.5</v>
          </cell>
          <cell r="AB196">
            <v>2.5</v>
          </cell>
          <cell r="AC196">
            <v>2.5</v>
          </cell>
          <cell r="AD196">
            <v>2.5</v>
          </cell>
          <cell r="AE196">
            <v>2.5</v>
          </cell>
          <cell r="AF196">
            <v>2.5</v>
          </cell>
          <cell r="AG196">
            <v>2.5</v>
          </cell>
          <cell r="AH196">
            <v>2.5</v>
          </cell>
          <cell r="AI196">
            <v>2.5</v>
          </cell>
          <cell r="AJ196">
            <v>10.5</v>
          </cell>
          <cell r="AK196">
            <v>10.5</v>
          </cell>
          <cell r="AL196">
            <v>2.5</v>
          </cell>
          <cell r="AM196">
            <v>2.5</v>
          </cell>
          <cell r="AN196">
            <v>2.5</v>
          </cell>
          <cell r="AO196" t="str">
            <v>x</v>
          </cell>
          <cell r="AP196">
            <v>23</v>
          </cell>
          <cell r="AQ196">
            <v>7</v>
          </cell>
          <cell r="AR196">
            <v>0</v>
          </cell>
          <cell r="AS196">
            <v>0</v>
          </cell>
          <cell r="AT196">
            <v>0</v>
          </cell>
          <cell r="AU196">
            <v>0</v>
          </cell>
          <cell r="AV196">
            <v>80.5</v>
          </cell>
          <cell r="AW196">
            <v>21</v>
          </cell>
          <cell r="AX196">
            <v>30</v>
          </cell>
          <cell r="AY196">
            <v>23</v>
          </cell>
          <cell r="AZ196">
            <v>30</v>
          </cell>
          <cell r="CF196">
            <v>12.5</v>
          </cell>
          <cell r="CH196">
            <v>-3</v>
          </cell>
          <cell r="CN196" t="str">
            <v>Deducted 3 days desert allowance, 7.5 hours overtime take leave on 22nd to 24th October'2008. Owed 20 hours overtime extra overtime from 16th to 18th and 20th to 21st October'2008.</v>
          </cell>
        </row>
        <row r="197">
          <cell r="B197">
            <v>444</v>
          </cell>
          <cell r="D197" t="str">
            <v>Saleh Musabah Ghanim  Al Ghafri</v>
          </cell>
          <cell r="E197" t="str">
            <v>Labour / Driver</v>
          </cell>
          <cell r="G197" t="str">
            <v>N/A</v>
          </cell>
          <cell r="H197">
            <v>39662</v>
          </cell>
          <cell r="I197" t="str">
            <v>A</v>
          </cell>
          <cell r="J197" t="str">
            <v>Sh:1</v>
          </cell>
          <cell r="K197">
            <v>6.5</v>
          </cell>
          <cell r="L197">
            <v>6.5</v>
          </cell>
          <cell r="M197">
            <v>0</v>
          </cell>
          <cell r="N197" t="str">
            <v>L</v>
          </cell>
          <cell r="O197" t="str">
            <v>L</v>
          </cell>
          <cell r="P197">
            <v>6.5</v>
          </cell>
          <cell r="Q197">
            <v>6.5</v>
          </cell>
          <cell r="R197">
            <v>6.5</v>
          </cell>
          <cell r="S197">
            <v>6.5</v>
          </cell>
          <cell r="T197">
            <v>6.5</v>
          </cell>
          <cell r="U197">
            <v>6.5</v>
          </cell>
          <cell r="V197">
            <v>6.5</v>
          </cell>
          <cell r="W197">
            <v>6.5</v>
          </cell>
          <cell r="X197">
            <v>6.5</v>
          </cell>
          <cell r="Y197">
            <v>6.5</v>
          </cell>
          <cell r="Z197">
            <v>2.5</v>
          </cell>
          <cell r="AA197">
            <v>2.5</v>
          </cell>
          <cell r="AB197">
            <v>2.5</v>
          </cell>
          <cell r="AC197">
            <v>2.5</v>
          </cell>
          <cell r="AD197">
            <v>2.5</v>
          </cell>
          <cell r="AE197">
            <v>2.5</v>
          </cell>
          <cell r="AF197" t="str">
            <v>L</v>
          </cell>
          <cell r="AG197" t="str">
            <v>L</v>
          </cell>
          <cell r="AH197" t="str">
            <v>L</v>
          </cell>
          <cell r="AI197" t="str">
            <v>L</v>
          </cell>
          <cell r="AJ197" t="str">
            <v>L</v>
          </cell>
          <cell r="AK197" t="str">
            <v>L</v>
          </cell>
          <cell r="AL197" t="str">
            <v>L</v>
          </cell>
          <cell r="AM197" t="str">
            <v>L</v>
          </cell>
          <cell r="AN197" t="str">
            <v>L</v>
          </cell>
          <cell r="AO197" t="str">
            <v>x</v>
          </cell>
          <cell r="AP197">
            <v>19</v>
          </cell>
          <cell r="AQ197">
            <v>11</v>
          </cell>
          <cell r="AR197">
            <v>0</v>
          </cell>
          <cell r="AS197">
            <v>0</v>
          </cell>
          <cell r="AT197">
            <v>0</v>
          </cell>
          <cell r="AU197">
            <v>0</v>
          </cell>
          <cell r="AV197">
            <v>93</v>
          </cell>
          <cell r="AW197">
            <v>0</v>
          </cell>
          <cell r="AX197">
            <v>30</v>
          </cell>
          <cell r="AY197">
            <v>19</v>
          </cell>
          <cell r="AZ197">
            <v>30</v>
          </cell>
          <cell r="CF197">
            <v>28</v>
          </cell>
          <cell r="CN197" t="str">
            <v>Owed 28 hours overtime extra overtime from 25th to 31st October'2008.</v>
          </cell>
        </row>
        <row r="198">
          <cell r="B198">
            <v>445</v>
          </cell>
          <cell r="D198" t="str">
            <v>Yasser Abdullah Hamed  Al Mahrizi</v>
          </cell>
          <cell r="E198" t="str">
            <v>Labour / Driver</v>
          </cell>
          <cell r="G198" t="str">
            <v>N/A</v>
          </cell>
          <cell r="H198">
            <v>39666</v>
          </cell>
          <cell r="I198" t="str">
            <v>A</v>
          </cell>
          <cell r="J198" t="str">
            <v>Sh:3</v>
          </cell>
          <cell r="K198">
            <v>2.5</v>
          </cell>
          <cell r="L198" t="str">
            <v>L</v>
          </cell>
          <cell r="M198" t="str">
            <v>L</v>
          </cell>
          <cell r="N198" t="str">
            <v>L</v>
          </cell>
          <cell r="O198" t="str">
            <v>L</v>
          </cell>
          <cell r="P198" t="str">
            <v>L</v>
          </cell>
          <cell r="Q198" t="str">
            <v>L</v>
          </cell>
          <cell r="R198">
            <v>6.5</v>
          </cell>
          <cell r="S198">
            <v>6.5</v>
          </cell>
          <cell r="T198">
            <v>6.5</v>
          </cell>
          <cell r="U198">
            <v>2.5</v>
          </cell>
          <cell r="V198">
            <v>6.5</v>
          </cell>
          <cell r="W198">
            <v>6.5</v>
          </cell>
          <cell r="X198">
            <v>6.5</v>
          </cell>
          <cell r="Y198">
            <v>6.5</v>
          </cell>
          <cell r="Z198">
            <v>2.5</v>
          </cell>
          <cell r="AA198">
            <v>2.5</v>
          </cell>
          <cell r="AB198">
            <v>2.5</v>
          </cell>
          <cell r="AC198">
            <v>2.5</v>
          </cell>
          <cell r="AD198">
            <v>2.5</v>
          </cell>
          <cell r="AE198">
            <v>2.5</v>
          </cell>
          <cell r="AF198">
            <v>2.5</v>
          </cell>
          <cell r="AG198">
            <v>2.5</v>
          </cell>
          <cell r="AH198">
            <v>2.5</v>
          </cell>
          <cell r="AI198">
            <v>2.5</v>
          </cell>
          <cell r="AJ198">
            <v>10.5</v>
          </cell>
          <cell r="AK198">
            <v>10.5</v>
          </cell>
          <cell r="AL198">
            <v>2.5</v>
          </cell>
          <cell r="AM198">
            <v>2.5</v>
          </cell>
          <cell r="AN198">
            <v>2.5</v>
          </cell>
          <cell r="AO198" t="str">
            <v>x</v>
          </cell>
          <cell r="AP198">
            <v>24</v>
          </cell>
          <cell r="AQ198">
            <v>6</v>
          </cell>
          <cell r="AR198">
            <v>0</v>
          </cell>
          <cell r="AS198">
            <v>0</v>
          </cell>
          <cell r="AT198">
            <v>0</v>
          </cell>
          <cell r="AU198">
            <v>0</v>
          </cell>
          <cell r="AV198">
            <v>83</v>
          </cell>
          <cell r="AW198">
            <v>21</v>
          </cell>
          <cell r="AX198">
            <v>30</v>
          </cell>
          <cell r="AY198">
            <v>24</v>
          </cell>
          <cell r="AZ198">
            <v>30</v>
          </cell>
          <cell r="CF198">
            <v>24</v>
          </cell>
          <cell r="CG198">
            <v>63</v>
          </cell>
          <cell r="CH198">
            <v>6</v>
          </cell>
          <cell r="CM198">
            <v>123</v>
          </cell>
          <cell r="CN198" t="str">
            <v>Owed 24 hours overtime extra overtime from 18th to 23rd October'2008. Owed 123 rials Eid bonus, 63 hours 200%, 6 days desert allowance for Eid Al Adhah'2008 from 8th to 13th December'2008.</v>
          </cell>
        </row>
        <row r="199">
          <cell r="B199">
            <v>446</v>
          </cell>
          <cell r="D199" t="str">
            <v>Obaid Abdoon Ali Al Junaibi</v>
          </cell>
          <cell r="E199" t="str">
            <v>Heavy Duty Dvr</v>
          </cell>
          <cell r="G199" t="str">
            <v>N/A</v>
          </cell>
          <cell r="H199">
            <v>39678</v>
          </cell>
          <cell r="I199" t="str">
            <v>C</v>
          </cell>
          <cell r="J199" t="str">
            <v>Sh:2</v>
          </cell>
          <cell r="K199" t="str">
            <v>L</v>
          </cell>
          <cell r="L199" t="str">
            <v>L</v>
          </cell>
          <cell r="M199" t="str">
            <v>L</v>
          </cell>
          <cell r="N199" t="str">
            <v>L</v>
          </cell>
          <cell r="O199" t="str">
            <v>L</v>
          </cell>
          <cell r="P199" t="str">
            <v>L</v>
          </cell>
          <cell r="Q199" t="str">
            <v>L</v>
          </cell>
          <cell r="R199">
            <v>7.5</v>
          </cell>
          <cell r="S199">
            <v>6.5</v>
          </cell>
          <cell r="T199">
            <v>6.5</v>
          </cell>
          <cell r="U199">
            <v>7.5</v>
          </cell>
          <cell r="V199">
            <v>7.5</v>
          </cell>
          <cell r="W199">
            <v>7.5</v>
          </cell>
          <cell r="X199">
            <v>7.5</v>
          </cell>
          <cell r="Y199">
            <v>6.5</v>
          </cell>
          <cell r="Z199">
            <v>2.5</v>
          </cell>
          <cell r="AA199">
            <v>2.5</v>
          </cell>
          <cell r="AB199">
            <v>2.5</v>
          </cell>
          <cell r="AC199">
            <v>2.5</v>
          </cell>
          <cell r="AD199">
            <v>2.5</v>
          </cell>
          <cell r="AE199">
            <v>2.5</v>
          </cell>
          <cell r="AF199">
            <v>2.5</v>
          </cell>
          <cell r="AG199">
            <v>2.5</v>
          </cell>
          <cell r="AH199">
            <v>2.5</v>
          </cell>
          <cell r="AI199">
            <v>2.5</v>
          </cell>
          <cell r="AJ199">
            <v>10.5</v>
          </cell>
          <cell r="AK199">
            <v>10.5</v>
          </cell>
          <cell r="AL199">
            <v>2.5</v>
          </cell>
          <cell r="AM199">
            <v>2.5</v>
          </cell>
          <cell r="AN199">
            <v>2.5</v>
          </cell>
          <cell r="AO199" t="str">
            <v>x</v>
          </cell>
          <cell r="AP199">
            <v>23</v>
          </cell>
          <cell r="AQ199">
            <v>7</v>
          </cell>
          <cell r="AR199">
            <v>0</v>
          </cell>
          <cell r="AS199">
            <v>0</v>
          </cell>
          <cell r="AT199">
            <v>0</v>
          </cell>
          <cell r="AU199">
            <v>0</v>
          </cell>
          <cell r="AV199">
            <v>89.5</v>
          </cell>
          <cell r="AW199">
            <v>21</v>
          </cell>
          <cell r="AX199">
            <v>30</v>
          </cell>
          <cell r="AY199">
            <v>23</v>
          </cell>
          <cell r="AZ199">
            <v>30</v>
          </cell>
          <cell r="CF199">
            <v>32</v>
          </cell>
          <cell r="CG199">
            <v>63</v>
          </cell>
          <cell r="CH199">
            <v>6</v>
          </cell>
          <cell r="CM199">
            <v>123</v>
          </cell>
          <cell r="CN199" t="str">
            <v>Owed 32 hours overtime extra overtime from 17th to 23rd October'2008.  Owed 123 rials Eid bonus, 63 hours 200%, 6 days desert allowance for Eid Al Adhah'2008 from 8th to 13th December'2008.</v>
          </cell>
        </row>
        <row r="200">
          <cell r="B200">
            <v>447</v>
          </cell>
          <cell r="D200" t="str">
            <v>Mazaroua Mubarak Mazaroua Al Yaqoubi</v>
          </cell>
          <cell r="E200" t="str">
            <v>Labour / Driver</v>
          </cell>
          <cell r="G200" t="str">
            <v>N/A</v>
          </cell>
          <cell r="H200">
            <v>39698</v>
          </cell>
          <cell r="I200" t="str">
            <v>A</v>
          </cell>
          <cell r="J200" t="str">
            <v>Sh:2</v>
          </cell>
          <cell r="K200" t="str">
            <v>L</v>
          </cell>
          <cell r="L200" t="str">
            <v>L</v>
          </cell>
          <cell r="M200" t="str">
            <v>L</v>
          </cell>
          <cell r="N200" t="str">
            <v>L</v>
          </cell>
          <cell r="O200" t="str">
            <v>L</v>
          </cell>
          <cell r="P200" t="str">
            <v>L</v>
          </cell>
          <cell r="Q200" t="str">
            <v>L</v>
          </cell>
          <cell r="R200">
            <v>6.5</v>
          </cell>
          <cell r="S200">
            <v>6.5</v>
          </cell>
          <cell r="T200">
            <v>6.5</v>
          </cell>
          <cell r="U200">
            <v>6.5</v>
          </cell>
          <cell r="V200">
            <v>6.5</v>
          </cell>
          <cell r="W200">
            <v>6.5</v>
          </cell>
          <cell r="X200">
            <v>6.5</v>
          </cell>
          <cell r="Y200">
            <v>6.5</v>
          </cell>
          <cell r="Z200">
            <v>2.5</v>
          </cell>
          <cell r="AA200">
            <v>2.5</v>
          </cell>
          <cell r="AB200">
            <v>2.5</v>
          </cell>
          <cell r="AC200">
            <v>2.5</v>
          </cell>
          <cell r="AD200">
            <v>2.5</v>
          </cell>
          <cell r="AE200">
            <v>2.5</v>
          </cell>
          <cell r="AF200">
            <v>2.5</v>
          </cell>
          <cell r="AG200">
            <v>2.5</v>
          </cell>
          <cell r="AH200">
            <v>2.5</v>
          </cell>
          <cell r="AI200">
            <v>2.5</v>
          </cell>
          <cell r="AJ200">
            <v>10.5</v>
          </cell>
          <cell r="AK200">
            <v>10.5</v>
          </cell>
          <cell r="AL200">
            <v>2.5</v>
          </cell>
          <cell r="AM200">
            <v>2.5</v>
          </cell>
          <cell r="AN200">
            <v>2.5</v>
          </cell>
          <cell r="AO200" t="str">
            <v>x</v>
          </cell>
          <cell r="AP200">
            <v>23</v>
          </cell>
          <cell r="AQ200">
            <v>7</v>
          </cell>
          <cell r="AR200">
            <v>0</v>
          </cell>
          <cell r="AS200">
            <v>0</v>
          </cell>
          <cell r="AT200">
            <v>0</v>
          </cell>
          <cell r="AU200">
            <v>0</v>
          </cell>
          <cell r="AV200">
            <v>84.5</v>
          </cell>
          <cell r="AW200">
            <v>21</v>
          </cell>
          <cell r="AX200">
            <v>30</v>
          </cell>
          <cell r="AY200">
            <v>23</v>
          </cell>
          <cell r="AZ200">
            <v>30</v>
          </cell>
          <cell r="CF200">
            <v>60</v>
          </cell>
          <cell r="CG200">
            <v>50</v>
          </cell>
          <cell r="CH200">
            <v>14</v>
          </cell>
          <cell r="CM200">
            <v>102.5</v>
          </cell>
          <cell r="CN200" t="str">
            <v>Owed 102.500 rials Eid bonus, 50 hours 200%, for Eid al ftir'2008. Owed 14 days desert allowance, 28 hours overtime is work from 13th to 26th September'2008. Owed 32 hours overtime extra overtime from 16th to 23rd October'2008.</v>
          </cell>
        </row>
        <row r="201">
          <cell r="B201">
            <v>448</v>
          </cell>
          <cell r="D201" t="str">
            <v>Toufiq Salim Ghanim Al Lauyahi</v>
          </cell>
          <cell r="E201" t="str">
            <v>Labour / Driver</v>
          </cell>
          <cell r="G201" t="str">
            <v>N/A</v>
          </cell>
          <cell r="H201">
            <v>39707</v>
          </cell>
          <cell r="I201" t="str">
            <v>A</v>
          </cell>
          <cell r="J201" t="str">
            <v>Sh:3</v>
          </cell>
          <cell r="K201">
            <v>6.5</v>
          </cell>
          <cell r="L201">
            <v>6.5</v>
          </cell>
          <cell r="M201">
            <v>6.5</v>
          </cell>
          <cell r="N201">
            <v>6.5</v>
          </cell>
          <cell r="O201">
            <v>6.5</v>
          </cell>
          <cell r="P201">
            <v>6.5</v>
          </cell>
          <cell r="Q201">
            <v>2.5</v>
          </cell>
          <cell r="R201" t="str">
            <v>L</v>
          </cell>
          <cell r="S201" t="str">
            <v>L</v>
          </cell>
          <cell r="T201" t="str">
            <v>L</v>
          </cell>
          <cell r="U201" t="str">
            <v>L</v>
          </cell>
          <cell r="V201" t="str">
            <v>L</v>
          </cell>
          <cell r="W201" t="str">
            <v>L</v>
          </cell>
          <cell r="X201" t="str">
            <v>L</v>
          </cell>
          <cell r="Y201" t="str">
            <v>L</v>
          </cell>
          <cell r="Z201" t="str">
            <v>L</v>
          </cell>
          <cell r="AA201" t="str">
            <v>L</v>
          </cell>
          <cell r="AB201" t="str">
            <v>L</v>
          </cell>
          <cell r="AC201" t="str">
            <v>L</v>
          </cell>
          <cell r="AD201" t="str">
            <v>L</v>
          </cell>
          <cell r="AE201" t="str">
            <v>L</v>
          </cell>
          <cell r="AF201">
            <v>2.5</v>
          </cell>
          <cell r="AG201">
            <v>2.5</v>
          </cell>
          <cell r="AH201">
            <v>2.5</v>
          </cell>
          <cell r="AI201">
            <v>2.5</v>
          </cell>
          <cell r="AJ201">
            <v>10.5</v>
          </cell>
          <cell r="AK201">
            <v>10.5</v>
          </cell>
          <cell r="AL201">
            <v>2.5</v>
          </cell>
          <cell r="AM201">
            <v>2.5</v>
          </cell>
          <cell r="AN201">
            <v>2.5</v>
          </cell>
          <cell r="AO201" t="str">
            <v>x</v>
          </cell>
          <cell r="AP201">
            <v>16</v>
          </cell>
          <cell r="AQ201">
            <v>14</v>
          </cell>
          <cell r="AR201">
            <v>0</v>
          </cell>
          <cell r="AS201">
            <v>0</v>
          </cell>
          <cell r="AT201">
            <v>0</v>
          </cell>
          <cell r="AU201">
            <v>0</v>
          </cell>
          <cell r="AV201">
            <v>59</v>
          </cell>
          <cell r="AW201">
            <v>21</v>
          </cell>
          <cell r="AX201">
            <v>30</v>
          </cell>
          <cell r="AY201">
            <v>16</v>
          </cell>
          <cell r="AZ201">
            <v>30</v>
          </cell>
          <cell r="CF201">
            <v>28</v>
          </cell>
          <cell r="CN201" t="str">
            <v>Owed 28 hours overtime extra overtime from 25th to 31st October'2008.</v>
          </cell>
        </row>
        <row r="202">
          <cell r="B202">
            <v>449</v>
          </cell>
          <cell r="D202" t="str">
            <v>Yasser Khalifa Ghanim Al Ghafri</v>
          </cell>
          <cell r="E202" t="str">
            <v>Labour / Driver</v>
          </cell>
          <cell r="G202" t="str">
            <v>N/A</v>
          </cell>
          <cell r="H202">
            <v>39707</v>
          </cell>
          <cell r="I202" t="str">
            <v>A</v>
          </cell>
          <cell r="J202" t="str">
            <v>Sh:3</v>
          </cell>
          <cell r="K202">
            <v>6.5</v>
          </cell>
          <cell r="L202">
            <v>6.5</v>
          </cell>
          <cell r="M202">
            <v>6.5</v>
          </cell>
          <cell r="N202">
            <v>6.5</v>
          </cell>
          <cell r="O202">
            <v>6.5</v>
          </cell>
          <cell r="P202">
            <v>6.5</v>
          </cell>
          <cell r="Q202">
            <v>2.5</v>
          </cell>
          <cell r="R202" t="str">
            <v>L</v>
          </cell>
          <cell r="S202" t="str">
            <v>L</v>
          </cell>
          <cell r="T202" t="str">
            <v>L</v>
          </cell>
          <cell r="U202" t="str">
            <v>L</v>
          </cell>
          <cell r="V202" t="str">
            <v>L</v>
          </cell>
          <cell r="W202" t="str">
            <v>L</v>
          </cell>
          <cell r="X202" t="str">
            <v>L</v>
          </cell>
          <cell r="Y202" t="str">
            <v>L</v>
          </cell>
          <cell r="Z202" t="str">
            <v>L</v>
          </cell>
          <cell r="AA202" t="str">
            <v>L</v>
          </cell>
          <cell r="AB202" t="str">
            <v>L</v>
          </cell>
          <cell r="AC202" t="str">
            <v>L</v>
          </cell>
          <cell r="AD202" t="str">
            <v>L</v>
          </cell>
          <cell r="AE202" t="str">
            <v>L</v>
          </cell>
          <cell r="AF202">
            <v>2.5</v>
          </cell>
          <cell r="AG202">
            <v>2.5</v>
          </cell>
          <cell r="AH202">
            <v>2.5</v>
          </cell>
          <cell r="AI202">
            <v>2.5</v>
          </cell>
          <cell r="AJ202">
            <v>10.5</v>
          </cell>
          <cell r="AK202">
            <v>10.5</v>
          </cell>
          <cell r="AL202">
            <v>2.5</v>
          </cell>
          <cell r="AM202">
            <v>2.5</v>
          </cell>
          <cell r="AN202">
            <v>2.5</v>
          </cell>
          <cell r="AO202" t="str">
            <v>x</v>
          </cell>
          <cell r="AP202">
            <v>16</v>
          </cell>
          <cell r="AQ202">
            <v>14</v>
          </cell>
          <cell r="AR202">
            <v>0</v>
          </cell>
          <cell r="AS202">
            <v>0</v>
          </cell>
          <cell r="AT202">
            <v>0</v>
          </cell>
          <cell r="AU202">
            <v>0</v>
          </cell>
          <cell r="AV202">
            <v>59</v>
          </cell>
          <cell r="AW202">
            <v>21</v>
          </cell>
          <cell r="AX202">
            <v>30</v>
          </cell>
          <cell r="AY202">
            <v>16</v>
          </cell>
          <cell r="AZ202">
            <v>30</v>
          </cell>
          <cell r="CF202">
            <v>28</v>
          </cell>
          <cell r="CN202" t="str">
            <v>Owed 28 hours overtime extra overtime from 25th to 31st October'2008.</v>
          </cell>
        </row>
        <row r="203">
          <cell r="B203">
            <v>450</v>
          </cell>
          <cell r="D203" t="str">
            <v>Mahmood Al Hamdi Eid Al Dari</v>
          </cell>
          <cell r="E203" t="str">
            <v>Labour / Driver</v>
          </cell>
          <cell r="G203" t="str">
            <v>N/A</v>
          </cell>
          <cell r="I203" t="str">
            <v>A</v>
          </cell>
          <cell r="J203" t="str">
            <v>Sh:2</v>
          </cell>
          <cell r="K203" t="str">
            <v>L</v>
          </cell>
          <cell r="L203" t="str">
            <v>L</v>
          </cell>
          <cell r="M203" t="str">
            <v>L</v>
          </cell>
          <cell r="N203" t="str">
            <v>L</v>
          </cell>
          <cell r="O203" t="str">
            <v>L</v>
          </cell>
          <cell r="P203" t="str">
            <v>L</v>
          </cell>
          <cell r="Q203" t="str">
            <v>L</v>
          </cell>
          <cell r="R203">
            <v>2.5</v>
          </cell>
          <cell r="S203">
            <v>6.5</v>
          </cell>
          <cell r="T203">
            <v>6.5</v>
          </cell>
          <cell r="U203">
            <v>6.5</v>
          </cell>
          <cell r="V203">
            <v>6</v>
          </cell>
          <cell r="W203">
            <v>6.5</v>
          </cell>
          <cell r="X203">
            <v>6.5</v>
          </cell>
          <cell r="Y203">
            <v>6.5</v>
          </cell>
          <cell r="Z203">
            <v>2.5</v>
          </cell>
          <cell r="AA203">
            <v>2.5</v>
          </cell>
          <cell r="AB203">
            <v>2.5</v>
          </cell>
          <cell r="AC203">
            <v>2.5</v>
          </cell>
          <cell r="AD203">
            <v>2.5</v>
          </cell>
          <cell r="AE203">
            <v>2.5</v>
          </cell>
          <cell r="AF203">
            <v>2.5</v>
          </cell>
          <cell r="AG203">
            <v>2.5</v>
          </cell>
          <cell r="AH203">
            <v>2.5</v>
          </cell>
          <cell r="AI203">
            <v>2.5</v>
          </cell>
          <cell r="AJ203">
            <v>10.5</v>
          </cell>
          <cell r="AK203">
            <v>10.5</v>
          </cell>
          <cell r="AL203">
            <v>2.5</v>
          </cell>
          <cell r="AM203">
            <v>2.5</v>
          </cell>
          <cell r="AN203">
            <v>2.5</v>
          </cell>
          <cell r="AO203" t="str">
            <v>x</v>
          </cell>
          <cell r="AP203">
            <v>23</v>
          </cell>
          <cell r="AQ203">
            <v>7</v>
          </cell>
          <cell r="AR203">
            <v>0</v>
          </cell>
          <cell r="AS203">
            <v>0</v>
          </cell>
          <cell r="AT203">
            <v>0</v>
          </cell>
          <cell r="AU203">
            <v>0</v>
          </cell>
          <cell r="AV203">
            <v>80</v>
          </cell>
          <cell r="AW203">
            <v>21</v>
          </cell>
          <cell r="AX203">
            <v>30</v>
          </cell>
          <cell r="AY203">
            <v>23</v>
          </cell>
          <cell r="AZ203">
            <v>30</v>
          </cell>
          <cell r="CF203">
            <v>8</v>
          </cell>
          <cell r="CG203">
            <v>63</v>
          </cell>
          <cell r="CH203">
            <v>6</v>
          </cell>
          <cell r="CM203">
            <v>123</v>
          </cell>
          <cell r="CN203" t="str">
            <v>Owed 8 hours overtime extra overtime from 22nd to 23rd October'2008.  Owed 123 rials Eid bonus, 63 hours 200%, 6 days desert allowance for Eid Al Adhah'2008 from 8th to 13th December'2008.</v>
          </cell>
        </row>
        <row r="204">
          <cell r="B204">
            <v>451</v>
          </cell>
          <cell r="D204" t="str">
            <v>Ali Shoon Musallam Al Khaldi</v>
          </cell>
          <cell r="E204" t="str">
            <v>Heavy Duty Dvr</v>
          </cell>
          <cell r="G204" t="str">
            <v>N/A</v>
          </cell>
          <cell r="H204">
            <v>39740</v>
          </cell>
          <cell r="I204" t="str">
            <v>C</v>
          </cell>
          <cell r="J204" t="str">
            <v>Sh:3</v>
          </cell>
          <cell r="K204">
            <v>2.5</v>
          </cell>
          <cell r="L204">
            <v>0</v>
          </cell>
          <cell r="M204" t="str">
            <v>L</v>
          </cell>
          <cell r="N204" t="str">
            <v>L</v>
          </cell>
          <cell r="O204" t="str">
            <v>L</v>
          </cell>
          <cell r="P204" t="str">
            <v>L</v>
          </cell>
          <cell r="Q204" t="str">
            <v>L</v>
          </cell>
          <cell r="R204" t="str">
            <v>L</v>
          </cell>
          <cell r="S204" t="str">
            <v>L</v>
          </cell>
          <cell r="T204" t="str">
            <v>L</v>
          </cell>
          <cell r="U204" t="str">
            <v>L</v>
          </cell>
          <cell r="V204" t="str">
            <v>L</v>
          </cell>
          <cell r="W204" t="str">
            <v>L</v>
          </cell>
          <cell r="X204" t="str">
            <v>L</v>
          </cell>
          <cell r="Y204" t="str">
            <v>L</v>
          </cell>
          <cell r="Z204" t="str">
            <v>L</v>
          </cell>
          <cell r="AA204" t="str">
            <v>L</v>
          </cell>
          <cell r="AB204" t="str">
            <v>L</v>
          </cell>
          <cell r="AC204" t="str">
            <v>L</v>
          </cell>
          <cell r="AD204" t="str">
            <v>L</v>
          </cell>
          <cell r="AE204" t="str">
            <v>L</v>
          </cell>
          <cell r="AF204">
            <v>2.5</v>
          </cell>
          <cell r="AG204">
            <v>2.5</v>
          </cell>
          <cell r="AH204">
            <v>2.5</v>
          </cell>
          <cell r="AI204">
            <v>2.5</v>
          </cell>
          <cell r="AJ204">
            <v>10.5</v>
          </cell>
          <cell r="AK204">
            <v>10.5</v>
          </cell>
          <cell r="AL204">
            <v>2.5</v>
          </cell>
          <cell r="AM204">
            <v>2.5</v>
          </cell>
          <cell r="AN204">
            <v>2.5</v>
          </cell>
          <cell r="AO204" t="str">
            <v>x</v>
          </cell>
          <cell r="AP204">
            <v>11</v>
          </cell>
          <cell r="AQ204">
            <v>19</v>
          </cell>
          <cell r="AR204">
            <v>0</v>
          </cell>
          <cell r="AS204">
            <v>0</v>
          </cell>
          <cell r="AT204">
            <v>0</v>
          </cell>
          <cell r="AU204">
            <v>0</v>
          </cell>
          <cell r="AV204">
            <v>20</v>
          </cell>
          <cell r="AW204">
            <v>21</v>
          </cell>
          <cell r="AX204">
            <v>30</v>
          </cell>
          <cell r="AY204">
            <v>11</v>
          </cell>
          <cell r="AZ204">
            <v>30</v>
          </cell>
          <cell r="CF204">
            <v>40</v>
          </cell>
          <cell r="CN204" t="str">
            <v>Owed 40 hours overtime extra overtime from 22nd to 31st October'2008.</v>
          </cell>
        </row>
        <row r="205">
          <cell r="B205">
            <v>452</v>
          </cell>
          <cell r="D205" t="str">
            <v>Haji Ramadhan Jouhar Al Balushi</v>
          </cell>
          <cell r="E205" t="str">
            <v>Labour / Driver</v>
          </cell>
          <cell r="G205" t="str">
            <v>N/A</v>
          </cell>
          <cell r="H205">
            <v>39740</v>
          </cell>
          <cell r="I205" t="str">
            <v>A</v>
          </cell>
          <cell r="J205" t="str">
            <v>Sh:3</v>
          </cell>
          <cell r="K205">
            <v>6.5</v>
          </cell>
          <cell r="L205">
            <v>6.5</v>
          </cell>
          <cell r="M205">
            <v>6.5</v>
          </cell>
          <cell r="N205">
            <v>6.5</v>
          </cell>
          <cell r="O205">
            <v>6.5</v>
          </cell>
          <cell r="P205">
            <v>6.5</v>
          </cell>
          <cell r="Q205">
            <v>2.5</v>
          </cell>
          <cell r="R205" t="str">
            <v>L</v>
          </cell>
          <cell r="S205" t="str">
            <v>L</v>
          </cell>
          <cell r="T205" t="str">
            <v>L</v>
          </cell>
          <cell r="U205" t="str">
            <v>L</v>
          </cell>
          <cell r="V205" t="str">
            <v>L</v>
          </cell>
          <cell r="W205" t="str">
            <v>L</v>
          </cell>
          <cell r="X205" t="str">
            <v>L</v>
          </cell>
          <cell r="Y205" t="str">
            <v>L</v>
          </cell>
          <cell r="Z205" t="str">
            <v>L</v>
          </cell>
          <cell r="AA205" t="str">
            <v>L</v>
          </cell>
          <cell r="AB205" t="str">
            <v>L</v>
          </cell>
          <cell r="AC205" t="str">
            <v>L</v>
          </cell>
          <cell r="AD205" t="str">
            <v>L</v>
          </cell>
          <cell r="AE205" t="str">
            <v>L</v>
          </cell>
          <cell r="AF205">
            <v>2.5</v>
          </cell>
          <cell r="AG205">
            <v>2.5</v>
          </cell>
          <cell r="AH205">
            <v>2.5</v>
          </cell>
          <cell r="AI205">
            <v>2.5</v>
          </cell>
          <cell r="AJ205">
            <v>10.5</v>
          </cell>
          <cell r="AK205">
            <v>10.5</v>
          </cell>
          <cell r="AL205">
            <v>2.5</v>
          </cell>
          <cell r="AM205">
            <v>2.5</v>
          </cell>
          <cell r="AN205">
            <v>2.5</v>
          </cell>
          <cell r="AO205" t="str">
            <v>x</v>
          </cell>
          <cell r="AP205">
            <v>16</v>
          </cell>
          <cell r="AQ205">
            <v>14</v>
          </cell>
          <cell r="AR205">
            <v>0</v>
          </cell>
          <cell r="AS205">
            <v>0</v>
          </cell>
          <cell r="AT205">
            <v>0</v>
          </cell>
          <cell r="AU205">
            <v>0</v>
          </cell>
          <cell r="AV205">
            <v>59</v>
          </cell>
          <cell r="AW205">
            <v>21</v>
          </cell>
          <cell r="AX205">
            <v>30</v>
          </cell>
          <cell r="AY205">
            <v>16</v>
          </cell>
          <cell r="AZ205">
            <v>30</v>
          </cell>
          <cell r="CF205">
            <v>40</v>
          </cell>
          <cell r="CN205" t="str">
            <v>Owed 40 hours overtime extra overtime from 21st to 23rd and 25th to 31st October'2008.</v>
          </cell>
        </row>
        <row r="206">
          <cell r="B206">
            <v>453</v>
          </cell>
          <cell r="D206" t="str">
            <v>Anbar Ali Ali Al Saadi</v>
          </cell>
          <cell r="E206" t="str">
            <v>Labour / Driver</v>
          </cell>
          <cell r="G206" t="str">
            <v>N/A</v>
          </cell>
          <cell r="H206">
            <v>39740</v>
          </cell>
          <cell r="I206" t="str">
            <v>A</v>
          </cell>
          <cell r="J206" t="str">
            <v>Sh:2</v>
          </cell>
          <cell r="K206" t="str">
            <v>L</v>
          </cell>
          <cell r="L206" t="str">
            <v>L</v>
          </cell>
          <cell r="M206" t="str">
            <v>L</v>
          </cell>
          <cell r="N206" t="str">
            <v>L</v>
          </cell>
          <cell r="O206" t="str">
            <v>L</v>
          </cell>
          <cell r="P206" t="str">
            <v>L</v>
          </cell>
          <cell r="Q206" t="str">
            <v>L</v>
          </cell>
          <cell r="R206">
            <v>2.5</v>
          </cell>
          <cell r="S206">
            <v>2.5</v>
          </cell>
          <cell r="T206">
            <v>6.5</v>
          </cell>
          <cell r="U206">
            <v>6.5</v>
          </cell>
          <cell r="V206">
            <v>6.5</v>
          </cell>
          <cell r="W206">
            <v>6.5</v>
          </cell>
          <cell r="X206">
            <v>6.5</v>
          </cell>
          <cell r="Y206">
            <v>6.5</v>
          </cell>
          <cell r="Z206">
            <v>2.5</v>
          </cell>
          <cell r="AA206">
            <v>2.5</v>
          </cell>
          <cell r="AB206">
            <v>0</v>
          </cell>
          <cell r="AC206" t="str">
            <v>L</v>
          </cell>
          <cell r="AD206" t="str">
            <v>L</v>
          </cell>
          <cell r="AE206" t="str">
            <v>L</v>
          </cell>
          <cell r="AF206">
            <v>2.5</v>
          </cell>
          <cell r="AG206">
            <v>2.5</v>
          </cell>
          <cell r="AH206">
            <v>2.5</v>
          </cell>
          <cell r="AI206">
            <v>2.5</v>
          </cell>
          <cell r="AJ206">
            <v>10.5</v>
          </cell>
          <cell r="AK206">
            <v>10.5</v>
          </cell>
          <cell r="AL206">
            <v>2.5</v>
          </cell>
          <cell r="AM206">
            <v>2.5</v>
          </cell>
          <cell r="AN206">
            <v>2.5</v>
          </cell>
          <cell r="AO206" t="str">
            <v>x</v>
          </cell>
          <cell r="AP206">
            <v>20</v>
          </cell>
          <cell r="AQ206">
            <v>10</v>
          </cell>
          <cell r="AR206">
            <v>0</v>
          </cell>
          <cell r="AS206">
            <v>0</v>
          </cell>
          <cell r="AT206">
            <v>0</v>
          </cell>
          <cell r="AU206">
            <v>0</v>
          </cell>
          <cell r="AV206">
            <v>66.5</v>
          </cell>
          <cell r="AW206">
            <v>21</v>
          </cell>
          <cell r="AX206">
            <v>30</v>
          </cell>
          <cell r="AY206">
            <v>20</v>
          </cell>
          <cell r="AZ206">
            <v>30</v>
          </cell>
          <cell r="CF206">
            <v>24</v>
          </cell>
          <cell r="CN206" t="str">
            <v>Owed 24 hours overtime extra overtime from 21st to 26th October'2008.</v>
          </cell>
        </row>
        <row r="207">
          <cell r="B207">
            <v>454</v>
          </cell>
          <cell r="D207" t="str">
            <v>Mahmood Hamood Sulaiman Al Hadifi</v>
          </cell>
          <cell r="E207" t="str">
            <v>Labour / Driver</v>
          </cell>
          <cell r="G207" t="str">
            <v>N/A</v>
          </cell>
          <cell r="H207">
            <v>39740</v>
          </cell>
          <cell r="I207" t="str">
            <v>A</v>
          </cell>
          <cell r="J207" t="str">
            <v>Sh:2</v>
          </cell>
          <cell r="K207">
            <v>2.5</v>
          </cell>
          <cell r="L207" t="str">
            <v>L</v>
          </cell>
          <cell r="M207" t="str">
            <v>L</v>
          </cell>
          <cell r="N207" t="str">
            <v>L</v>
          </cell>
          <cell r="O207" t="str">
            <v>L</v>
          </cell>
          <cell r="P207" t="str">
            <v>L</v>
          </cell>
          <cell r="Q207" t="str">
            <v>L</v>
          </cell>
          <cell r="R207" t="str">
            <v>L</v>
          </cell>
          <cell r="S207" t="str">
            <v>L</v>
          </cell>
          <cell r="T207" t="str">
            <v>L</v>
          </cell>
          <cell r="U207" t="str">
            <v>L</v>
          </cell>
          <cell r="V207" t="str">
            <v>L</v>
          </cell>
          <cell r="W207" t="str">
            <v>L</v>
          </cell>
          <cell r="X207" t="str">
            <v>L</v>
          </cell>
          <cell r="Y207" t="str">
            <v>L</v>
          </cell>
          <cell r="Z207">
            <v>0</v>
          </cell>
          <cell r="AA207" t="str">
            <v>L</v>
          </cell>
          <cell r="AB207" t="str">
            <v>L</v>
          </cell>
          <cell r="AC207" t="str">
            <v>L</v>
          </cell>
          <cell r="AD207" t="str">
            <v>L</v>
          </cell>
          <cell r="AE207" t="str">
            <v>L</v>
          </cell>
          <cell r="AF207">
            <v>2.5</v>
          </cell>
          <cell r="AG207">
            <v>2.5</v>
          </cell>
          <cell r="AH207">
            <v>2.5</v>
          </cell>
          <cell r="AI207">
            <v>2.5</v>
          </cell>
          <cell r="AJ207">
            <v>10.5</v>
          </cell>
          <cell r="AK207">
            <v>10.5</v>
          </cell>
          <cell r="AL207">
            <v>2.5</v>
          </cell>
          <cell r="AM207">
            <v>2.5</v>
          </cell>
          <cell r="AN207">
            <v>2.5</v>
          </cell>
          <cell r="AO207" t="str">
            <v>x</v>
          </cell>
          <cell r="AP207">
            <v>11</v>
          </cell>
          <cell r="AQ207">
            <v>19</v>
          </cell>
          <cell r="AR207">
            <v>0</v>
          </cell>
          <cell r="AS207">
            <v>0</v>
          </cell>
          <cell r="AT207">
            <v>0</v>
          </cell>
          <cell r="AU207">
            <v>0</v>
          </cell>
          <cell r="AV207">
            <v>20</v>
          </cell>
          <cell r="AW207">
            <v>21</v>
          </cell>
          <cell r="AX207">
            <v>30</v>
          </cell>
          <cell r="AY207">
            <v>11</v>
          </cell>
          <cell r="AZ207">
            <v>30</v>
          </cell>
          <cell r="CF207">
            <v>36</v>
          </cell>
          <cell r="CN207" t="str">
            <v>Owed 36 hours overtime extra overtime from 22nd to 24th and 26th to 31st October'2008.</v>
          </cell>
        </row>
        <row r="208">
          <cell r="B208">
            <v>455</v>
          </cell>
          <cell r="D208" t="str">
            <v>AbdulAziz Hamed Abdullah Al Maqubali</v>
          </cell>
          <cell r="E208" t="str">
            <v>Labour / Driver</v>
          </cell>
          <cell r="G208" t="str">
            <v>N/A</v>
          </cell>
          <cell r="H208">
            <v>39741</v>
          </cell>
          <cell r="I208" t="str">
            <v>A</v>
          </cell>
          <cell r="J208" t="str">
            <v>Sh:2</v>
          </cell>
          <cell r="K208">
            <v>6.5</v>
          </cell>
          <cell r="L208">
            <v>6.5</v>
          </cell>
          <cell r="M208">
            <v>6.5</v>
          </cell>
          <cell r="N208">
            <v>6.5</v>
          </cell>
          <cell r="O208">
            <v>6.5</v>
          </cell>
          <cell r="P208">
            <v>6.5</v>
          </cell>
          <cell r="Q208">
            <v>6.5</v>
          </cell>
          <cell r="R208">
            <v>6.5</v>
          </cell>
          <cell r="S208">
            <v>6.5</v>
          </cell>
          <cell r="T208">
            <v>6.5</v>
          </cell>
          <cell r="U208">
            <v>6.5</v>
          </cell>
          <cell r="V208">
            <v>6.5</v>
          </cell>
          <cell r="W208">
            <v>6.5</v>
          </cell>
          <cell r="X208">
            <v>6.5</v>
          </cell>
          <cell r="Y208">
            <v>6.5</v>
          </cell>
          <cell r="Z208">
            <v>2.5</v>
          </cell>
          <cell r="AA208">
            <v>2.5</v>
          </cell>
          <cell r="AB208">
            <v>2.5</v>
          </cell>
          <cell r="AC208">
            <v>2.5</v>
          </cell>
          <cell r="AD208">
            <v>2.5</v>
          </cell>
          <cell r="AE208">
            <v>2.5</v>
          </cell>
          <cell r="AF208">
            <v>2.5</v>
          </cell>
          <cell r="AG208">
            <v>2.5</v>
          </cell>
          <cell r="AH208">
            <v>2.5</v>
          </cell>
          <cell r="AI208">
            <v>2.5</v>
          </cell>
          <cell r="AJ208">
            <v>10.5</v>
          </cell>
          <cell r="AK208">
            <v>10.5</v>
          </cell>
          <cell r="AL208">
            <v>2.5</v>
          </cell>
          <cell r="AM208">
            <v>2.5</v>
          </cell>
          <cell r="AN208">
            <v>2.5</v>
          </cell>
          <cell r="AO208" t="str">
            <v>x</v>
          </cell>
          <cell r="AP208">
            <v>30</v>
          </cell>
          <cell r="AQ208">
            <v>0</v>
          </cell>
          <cell r="AR208">
            <v>0</v>
          </cell>
          <cell r="AS208">
            <v>0</v>
          </cell>
          <cell r="AT208">
            <v>0</v>
          </cell>
          <cell r="AU208">
            <v>0</v>
          </cell>
          <cell r="AV208">
            <v>130</v>
          </cell>
          <cell r="AW208">
            <v>21</v>
          </cell>
          <cell r="AX208">
            <v>30</v>
          </cell>
          <cell r="AY208">
            <v>30</v>
          </cell>
          <cell r="AZ208">
            <v>30</v>
          </cell>
          <cell r="CF208">
            <v>12</v>
          </cell>
          <cell r="CG208">
            <v>63</v>
          </cell>
          <cell r="CH208">
            <v>6</v>
          </cell>
          <cell r="CM208">
            <v>123</v>
          </cell>
          <cell r="CN208" t="str">
            <v>Owed 12 hours overtime extra overtime from 29th to 31st October'2008.  Owed 123 rials Eid bonus, 63 hours 200%, 6 days desert allowance for Eid Al Adhah'2008 from 8th to 13th December'2008.</v>
          </cell>
        </row>
        <row r="209">
          <cell r="B209">
            <v>456</v>
          </cell>
          <cell r="D209" t="str">
            <v xml:space="preserve">Mohamed Khalifa Nasser Al Amri </v>
          </cell>
          <cell r="E209" t="str">
            <v>Heavy Duty Dvr</v>
          </cell>
          <cell r="G209" t="str">
            <v>N/A</v>
          </cell>
          <cell r="H209">
            <v>39753</v>
          </cell>
          <cell r="J209" t="str">
            <v>Sh:3</v>
          </cell>
          <cell r="K209">
            <v>6.5</v>
          </cell>
          <cell r="L209">
            <v>0</v>
          </cell>
          <cell r="M209" t="str">
            <v>L</v>
          </cell>
          <cell r="N209">
            <v>6.5</v>
          </cell>
          <cell r="O209">
            <v>6.5</v>
          </cell>
          <cell r="P209">
            <v>6.5</v>
          </cell>
          <cell r="Q209">
            <v>6.5</v>
          </cell>
          <cell r="R209">
            <v>2.5</v>
          </cell>
          <cell r="S209">
            <v>2.5</v>
          </cell>
          <cell r="T209">
            <v>2.5</v>
          </cell>
          <cell r="U209">
            <v>0</v>
          </cell>
          <cell r="V209" t="str">
            <v>L</v>
          </cell>
          <cell r="W209" t="str">
            <v>L</v>
          </cell>
          <cell r="X209" t="str">
            <v>L</v>
          </cell>
          <cell r="Y209" t="str">
            <v>L</v>
          </cell>
          <cell r="Z209" t="str">
            <v>S</v>
          </cell>
          <cell r="AA209" t="str">
            <v>L</v>
          </cell>
          <cell r="AB209">
            <v>2.5</v>
          </cell>
          <cell r="AC209">
            <v>2.5</v>
          </cell>
          <cell r="AD209">
            <v>2.5</v>
          </cell>
          <cell r="AE209">
            <v>2.5</v>
          </cell>
          <cell r="AF209">
            <v>2.5</v>
          </cell>
          <cell r="AG209">
            <v>2.5</v>
          </cell>
          <cell r="AH209">
            <v>2.5</v>
          </cell>
          <cell r="AI209">
            <v>2.5</v>
          </cell>
          <cell r="AJ209">
            <v>10.5</v>
          </cell>
          <cell r="AK209">
            <v>10.5</v>
          </cell>
          <cell r="AL209">
            <v>2.5</v>
          </cell>
          <cell r="AM209">
            <v>2.5</v>
          </cell>
          <cell r="AN209">
            <v>2.5</v>
          </cell>
          <cell r="AO209" t="str">
            <v>x</v>
          </cell>
          <cell r="AP209">
            <v>23</v>
          </cell>
          <cell r="AQ209">
            <v>6</v>
          </cell>
          <cell r="AR209">
            <v>1</v>
          </cell>
          <cell r="AS209">
            <v>0</v>
          </cell>
          <cell r="AT209">
            <v>0</v>
          </cell>
          <cell r="AU209">
            <v>0</v>
          </cell>
          <cell r="AV209">
            <v>67.5</v>
          </cell>
          <cell r="AW209">
            <v>21</v>
          </cell>
          <cell r="AX209">
            <v>30</v>
          </cell>
          <cell r="AY209">
            <v>23</v>
          </cell>
          <cell r="AZ209">
            <v>30</v>
          </cell>
          <cell r="CG209">
            <v>63</v>
          </cell>
          <cell r="CH209">
            <v>6</v>
          </cell>
          <cell r="CM209">
            <v>134.708</v>
          </cell>
          <cell r="CN209" t="str">
            <v>Owed 11.708 Rials Oman his work on 31st October'2008 as temporary heavy duty drive.  Owed 123 rials Eid bonus, 63 hours 200%, 6 days desert allowance for Eid Al Adhah'2008 from 8th to 13th December'2008.</v>
          </cell>
        </row>
        <row r="210">
          <cell r="B210">
            <v>457</v>
          </cell>
          <cell r="D210" t="str">
            <v>Suliman Mohamed Salim Al Ghafri</v>
          </cell>
          <cell r="E210" t="str">
            <v>Heavy Duty Dvr</v>
          </cell>
          <cell r="G210" t="str">
            <v>N/A</v>
          </cell>
          <cell r="H210">
            <v>39753</v>
          </cell>
          <cell r="J210" t="str">
            <v>Sh:2</v>
          </cell>
          <cell r="K210">
            <v>2.5</v>
          </cell>
          <cell r="L210">
            <v>6.5</v>
          </cell>
          <cell r="M210">
            <v>6.5</v>
          </cell>
          <cell r="N210">
            <v>6.5</v>
          </cell>
          <cell r="O210">
            <v>6.5</v>
          </cell>
          <cell r="P210">
            <v>6.5</v>
          </cell>
          <cell r="Q210">
            <v>6.5</v>
          </cell>
          <cell r="R210">
            <v>7.5</v>
          </cell>
          <cell r="S210">
            <v>6.5</v>
          </cell>
          <cell r="T210">
            <v>6.5</v>
          </cell>
          <cell r="U210">
            <v>6.5</v>
          </cell>
          <cell r="V210">
            <v>6.5</v>
          </cell>
          <cell r="W210">
            <v>6.5</v>
          </cell>
          <cell r="X210">
            <v>6.5</v>
          </cell>
          <cell r="Y210">
            <v>6.5</v>
          </cell>
          <cell r="Z210">
            <v>2.5</v>
          </cell>
          <cell r="AA210">
            <v>2.5</v>
          </cell>
          <cell r="AB210">
            <v>2.5</v>
          </cell>
          <cell r="AC210">
            <v>2.5</v>
          </cell>
          <cell r="AD210">
            <v>2.5</v>
          </cell>
          <cell r="AE210">
            <v>2.5</v>
          </cell>
          <cell r="AF210">
            <v>2.5</v>
          </cell>
          <cell r="AG210">
            <v>2.5</v>
          </cell>
          <cell r="AH210">
            <v>2.5</v>
          </cell>
          <cell r="AI210">
            <v>2.5</v>
          </cell>
          <cell r="AJ210">
            <v>10.5</v>
          </cell>
          <cell r="AK210">
            <v>10.5</v>
          </cell>
          <cell r="AL210">
            <v>2.5</v>
          </cell>
          <cell r="AM210">
            <v>2.5</v>
          </cell>
          <cell r="AN210">
            <v>2.5</v>
          </cell>
          <cell r="AO210" t="str">
            <v>x</v>
          </cell>
          <cell r="AP210">
            <v>30</v>
          </cell>
          <cell r="AQ210">
            <v>0</v>
          </cell>
          <cell r="AR210">
            <v>0</v>
          </cell>
          <cell r="AS210">
            <v>0</v>
          </cell>
          <cell r="AT210">
            <v>0</v>
          </cell>
          <cell r="AU210">
            <v>0</v>
          </cell>
          <cell r="AV210">
            <v>127</v>
          </cell>
          <cell r="AW210">
            <v>21</v>
          </cell>
          <cell r="AX210">
            <v>30</v>
          </cell>
          <cell r="AY210">
            <v>30</v>
          </cell>
          <cell r="AZ210">
            <v>30</v>
          </cell>
          <cell r="CG210">
            <v>63</v>
          </cell>
          <cell r="CH210">
            <v>6</v>
          </cell>
          <cell r="CM210">
            <v>134.708</v>
          </cell>
          <cell r="CN210" t="str">
            <v>Owed 11.708 Rials Oman his work on 31st October'2008 as temporary heavy duty drive.  Owed 123 rials Eid bonus, 63 hours 200%, 6 days desert allowance for Eid Al Adhah'2008 from 8th to 13th December'2008.</v>
          </cell>
        </row>
        <row r="211">
          <cell r="B211">
            <v>458</v>
          </cell>
          <cell r="D211" t="str">
            <v>Said Saleem Mubrook Al Khusibi</v>
          </cell>
          <cell r="E211" t="str">
            <v>Heavy Duty Dvr</v>
          </cell>
          <cell r="G211" t="str">
            <v>N/A</v>
          </cell>
          <cell r="H211">
            <v>39753</v>
          </cell>
          <cell r="J211" t="str">
            <v>Sh:2</v>
          </cell>
          <cell r="K211">
            <v>6.5</v>
          </cell>
          <cell r="L211">
            <v>6.5</v>
          </cell>
          <cell r="M211">
            <v>6.5</v>
          </cell>
          <cell r="N211">
            <v>6.5</v>
          </cell>
          <cell r="O211">
            <v>6.5</v>
          </cell>
          <cell r="P211">
            <v>6.5</v>
          </cell>
          <cell r="Q211">
            <v>6.5</v>
          </cell>
          <cell r="R211">
            <v>7.5</v>
          </cell>
          <cell r="S211">
            <v>6.5</v>
          </cell>
          <cell r="T211">
            <v>6.5</v>
          </cell>
          <cell r="U211">
            <v>6.5</v>
          </cell>
          <cell r="V211">
            <v>2.5</v>
          </cell>
          <cell r="W211">
            <v>8</v>
          </cell>
          <cell r="X211">
            <v>9</v>
          </cell>
          <cell r="Y211">
            <v>9</v>
          </cell>
          <cell r="Z211">
            <v>9</v>
          </cell>
          <cell r="AA211">
            <v>2.5</v>
          </cell>
          <cell r="AB211">
            <v>2.5</v>
          </cell>
          <cell r="AC211">
            <v>2.5</v>
          </cell>
          <cell r="AD211">
            <v>2.5</v>
          </cell>
          <cell r="AE211">
            <v>2.5</v>
          </cell>
          <cell r="AF211">
            <v>2.5</v>
          </cell>
          <cell r="AG211">
            <v>2.5</v>
          </cell>
          <cell r="AH211">
            <v>2.5</v>
          </cell>
          <cell r="AI211">
            <v>2.5</v>
          </cell>
          <cell r="AJ211">
            <v>10.5</v>
          </cell>
          <cell r="AK211">
            <v>10.5</v>
          </cell>
          <cell r="AL211">
            <v>2.5</v>
          </cell>
          <cell r="AM211">
            <v>2.5</v>
          </cell>
          <cell r="AN211">
            <v>2.5</v>
          </cell>
          <cell r="AO211" t="str">
            <v>x</v>
          </cell>
          <cell r="AP211">
            <v>30</v>
          </cell>
          <cell r="AQ211">
            <v>0</v>
          </cell>
          <cell r="AR211">
            <v>0</v>
          </cell>
          <cell r="AS211">
            <v>0</v>
          </cell>
          <cell r="AT211">
            <v>0</v>
          </cell>
          <cell r="AU211">
            <v>0</v>
          </cell>
          <cell r="AV211">
            <v>140</v>
          </cell>
          <cell r="AW211">
            <v>21</v>
          </cell>
          <cell r="AX211">
            <v>30</v>
          </cell>
          <cell r="AY211">
            <v>30</v>
          </cell>
          <cell r="AZ211">
            <v>30</v>
          </cell>
          <cell r="CM211">
            <v>11.708</v>
          </cell>
          <cell r="CN211" t="str">
            <v>Owed 11.708 Rials Oman his work on 31st October'2008 as temporary heavy duty drive.</v>
          </cell>
        </row>
        <row r="212">
          <cell r="B212">
            <v>459</v>
          </cell>
          <cell r="D212" t="str">
            <v>Ibrahim Khamis Mohameed Al Yaqoobi</v>
          </cell>
          <cell r="E212" t="str">
            <v>Heavy Duty Dvr</v>
          </cell>
          <cell r="G212" t="str">
            <v>N/A</v>
          </cell>
          <cell r="H212">
            <v>39753</v>
          </cell>
          <cell r="J212" t="str">
            <v>Sh:1</v>
          </cell>
          <cell r="K212">
            <v>8</v>
          </cell>
          <cell r="L212">
            <v>8</v>
          </cell>
          <cell r="M212">
            <v>8</v>
          </cell>
          <cell r="N212">
            <v>8</v>
          </cell>
          <cell r="O212">
            <v>8</v>
          </cell>
          <cell r="P212">
            <v>8</v>
          </cell>
          <cell r="Q212">
            <v>8</v>
          </cell>
          <cell r="R212">
            <v>8</v>
          </cell>
          <cell r="S212" t="str">
            <v>L</v>
          </cell>
          <cell r="T212" t="str">
            <v>L</v>
          </cell>
          <cell r="U212" t="str">
            <v>L</v>
          </cell>
          <cell r="V212">
            <v>8</v>
          </cell>
          <cell r="W212">
            <v>8</v>
          </cell>
          <cell r="X212">
            <v>9</v>
          </cell>
          <cell r="Y212">
            <v>9</v>
          </cell>
          <cell r="Z212">
            <v>9</v>
          </cell>
          <cell r="AA212">
            <v>9</v>
          </cell>
          <cell r="AB212">
            <v>9</v>
          </cell>
          <cell r="AC212">
            <v>9</v>
          </cell>
          <cell r="AD212">
            <v>9</v>
          </cell>
          <cell r="AE212">
            <v>9</v>
          </cell>
          <cell r="AF212" t="str">
            <v>L</v>
          </cell>
          <cell r="AG212" t="str">
            <v>L</v>
          </cell>
          <cell r="AH212" t="str">
            <v>L</v>
          </cell>
          <cell r="AI212" t="str">
            <v>L</v>
          </cell>
          <cell r="AJ212" t="str">
            <v>L</v>
          </cell>
          <cell r="AK212" t="str">
            <v>L</v>
          </cell>
          <cell r="AL212" t="str">
            <v>L</v>
          </cell>
          <cell r="AM212" t="str">
            <v>L</v>
          </cell>
          <cell r="AN212" t="str">
            <v>L</v>
          </cell>
          <cell r="AO212" t="str">
            <v>x</v>
          </cell>
          <cell r="AP212">
            <v>18</v>
          </cell>
          <cell r="AQ212">
            <v>12</v>
          </cell>
          <cell r="AR212">
            <v>0</v>
          </cell>
          <cell r="AS212">
            <v>0</v>
          </cell>
          <cell r="AT212">
            <v>0</v>
          </cell>
          <cell r="AU212">
            <v>0</v>
          </cell>
          <cell r="AV212">
            <v>152</v>
          </cell>
          <cell r="AW212">
            <v>0</v>
          </cell>
          <cell r="AX212">
            <v>30</v>
          </cell>
          <cell r="AY212">
            <v>18</v>
          </cell>
          <cell r="AZ212">
            <v>30</v>
          </cell>
          <cell r="CG212">
            <v>63</v>
          </cell>
          <cell r="CH212">
            <v>6</v>
          </cell>
          <cell r="CM212">
            <v>134.708</v>
          </cell>
          <cell r="CN212" t="str">
            <v>Owed 11.708 Rials Oman his work on 31st October'2008 as temporary heavy duty drive.  Owed 123 rials Eid bonus, 63 hours 200%, 6 days desert allowance for Eid Al Adhah'2008 from 8th to 13th December'2008.</v>
          </cell>
        </row>
        <row r="213">
          <cell r="B213">
            <v>460</v>
          </cell>
          <cell r="D213" t="str">
            <v>Khalifa Hadoob Obaid  Al Shakali</v>
          </cell>
          <cell r="E213" t="str">
            <v>Heavy Duty Dvr</v>
          </cell>
          <cell r="G213" t="str">
            <v>N/A</v>
          </cell>
          <cell r="H213">
            <v>39753</v>
          </cell>
          <cell r="J213" t="str">
            <v>Sh:1</v>
          </cell>
          <cell r="K213">
            <v>8</v>
          </cell>
          <cell r="L213">
            <v>8</v>
          </cell>
          <cell r="M213">
            <v>8</v>
          </cell>
          <cell r="N213">
            <v>6.5</v>
          </cell>
          <cell r="O213">
            <v>8</v>
          </cell>
          <cell r="P213">
            <v>8</v>
          </cell>
          <cell r="Q213">
            <v>8</v>
          </cell>
          <cell r="R213">
            <v>8</v>
          </cell>
          <cell r="S213" t="str">
            <v>L</v>
          </cell>
          <cell r="T213" t="str">
            <v>L</v>
          </cell>
          <cell r="U213" t="str">
            <v>L</v>
          </cell>
          <cell r="V213" t="str">
            <v>L</v>
          </cell>
          <cell r="W213">
            <v>8</v>
          </cell>
          <cell r="X213">
            <v>9</v>
          </cell>
          <cell r="Y213">
            <v>9</v>
          </cell>
          <cell r="Z213">
            <v>9</v>
          </cell>
          <cell r="AA213">
            <v>9</v>
          </cell>
          <cell r="AB213">
            <v>9</v>
          </cell>
          <cell r="AC213">
            <v>9</v>
          </cell>
          <cell r="AD213">
            <v>9</v>
          </cell>
          <cell r="AE213">
            <v>9</v>
          </cell>
          <cell r="AF213" t="str">
            <v>L</v>
          </cell>
          <cell r="AG213" t="str">
            <v>L</v>
          </cell>
          <cell r="AH213" t="str">
            <v>L</v>
          </cell>
          <cell r="AI213" t="str">
            <v>L</v>
          </cell>
          <cell r="AJ213" t="str">
            <v>L</v>
          </cell>
          <cell r="AK213" t="str">
            <v>L</v>
          </cell>
          <cell r="AL213" t="str">
            <v>L</v>
          </cell>
          <cell r="AM213" t="str">
            <v>L</v>
          </cell>
          <cell r="AN213" t="str">
            <v>L</v>
          </cell>
          <cell r="AO213" t="str">
            <v>x</v>
          </cell>
          <cell r="AP213">
            <v>17</v>
          </cell>
          <cell r="AQ213">
            <v>13</v>
          </cell>
          <cell r="AR213">
            <v>0</v>
          </cell>
          <cell r="AS213">
            <v>0</v>
          </cell>
          <cell r="AT213">
            <v>0</v>
          </cell>
          <cell r="AU213">
            <v>0</v>
          </cell>
          <cell r="AV213">
            <v>142.5</v>
          </cell>
          <cell r="AW213">
            <v>0</v>
          </cell>
          <cell r="AX213">
            <v>30</v>
          </cell>
          <cell r="AY213">
            <v>17</v>
          </cell>
          <cell r="AZ213">
            <v>30</v>
          </cell>
          <cell r="CG213">
            <v>63</v>
          </cell>
          <cell r="CH213">
            <v>6</v>
          </cell>
          <cell r="CM213">
            <v>134.708</v>
          </cell>
          <cell r="CN213" t="str">
            <v>Owed 11.708 Rials Oman his work on 31st October'2008 as temporary heavy duty drive.  Owed 123 rials Eid bonus, 63 hours 200%, 6 days desert allowance for Eid Al Adhah'2008 from 8th to 13th December'2008.</v>
          </cell>
        </row>
        <row r="214">
          <cell r="B214">
            <v>461</v>
          </cell>
          <cell r="D214" t="str">
            <v>Yaqoob Nasser Khamis Al Amri</v>
          </cell>
          <cell r="E214" t="str">
            <v>Labour / Driver</v>
          </cell>
          <cell r="G214" t="str">
            <v>N/A</v>
          </cell>
          <cell r="H214">
            <v>39757</v>
          </cell>
          <cell r="J214" t="str">
            <v>Sh:2</v>
          </cell>
          <cell r="K214" t="str">
            <v>x</v>
          </cell>
          <cell r="L214" t="str">
            <v>x</v>
          </cell>
          <cell r="M214" t="str">
            <v>x</v>
          </cell>
          <cell r="N214" t="str">
            <v>x</v>
          </cell>
          <cell r="O214">
            <v>6.5</v>
          </cell>
          <cell r="P214">
            <v>6.5</v>
          </cell>
          <cell r="Q214">
            <v>6.5</v>
          </cell>
          <cell r="R214">
            <v>2.5</v>
          </cell>
          <cell r="S214">
            <v>2.5</v>
          </cell>
          <cell r="T214">
            <v>2.5</v>
          </cell>
          <cell r="U214">
            <v>2.5</v>
          </cell>
          <cell r="V214">
            <v>2.5</v>
          </cell>
          <cell r="W214">
            <v>2.5</v>
          </cell>
          <cell r="X214">
            <v>2.5</v>
          </cell>
          <cell r="Y214">
            <v>2.5</v>
          </cell>
          <cell r="Z214">
            <v>2.5</v>
          </cell>
          <cell r="AA214">
            <v>2.5</v>
          </cell>
          <cell r="AB214">
            <v>2.5</v>
          </cell>
          <cell r="AC214">
            <v>2.5</v>
          </cell>
          <cell r="AD214">
            <v>2.5</v>
          </cell>
          <cell r="AE214">
            <v>2.5</v>
          </cell>
          <cell r="AF214">
            <v>2.5</v>
          </cell>
          <cell r="AG214">
            <v>2.5</v>
          </cell>
          <cell r="AH214">
            <v>2.5</v>
          </cell>
          <cell r="AI214">
            <v>2.5</v>
          </cell>
          <cell r="AJ214">
            <v>10.5</v>
          </cell>
          <cell r="AK214">
            <v>10.5</v>
          </cell>
          <cell r="AL214">
            <v>2.5</v>
          </cell>
          <cell r="AM214">
            <v>2.5</v>
          </cell>
          <cell r="AN214">
            <v>2.5</v>
          </cell>
          <cell r="AO214" t="str">
            <v>x</v>
          </cell>
          <cell r="AP214">
            <v>26</v>
          </cell>
          <cell r="AQ214">
            <v>0</v>
          </cell>
          <cell r="AR214">
            <v>0</v>
          </cell>
          <cell r="AS214">
            <v>0</v>
          </cell>
          <cell r="AT214">
            <v>0</v>
          </cell>
          <cell r="AU214">
            <v>0</v>
          </cell>
          <cell r="AV214">
            <v>72</v>
          </cell>
          <cell r="AW214">
            <v>21</v>
          </cell>
          <cell r="AX214">
            <v>26</v>
          </cell>
          <cell r="AY214">
            <v>26</v>
          </cell>
          <cell r="AZ214">
            <v>26</v>
          </cell>
          <cell r="CG214">
            <v>63</v>
          </cell>
          <cell r="CH214">
            <v>6</v>
          </cell>
          <cell r="CM214">
            <v>123</v>
          </cell>
          <cell r="CN214" t="str">
            <v xml:space="preserve"> Owed 123 rials Eid bonus, 63 hours 200%, 6 days desert allowance for Eid Al Adhah'2008 from 8th to 13th December'2008.</v>
          </cell>
        </row>
        <row r="215">
          <cell r="B215">
            <v>462</v>
          </cell>
          <cell r="D215" t="str">
            <v>Humaid Ali Said Al Maryamihi</v>
          </cell>
          <cell r="E215" t="str">
            <v>Labour / Driver</v>
          </cell>
          <cell r="G215" t="str">
            <v>N/A</v>
          </cell>
          <cell r="H215">
            <v>39757</v>
          </cell>
          <cell r="J215" t="str">
            <v>Sh:1</v>
          </cell>
          <cell r="K215" t="str">
            <v>x</v>
          </cell>
          <cell r="L215" t="str">
            <v>x</v>
          </cell>
          <cell r="M215" t="str">
            <v>x</v>
          </cell>
          <cell r="N215" t="str">
            <v>x</v>
          </cell>
          <cell r="O215">
            <v>2.5</v>
          </cell>
          <cell r="P215">
            <v>2.5</v>
          </cell>
          <cell r="Q215">
            <v>2.5</v>
          </cell>
          <cell r="R215">
            <v>2.5</v>
          </cell>
          <cell r="S215">
            <v>2.5</v>
          </cell>
          <cell r="T215">
            <v>2.5</v>
          </cell>
          <cell r="U215">
            <v>2.5</v>
          </cell>
          <cell r="V215">
            <v>2.5</v>
          </cell>
          <cell r="W215">
            <v>2.5</v>
          </cell>
          <cell r="X215">
            <v>2.5</v>
          </cell>
          <cell r="Y215">
            <v>2.5</v>
          </cell>
          <cell r="Z215" t="str">
            <v>L</v>
          </cell>
          <cell r="AA215" t="str">
            <v>L</v>
          </cell>
          <cell r="AB215" t="str">
            <v>L</v>
          </cell>
          <cell r="AC215">
            <v>2.5</v>
          </cell>
          <cell r="AD215">
            <v>2.5</v>
          </cell>
          <cell r="AE215">
            <v>2.5</v>
          </cell>
          <cell r="AF215">
            <v>2.5</v>
          </cell>
          <cell r="AG215">
            <v>2.5</v>
          </cell>
          <cell r="AH215">
            <v>2.5</v>
          </cell>
          <cell r="AI215">
            <v>2.5</v>
          </cell>
          <cell r="AJ215">
            <v>10.5</v>
          </cell>
          <cell r="AK215">
            <v>10.5</v>
          </cell>
          <cell r="AL215">
            <v>2.5</v>
          </cell>
          <cell r="AM215">
            <v>2.5</v>
          </cell>
          <cell r="AN215">
            <v>2.5</v>
          </cell>
          <cell r="AO215" t="str">
            <v>x</v>
          </cell>
          <cell r="AP215">
            <v>23</v>
          </cell>
          <cell r="AQ215">
            <v>3</v>
          </cell>
          <cell r="AR215">
            <v>0</v>
          </cell>
          <cell r="AS215">
            <v>0</v>
          </cell>
          <cell r="AT215">
            <v>0</v>
          </cell>
          <cell r="AU215">
            <v>0</v>
          </cell>
          <cell r="AV215">
            <v>52.5</v>
          </cell>
          <cell r="AW215">
            <v>21</v>
          </cell>
          <cell r="AX215">
            <v>26</v>
          </cell>
          <cell r="AY215">
            <v>23</v>
          </cell>
          <cell r="AZ215">
            <v>26</v>
          </cell>
        </row>
        <row r="216">
          <cell r="B216">
            <v>463</v>
          </cell>
          <cell r="D216" t="str">
            <v>Salim Nasser Al Al Busaidi</v>
          </cell>
          <cell r="E216" t="str">
            <v>Labour / Driver</v>
          </cell>
          <cell r="G216" t="str">
            <v>N/A</v>
          </cell>
          <cell r="H216">
            <v>39757</v>
          </cell>
          <cell r="K216" t="str">
            <v>x</v>
          </cell>
          <cell r="L216" t="str">
            <v>x</v>
          </cell>
          <cell r="M216" t="str">
            <v>x</v>
          </cell>
          <cell r="N216" t="str">
            <v>x</v>
          </cell>
          <cell r="O216">
            <v>2.5</v>
          </cell>
          <cell r="P216">
            <v>2.5</v>
          </cell>
          <cell r="Q216">
            <v>2.5</v>
          </cell>
          <cell r="R216" t="str">
            <v>A</v>
          </cell>
          <cell r="S216" t="str">
            <v>A</v>
          </cell>
          <cell r="T216" t="str">
            <v>A</v>
          </cell>
          <cell r="U216" t="str">
            <v>A</v>
          </cell>
          <cell r="V216" t="str">
            <v>A</v>
          </cell>
          <cell r="W216" t="str">
            <v>A</v>
          </cell>
          <cell r="X216" t="str">
            <v>A</v>
          </cell>
          <cell r="Y216" t="str">
            <v>A</v>
          </cell>
          <cell r="Z216" t="str">
            <v>A</v>
          </cell>
          <cell r="AA216" t="str">
            <v>A</v>
          </cell>
          <cell r="AB216" t="str">
            <v>A</v>
          </cell>
          <cell r="AC216" t="str">
            <v>A</v>
          </cell>
          <cell r="AD216" t="str">
            <v>A</v>
          </cell>
          <cell r="AE216" t="str">
            <v>A</v>
          </cell>
          <cell r="AF216" t="str">
            <v>A</v>
          </cell>
          <cell r="AG216" t="str">
            <v>A</v>
          </cell>
          <cell r="AH216" t="str">
            <v>A</v>
          </cell>
          <cell r="AI216" t="str">
            <v>A</v>
          </cell>
          <cell r="AJ216" t="str">
            <v>A</v>
          </cell>
          <cell r="AK216" t="str">
            <v>A</v>
          </cell>
          <cell r="AL216" t="str">
            <v>A</v>
          </cell>
          <cell r="AM216" t="str">
            <v>A</v>
          </cell>
          <cell r="AN216" t="str">
            <v>A</v>
          </cell>
          <cell r="AO216" t="str">
            <v>x</v>
          </cell>
          <cell r="AQ216">
            <v>0</v>
          </cell>
          <cell r="AR216">
            <v>0</v>
          </cell>
          <cell r="AS216">
            <v>0</v>
          </cell>
          <cell r="AU216">
            <v>0</v>
          </cell>
          <cell r="AW216">
            <v>0</v>
          </cell>
          <cell r="AX216">
            <v>0</v>
          </cell>
          <cell r="AY216">
            <v>0</v>
          </cell>
          <cell r="AZ216">
            <v>0</v>
          </cell>
          <cell r="CN216" t="str">
            <v xml:space="preserve">Notes: don't send salary check with HR manager </v>
          </cell>
        </row>
        <row r="217">
          <cell r="B217">
            <v>464</v>
          </cell>
          <cell r="D217" t="str">
            <v>Muhammad Abdullah Habib Aulad Thani</v>
          </cell>
          <cell r="E217" t="str">
            <v>Labour / Driver</v>
          </cell>
          <cell r="G217" t="str">
            <v>N/A</v>
          </cell>
          <cell r="H217">
            <v>39757</v>
          </cell>
          <cell r="J217" t="str">
            <v>Sh:3</v>
          </cell>
          <cell r="K217" t="str">
            <v>x</v>
          </cell>
          <cell r="L217" t="str">
            <v>x</v>
          </cell>
          <cell r="M217" t="str">
            <v>x</v>
          </cell>
          <cell r="N217" t="str">
            <v>x</v>
          </cell>
          <cell r="O217">
            <v>6.5</v>
          </cell>
          <cell r="P217">
            <v>6.5</v>
          </cell>
          <cell r="Q217">
            <v>6.5</v>
          </cell>
          <cell r="R217">
            <v>6.5</v>
          </cell>
          <cell r="S217">
            <v>6.5</v>
          </cell>
          <cell r="T217">
            <v>6.5</v>
          </cell>
          <cell r="U217">
            <v>6.5</v>
          </cell>
          <cell r="V217">
            <v>6.5</v>
          </cell>
          <cell r="W217">
            <v>2.5</v>
          </cell>
          <cell r="X217">
            <v>6.5</v>
          </cell>
          <cell r="Y217">
            <v>6.5</v>
          </cell>
          <cell r="Z217">
            <v>2.5</v>
          </cell>
          <cell r="AA217">
            <v>2.5</v>
          </cell>
          <cell r="AB217">
            <v>2.5</v>
          </cell>
          <cell r="AC217">
            <v>2.5</v>
          </cell>
          <cell r="AD217">
            <v>2.5</v>
          </cell>
          <cell r="AE217">
            <v>2.5</v>
          </cell>
          <cell r="AF217">
            <v>2.5</v>
          </cell>
          <cell r="AG217">
            <v>2.5</v>
          </cell>
          <cell r="AH217">
            <v>2.5</v>
          </cell>
          <cell r="AI217">
            <v>2.5</v>
          </cell>
          <cell r="AJ217">
            <v>10.5</v>
          </cell>
          <cell r="AK217">
            <v>10.5</v>
          </cell>
          <cell r="AL217">
            <v>2.5</v>
          </cell>
          <cell r="AM217">
            <v>2.5</v>
          </cell>
          <cell r="AN217">
            <v>2.5</v>
          </cell>
          <cell r="AO217" t="str">
            <v>x</v>
          </cell>
          <cell r="AP217">
            <v>26</v>
          </cell>
          <cell r="AQ217">
            <v>0</v>
          </cell>
          <cell r="AR217">
            <v>0</v>
          </cell>
          <cell r="AS217">
            <v>0</v>
          </cell>
          <cell r="AT217">
            <v>0</v>
          </cell>
          <cell r="AU217">
            <v>0</v>
          </cell>
          <cell r="AV217">
            <v>100</v>
          </cell>
          <cell r="AW217">
            <v>21</v>
          </cell>
          <cell r="AX217">
            <v>26</v>
          </cell>
          <cell r="AY217">
            <v>26</v>
          </cell>
          <cell r="AZ217">
            <v>26</v>
          </cell>
        </row>
        <row r="218">
          <cell r="B218">
            <v>465</v>
          </cell>
          <cell r="D218" t="str">
            <v>Awadh Saleh Hamed Al Ghafri</v>
          </cell>
          <cell r="E218" t="str">
            <v>Labour / Driver</v>
          </cell>
          <cell r="G218" t="str">
            <v>N/A</v>
          </cell>
          <cell r="H218">
            <v>39757</v>
          </cell>
          <cell r="J218" t="str">
            <v>Sh:3</v>
          </cell>
          <cell r="K218" t="str">
            <v>x</v>
          </cell>
          <cell r="L218" t="str">
            <v>x</v>
          </cell>
          <cell r="M218" t="str">
            <v>x</v>
          </cell>
          <cell r="N218" t="str">
            <v>x</v>
          </cell>
          <cell r="O218">
            <v>6.5</v>
          </cell>
          <cell r="P218">
            <v>2.5</v>
          </cell>
          <cell r="Q218">
            <v>2.5</v>
          </cell>
          <cell r="R218">
            <v>2.5</v>
          </cell>
          <cell r="S218">
            <v>2.5</v>
          </cell>
          <cell r="T218">
            <v>2.5</v>
          </cell>
          <cell r="U218">
            <v>2.5</v>
          </cell>
          <cell r="V218">
            <v>2.5</v>
          </cell>
          <cell r="W218">
            <v>2.5</v>
          </cell>
          <cell r="X218">
            <v>2.5</v>
          </cell>
          <cell r="Y218">
            <v>2.5</v>
          </cell>
          <cell r="Z218">
            <v>2.5</v>
          </cell>
          <cell r="AA218">
            <v>2.5</v>
          </cell>
          <cell r="AB218">
            <v>2.5</v>
          </cell>
          <cell r="AC218">
            <v>0</v>
          </cell>
          <cell r="AD218">
            <v>2.5</v>
          </cell>
          <cell r="AE218">
            <v>2.5</v>
          </cell>
          <cell r="AF218">
            <v>2.5</v>
          </cell>
          <cell r="AG218">
            <v>2.5</v>
          </cell>
          <cell r="AH218">
            <v>2.5</v>
          </cell>
          <cell r="AI218">
            <v>2.5</v>
          </cell>
          <cell r="AJ218">
            <v>10.5</v>
          </cell>
          <cell r="AK218">
            <v>10.5</v>
          </cell>
          <cell r="AL218">
            <v>2.5</v>
          </cell>
          <cell r="AM218">
            <v>2.5</v>
          </cell>
          <cell r="AN218">
            <v>2.5</v>
          </cell>
          <cell r="AO218" t="str">
            <v>x</v>
          </cell>
          <cell r="AP218">
            <v>26</v>
          </cell>
          <cell r="AQ218">
            <v>0</v>
          </cell>
          <cell r="AR218">
            <v>0</v>
          </cell>
          <cell r="AS218">
            <v>0</v>
          </cell>
          <cell r="AT218">
            <v>0</v>
          </cell>
          <cell r="AU218">
            <v>0</v>
          </cell>
          <cell r="AV218">
            <v>61.5</v>
          </cell>
          <cell r="AW218">
            <v>21</v>
          </cell>
          <cell r="AX218">
            <v>26</v>
          </cell>
          <cell r="AY218">
            <v>26</v>
          </cell>
          <cell r="AZ218">
            <v>26</v>
          </cell>
          <cell r="CG218">
            <v>63</v>
          </cell>
          <cell r="CH218">
            <v>6</v>
          </cell>
          <cell r="CM218">
            <v>123</v>
          </cell>
          <cell r="CN218" t="str">
            <v xml:space="preserve"> Owed 123 rials Eid bonus, 63 hours 200%, 6 days desert allowance for Eid Al Adhah'2008 from 8th to 13th December'2008.</v>
          </cell>
        </row>
        <row r="219">
          <cell r="B219">
            <v>466</v>
          </cell>
          <cell r="D219" t="str">
            <v xml:space="preserve">Abdullah Hamed Khalfan </v>
          </cell>
          <cell r="E219" t="str">
            <v>Heavy Duty Dvr</v>
          </cell>
          <cell r="G219" t="str">
            <v>N/A</v>
          </cell>
          <cell r="H219">
            <v>39760</v>
          </cell>
          <cell r="J219" t="str">
            <v>Sh:1</v>
          </cell>
          <cell r="K219" t="str">
            <v>x</v>
          </cell>
          <cell r="L219" t="str">
            <v>x</v>
          </cell>
          <cell r="M219" t="str">
            <v>x</v>
          </cell>
          <cell r="N219" t="str">
            <v>x</v>
          </cell>
          <cell r="O219" t="str">
            <v>x</v>
          </cell>
          <cell r="P219" t="str">
            <v>x</v>
          </cell>
          <cell r="Q219" t="str">
            <v>x</v>
          </cell>
          <cell r="R219">
            <v>7.5</v>
          </cell>
          <cell r="S219">
            <v>8</v>
          </cell>
          <cell r="T219">
            <v>2.5</v>
          </cell>
          <cell r="U219">
            <v>2.5</v>
          </cell>
          <cell r="V219">
            <v>6.5</v>
          </cell>
          <cell r="W219">
            <v>7.5</v>
          </cell>
          <cell r="X219">
            <v>6.5</v>
          </cell>
          <cell r="Y219">
            <v>6.5</v>
          </cell>
          <cell r="Z219">
            <v>2.5</v>
          </cell>
          <cell r="AA219">
            <v>2.5</v>
          </cell>
          <cell r="AB219">
            <v>2.5</v>
          </cell>
          <cell r="AC219">
            <v>2.5</v>
          </cell>
          <cell r="AD219">
            <v>2.5</v>
          </cell>
          <cell r="AE219">
            <v>2.5</v>
          </cell>
          <cell r="AF219">
            <v>2.5</v>
          </cell>
          <cell r="AG219">
            <v>2.5</v>
          </cell>
          <cell r="AH219">
            <v>2.5</v>
          </cell>
          <cell r="AI219">
            <v>2.5</v>
          </cell>
          <cell r="AJ219">
            <v>10.5</v>
          </cell>
          <cell r="AK219">
            <v>10.5</v>
          </cell>
          <cell r="AL219">
            <v>2.5</v>
          </cell>
          <cell r="AM219">
            <v>2.5</v>
          </cell>
          <cell r="AN219">
            <v>2.5</v>
          </cell>
          <cell r="AO219" t="str">
            <v>x</v>
          </cell>
          <cell r="AP219">
            <v>23</v>
          </cell>
          <cell r="AQ219">
            <v>0</v>
          </cell>
          <cell r="AR219">
            <v>0</v>
          </cell>
          <cell r="AS219">
            <v>0</v>
          </cell>
          <cell r="AT219">
            <v>0</v>
          </cell>
          <cell r="AU219">
            <v>0</v>
          </cell>
          <cell r="AV219">
            <v>80</v>
          </cell>
          <cell r="AW219">
            <v>21</v>
          </cell>
          <cell r="AX219">
            <v>23</v>
          </cell>
          <cell r="AY219">
            <v>23</v>
          </cell>
          <cell r="AZ219">
            <v>23</v>
          </cell>
          <cell r="CG219">
            <v>63</v>
          </cell>
          <cell r="CH219">
            <v>6</v>
          </cell>
          <cell r="CM219">
            <v>123</v>
          </cell>
          <cell r="CN219" t="str">
            <v xml:space="preserve"> Owed 123 rials Eid bonus, 63 hours 200%, 6 days desert allowance for Eid Al Adhah'2008 from 8th to 13th December'2008.</v>
          </cell>
        </row>
      </sheetData>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D54"/>
  <sheetViews>
    <sheetView tabSelected="1" topLeftCell="A2" zoomScale="60" zoomScaleNormal="60" workbookViewId="0">
      <pane ySplit="1" topLeftCell="A3" activePane="bottomLeft" state="frozen"/>
      <selection activeCell="A2" sqref="A2"/>
      <selection pane="bottomLeft" activeCell="AC12" sqref="AC12"/>
    </sheetView>
  </sheetViews>
  <sheetFormatPr defaultRowHeight="12.75" x14ac:dyDescent="0.2"/>
  <cols>
    <col min="1" max="1" width="12" customWidth="1"/>
    <col min="2" max="2" width="32" customWidth="1"/>
    <col min="3" max="5" width="7.42578125" customWidth="1"/>
    <col min="6" max="6" width="6.28515625" bestFit="1" customWidth="1"/>
    <col min="7" max="7" width="6.28515625" style="47" customWidth="1"/>
    <col min="8" max="10" width="6.28515625" customWidth="1"/>
    <col min="11" max="11" width="6.28515625" style="29" customWidth="1"/>
    <col min="12" max="12" width="6.28515625" customWidth="1"/>
    <col min="13" max="13" width="8" customWidth="1"/>
    <col min="14" max="16" width="6.28515625" customWidth="1"/>
    <col min="17" max="17" width="6.28515625" style="39" customWidth="1"/>
    <col min="18" max="18" width="11.28515625" customWidth="1"/>
    <col min="19" max="21" width="6.28515625" customWidth="1"/>
    <col min="22" max="22" width="8.42578125" style="43" customWidth="1"/>
    <col min="23" max="23" width="6.28515625" style="10" customWidth="1"/>
    <col min="24" max="24" width="6.28515625" customWidth="1"/>
    <col min="25" max="25" width="8.42578125" style="35" customWidth="1"/>
    <col min="26" max="28" width="6.28515625" customWidth="1"/>
    <col min="29" max="29" width="7.28515625" customWidth="1"/>
    <col min="30" max="38" width="6.28515625" customWidth="1"/>
    <col min="39" max="40" width="10.140625" customWidth="1"/>
    <col min="41" max="41" width="7.85546875" customWidth="1"/>
    <col min="42" max="42" width="6.7109375" customWidth="1"/>
    <col min="43" max="43" width="5.5703125" hidden="1" customWidth="1"/>
    <col min="44" max="44" width="7.140625" customWidth="1"/>
    <col min="45" max="45" width="6.5703125" style="4" hidden="1" customWidth="1"/>
    <col min="46" max="46" width="14.140625" customWidth="1"/>
    <col min="47" max="47" width="15.85546875" customWidth="1"/>
    <col min="48" max="48" width="27" customWidth="1"/>
    <col min="49" max="49" width="17.85546875" customWidth="1"/>
    <col min="50" max="51" width="9.140625" style="4"/>
    <col min="52" max="52" width="16.28515625" customWidth="1"/>
    <col min="53" max="53" width="20.42578125" customWidth="1"/>
    <col min="54" max="54" width="48" customWidth="1"/>
    <col min="55" max="55" width="16.85546875" customWidth="1"/>
    <col min="56" max="56" width="19.42578125" customWidth="1"/>
  </cols>
  <sheetData>
    <row r="1" spans="1:56" ht="15.75" hidden="1" customHeight="1" thickBot="1" x14ac:dyDescent="0.25">
      <c r="A1">
        <v>1</v>
      </c>
      <c r="B1">
        <v>2</v>
      </c>
      <c r="C1">
        <v>1</v>
      </c>
      <c r="D1">
        <v>2</v>
      </c>
      <c r="E1">
        <v>3</v>
      </c>
      <c r="F1">
        <v>4</v>
      </c>
      <c r="G1" s="47">
        <v>5</v>
      </c>
      <c r="H1">
        <v>6</v>
      </c>
      <c r="I1">
        <v>7</v>
      </c>
      <c r="J1">
        <v>8</v>
      </c>
      <c r="K1">
        <v>9</v>
      </c>
      <c r="L1">
        <v>10</v>
      </c>
      <c r="M1">
        <v>11</v>
      </c>
      <c r="N1">
        <v>12</v>
      </c>
      <c r="O1">
        <v>13</v>
      </c>
      <c r="P1">
        <v>14</v>
      </c>
      <c r="Q1" s="39">
        <v>15</v>
      </c>
      <c r="R1">
        <v>16</v>
      </c>
      <c r="S1">
        <v>17</v>
      </c>
      <c r="T1">
        <v>18</v>
      </c>
      <c r="U1">
        <v>19</v>
      </c>
      <c r="V1">
        <v>20</v>
      </c>
      <c r="W1">
        <v>21</v>
      </c>
      <c r="X1">
        <v>22</v>
      </c>
      <c r="Y1">
        <v>23</v>
      </c>
      <c r="Z1">
        <v>24</v>
      </c>
      <c r="AA1">
        <v>25</v>
      </c>
      <c r="AB1">
        <v>26</v>
      </c>
      <c r="AC1">
        <v>27</v>
      </c>
      <c r="AD1">
        <v>28</v>
      </c>
      <c r="AE1">
        <v>29</v>
      </c>
      <c r="AF1">
        <v>30</v>
      </c>
      <c r="AG1">
        <v>31</v>
      </c>
      <c r="AH1">
        <v>32</v>
      </c>
      <c r="AI1">
        <v>33</v>
      </c>
      <c r="AJ1">
        <v>34</v>
      </c>
      <c r="AK1">
        <v>35</v>
      </c>
      <c r="AL1">
        <v>36</v>
      </c>
      <c r="AM1">
        <v>37</v>
      </c>
      <c r="AS1"/>
    </row>
    <row r="2" spans="1:56" s="10" customFormat="1" ht="111.75" customHeight="1" thickBot="1" x14ac:dyDescent="0.25">
      <c r="A2" s="11" t="s">
        <v>10</v>
      </c>
      <c r="B2" s="12" t="s">
        <v>9</v>
      </c>
      <c r="C2" s="13" t="s">
        <v>108</v>
      </c>
      <c r="D2" s="13" t="s">
        <v>66</v>
      </c>
      <c r="E2" s="13" t="s">
        <v>109</v>
      </c>
      <c r="F2" s="13" t="s">
        <v>25</v>
      </c>
      <c r="G2" s="48" t="s">
        <v>26</v>
      </c>
      <c r="H2" s="13" t="s">
        <v>27</v>
      </c>
      <c r="I2" s="13" t="s">
        <v>28</v>
      </c>
      <c r="J2" s="13" t="s">
        <v>29</v>
      </c>
      <c r="K2" s="30" t="s">
        <v>30</v>
      </c>
      <c r="L2" s="13" t="s">
        <v>31</v>
      </c>
      <c r="M2" s="13" t="s">
        <v>32</v>
      </c>
      <c r="N2" s="13" t="s">
        <v>33</v>
      </c>
      <c r="O2" s="13" t="s">
        <v>34</v>
      </c>
      <c r="P2" s="13" t="s">
        <v>35</v>
      </c>
      <c r="Q2" s="40" t="s">
        <v>36</v>
      </c>
      <c r="R2" s="13" t="s">
        <v>37</v>
      </c>
      <c r="S2" s="13" t="s">
        <v>38</v>
      </c>
      <c r="T2" s="13" t="s">
        <v>39</v>
      </c>
      <c r="U2" s="13" t="s">
        <v>40</v>
      </c>
      <c r="V2" s="44" t="s">
        <v>87</v>
      </c>
      <c r="W2" s="13" t="s">
        <v>42</v>
      </c>
      <c r="X2" s="13" t="s">
        <v>43</v>
      </c>
      <c r="Y2" s="36" t="s">
        <v>44</v>
      </c>
      <c r="Z2" s="13" t="s">
        <v>45</v>
      </c>
      <c r="AA2" s="13" t="s">
        <v>46</v>
      </c>
      <c r="AB2" s="13" t="s">
        <v>47</v>
      </c>
      <c r="AC2" s="13" t="s">
        <v>48</v>
      </c>
      <c r="AD2" s="13" t="s">
        <v>49</v>
      </c>
      <c r="AE2" s="13" t="s">
        <v>50</v>
      </c>
      <c r="AF2" s="13" t="s">
        <v>51</v>
      </c>
      <c r="AG2" s="14" t="s">
        <v>52</v>
      </c>
      <c r="AH2" s="13" t="s">
        <v>70</v>
      </c>
      <c r="AI2" s="13" t="s">
        <v>53</v>
      </c>
      <c r="AJ2" s="13" t="s">
        <v>69</v>
      </c>
      <c r="AK2" s="13" t="s">
        <v>55</v>
      </c>
      <c r="AL2" s="13" t="s">
        <v>56</v>
      </c>
      <c r="AM2" s="12" t="s">
        <v>64</v>
      </c>
      <c r="AN2" s="12" t="s">
        <v>113</v>
      </c>
      <c r="AO2" s="12" t="s">
        <v>86</v>
      </c>
      <c r="AP2" s="119" t="s">
        <v>110</v>
      </c>
      <c r="AQ2" s="12"/>
      <c r="AR2" s="15"/>
      <c r="AS2" s="5"/>
      <c r="AT2" s="16" t="s">
        <v>5</v>
      </c>
      <c r="AU2" s="5" t="s">
        <v>67</v>
      </c>
      <c r="AV2" s="5" t="s">
        <v>4</v>
      </c>
      <c r="AW2" s="16" t="s">
        <v>6</v>
      </c>
      <c r="AX2" s="4"/>
      <c r="AY2" s="4"/>
      <c r="AZ2" s="54" t="s">
        <v>58</v>
      </c>
      <c r="BA2" s="54" t="s">
        <v>58</v>
      </c>
      <c r="BB2" s="54" t="s">
        <v>58</v>
      </c>
      <c r="BC2" s="54" t="s">
        <v>89</v>
      </c>
      <c r="BD2" s="54" t="s">
        <v>68</v>
      </c>
    </row>
    <row r="3" spans="1:56" s="1" customFormat="1" ht="22.5" customHeight="1" x14ac:dyDescent="0.2">
      <c r="A3" s="18" t="s">
        <v>11</v>
      </c>
      <c r="B3" s="19" t="s">
        <v>9</v>
      </c>
      <c r="C3" s="76">
        <v>20</v>
      </c>
      <c r="D3" s="76">
        <v>30</v>
      </c>
      <c r="E3" s="76">
        <v>40</v>
      </c>
      <c r="F3" s="76">
        <v>40</v>
      </c>
      <c r="G3" s="76">
        <v>200</v>
      </c>
      <c r="H3" s="76">
        <v>250</v>
      </c>
      <c r="I3" s="76">
        <v>300</v>
      </c>
      <c r="J3" s="76">
        <v>15</v>
      </c>
      <c r="K3" s="76">
        <v>30</v>
      </c>
      <c r="L3" s="76">
        <v>40</v>
      </c>
      <c r="M3" s="76">
        <v>50</v>
      </c>
      <c r="N3" s="76">
        <v>5</v>
      </c>
      <c r="O3" s="76">
        <v>5</v>
      </c>
      <c r="P3" s="76">
        <v>20</v>
      </c>
      <c r="Q3" s="76">
        <v>250</v>
      </c>
      <c r="R3" s="76">
        <v>200</v>
      </c>
      <c r="S3" s="76">
        <v>225</v>
      </c>
      <c r="T3" s="76">
        <v>250</v>
      </c>
      <c r="U3" s="76">
        <v>275</v>
      </c>
      <c r="V3" s="76">
        <v>200</v>
      </c>
      <c r="W3" s="76">
        <v>300</v>
      </c>
      <c r="X3" s="76">
        <v>400</v>
      </c>
      <c r="Y3" s="76">
        <v>1000</v>
      </c>
      <c r="Z3" s="76">
        <v>10</v>
      </c>
      <c r="AA3" s="76">
        <v>2000</v>
      </c>
      <c r="AB3" s="76">
        <v>50</v>
      </c>
      <c r="AC3" s="76">
        <v>30</v>
      </c>
      <c r="AD3" s="76">
        <v>500</v>
      </c>
      <c r="AE3" s="76">
        <v>50</v>
      </c>
      <c r="AF3" s="76">
        <v>200</v>
      </c>
      <c r="AG3" s="76">
        <v>300</v>
      </c>
      <c r="AH3" s="76">
        <v>400</v>
      </c>
      <c r="AI3" s="76">
        <v>400</v>
      </c>
      <c r="AJ3" s="76">
        <v>400</v>
      </c>
      <c r="AK3" s="76">
        <v>200</v>
      </c>
      <c r="AL3" s="76">
        <v>10</v>
      </c>
      <c r="AM3" s="77">
        <v>200</v>
      </c>
      <c r="AN3" s="77">
        <v>200</v>
      </c>
      <c r="AO3" s="17"/>
      <c r="AP3" s="17">
        <v>0</v>
      </c>
      <c r="AQ3" s="17"/>
      <c r="AR3" s="19">
        <v>0</v>
      </c>
      <c r="AS3" s="77" t="e">
        <f>F3/30/8*1.2*#REF!</f>
        <v>#REF!</v>
      </c>
      <c r="AT3" s="78"/>
      <c r="AU3" s="78"/>
      <c r="AV3" s="77"/>
      <c r="AW3" s="79"/>
      <c r="AX3" s="4"/>
      <c r="AY3" s="4"/>
      <c r="BD3" s="55"/>
    </row>
    <row r="4" spans="1:56" s="1" customFormat="1" ht="22.5" customHeight="1" x14ac:dyDescent="0.25">
      <c r="A4" s="108" t="s">
        <v>72</v>
      </c>
      <c r="B4" s="107" t="s">
        <v>90</v>
      </c>
      <c r="C4" s="3">
        <v>3</v>
      </c>
      <c r="D4" s="3"/>
      <c r="E4" s="3">
        <v>2</v>
      </c>
      <c r="F4" s="3"/>
      <c r="G4" s="50"/>
      <c r="H4" s="3"/>
      <c r="I4" s="3"/>
      <c r="J4" s="3"/>
      <c r="K4" s="32">
        <v>1</v>
      </c>
      <c r="L4" s="3"/>
      <c r="M4" s="3"/>
      <c r="N4" s="3"/>
      <c r="O4" s="3"/>
      <c r="P4" s="3"/>
      <c r="Q4" s="42"/>
      <c r="R4" s="3"/>
      <c r="S4" s="3"/>
      <c r="T4" s="3"/>
      <c r="U4" s="3"/>
      <c r="V4" s="46">
        <v>1</v>
      </c>
      <c r="W4" s="34"/>
      <c r="X4" s="3"/>
      <c r="Y4" s="38"/>
      <c r="Z4" s="3"/>
      <c r="AA4" s="3"/>
      <c r="AB4" s="3"/>
      <c r="AC4" s="3"/>
      <c r="AD4" s="3"/>
      <c r="AE4" s="3"/>
      <c r="AF4" s="3"/>
      <c r="AG4" s="3"/>
      <c r="AH4" s="3"/>
      <c r="AI4" s="3"/>
      <c r="AJ4" s="3"/>
      <c r="AK4" s="3"/>
      <c r="AL4" s="3"/>
      <c r="AM4" s="3">
        <v>1</v>
      </c>
      <c r="AN4" s="3">
        <v>1</v>
      </c>
      <c r="AO4" s="104">
        <f>AT20</f>
        <v>110</v>
      </c>
      <c r="AP4" s="2"/>
      <c r="AQ4" s="2"/>
      <c r="AR4" s="3"/>
      <c r="AS4" s="7" t="e">
        <f>F4/30/8*1.2*#REF!</f>
        <v>#REF!</v>
      </c>
      <c r="AT4" s="91">
        <f>SUMPRODUCT(20*C4+30*D4+40*E4+40*F4+200*G4+250*H4+300*I4+15*J4+30*K4+40*L4+50*M4+5*N4+5*O4+20*P4+250*Q4+200*R4+225*S4+250*T4+275*U4+200*V4+300*W4+400*X4+1000*Y4+10*Z4+2000*AA4+50*AB4+30*AC4+500*AD4+50*AE4+200*AF4+300*AG4+400*AH4+400*AI4+400*AJ4+200*AK4+10*AL4+200*AM4+AO4+AP4*AP3)</f>
        <v>680</v>
      </c>
      <c r="AU4" s="120">
        <f>AT4</f>
        <v>680</v>
      </c>
      <c r="AV4" s="6"/>
      <c r="AW4" s="8"/>
      <c r="AX4" s="4"/>
      <c r="AY4" s="4"/>
      <c r="AZ4" s="55">
        <v>1</v>
      </c>
      <c r="BA4" s="52" t="str">
        <f t="shared" ref="BA4:BA17" si="0">A4</f>
        <v>CH01</v>
      </c>
      <c r="BB4" s="52" t="str">
        <f t="shared" ref="BB4:BB17" si="1">B4</f>
        <v>ALEENA NAVEEN</v>
      </c>
      <c r="BC4" s="53">
        <f t="shared" ref="BC4:BC17" si="2">AU4</f>
        <v>680</v>
      </c>
      <c r="BD4" s="55"/>
    </row>
    <row r="5" spans="1:56" s="1" customFormat="1" ht="22.5" customHeight="1" x14ac:dyDescent="0.25">
      <c r="A5" s="108" t="s">
        <v>100</v>
      </c>
      <c r="B5" s="107" t="s">
        <v>91</v>
      </c>
      <c r="C5" s="3">
        <v>3</v>
      </c>
      <c r="D5" s="3"/>
      <c r="E5" s="3"/>
      <c r="F5" s="3"/>
      <c r="G5" s="50"/>
      <c r="H5" s="3">
        <v>1</v>
      </c>
      <c r="I5" s="3"/>
      <c r="J5" s="3"/>
      <c r="K5" s="32">
        <v>1</v>
      </c>
      <c r="L5" s="3"/>
      <c r="M5" s="3"/>
      <c r="N5" s="3"/>
      <c r="O5" s="3"/>
      <c r="P5" s="3"/>
      <c r="Q5" s="42"/>
      <c r="R5" s="3"/>
      <c r="S5" s="3"/>
      <c r="T5" s="3"/>
      <c r="U5" s="3"/>
      <c r="V5" s="46"/>
      <c r="W5" s="34"/>
      <c r="X5" s="3"/>
      <c r="Y5" s="38">
        <v>1</v>
      </c>
      <c r="Z5" s="3"/>
      <c r="AA5" s="3"/>
      <c r="AB5" s="3"/>
      <c r="AC5" s="3"/>
      <c r="AD5" s="3"/>
      <c r="AE5" s="3"/>
      <c r="AF5" s="3"/>
      <c r="AG5" s="3"/>
      <c r="AH5" s="3"/>
      <c r="AI5" s="3"/>
      <c r="AJ5" s="3"/>
      <c r="AK5" s="3"/>
      <c r="AL5" s="3"/>
      <c r="AM5" s="3">
        <v>1</v>
      </c>
      <c r="AN5" s="3">
        <v>1</v>
      </c>
      <c r="AO5" s="104">
        <f t="shared" ref="AO5:AO17" si="3">AT21</f>
        <v>70</v>
      </c>
      <c r="AP5" s="2"/>
      <c r="AQ5" s="2"/>
      <c r="AR5" s="3"/>
      <c r="AS5" s="7" t="e">
        <f>F5/30/8*1.2*#REF!</f>
        <v>#REF!</v>
      </c>
      <c r="AT5" s="91">
        <f t="shared" ref="AT5:AT17" si="4">SUMPRODUCT(20*C5+30*D5+40*E5+40*F5+200*G5+250*H5+300*I5+15*J5+30*K5+40*L5+50*M5+5*N5+5*O5+20*P5+250*Q5+200*R5+225*S5+250*T5+275*U5+200*V5+300*W5+400*X5+1000*Y5+10*Z5+2000*AA5+50*AB5+30*AC5+500*AD5+50*AE5+200*AF5+300*AG5+400*AH5+400*AI5+400*AJ5+200*AK5+10*AL5+200*AM5+AO5+AP5*AP4)</f>
        <v>1610</v>
      </c>
      <c r="AU5" s="120">
        <f t="shared" ref="AU5:AU17" si="5">AT5</f>
        <v>1610</v>
      </c>
      <c r="AV5" s="6"/>
      <c r="AW5" s="8"/>
      <c r="AX5" s="4"/>
      <c r="AY5" s="4"/>
      <c r="AZ5" s="55">
        <v>2</v>
      </c>
      <c r="BA5" s="52" t="str">
        <f t="shared" si="0"/>
        <v>CH02</v>
      </c>
      <c r="BB5" s="52" t="str">
        <f t="shared" si="1"/>
        <v>ALJO JAISON</v>
      </c>
      <c r="BC5" s="53">
        <f t="shared" si="2"/>
        <v>1610</v>
      </c>
      <c r="BD5" s="55"/>
    </row>
    <row r="6" spans="1:56" s="1" customFormat="1" ht="22.5" customHeight="1" x14ac:dyDescent="0.25">
      <c r="A6" s="108" t="s">
        <v>12</v>
      </c>
      <c r="B6" s="107" t="s">
        <v>92</v>
      </c>
      <c r="C6" s="3"/>
      <c r="D6" s="3"/>
      <c r="E6" s="3">
        <v>1</v>
      </c>
      <c r="F6" s="3"/>
      <c r="G6" s="50"/>
      <c r="H6" s="3"/>
      <c r="I6" s="3"/>
      <c r="J6" s="3"/>
      <c r="K6" s="32">
        <v>1</v>
      </c>
      <c r="L6" s="3"/>
      <c r="M6" s="3"/>
      <c r="N6" s="3"/>
      <c r="O6" s="3"/>
      <c r="P6" s="3"/>
      <c r="Q6" s="42">
        <v>1</v>
      </c>
      <c r="R6" s="3"/>
      <c r="S6" s="3"/>
      <c r="T6" s="3"/>
      <c r="U6" s="3"/>
      <c r="V6" s="46"/>
      <c r="W6" s="34"/>
      <c r="X6" s="3"/>
      <c r="Y6" s="38"/>
      <c r="Z6" s="3"/>
      <c r="AA6" s="3"/>
      <c r="AB6" s="3"/>
      <c r="AC6" s="3"/>
      <c r="AD6" s="3"/>
      <c r="AE6" s="3"/>
      <c r="AF6" s="3"/>
      <c r="AG6" s="3"/>
      <c r="AH6" s="3"/>
      <c r="AI6" s="3"/>
      <c r="AJ6" s="3"/>
      <c r="AK6" s="3"/>
      <c r="AL6" s="3"/>
      <c r="AM6" s="3">
        <v>1</v>
      </c>
      <c r="AN6" s="3">
        <v>1</v>
      </c>
      <c r="AO6" s="104">
        <f t="shared" si="3"/>
        <v>270</v>
      </c>
      <c r="AP6" s="2"/>
      <c r="AQ6" s="2"/>
      <c r="AR6" s="3"/>
      <c r="AS6" s="7" t="e">
        <f>F6/30/8*1.2*#REF!</f>
        <v>#REF!</v>
      </c>
      <c r="AT6" s="91">
        <f t="shared" si="4"/>
        <v>790</v>
      </c>
      <c r="AU6" s="120">
        <f t="shared" si="5"/>
        <v>790</v>
      </c>
      <c r="AV6" s="6"/>
      <c r="AW6" s="8"/>
      <c r="AX6" s="4"/>
      <c r="AY6" s="4"/>
      <c r="AZ6" s="55">
        <v>3</v>
      </c>
      <c r="BA6" s="52" t="str">
        <f t="shared" si="0"/>
        <v>CH03</v>
      </c>
      <c r="BB6" s="52" t="str">
        <f t="shared" si="1"/>
        <v>ANAGHA M</v>
      </c>
      <c r="BC6" s="53">
        <f t="shared" si="2"/>
        <v>790</v>
      </c>
      <c r="BD6" s="55"/>
    </row>
    <row r="7" spans="1:56" s="1" customFormat="1" ht="22.5" customHeight="1" x14ac:dyDescent="0.25">
      <c r="A7" s="108" t="s">
        <v>73</v>
      </c>
      <c r="B7" s="107" t="s">
        <v>93</v>
      </c>
      <c r="C7" s="3">
        <v>2</v>
      </c>
      <c r="D7" s="3"/>
      <c r="E7" s="3"/>
      <c r="F7" s="3"/>
      <c r="G7" s="50"/>
      <c r="H7" s="3"/>
      <c r="I7" s="3"/>
      <c r="J7" s="3"/>
      <c r="K7" s="32">
        <v>1</v>
      </c>
      <c r="L7" s="3"/>
      <c r="M7" s="3"/>
      <c r="N7" s="3"/>
      <c r="O7" s="3"/>
      <c r="P7" s="3"/>
      <c r="Q7" s="42"/>
      <c r="R7" s="3"/>
      <c r="S7" s="3"/>
      <c r="T7" s="3"/>
      <c r="U7" s="3"/>
      <c r="V7" s="46"/>
      <c r="W7" s="34"/>
      <c r="X7" s="3"/>
      <c r="Y7" s="38">
        <v>1</v>
      </c>
      <c r="Z7" s="3"/>
      <c r="AA7" s="3"/>
      <c r="AB7" s="3"/>
      <c r="AC7" s="3"/>
      <c r="AD7" s="3"/>
      <c r="AE7" s="3"/>
      <c r="AF7" s="3"/>
      <c r="AG7" s="3"/>
      <c r="AH7" s="3"/>
      <c r="AI7" s="3"/>
      <c r="AJ7" s="3"/>
      <c r="AK7" s="3"/>
      <c r="AL7" s="3"/>
      <c r="AM7" s="3">
        <v>1</v>
      </c>
      <c r="AN7" s="3">
        <v>1</v>
      </c>
      <c r="AO7" s="104">
        <f t="shared" si="3"/>
        <v>70</v>
      </c>
      <c r="AP7" s="2"/>
      <c r="AQ7" s="2"/>
      <c r="AR7" s="3"/>
      <c r="AS7" s="7" t="e">
        <f>F7/30/8*1.2*#REF!</f>
        <v>#REF!</v>
      </c>
      <c r="AT7" s="91">
        <f t="shared" si="4"/>
        <v>1340</v>
      </c>
      <c r="AU7" s="120">
        <f t="shared" si="5"/>
        <v>1340</v>
      </c>
      <c r="AV7" s="6"/>
      <c r="AW7" s="8"/>
      <c r="AX7" s="4"/>
      <c r="AY7" s="4"/>
      <c r="AZ7" s="55">
        <v>4</v>
      </c>
      <c r="BA7" s="52" t="str">
        <f t="shared" si="0"/>
        <v>CH04</v>
      </c>
      <c r="BB7" s="52" t="str">
        <f t="shared" si="1"/>
        <v>ASWATHY M B</v>
      </c>
      <c r="BC7" s="53">
        <f t="shared" si="2"/>
        <v>1340</v>
      </c>
      <c r="BD7" s="55"/>
    </row>
    <row r="8" spans="1:56" s="1" customFormat="1" ht="22.5" customHeight="1" x14ac:dyDescent="0.25">
      <c r="A8" s="108" t="s">
        <v>13</v>
      </c>
      <c r="B8" s="107" t="s">
        <v>94</v>
      </c>
      <c r="C8" s="3">
        <v>5</v>
      </c>
      <c r="D8" s="3"/>
      <c r="E8" s="3">
        <v>1</v>
      </c>
      <c r="F8" s="3"/>
      <c r="G8" s="50"/>
      <c r="H8" s="3">
        <v>1</v>
      </c>
      <c r="I8" s="3"/>
      <c r="J8" s="3"/>
      <c r="K8" s="32">
        <v>1</v>
      </c>
      <c r="L8" s="3"/>
      <c r="M8" s="3"/>
      <c r="N8" s="3"/>
      <c r="O8" s="3"/>
      <c r="P8" s="3"/>
      <c r="Q8" s="42"/>
      <c r="R8" s="3"/>
      <c r="S8" s="3"/>
      <c r="T8" s="3"/>
      <c r="U8" s="3"/>
      <c r="V8" s="46"/>
      <c r="W8" s="34"/>
      <c r="X8" s="3"/>
      <c r="Y8" s="38"/>
      <c r="Z8" s="3"/>
      <c r="AA8" s="3"/>
      <c r="AB8" s="3"/>
      <c r="AC8" s="3"/>
      <c r="AD8" s="3"/>
      <c r="AE8" s="3"/>
      <c r="AF8" s="3"/>
      <c r="AG8" s="3"/>
      <c r="AH8" s="3"/>
      <c r="AI8" s="3"/>
      <c r="AJ8" s="3"/>
      <c r="AK8" s="3"/>
      <c r="AL8" s="3"/>
      <c r="AM8" s="3">
        <v>1</v>
      </c>
      <c r="AN8" s="3">
        <v>1</v>
      </c>
      <c r="AO8" s="104">
        <f t="shared" si="3"/>
        <v>110</v>
      </c>
      <c r="AP8" s="2"/>
      <c r="AQ8" s="2"/>
      <c r="AR8" s="3"/>
      <c r="AS8" s="7" t="e">
        <f>F8/30/8*1.2*#REF!</f>
        <v>#REF!</v>
      </c>
      <c r="AT8" s="91">
        <f t="shared" si="4"/>
        <v>730</v>
      </c>
      <c r="AU8" s="120">
        <f>AT8</f>
        <v>730</v>
      </c>
      <c r="AV8" s="6"/>
      <c r="AW8" s="8"/>
      <c r="AX8" s="4"/>
      <c r="AY8" s="4"/>
      <c r="AZ8" s="55">
        <v>5</v>
      </c>
      <c r="BA8" s="52" t="str">
        <f t="shared" si="0"/>
        <v>CH05</v>
      </c>
      <c r="BB8" s="52" t="str">
        <f t="shared" si="1"/>
        <v>DEVIKA P K</v>
      </c>
      <c r="BC8" s="53">
        <f t="shared" si="2"/>
        <v>730</v>
      </c>
      <c r="BD8" s="55"/>
    </row>
    <row r="9" spans="1:56" s="1" customFormat="1" ht="22.5" customHeight="1" x14ac:dyDescent="0.25">
      <c r="A9" s="108" t="s">
        <v>14</v>
      </c>
      <c r="B9" s="107" t="s">
        <v>95</v>
      </c>
      <c r="C9" s="3">
        <v>1</v>
      </c>
      <c r="D9" s="3"/>
      <c r="E9" s="3">
        <v>1</v>
      </c>
      <c r="F9" s="3"/>
      <c r="G9" s="50"/>
      <c r="H9" s="3"/>
      <c r="I9" s="3"/>
      <c r="J9" s="3"/>
      <c r="K9" s="32">
        <v>1</v>
      </c>
      <c r="L9" s="3"/>
      <c r="M9" s="3"/>
      <c r="N9" s="3"/>
      <c r="O9" s="3"/>
      <c r="P9" s="3"/>
      <c r="Q9" s="42">
        <v>1</v>
      </c>
      <c r="R9" s="3"/>
      <c r="S9" s="3"/>
      <c r="T9" s="3"/>
      <c r="U9" s="3"/>
      <c r="V9" s="46"/>
      <c r="W9" s="34"/>
      <c r="X9" s="3"/>
      <c r="Y9" s="38"/>
      <c r="Z9" s="3"/>
      <c r="AA9" s="3"/>
      <c r="AB9" s="3"/>
      <c r="AC9" s="3"/>
      <c r="AD9" s="3"/>
      <c r="AE9" s="3"/>
      <c r="AF9" s="3"/>
      <c r="AG9" s="3"/>
      <c r="AH9" s="3"/>
      <c r="AI9" s="3"/>
      <c r="AJ9" s="3"/>
      <c r="AK9" s="3"/>
      <c r="AL9" s="3"/>
      <c r="AM9" s="3">
        <v>1</v>
      </c>
      <c r="AN9" s="3">
        <v>1</v>
      </c>
      <c r="AO9" s="104">
        <f t="shared" si="3"/>
        <v>70</v>
      </c>
      <c r="AP9" s="2"/>
      <c r="AQ9" s="2"/>
      <c r="AR9" s="3"/>
      <c r="AS9" s="7" t="e">
        <f>F9/30/8*1.2*#REF!</f>
        <v>#REF!</v>
      </c>
      <c r="AT9" s="91">
        <f t="shared" si="4"/>
        <v>610</v>
      </c>
      <c r="AU9" s="120">
        <f t="shared" si="5"/>
        <v>610</v>
      </c>
      <c r="AV9" s="6"/>
      <c r="AW9" s="8"/>
      <c r="AX9" s="4"/>
      <c r="AY9" s="4"/>
      <c r="AZ9" s="55">
        <v>6</v>
      </c>
      <c r="BA9" s="52" t="str">
        <f t="shared" si="0"/>
        <v>CH06</v>
      </c>
      <c r="BB9" s="52" t="str">
        <f t="shared" si="1"/>
        <v>DIGIL DAVIS A</v>
      </c>
      <c r="BC9" s="53">
        <f t="shared" si="2"/>
        <v>610</v>
      </c>
      <c r="BD9" s="55"/>
    </row>
    <row r="10" spans="1:56" s="1" customFormat="1" ht="22.5" customHeight="1" x14ac:dyDescent="0.25">
      <c r="A10" s="108" t="s">
        <v>15</v>
      </c>
      <c r="B10" s="107" t="s">
        <v>114</v>
      </c>
      <c r="C10" s="3"/>
      <c r="D10" s="3"/>
      <c r="E10" s="3"/>
      <c r="F10" s="3"/>
      <c r="G10" s="50"/>
      <c r="H10" s="3">
        <v>1</v>
      </c>
      <c r="I10" s="3"/>
      <c r="J10" s="3"/>
      <c r="K10" s="32">
        <v>1</v>
      </c>
      <c r="L10" s="3"/>
      <c r="M10" s="3"/>
      <c r="N10" s="3"/>
      <c r="O10" s="3"/>
      <c r="P10" s="3"/>
      <c r="Q10" s="42"/>
      <c r="R10" s="3"/>
      <c r="S10" s="3"/>
      <c r="T10" s="3"/>
      <c r="U10" s="3"/>
      <c r="V10" s="46"/>
      <c r="W10" s="34">
        <v>1</v>
      </c>
      <c r="X10" s="3"/>
      <c r="Y10" s="38"/>
      <c r="Z10" s="3"/>
      <c r="AA10" s="3"/>
      <c r="AB10" s="3"/>
      <c r="AC10" s="3"/>
      <c r="AD10" s="3"/>
      <c r="AE10" s="3"/>
      <c r="AF10" s="3"/>
      <c r="AG10" s="3"/>
      <c r="AH10" s="3"/>
      <c r="AI10" s="3"/>
      <c r="AJ10" s="3"/>
      <c r="AK10" s="3"/>
      <c r="AL10" s="3"/>
      <c r="AM10" s="3">
        <v>1</v>
      </c>
      <c r="AN10" s="3">
        <v>1</v>
      </c>
      <c r="AO10" s="104">
        <f t="shared" si="3"/>
        <v>130</v>
      </c>
      <c r="AP10" s="2"/>
      <c r="AQ10" s="2"/>
      <c r="AR10" s="3"/>
      <c r="AS10" s="7" t="e">
        <f>F10/30/8*1.2*#REF!</f>
        <v>#REF!</v>
      </c>
      <c r="AT10" s="91">
        <f t="shared" si="4"/>
        <v>910</v>
      </c>
      <c r="AU10" s="120">
        <f t="shared" si="5"/>
        <v>910</v>
      </c>
      <c r="AV10" s="6"/>
      <c r="AW10" s="8"/>
      <c r="AX10" s="4"/>
      <c r="AY10" s="4"/>
      <c r="AZ10" s="55">
        <v>7</v>
      </c>
      <c r="BA10" s="52" t="str">
        <f t="shared" si="0"/>
        <v>CH07</v>
      </c>
      <c r="BB10" s="52" t="str">
        <f t="shared" si="1"/>
        <v>KRISHNARCHANA P J</v>
      </c>
      <c r="BC10" s="53">
        <f t="shared" si="2"/>
        <v>910</v>
      </c>
      <c r="BD10" s="55"/>
    </row>
    <row r="11" spans="1:56" s="1" customFormat="1" ht="22.5" customHeight="1" x14ac:dyDescent="0.25">
      <c r="A11" s="108" t="s">
        <v>16</v>
      </c>
      <c r="B11" s="107" t="s">
        <v>97</v>
      </c>
      <c r="C11" s="3">
        <v>4</v>
      </c>
      <c r="D11" s="3"/>
      <c r="E11" s="3"/>
      <c r="F11" s="3"/>
      <c r="G11" s="50"/>
      <c r="H11" s="3"/>
      <c r="I11" s="3"/>
      <c r="J11" s="3"/>
      <c r="K11" s="32">
        <v>1</v>
      </c>
      <c r="L11" s="3"/>
      <c r="M11" s="3"/>
      <c r="N11" s="3"/>
      <c r="O11" s="3"/>
      <c r="P11" s="3"/>
      <c r="Q11" s="42">
        <v>1</v>
      </c>
      <c r="R11" s="3"/>
      <c r="S11" s="3"/>
      <c r="T11" s="3"/>
      <c r="U11" s="3"/>
      <c r="V11" s="46"/>
      <c r="W11" s="34"/>
      <c r="X11" s="3"/>
      <c r="Y11" s="38"/>
      <c r="Z11" s="3"/>
      <c r="AA11" s="3"/>
      <c r="AB11" s="3"/>
      <c r="AC11" s="3"/>
      <c r="AD11" s="3"/>
      <c r="AE11" s="3"/>
      <c r="AF11" s="3">
        <v>0</v>
      </c>
      <c r="AG11" s="3"/>
      <c r="AH11" s="3"/>
      <c r="AI11" s="3"/>
      <c r="AJ11" s="3"/>
      <c r="AK11" s="3"/>
      <c r="AL11" s="3"/>
      <c r="AM11" s="3">
        <v>1</v>
      </c>
      <c r="AN11" s="3">
        <v>1</v>
      </c>
      <c r="AO11" s="104">
        <f t="shared" si="3"/>
        <v>80</v>
      </c>
      <c r="AP11" s="2"/>
      <c r="AQ11" s="2"/>
      <c r="AR11" s="3"/>
      <c r="AS11" s="7" t="e">
        <f>F11/30/8*1.2*#REF!</f>
        <v>#REF!</v>
      </c>
      <c r="AT11" s="91">
        <f t="shared" si="4"/>
        <v>640</v>
      </c>
      <c r="AU11" s="120">
        <f t="shared" si="5"/>
        <v>640</v>
      </c>
      <c r="AV11" s="6"/>
      <c r="AW11" s="8"/>
      <c r="AX11" s="4"/>
      <c r="AY11" s="4"/>
      <c r="AZ11" s="55">
        <v>8</v>
      </c>
      <c r="BA11" s="52" t="str">
        <f t="shared" si="0"/>
        <v>CH08</v>
      </c>
      <c r="BB11" s="52" t="str">
        <f t="shared" si="1"/>
        <v>SIFA C FRANCIS</v>
      </c>
      <c r="BC11" s="53">
        <f t="shared" si="2"/>
        <v>640</v>
      </c>
      <c r="BD11" s="55"/>
    </row>
    <row r="12" spans="1:56" s="1" customFormat="1" ht="22.5" customHeight="1" x14ac:dyDescent="0.25">
      <c r="A12" s="108" t="s">
        <v>17</v>
      </c>
      <c r="B12" s="107" t="s">
        <v>98</v>
      </c>
      <c r="C12" s="3">
        <v>1</v>
      </c>
      <c r="D12" s="3"/>
      <c r="E12" s="3"/>
      <c r="F12" s="3"/>
      <c r="G12" s="50"/>
      <c r="H12" s="3"/>
      <c r="I12" s="3"/>
      <c r="J12" s="3"/>
      <c r="K12" s="32">
        <v>1</v>
      </c>
      <c r="L12" s="3"/>
      <c r="M12" s="3"/>
      <c r="N12" s="3"/>
      <c r="O12" s="3"/>
      <c r="P12" s="3"/>
      <c r="Q12" s="42"/>
      <c r="R12" s="3"/>
      <c r="S12" s="3"/>
      <c r="T12" s="3"/>
      <c r="U12" s="3"/>
      <c r="V12" s="46"/>
      <c r="W12" s="34"/>
      <c r="X12" s="3"/>
      <c r="Y12" s="38"/>
      <c r="Z12" s="3"/>
      <c r="AA12" s="3"/>
      <c r="AB12" s="3"/>
      <c r="AC12" s="3"/>
      <c r="AD12" s="3"/>
      <c r="AE12" s="3"/>
      <c r="AF12" s="3"/>
      <c r="AG12" s="3"/>
      <c r="AH12" s="3"/>
      <c r="AI12" s="51"/>
      <c r="AJ12" s="3"/>
      <c r="AK12" s="3"/>
      <c r="AL12" s="3"/>
      <c r="AM12" s="3">
        <v>1</v>
      </c>
      <c r="AN12" s="3">
        <v>1</v>
      </c>
      <c r="AO12" s="104">
        <f t="shared" si="3"/>
        <v>30</v>
      </c>
      <c r="AP12" s="2"/>
      <c r="AQ12" s="2"/>
      <c r="AR12" s="3"/>
      <c r="AS12" s="7" t="e">
        <f>F12/30/8*1.2*#REF!</f>
        <v>#REF!</v>
      </c>
      <c r="AT12" s="91">
        <f t="shared" si="4"/>
        <v>280</v>
      </c>
      <c r="AU12" s="120">
        <f t="shared" si="5"/>
        <v>280</v>
      </c>
      <c r="AV12" s="6"/>
      <c r="AW12" s="8"/>
      <c r="AX12" s="4"/>
      <c r="AY12" s="4"/>
      <c r="AZ12" s="55">
        <v>9</v>
      </c>
      <c r="BA12" s="52" t="str">
        <f t="shared" si="0"/>
        <v>CH09</v>
      </c>
      <c r="BB12" s="52" t="str">
        <f t="shared" si="1"/>
        <v>SOUMYA SUDHAKARAN</v>
      </c>
      <c r="BC12" s="53">
        <f t="shared" si="2"/>
        <v>280</v>
      </c>
      <c r="BD12" s="55"/>
    </row>
    <row r="13" spans="1:56" s="1" customFormat="1" ht="22.5" customHeight="1" x14ac:dyDescent="0.25">
      <c r="A13" s="108" t="s">
        <v>18</v>
      </c>
      <c r="B13" s="107" t="s">
        <v>99</v>
      </c>
      <c r="C13" s="3">
        <v>4</v>
      </c>
      <c r="D13" s="3"/>
      <c r="E13" s="3"/>
      <c r="F13" s="3"/>
      <c r="G13" s="50"/>
      <c r="H13" s="3"/>
      <c r="I13" s="3"/>
      <c r="J13" s="3"/>
      <c r="K13" s="32">
        <v>1</v>
      </c>
      <c r="L13" s="3"/>
      <c r="M13" s="3"/>
      <c r="N13" s="3"/>
      <c r="O13" s="3"/>
      <c r="P13" s="3"/>
      <c r="Q13" s="42"/>
      <c r="R13" s="3"/>
      <c r="S13" s="3"/>
      <c r="T13" s="3"/>
      <c r="U13" s="3"/>
      <c r="V13" s="46">
        <v>1</v>
      </c>
      <c r="W13" s="34"/>
      <c r="X13" s="3"/>
      <c r="Y13" s="38"/>
      <c r="Z13" s="3"/>
      <c r="AA13" s="3"/>
      <c r="AB13" s="3"/>
      <c r="AC13" s="3"/>
      <c r="AD13" s="3"/>
      <c r="AE13" s="3"/>
      <c r="AF13" s="3"/>
      <c r="AG13" s="3"/>
      <c r="AH13" s="3"/>
      <c r="AI13" s="3"/>
      <c r="AJ13" s="3"/>
      <c r="AK13" s="3"/>
      <c r="AL13" s="3"/>
      <c r="AM13" s="3">
        <v>1</v>
      </c>
      <c r="AN13" s="3">
        <v>1</v>
      </c>
      <c r="AO13" s="104">
        <f t="shared" si="3"/>
        <v>70</v>
      </c>
      <c r="AP13" s="2"/>
      <c r="AQ13" s="2"/>
      <c r="AR13" s="3"/>
      <c r="AS13" s="7" t="e">
        <f>F13/30/8*1.2*#REF!</f>
        <v>#REF!</v>
      </c>
      <c r="AT13" s="91">
        <f t="shared" si="4"/>
        <v>580</v>
      </c>
      <c r="AU13" s="120">
        <f t="shared" si="5"/>
        <v>580</v>
      </c>
      <c r="AV13" s="6"/>
      <c r="AW13" s="8"/>
      <c r="AX13" s="4"/>
      <c r="AY13" s="4"/>
      <c r="AZ13" s="55">
        <v>10</v>
      </c>
      <c r="BA13" s="52" t="str">
        <f t="shared" si="0"/>
        <v>CH10</v>
      </c>
      <c r="BB13" s="52" t="str">
        <f t="shared" si="1"/>
        <v>KAVYAMOL K S</v>
      </c>
      <c r="BC13" s="53">
        <f t="shared" si="2"/>
        <v>580</v>
      </c>
      <c r="BD13" s="55"/>
    </row>
    <row r="14" spans="1:56" s="1" customFormat="1" ht="22.5" customHeight="1" x14ac:dyDescent="0.25">
      <c r="A14" s="108" t="s">
        <v>101</v>
      </c>
      <c r="B14" s="107" t="s">
        <v>102</v>
      </c>
      <c r="C14" s="3">
        <v>11</v>
      </c>
      <c r="D14" s="3"/>
      <c r="E14" s="3"/>
      <c r="F14" s="3"/>
      <c r="G14" s="50"/>
      <c r="H14" s="3"/>
      <c r="I14" s="3"/>
      <c r="J14" s="3"/>
      <c r="K14" s="32">
        <v>1</v>
      </c>
      <c r="L14" s="3"/>
      <c r="M14" s="3">
        <v>2</v>
      </c>
      <c r="N14" s="3"/>
      <c r="O14" s="3"/>
      <c r="P14" s="3"/>
      <c r="Q14" s="42"/>
      <c r="R14" s="3"/>
      <c r="S14" s="3"/>
      <c r="T14" s="3"/>
      <c r="U14" s="3"/>
      <c r="V14" s="46">
        <v>1</v>
      </c>
      <c r="W14" s="34"/>
      <c r="X14" s="3"/>
      <c r="Y14" s="38"/>
      <c r="Z14" s="3"/>
      <c r="AA14" s="3"/>
      <c r="AB14" s="3"/>
      <c r="AC14" s="3"/>
      <c r="AD14" s="3"/>
      <c r="AE14" s="3"/>
      <c r="AF14" s="3">
        <v>1</v>
      </c>
      <c r="AG14" s="3"/>
      <c r="AH14" s="3"/>
      <c r="AI14" s="3"/>
      <c r="AJ14" s="3"/>
      <c r="AK14" s="3">
        <v>1</v>
      </c>
      <c r="AL14" s="3"/>
      <c r="AM14" s="3">
        <v>1</v>
      </c>
      <c r="AN14" s="3">
        <v>1</v>
      </c>
      <c r="AO14" s="104">
        <f t="shared" si="3"/>
        <v>345</v>
      </c>
      <c r="AP14" s="2"/>
      <c r="AQ14" s="2"/>
      <c r="AR14" s="3"/>
      <c r="AS14" s="7"/>
      <c r="AT14" s="91">
        <f t="shared" si="4"/>
        <v>1495</v>
      </c>
      <c r="AU14" s="120">
        <f t="shared" si="5"/>
        <v>1495</v>
      </c>
      <c r="AV14" s="6"/>
      <c r="AW14" s="8"/>
      <c r="AX14" s="4"/>
      <c r="AY14" s="4"/>
      <c r="AZ14" s="55">
        <v>11</v>
      </c>
      <c r="BA14" s="52" t="str">
        <f t="shared" si="0"/>
        <v>CH11</v>
      </c>
      <c r="BB14" s="52" t="str">
        <f t="shared" si="1"/>
        <v>SREELAKSHMY J</v>
      </c>
      <c r="BC14" s="53">
        <f t="shared" si="2"/>
        <v>1495</v>
      </c>
      <c r="BD14" s="55"/>
    </row>
    <row r="15" spans="1:56" s="1" customFormat="1" ht="22.5" customHeight="1" x14ac:dyDescent="0.25">
      <c r="A15" s="108" t="s">
        <v>19</v>
      </c>
      <c r="B15" s="107" t="s">
        <v>103</v>
      </c>
      <c r="C15" s="3"/>
      <c r="D15" s="3">
        <v>1</v>
      </c>
      <c r="E15" s="3"/>
      <c r="F15" s="3"/>
      <c r="G15" s="50"/>
      <c r="H15" s="3"/>
      <c r="I15" s="3"/>
      <c r="J15" s="3"/>
      <c r="K15" s="32">
        <v>1</v>
      </c>
      <c r="L15" s="3"/>
      <c r="M15" s="3"/>
      <c r="N15" s="3"/>
      <c r="O15" s="3"/>
      <c r="P15" s="3"/>
      <c r="Q15" s="42"/>
      <c r="R15" s="3"/>
      <c r="S15" s="3"/>
      <c r="T15" s="3"/>
      <c r="U15" s="3"/>
      <c r="V15" s="46">
        <v>1</v>
      </c>
      <c r="W15" s="34"/>
      <c r="X15" s="3"/>
      <c r="Y15" s="38"/>
      <c r="Z15" s="3"/>
      <c r="AA15" s="3"/>
      <c r="AB15" s="3"/>
      <c r="AC15" s="3"/>
      <c r="AD15" s="3"/>
      <c r="AE15" s="3"/>
      <c r="AF15" s="3"/>
      <c r="AG15" s="3"/>
      <c r="AH15" s="3"/>
      <c r="AI15" s="3"/>
      <c r="AJ15" s="3"/>
      <c r="AK15" s="3"/>
      <c r="AL15" s="3"/>
      <c r="AM15" s="3">
        <v>1</v>
      </c>
      <c r="AN15" s="3">
        <v>1</v>
      </c>
      <c r="AO15" s="104">
        <f t="shared" si="3"/>
        <v>70</v>
      </c>
      <c r="AP15" s="2"/>
      <c r="AQ15" s="2"/>
      <c r="AR15" s="3"/>
      <c r="AS15" s="7"/>
      <c r="AT15" s="91">
        <f t="shared" si="4"/>
        <v>530</v>
      </c>
      <c r="AU15" s="120">
        <f t="shared" si="5"/>
        <v>530</v>
      </c>
      <c r="AV15" s="6"/>
      <c r="AW15" s="8"/>
      <c r="AX15" s="4"/>
      <c r="AY15" s="4"/>
      <c r="AZ15" s="55">
        <v>12</v>
      </c>
      <c r="BA15" s="52" t="str">
        <f t="shared" si="0"/>
        <v>CH12</v>
      </c>
      <c r="BB15" s="52" t="str">
        <f t="shared" si="1"/>
        <v>SUSMITHA K</v>
      </c>
      <c r="BC15" s="53">
        <f t="shared" si="2"/>
        <v>530</v>
      </c>
      <c r="BD15" s="55"/>
    </row>
    <row r="16" spans="1:56" s="1" customFormat="1" ht="22.5" customHeight="1" x14ac:dyDescent="0.25">
      <c r="A16" s="108" t="s">
        <v>20</v>
      </c>
      <c r="B16" s="107" t="s">
        <v>104</v>
      </c>
      <c r="C16" s="3">
        <v>2</v>
      </c>
      <c r="D16" s="3"/>
      <c r="E16" s="3"/>
      <c r="F16" s="3">
        <v>1</v>
      </c>
      <c r="G16" s="50"/>
      <c r="H16" s="3"/>
      <c r="I16" s="3"/>
      <c r="J16" s="3"/>
      <c r="K16" s="32">
        <v>1</v>
      </c>
      <c r="L16" s="3"/>
      <c r="M16" s="3"/>
      <c r="N16" s="3"/>
      <c r="O16" s="3"/>
      <c r="P16" s="3"/>
      <c r="Q16" s="42">
        <v>1</v>
      </c>
      <c r="R16" s="3"/>
      <c r="S16" s="3"/>
      <c r="T16" s="3"/>
      <c r="U16" s="3"/>
      <c r="V16" s="46"/>
      <c r="W16" s="34"/>
      <c r="X16" s="3"/>
      <c r="Y16" s="38"/>
      <c r="Z16" s="3"/>
      <c r="AA16" s="3"/>
      <c r="AB16" s="3"/>
      <c r="AC16" s="3"/>
      <c r="AD16" s="3"/>
      <c r="AE16" s="3"/>
      <c r="AF16" s="3"/>
      <c r="AG16" s="3"/>
      <c r="AH16" s="3"/>
      <c r="AI16" s="3"/>
      <c r="AJ16" s="3"/>
      <c r="AK16" s="3"/>
      <c r="AL16" s="3"/>
      <c r="AM16" s="3">
        <v>1</v>
      </c>
      <c r="AN16" s="3">
        <v>1</v>
      </c>
      <c r="AO16" s="104">
        <f t="shared" si="3"/>
        <v>380</v>
      </c>
      <c r="AP16" s="2"/>
      <c r="AQ16" s="2"/>
      <c r="AR16" s="3"/>
      <c r="AS16" s="7"/>
      <c r="AT16" s="91">
        <f t="shared" si="4"/>
        <v>940</v>
      </c>
      <c r="AU16" s="120">
        <f t="shared" si="5"/>
        <v>940</v>
      </c>
      <c r="AV16" s="6"/>
      <c r="AW16" s="8"/>
      <c r="AX16" s="4"/>
      <c r="AY16" s="4"/>
      <c r="AZ16" s="55">
        <v>13</v>
      </c>
      <c r="BA16" s="52" t="str">
        <f t="shared" si="0"/>
        <v>CH13</v>
      </c>
      <c r="BB16" s="52" t="str">
        <f t="shared" si="1"/>
        <v>STINIYA T D</v>
      </c>
      <c r="BC16" s="53">
        <f t="shared" si="2"/>
        <v>940</v>
      </c>
      <c r="BD16" s="55"/>
    </row>
    <row r="17" spans="1:56" s="1" customFormat="1" ht="22.5" customHeight="1" x14ac:dyDescent="0.25">
      <c r="A17" s="108" t="s">
        <v>21</v>
      </c>
      <c r="B17" s="107" t="s">
        <v>105</v>
      </c>
      <c r="C17" s="3">
        <v>2</v>
      </c>
      <c r="D17" s="3">
        <v>1</v>
      </c>
      <c r="E17" s="3"/>
      <c r="F17" s="3"/>
      <c r="G17" s="50"/>
      <c r="H17" s="3"/>
      <c r="I17" s="3"/>
      <c r="J17" s="3"/>
      <c r="K17" s="32">
        <v>1</v>
      </c>
      <c r="L17" s="3"/>
      <c r="M17" s="3"/>
      <c r="N17" s="3"/>
      <c r="O17" s="3"/>
      <c r="P17" s="3"/>
      <c r="Q17" s="42"/>
      <c r="R17" s="3"/>
      <c r="S17" s="3"/>
      <c r="T17" s="3"/>
      <c r="U17" s="3"/>
      <c r="V17" s="46"/>
      <c r="W17" s="34"/>
      <c r="X17" s="3"/>
      <c r="Y17" s="38"/>
      <c r="Z17" s="3"/>
      <c r="AA17" s="3"/>
      <c r="AB17" s="3"/>
      <c r="AC17" s="3"/>
      <c r="AD17" s="3"/>
      <c r="AE17" s="3"/>
      <c r="AF17" s="3"/>
      <c r="AG17" s="3"/>
      <c r="AH17" s="3"/>
      <c r="AI17" s="3"/>
      <c r="AJ17" s="3"/>
      <c r="AK17" s="3">
        <v>1</v>
      </c>
      <c r="AL17" s="3"/>
      <c r="AM17" s="3">
        <v>1</v>
      </c>
      <c r="AN17" s="3">
        <v>1</v>
      </c>
      <c r="AO17" s="104">
        <f t="shared" si="3"/>
        <v>50</v>
      </c>
      <c r="AP17" s="2"/>
      <c r="AQ17" s="2"/>
      <c r="AR17" s="3"/>
      <c r="AS17" s="7" t="e">
        <f>F17/30/8*1.2*#REF!</f>
        <v>#REF!</v>
      </c>
      <c r="AT17" s="91">
        <f t="shared" si="4"/>
        <v>550</v>
      </c>
      <c r="AU17" s="120">
        <f t="shared" si="5"/>
        <v>550</v>
      </c>
      <c r="AV17" s="6"/>
      <c r="AW17" s="8"/>
      <c r="AX17" s="4"/>
      <c r="AY17" s="4"/>
      <c r="AZ17" s="55">
        <v>14</v>
      </c>
      <c r="BA17" s="52" t="str">
        <f t="shared" si="0"/>
        <v>CH14</v>
      </c>
      <c r="BB17" s="52" t="str">
        <f t="shared" si="1"/>
        <v>JENETT P J</v>
      </c>
      <c r="BC17" s="53">
        <f t="shared" si="2"/>
        <v>550</v>
      </c>
      <c r="BD17" s="55"/>
    </row>
    <row r="18" spans="1:56" s="4" customFormat="1" ht="22.5" customHeight="1" x14ac:dyDescent="0.25">
      <c r="A18" s="116"/>
      <c r="B18" s="122" t="s">
        <v>111</v>
      </c>
      <c r="C18" s="122"/>
      <c r="D18" s="122"/>
      <c r="E18" s="122"/>
      <c r="F18" s="122"/>
      <c r="G18" s="122"/>
      <c r="H18" s="122">
        <v>3</v>
      </c>
      <c r="I18" s="122"/>
      <c r="J18" s="122"/>
      <c r="K18" s="122"/>
      <c r="L18" s="122"/>
      <c r="M18" s="122"/>
      <c r="N18" s="122"/>
      <c r="O18" s="122"/>
      <c r="P18" s="122">
        <v>3</v>
      </c>
      <c r="Q18" s="122"/>
      <c r="R18" s="122"/>
      <c r="S18" s="122"/>
      <c r="T18" s="122">
        <v>0</v>
      </c>
      <c r="U18" s="122"/>
      <c r="V18" s="122"/>
      <c r="W18" s="122"/>
      <c r="X18" s="122"/>
      <c r="Y18" s="122">
        <v>2</v>
      </c>
      <c r="Z18" s="122"/>
      <c r="AA18" s="122"/>
      <c r="AB18" s="122"/>
      <c r="AC18" s="122"/>
      <c r="AD18" s="122"/>
      <c r="AE18" s="122"/>
      <c r="AF18" s="122"/>
      <c r="AG18" s="122"/>
      <c r="AH18" s="122"/>
      <c r="AI18" s="122"/>
      <c r="AJ18" s="122"/>
      <c r="AK18" s="122"/>
      <c r="AL18" s="122"/>
      <c r="AM18" s="122"/>
      <c r="AN18" s="122"/>
      <c r="AO18" s="123"/>
      <c r="AP18" s="94"/>
      <c r="AQ18" s="94"/>
      <c r="AR18" s="122"/>
      <c r="AS18" s="123"/>
      <c r="AT18" s="124">
        <f>SUMPRODUCT(20*C18+30*D18+40*E18+40*F18+200*G18+250*H18+300*I18+15*J18+30*K18+40*L18+50*M18+5*N18+5*O18+20*P18+250*Q18+200*R18+225*S18+250*T18+275*U18+200*V18+300*W18+400*X18+1000*Y18+10*Z18+2000*AA18+50*AB18+30*AC18+500*AD18+50*AE18+200*AF18+300*AG18+400*AH18+400*AI18+400*AJ18+200*AK18+10*AL18+AM17*AM18+AO18+AP18*AP4)</f>
        <v>2810</v>
      </c>
      <c r="AU18" s="120">
        <v>0</v>
      </c>
      <c r="AV18" s="123">
        <f>AT18/14</f>
        <v>200.71428571428572</v>
      </c>
      <c r="AW18" s="125"/>
      <c r="AZ18" s="55"/>
      <c r="BA18" s="52"/>
      <c r="BB18" s="52"/>
      <c r="BC18" s="53">
        <f>SUM(BC4:BC17)</f>
        <v>11685</v>
      </c>
      <c r="BD18" s="126"/>
    </row>
    <row r="19" spans="1:56" s="1" customFormat="1" ht="22.5" customHeight="1" x14ac:dyDescent="0.25">
      <c r="A19" s="109"/>
      <c r="B19" s="121"/>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110"/>
      <c r="AP19" s="111"/>
      <c r="AQ19" s="111"/>
      <c r="AR19" s="38"/>
      <c r="AS19" s="110"/>
      <c r="AT19" s="112" t="s">
        <v>5</v>
      </c>
      <c r="AU19" s="112">
        <f>SUM(AU4:AU18)</f>
        <v>11685</v>
      </c>
      <c r="AV19" s="6"/>
      <c r="AW19" s="8"/>
      <c r="AX19" s="4"/>
      <c r="AY19" s="4"/>
      <c r="AZ19" s="55"/>
      <c r="BA19" s="52"/>
      <c r="BB19" s="52"/>
      <c r="BC19" s="53"/>
      <c r="BD19" s="55"/>
    </row>
    <row r="20" spans="1:56" s="1" customFormat="1" ht="22.5" customHeight="1" x14ac:dyDescent="0.25">
      <c r="A20" s="116" t="s">
        <v>74</v>
      </c>
      <c r="B20" s="117" t="s">
        <v>90</v>
      </c>
      <c r="C20" s="3">
        <v>4</v>
      </c>
      <c r="D20" s="3"/>
      <c r="E20" s="3"/>
      <c r="F20" s="3"/>
      <c r="G20" s="50"/>
      <c r="H20" s="3"/>
      <c r="I20" s="3"/>
      <c r="J20" s="3"/>
      <c r="K20" s="32">
        <v>1</v>
      </c>
      <c r="L20" s="3"/>
      <c r="M20" s="3"/>
      <c r="N20" s="3"/>
      <c r="O20" s="3"/>
      <c r="P20" s="3"/>
      <c r="Q20" s="42"/>
      <c r="R20" s="3"/>
      <c r="S20" s="3"/>
      <c r="T20" s="3"/>
      <c r="U20" s="3"/>
      <c r="V20" s="46"/>
      <c r="W20" s="34"/>
      <c r="X20" s="3"/>
      <c r="Y20" s="38"/>
      <c r="Z20" s="3"/>
      <c r="AA20" s="3"/>
      <c r="AB20" s="3"/>
      <c r="AC20" s="3"/>
      <c r="AD20" s="3"/>
      <c r="AE20" s="3"/>
      <c r="AF20" s="3"/>
      <c r="AG20" s="3"/>
      <c r="AH20" s="3"/>
      <c r="AI20" s="3"/>
      <c r="AJ20" s="3"/>
      <c r="AK20" s="3"/>
      <c r="AL20" s="3"/>
      <c r="AM20" s="3"/>
      <c r="AN20" s="3"/>
      <c r="AO20" s="2"/>
      <c r="AP20" s="2"/>
      <c r="AQ20" s="2"/>
      <c r="AR20" s="3"/>
      <c r="AS20" s="7"/>
      <c r="AT20" s="91">
        <f>SUMPRODUCT(20*C20+30*D20+40*E20+40*F20+200*G20+250*H20+300*I20+15*J20+30*K20+40*L20+50*M20+5*N20+5*O20+20*P20+250*Q20+200*R20+225*S20+250*T20+275*U20+200*V20+300*W20+400*X20+1000*Y20+10*Z20+2000*AA20+50*AB20+30*AC20+500*AD20+50*AE20+200*AF20+300*AG20+400*AH20+400*AI20+400*AJ20+200*AK20+10*AL20+AM18*AM20)</f>
        <v>110</v>
      </c>
      <c r="AU20" s="91"/>
      <c r="AV20" s="6"/>
      <c r="AW20" s="8"/>
      <c r="AX20" s="4"/>
      <c r="AY20" s="4"/>
      <c r="AZ20" s="55"/>
      <c r="BA20" s="52"/>
      <c r="BB20" s="52"/>
      <c r="BC20" s="53"/>
      <c r="BD20" s="55"/>
    </row>
    <row r="21" spans="1:56" s="1" customFormat="1" ht="22.5" customHeight="1" x14ac:dyDescent="0.25">
      <c r="A21" s="116" t="s">
        <v>106</v>
      </c>
      <c r="B21" s="117" t="s">
        <v>91</v>
      </c>
      <c r="C21" s="3"/>
      <c r="D21" s="3"/>
      <c r="E21" s="3">
        <v>1</v>
      </c>
      <c r="F21" s="3"/>
      <c r="G21" s="50"/>
      <c r="H21" s="3"/>
      <c r="I21" s="3"/>
      <c r="J21" s="3"/>
      <c r="K21" s="32">
        <v>1</v>
      </c>
      <c r="L21" s="3"/>
      <c r="M21" s="3"/>
      <c r="N21" s="3"/>
      <c r="O21" s="3"/>
      <c r="P21" s="3"/>
      <c r="Q21" s="42"/>
      <c r="R21" s="3"/>
      <c r="S21" s="3"/>
      <c r="T21" s="3"/>
      <c r="U21" s="3"/>
      <c r="V21" s="46"/>
      <c r="W21" s="34"/>
      <c r="X21" s="3"/>
      <c r="Y21" s="38"/>
      <c r="Z21" s="3"/>
      <c r="AA21" s="3"/>
      <c r="AB21" s="3"/>
      <c r="AC21" s="3"/>
      <c r="AD21" s="3"/>
      <c r="AE21" s="3"/>
      <c r="AF21" s="3"/>
      <c r="AG21" s="3"/>
      <c r="AH21" s="3"/>
      <c r="AI21" s="3"/>
      <c r="AJ21" s="3"/>
      <c r="AK21" s="3"/>
      <c r="AL21" s="3"/>
      <c r="AM21" s="3"/>
      <c r="AN21" s="3"/>
      <c r="AO21" s="2"/>
      <c r="AP21" s="2"/>
      <c r="AQ21" s="2"/>
      <c r="AR21" s="3"/>
      <c r="AS21" s="7"/>
      <c r="AT21" s="91">
        <f t="shared" ref="AT21:AT35" si="6">SUMPRODUCT(20*C21+30*D21+40*E21+40*F21+200*G21+250*H21+300*I21+15*J21+30*K21+40*L21+50*M21+5*N21+5*O21+20*P21+250*Q21+200*R21+225*S21+250*T21+275*U21+200*V21+300*W21+400*X21+1000*Y21+10*Z21+2000*AA21+50*AB21+30*AC21+500*AD21+50*AE21+200*AF21+300*AG21+400*AH21+400*AI21+400*AJ21+200*AK21+10*AL21+AM20*AM21)</f>
        <v>70</v>
      </c>
      <c r="AU21" s="91"/>
      <c r="AV21" s="6"/>
      <c r="AW21" s="8"/>
      <c r="AX21" s="4"/>
      <c r="AY21" s="4"/>
      <c r="AZ21" s="55"/>
      <c r="BA21" s="52"/>
      <c r="BB21" s="52"/>
      <c r="BC21" s="53"/>
      <c r="BD21" s="55"/>
    </row>
    <row r="22" spans="1:56" s="1" customFormat="1" ht="22.5" customHeight="1" x14ac:dyDescent="0.25">
      <c r="A22" s="116" t="s">
        <v>75</v>
      </c>
      <c r="B22" s="117" t="s">
        <v>92</v>
      </c>
      <c r="C22" s="3">
        <v>2</v>
      </c>
      <c r="D22" s="3"/>
      <c r="E22" s="3"/>
      <c r="F22" s="3"/>
      <c r="G22" s="50">
        <v>1</v>
      </c>
      <c r="H22" s="3"/>
      <c r="I22" s="3"/>
      <c r="J22" s="3"/>
      <c r="K22" s="32">
        <v>1</v>
      </c>
      <c r="L22" s="3"/>
      <c r="M22" s="3"/>
      <c r="N22" s="3"/>
      <c r="O22" s="3"/>
      <c r="P22" s="3"/>
      <c r="Q22" s="42"/>
      <c r="R22" s="3"/>
      <c r="S22" s="3"/>
      <c r="T22" s="3"/>
      <c r="U22" s="3"/>
      <c r="V22" s="46"/>
      <c r="W22" s="34"/>
      <c r="X22" s="3"/>
      <c r="Y22" s="38"/>
      <c r="Z22" s="3"/>
      <c r="AA22" s="3"/>
      <c r="AB22" s="3"/>
      <c r="AC22" s="3"/>
      <c r="AD22" s="3"/>
      <c r="AE22" s="3"/>
      <c r="AF22" s="3"/>
      <c r="AG22" s="3"/>
      <c r="AH22" s="3"/>
      <c r="AI22" s="3"/>
      <c r="AJ22" s="3"/>
      <c r="AK22" s="3"/>
      <c r="AL22" s="3"/>
      <c r="AM22" s="3"/>
      <c r="AN22" s="3"/>
      <c r="AO22" s="2"/>
      <c r="AP22" s="2"/>
      <c r="AQ22" s="2"/>
      <c r="AR22" s="3"/>
      <c r="AS22" s="7"/>
      <c r="AT22" s="91">
        <f t="shared" si="6"/>
        <v>270</v>
      </c>
      <c r="AU22" s="91"/>
      <c r="AV22" s="6"/>
      <c r="AW22" s="8"/>
      <c r="AX22" s="4"/>
      <c r="AY22" s="4"/>
      <c r="AZ22" s="55"/>
      <c r="BA22" s="52"/>
      <c r="BB22" s="52"/>
      <c r="BC22" s="53"/>
      <c r="BD22" s="55"/>
    </row>
    <row r="23" spans="1:56" s="1" customFormat="1" ht="22.5" customHeight="1" x14ac:dyDescent="0.25">
      <c r="A23" s="116" t="s">
        <v>76</v>
      </c>
      <c r="B23" s="117" t="s">
        <v>93</v>
      </c>
      <c r="C23" s="3">
        <v>2</v>
      </c>
      <c r="D23" s="3"/>
      <c r="E23" s="3"/>
      <c r="F23" s="3"/>
      <c r="G23" s="50"/>
      <c r="H23" s="3"/>
      <c r="I23" s="3"/>
      <c r="J23" s="3"/>
      <c r="K23" s="32">
        <v>1</v>
      </c>
      <c r="L23" s="3"/>
      <c r="M23" s="3"/>
      <c r="N23" s="3"/>
      <c r="O23" s="3"/>
      <c r="P23" s="3"/>
      <c r="Q23" s="42"/>
      <c r="R23" s="3"/>
      <c r="S23" s="3"/>
      <c r="T23" s="3"/>
      <c r="U23" s="3"/>
      <c r="V23" s="46"/>
      <c r="W23" s="34"/>
      <c r="X23" s="3"/>
      <c r="Y23" s="38"/>
      <c r="Z23" s="3"/>
      <c r="AA23" s="3"/>
      <c r="AB23" s="3"/>
      <c r="AC23" s="3"/>
      <c r="AD23" s="3"/>
      <c r="AE23" s="3"/>
      <c r="AF23" s="3"/>
      <c r="AG23" s="3"/>
      <c r="AH23" s="3"/>
      <c r="AI23" s="3"/>
      <c r="AJ23" s="3"/>
      <c r="AK23" s="3"/>
      <c r="AL23" s="3"/>
      <c r="AM23" s="3"/>
      <c r="AN23" s="3"/>
      <c r="AO23" s="2"/>
      <c r="AP23" s="2"/>
      <c r="AQ23" s="2"/>
      <c r="AR23" s="3"/>
      <c r="AS23" s="7"/>
      <c r="AT23" s="91">
        <f t="shared" si="6"/>
        <v>70</v>
      </c>
      <c r="AU23" s="91"/>
      <c r="AV23" s="6"/>
      <c r="AW23" s="8"/>
      <c r="AX23" s="4"/>
      <c r="AY23" s="4"/>
      <c r="AZ23" s="55"/>
      <c r="BA23" s="52"/>
      <c r="BB23" s="52"/>
      <c r="BC23" s="53"/>
      <c r="BD23" s="55"/>
    </row>
    <row r="24" spans="1:56" s="1" customFormat="1" ht="22.5" customHeight="1" x14ac:dyDescent="0.25">
      <c r="A24" s="116" t="s">
        <v>77</v>
      </c>
      <c r="B24" s="117" t="s">
        <v>94</v>
      </c>
      <c r="C24" s="3">
        <v>4</v>
      </c>
      <c r="D24" s="3"/>
      <c r="E24" s="3"/>
      <c r="F24" s="3"/>
      <c r="G24" s="50"/>
      <c r="H24" s="3"/>
      <c r="I24" s="3"/>
      <c r="J24" s="3"/>
      <c r="K24" s="32">
        <v>1</v>
      </c>
      <c r="L24" s="3"/>
      <c r="M24" s="3"/>
      <c r="N24" s="3"/>
      <c r="O24" s="3"/>
      <c r="P24" s="3"/>
      <c r="Q24" s="42"/>
      <c r="R24" s="3"/>
      <c r="S24" s="3"/>
      <c r="T24" s="3"/>
      <c r="U24" s="3"/>
      <c r="V24" s="46"/>
      <c r="W24" s="34"/>
      <c r="X24" s="3"/>
      <c r="Y24" s="38"/>
      <c r="Z24" s="3"/>
      <c r="AA24" s="3"/>
      <c r="AB24" s="3"/>
      <c r="AC24" s="3"/>
      <c r="AD24" s="3"/>
      <c r="AE24" s="3"/>
      <c r="AF24" s="3"/>
      <c r="AG24" s="3"/>
      <c r="AH24" s="3"/>
      <c r="AI24" s="3"/>
      <c r="AJ24" s="3"/>
      <c r="AK24" s="3"/>
      <c r="AL24" s="3"/>
      <c r="AM24" s="3"/>
      <c r="AN24" s="3"/>
      <c r="AO24" s="2"/>
      <c r="AP24" s="2"/>
      <c r="AQ24" s="2"/>
      <c r="AR24" s="3"/>
      <c r="AS24" s="7"/>
      <c r="AT24" s="91">
        <f t="shared" si="6"/>
        <v>110</v>
      </c>
      <c r="AU24" s="91"/>
      <c r="AV24" s="6"/>
      <c r="AW24" s="8"/>
      <c r="AX24" s="4"/>
      <c r="AY24" s="4"/>
      <c r="AZ24" s="55"/>
      <c r="BA24" s="52"/>
      <c r="BB24" s="52"/>
      <c r="BC24" s="53"/>
      <c r="BD24" s="55"/>
    </row>
    <row r="25" spans="1:56" s="1" customFormat="1" ht="22.5" customHeight="1" x14ac:dyDescent="0.25">
      <c r="A25" s="116" t="s">
        <v>78</v>
      </c>
      <c r="B25" s="117" t="s">
        <v>95</v>
      </c>
      <c r="C25" s="3">
        <v>2</v>
      </c>
      <c r="D25" s="3"/>
      <c r="E25" s="3"/>
      <c r="F25" s="3"/>
      <c r="G25" s="50"/>
      <c r="H25" s="3"/>
      <c r="I25" s="3"/>
      <c r="J25" s="3"/>
      <c r="K25" s="32">
        <v>1</v>
      </c>
      <c r="L25" s="3"/>
      <c r="M25" s="3"/>
      <c r="N25" s="3"/>
      <c r="O25" s="3"/>
      <c r="P25" s="3"/>
      <c r="Q25" s="42"/>
      <c r="R25" s="3"/>
      <c r="S25" s="3"/>
      <c r="T25" s="3"/>
      <c r="U25" s="3"/>
      <c r="V25" s="46"/>
      <c r="W25" s="34"/>
      <c r="X25" s="3"/>
      <c r="Y25" s="38"/>
      <c r="Z25" s="3"/>
      <c r="AA25" s="3"/>
      <c r="AB25" s="3"/>
      <c r="AC25" s="3"/>
      <c r="AD25" s="3"/>
      <c r="AE25" s="3"/>
      <c r="AF25" s="3"/>
      <c r="AG25" s="3"/>
      <c r="AH25" s="3"/>
      <c r="AI25" s="3"/>
      <c r="AJ25" s="3"/>
      <c r="AK25" s="3"/>
      <c r="AL25" s="3"/>
      <c r="AM25" s="3"/>
      <c r="AN25" s="3"/>
      <c r="AO25" s="2"/>
      <c r="AP25" s="2"/>
      <c r="AQ25" s="2"/>
      <c r="AR25" s="3"/>
      <c r="AS25" s="7"/>
      <c r="AT25" s="91">
        <f t="shared" si="6"/>
        <v>70</v>
      </c>
      <c r="AU25" s="91"/>
      <c r="AV25" s="6"/>
      <c r="AW25" s="8"/>
      <c r="AX25" s="4"/>
      <c r="AY25" s="4"/>
      <c r="AZ25" s="55"/>
      <c r="BA25" s="52"/>
      <c r="BB25" s="52"/>
      <c r="BC25" s="53"/>
      <c r="BD25" s="55"/>
    </row>
    <row r="26" spans="1:56" s="1" customFormat="1" ht="22.5" customHeight="1" x14ac:dyDescent="0.25">
      <c r="A26" s="116" t="s">
        <v>79</v>
      </c>
      <c r="B26" s="117" t="s">
        <v>96</v>
      </c>
      <c r="C26" s="3">
        <v>5</v>
      </c>
      <c r="D26" s="3"/>
      <c r="E26" s="3"/>
      <c r="F26" s="3"/>
      <c r="G26" s="50"/>
      <c r="H26" s="3"/>
      <c r="I26" s="3"/>
      <c r="J26" s="3"/>
      <c r="K26" s="32">
        <v>1</v>
      </c>
      <c r="L26" s="3"/>
      <c r="M26" s="3"/>
      <c r="N26" s="3"/>
      <c r="O26" s="3"/>
      <c r="P26" s="3"/>
      <c r="Q26" s="42"/>
      <c r="R26" s="3"/>
      <c r="S26" s="3"/>
      <c r="T26" s="3"/>
      <c r="U26" s="3"/>
      <c r="V26" s="46"/>
      <c r="W26" s="34"/>
      <c r="X26" s="3"/>
      <c r="Y26" s="38"/>
      <c r="Z26" s="3"/>
      <c r="AA26" s="3"/>
      <c r="AB26" s="3"/>
      <c r="AC26" s="3"/>
      <c r="AD26" s="3"/>
      <c r="AE26" s="3"/>
      <c r="AF26" s="3"/>
      <c r="AG26" s="3"/>
      <c r="AH26" s="3"/>
      <c r="AI26" s="3"/>
      <c r="AJ26" s="3"/>
      <c r="AK26" s="3"/>
      <c r="AL26" s="3"/>
      <c r="AM26" s="3"/>
      <c r="AN26" s="3"/>
      <c r="AO26" s="2"/>
      <c r="AP26" s="2"/>
      <c r="AQ26" s="2"/>
      <c r="AR26" s="3"/>
      <c r="AS26" s="7"/>
      <c r="AT26" s="91">
        <f t="shared" si="6"/>
        <v>130</v>
      </c>
      <c r="AU26" s="91"/>
      <c r="AV26" s="6"/>
      <c r="AW26" s="8"/>
      <c r="AX26" s="4"/>
      <c r="AY26" s="4"/>
      <c r="AZ26" s="55"/>
      <c r="BA26" s="52"/>
      <c r="BB26" s="52"/>
      <c r="BC26" s="53"/>
      <c r="BD26" s="55"/>
    </row>
    <row r="27" spans="1:56" s="1" customFormat="1" ht="22.5" customHeight="1" x14ac:dyDescent="0.25">
      <c r="A27" s="116" t="s">
        <v>80</v>
      </c>
      <c r="B27" s="117" t="s">
        <v>97</v>
      </c>
      <c r="C27" s="3"/>
      <c r="D27" s="3"/>
      <c r="E27" s="3"/>
      <c r="F27" s="3"/>
      <c r="G27" s="50"/>
      <c r="H27" s="3"/>
      <c r="I27" s="3"/>
      <c r="J27" s="3"/>
      <c r="K27" s="32">
        <v>1</v>
      </c>
      <c r="L27" s="3"/>
      <c r="M27" s="3">
        <v>1</v>
      </c>
      <c r="N27" s="3"/>
      <c r="O27" s="3"/>
      <c r="P27" s="3"/>
      <c r="Q27" s="42"/>
      <c r="R27" s="3"/>
      <c r="S27" s="3"/>
      <c r="T27" s="3"/>
      <c r="U27" s="3"/>
      <c r="V27" s="46"/>
      <c r="W27" s="34"/>
      <c r="X27" s="3"/>
      <c r="Y27" s="38"/>
      <c r="Z27" s="3"/>
      <c r="AA27" s="3"/>
      <c r="AB27" s="3"/>
      <c r="AC27" s="3"/>
      <c r="AD27" s="3"/>
      <c r="AE27" s="3"/>
      <c r="AF27" s="3"/>
      <c r="AG27" s="3"/>
      <c r="AH27" s="3"/>
      <c r="AI27" s="3"/>
      <c r="AJ27" s="3"/>
      <c r="AK27" s="3"/>
      <c r="AL27" s="3"/>
      <c r="AM27" s="3"/>
      <c r="AN27" s="3"/>
      <c r="AO27" s="2"/>
      <c r="AP27" s="2"/>
      <c r="AQ27" s="2"/>
      <c r="AR27" s="3"/>
      <c r="AS27" s="7"/>
      <c r="AT27" s="91">
        <f t="shared" si="6"/>
        <v>80</v>
      </c>
      <c r="AU27" s="91"/>
      <c r="AV27" s="6"/>
      <c r="AW27" s="8"/>
      <c r="AX27" s="4"/>
      <c r="AY27" s="4"/>
      <c r="AZ27" s="55"/>
      <c r="BA27" s="52"/>
      <c r="BB27" s="52"/>
      <c r="BC27" s="53"/>
      <c r="BD27" s="55"/>
    </row>
    <row r="28" spans="1:56" s="1" customFormat="1" ht="22.5" customHeight="1" x14ac:dyDescent="0.25">
      <c r="A28" s="116" t="s">
        <v>81</v>
      </c>
      <c r="B28" s="117" t="s">
        <v>98</v>
      </c>
      <c r="C28" s="3"/>
      <c r="D28" s="3"/>
      <c r="E28" s="3"/>
      <c r="F28" s="3"/>
      <c r="G28" s="50"/>
      <c r="H28" s="3"/>
      <c r="I28" s="3"/>
      <c r="J28" s="3"/>
      <c r="K28" s="32">
        <v>1</v>
      </c>
      <c r="L28" s="3"/>
      <c r="M28" s="3"/>
      <c r="N28" s="3">
        <v>0</v>
      </c>
      <c r="O28" s="3"/>
      <c r="P28" s="3"/>
      <c r="Q28" s="42"/>
      <c r="R28" s="3"/>
      <c r="S28" s="3"/>
      <c r="T28" s="3"/>
      <c r="U28" s="3"/>
      <c r="V28" s="46"/>
      <c r="W28" s="34"/>
      <c r="X28" s="3"/>
      <c r="Y28" s="38"/>
      <c r="Z28" s="3"/>
      <c r="AA28" s="3"/>
      <c r="AB28" s="3"/>
      <c r="AC28" s="3"/>
      <c r="AD28" s="3"/>
      <c r="AE28" s="3"/>
      <c r="AF28" s="3"/>
      <c r="AG28" s="3"/>
      <c r="AH28" s="3"/>
      <c r="AI28" s="3"/>
      <c r="AJ28" s="3"/>
      <c r="AK28" s="3"/>
      <c r="AL28" s="3"/>
      <c r="AM28" s="3"/>
      <c r="AN28" s="3"/>
      <c r="AO28" s="2"/>
      <c r="AP28" s="2"/>
      <c r="AQ28" s="2"/>
      <c r="AR28" s="3"/>
      <c r="AS28" s="7"/>
      <c r="AT28" s="91">
        <f t="shared" si="6"/>
        <v>30</v>
      </c>
      <c r="AU28" s="91"/>
      <c r="AV28" s="6"/>
      <c r="AW28" s="8"/>
      <c r="AX28" s="4"/>
      <c r="AY28" s="4"/>
      <c r="AZ28" s="55"/>
      <c r="BA28" s="52"/>
      <c r="BB28" s="52"/>
      <c r="BC28" s="53"/>
      <c r="BD28" s="55"/>
    </row>
    <row r="29" spans="1:56" s="1" customFormat="1" ht="22.5" customHeight="1" x14ac:dyDescent="0.25">
      <c r="A29" s="116" t="s">
        <v>82</v>
      </c>
      <c r="B29" s="117" t="s">
        <v>99</v>
      </c>
      <c r="C29" s="3">
        <v>2</v>
      </c>
      <c r="D29" s="3"/>
      <c r="E29" s="3"/>
      <c r="F29" s="3"/>
      <c r="G29" s="50"/>
      <c r="H29" s="3"/>
      <c r="I29" s="3"/>
      <c r="J29" s="3">
        <v>0</v>
      </c>
      <c r="K29" s="32">
        <v>1</v>
      </c>
      <c r="L29" s="3"/>
      <c r="M29" s="3"/>
      <c r="N29" s="3">
        <v>0</v>
      </c>
      <c r="O29" s="3"/>
      <c r="P29" s="3"/>
      <c r="Q29" s="42"/>
      <c r="R29" s="3"/>
      <c r="S29" s="3"/>
      <c r="T29" s="3"/>
      <c r="U29" s="3"/>
      <c r="V29" s="46"/>
      <c r="W29" s="34"/>
      <c r="X29" s="3"/>
      <c r="Y29" s="38"/>
      <c r="Z29" s="3"/>
      <c r="AA29" s="3"/>
      <c r="AB29" s="3"/>
      <c r="AC29" s="3"/>
      <c r="AD29" s="3"/>
      <c r="AE29" s="3"/>
      <c r="AF29" s="3"/>
      <c r="AG29" s="3"/>
      <c r="AH29" s="3"/>
      <c r="AI29" s="3"/>
      <c r="AJ29" s="3"/>
      <c r="AK29" s="3"/>
      <c r="AL29" s="3"/>
      <c r="AM29" s="3"/>
      <c r="AN29" s="3"/>
      <c r="AO29" s="2"/>
      <c r="AP29" s="2"/>
      <c r="AQ29" s="2"/>
      <c r="AR29" s="3"/>
      <c r="AS29" s="7"/>
      <c r="AT29" s="91">
        <f t="shared" si="6"/>
        <v>70</v>
      </c>
      <c r="AU29" s="91"/>
      <c r="AV29" s="6"/>
      <c r="AW29" s="8"/>
      <c r="AX29" s="4"/>
      <c r="AY29" s="4"/>
      <c r="AZ29" s="55"/>
      <c r="BA29" s="52"/>
      <c r="BB29" s="52"/>
      <c r="BC29" s="53"/>
      <c r="BD29" s="55"/>
    </row>
    <row r="30" spans="1:56" s="1" customFormat="1" ht="22.5" customHeight="1" x14ac:dyDescent="0.25">
      <c r="A30" s="116" t="s">
        <v>107</v>
      </c>
      <c r="B30" s="117" t="s">
        <v>102</v>
      </c>
      <c r="C30" s="3">
        <v>7</v>
      </c>
      <c r="D30" s="3"/>
      <c r="E30" s="3">
        <v>3</v>
      </c>
      <c r="F30" s="3">
        <v>1</v>
      </c>
      <c r="G30" s="50"/>
      <c r="H30" s="3"/>
      <c r="I30" s="3"/>
      <c r="J30" s="3">
        <v>1</v>
      </c>
      <c r="K30" s="32">
        <v>1</v>
      </c>
      <c r="L30" s="3"/>
      <c r="M30" s="3"/>
      <c r="N30" s="3">
        <v>0</v>
      </c>
      <c r="O30" s="3"/>
      <c r="P30" s="3"/>
      <c r="Q30" s="42"/>
      <c r="R30" s="3"/>
      <c r="S30" s="3"/>
      <c r="T30" s="3"/>
      <c r="U30" s="3"/>
      <c r="V30" s="46"/>
      <c r="W30" s="34"/>
      <c r="X30" s="3"/>
      <c r="Y30" s="38"/>
      <c r="Z30" s="3"/>
      <c r="AA30" s="3"/>
      <c r="AB30" s="3"/>
      <c r="AC30" s="3"/>
      <c r="AD30" s="3"/>
      <c r="AE30" s="3"/>
      <c r="AF30" s="3"/>
      <c r="AG30" s="3"/>
      <c r="AH30" s="3"/>
      <c r="AI30" s="3"/>
      <c r="AJ30" s="3"/>
      <c r="AK30" s="3"/>
      <c r="AL30" s="3"/>
      <c r="AM30" s="3"/>
      <c r="AN30" s="3"/>
      <c r="AO30" s="2"/>
      <c r="AP30" s="2"/>
      <c r="AQ30" s="2"/>
      <c r="AR30" s="3"/>
      <c r="AS30" s="7"/>
      <c r="AT30" s="91">
        <f t="shared" si="6"/>
        <v>345</v>
      </c>
      <c r="AU30" s="91"/>
      <c r="AV30" s="6"/>
      <c r="AW30" s="8"/>
      <c r="AX30" s="4"/>
      <c r="AY30" s="4"/>
      <c r="AZ30" s="55"/>
      <c r="BA30" s="52"/>
      <c r="BB30" s="52"/>
      <c r="BC30" s="53"/>
      <c r="BD30" s="55"/>
    </row>
    <row r="31" spans="1:56" s="1" customFormat="1" ht="22.5" customHeight="1" x14ac:dyDescent="0.25">
      <c r="A31" s="116" t="s">
        <v>83</v>
      </c>
      <c r="B31" s="117" t="s">
        <v>103</v>
      </c>
      <c r="C31" s="3">
        <v>0</v>
      </c>
      <c r="D31" s="3"/>
      <c r="E31" s="3">
        <v>1</v>
      </c>
      <c r="F31" s="3"/>
      <c r="G31" s="50"/>
      <c r="H31" s="3"/>
      <c r="I31" s="3"/>
      <c r="J31" s="3"/>
      <c r="K31" s="32">
        <v>1</v>
      </c>
      <c r="L31" s="3"/>
      <c r="M31" s="3"/>
      <c r="N31" s="3"/>
      <c r="O31" s="3"/>
      <c r="P31" s="3"/>
      <c r="Q31" s="42"/>
      <c r="R31" s="3"/>
      <c r="S31" s="3"/>
      <c r="T31" s="3"/>
      <c r="U31" s="3"/>
      <c r="V31" s="46"/>
      <c r="W31" s="34"/>
      <c r="X31" s="3"/>
      <c r="Y31" s="38"/>
      <c r="Z31" s="3"/>
      <c r="AA31" s="3"/>
      <c r="AB31" s="3"/>
      <c r="AC31" s="3"/>
      <c r="AD31" s="3"/>
      <c r="AE31" s="3"/>
      <c r="AF31" s="3"/>
      <c r="AG31" s="3"/>
      <c r="AH31" s="3"/>
      <c r="AI31" s="3"/>
      <c r="AJ31" s="3"/>
      <c r="AK31" s="3"/>
      <c r="AL31" s="3"/>
      <c r="AM31" s="3"/>
      <c r="AN31" s="3"/>
      <c r="AO31" s="2"/>
      <c r="AP31" s="2"/>
      <c r="AQ31" s="2"/>
      <c r="AR31" s="3"/>
      <c r="AS31" s="7"/>
      <c r="AT31" s="91">
        <f t="shared" si="6"/>
        <v>70</v>
      </c>
      <c r="AU31" s="91"/>
      <c r="AV31" s="6"/>
      <c r="AW31" s="8"/>
      <c r="AX31" s="4"/>
      <c r="AY31" s="4"/>
      <c r="AZ31" s="55"/>
      <c r="BA31" s="52"/>
      <c r="BB31" s="52"/>
      <c r="BC31" s="53"/>
      <c r="BD31" s="55"/>
    </row>
    <row r="32" spans="1:56" s="1" customFormat="1" ht="22.5" customHeight="1" x14ac:dyDescent="0.25">
      <c r="A32" s="116" t="s">
        <v>84</v>
      </c>
      <c r="B32" s="118" t="s">
        <v>104</v>
      </c>
      <c r="C32" s="3">
        <v>5</v>
      </c>
      <c r="D32" s="3"/>
      <c r="E32" s="3"/>
      <c r="F32" s="3"/>
      <c r="G32" s="50"/>
      <c r="H32" s="3"/>
      <c r="I32" s="3"/>
      <c r="J32" s="3"/>
      <c r="K32" s="32">
        <v>1</v>
      </c>
      <c r="L32" s="3"/>
      <c r="M32" s="3"/>
      <c r="N32" s="3"/>
      <c r="O32" s="3"/>
      <c r="P32" s="3"/>
      <c r="Q32" s="42">
        <v>1</v>
      </c>
      <c r="R32" s="3"/>
      <c r="S32" s="3"/>
      <c r="T32" s="3"/>
      <c r="U32" s="3"/>
      <c r="V32" s="46"/>
      <c r="W32" s="34"/>
      <c r="X32" s="3"/>
      <c r="Y32" s="38"/>
      <c r="Z32" s="3"/>
      <c r="AA32" s="3"/>
      <c r="AB32" s="3"/>
      <c r="AC32" s="3"/>
      <c r="AD32" s="3"/>
      <c r="AE32" s="3"/>
      <c r="AF32" s="3"/>
      <c r="AG32" s="3"/>
      <c r="AH32" s="3"/>
      <c r="AI32" s="3"/>
      <c r="AJ32" s="3"/>
      <c r="AK32" s="3"/>
      <c r="AL32" s="3"/>
      <c r="AM32" s="3"/>
      <c r="AN32" s="3"/>
      <c r="AO32" s="2"/>
      <c r="AP32" s="2"/>
      <c r="AQ32" s="2"/>
      <c r="AR32" s="3"/>
      <c r="AS32" s="7"/>
      <c r="AT32" s="91">
        <f t="shared" si="6"/>
        <v>380</v>
      </c>
      <c r="AU32" s="91"/>
      <c r="AV32" s="6"/>
      <c r="AW32" s="8"/>
      <c r="AX32" s="4"/>
      <c r="AY32" s="4"/>
      <c r="AZ32" s="55"/>
      <c r="BA32" s="52"/>
      <c r="BB32" s="52"/>
      <c r="BC32" s="53"/>
      <c r="BD32" s="55"/>
    </row>
    <row r="33" spans="1:56" s="1" customFormat="1" ht="22.5" customHeight="1" x14ac:dyDescent="0.25">
      <c r="A33" s="116" t="s">
        <v>85</v>
      </c>
      <c r="B33" s="118" t="s">
        <v>105</v>
      </c>
      <c r="C33" s="3">
        <v>1</v>
      </c>
      <c r="D33" s="3"/>
      <c r="E33" s="3"/>
      <c r="F33" s="3"/>
      <c r="G33" s="50"/>
      <c r="H33" s="3"/>
      <c r="I33" s="3"/>
      <c r="J33" s="3"/>
      <c r="K33" s="32">
        <v>1</v>
      </c>
      <c r="L33" s="3"/>
      <c r="M33" s="3"/>
      <c r="N33" s="3"/>
      <c r="O33" s="3"/>
      <c r="P33" s="3"/>
      <c r="Q33" s="42"/>
      <c r="R33" s="3"/>
      <c r="S33" s="3"/>
      <c r="T33" s="3"/>
      <c r="U33" s="3"/>
      <c r="V33" s="46"/>
      <c r="W33" s="34"/>
      <c r="X33" s="3"/>
      <c r="Y33" s="38"/>
      <c r="Z33" s="3"/>
      <c r="AA33" s="3"/>
      <c r="AB33" s="3"/>
      <c r="AC33" s="3"/>
      <c r="AD33" s="3"/>
      <c r="AE33" s="3"/>
      <c r="AF33" s="3"/>
      <c r="AG33" s="3"/>
      <c r="AH33" s="3"/>
      <c r="AI33" s="3"/>
      <c r="AJ33" s="3"/>
      <c r="AK33" s="3"/>
      <c r="AL33" s="3"/>
      <c r="AM33" s="3"/>
      <c r="AN33" s="3"/>
      <c r="AO33" s="2"/>
      <c r="AP33" s="2"/>
      <c r="AQ33" s="2"/>
      <c r="AR33" s="3"/>
      <c r="AS33" s="7"/>
      <c r="AT33" s="91">
        <f t="shared" si="6"/>
        <v>50</v>
      </c>
      <c r="AU33" s="91"/>
      <c r="AV33" s="6"/>
      <c r="AW33" s="8"/>
      <c r="AX33" s="4"/>
      <c r="AY33" s="4"/>
      <c r="AZ33" s="55"/>
      <c r="BA33" s="52"/>
      <c r="BB33" s="52"/>
      <c r="BC33" s="53"/>
      <c r="BD33" s="55"/>
    </row>
    <row r="34" spans="1:56" s="1" customFormat="1" ht="22.5" customHeight="1" x14ac:dyDescent="0.25">
      <c r="A34" s="9" t="s">
        <v>67</v>
      </c>
      <c r="B34" s="3"/>
      <c r="C34" s="3"/>
      <c r="D34" s="3"/>
      <c r="E34" s="3"/>
      <c r="F34" s="3"/>
      <c r="G34" s="50"/>
      <c r="H34" s="3"/>
      <c r="I34" s="3"/>
      <c r="J34" s="3"/>
      <c r="K34" s="32"/>
      <c r="L34" s="3"/>
      <c r="M34" s="3"/>
      <c r="N34" s="3"/>
      <c r="O34" s="3"/>
      <c r="P34" s="3"/>
      <c r="Q34" s="42"/>
      <c r="R34" s="3"/>
      <c r="S34" s="3"/>
      <c r="T34" s="3"/>
      <c r="U34" s="3"/>
      <c r="V34" s="46"/>
      <c r="W34" s="34"/>
      <c r="X34" s="3"/>
      <c r="Y34" s="38"/>
      <c r="Z34" s="3"/>
      <c r="AA34" s="3"/>
      <c r="AB34" s="3"/>
      <c r="AC34" s="3"/>
      <c r="AD34" s="3"/>
      <c r="AE34" s="3"/>
      <c r="AF34" s="3"/>
      <c r="AG34" s="3"/>
      <c r="AH34" s="3"/>
      <c r="AI34" s="3"/>
      <c r="AJ34" s="3"/>
      <c r="AK34" s="3"/>
      <c r="AL34" s="3"/>
      <c r="AM34" s="3"/>
      <c r="AN34" s="3"/>
      <c r="AO34" s="2"/>
      <c r="AP34" s="2"/>
      <c r="AQ34" s="2"/>
      <c r="AR34" s="3"/>
      <c r="AS34" s="7"/>
      <c r="AT34" s="91">
        <f t="shared" si="6"/>
        <v>0</v>
      </c>
      <c r="AU34" s="91"/>
      <c r="AV34" s="6"/>
      <c r="AW34" s="8"/>
      <c r="AX34" s="4"/>
      <c r="AY34" s="4"/>
      <c r="AZ34" s="55"/>
      <c r="BA34" s="52"/>
      <c r="BB34" s="52"/>
      <c r="BC34" s="53"/>
      <c r="BD34" s="55"/>
    </row>
    <row r="35" spans="1:56" s="1" customFormat="1" ht="22.5" customHeight="1" x14ac:dyDescent="0.25">
      <c r="A35" s="113" t="s">
        <v>57</v>
      </c>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3"/>
      <c r="AN35" s="3"/>
      <c r="AO35" s="2"/>
      <c r="AP35" s="2"/>
      <c r="AQ35" s="2"/>
      <c r="AR35" s="3"/>
      <c r="AS35" s="7"/>
      <c r="AT35" s="91">
        <f t="shared" si="6"/>
        <v>0</v>
      </c>
      <c r="AU35" s="91" t="s">
        <v>88</v>
      </c>
      <c r="AV35" s="6"/>
      <c r="AW35" s="8"/>
      <c r="AX35" s="4"/>
      <c r="AY35" s="4"/>
      <c r="AZ35" s="55"/>
      <c r="BA35" s="52"/>
      <c r="BB35" s="52"/>
      <c r="BC35" s="53"/>
      <c r="BD35" s="55"/>
    </row>
    <row r="36" spans="1:56" s="1" customFormat="1" ht="22.5" customHeight="1" x14ac:dyDescent="0.25">
      <c r="A36" s="9">
        <v>1</v>
      </c>
      <c r="B36" s="9">
        <v>2</v>
      </c>
      <c r="C36" s="9">
        <v>3</v>
      </c>
      <c r="D36" s="9">
        <v>4</v>
      </c>
      <c r="E36" s="9">
        <v>5</v>
      </c>
      <c r="F36" s="9">
        <v>6</v>
      </c>
      <c r="G36" s="9">
        <v>7</v>
      </c>
      <c r="H36" s="9">
        <v>8</v>
      </c>
      <c r="I36" s="9">
        <v>9</v>
      </c>
      <c r="J36" s="9">
        <v>10</v>
      </c>
      <c r="K36" s="9">
        <v>11</v>
      </c>
      <c r="L36" s="9">
        <v>12</v>
      </c>
      <c r="M36" s="9">
        <v>13</v>
      </c>
      <c r="N36" s="9">
        <v>14</v>
      </c>
      <c r="O36" s="9">
        <v>15</v>
      </c>
      <c r="P36" s="9">
        <v>16</v>
      </c>
      <c r="Q36" s="9">
        <v>17</v>
      </c>
      <c r="R36" s="9">
        <v>18</v>
      </c>
      <c r="S36" s="9">
        <v>19</v>
      </c>
      <c r="T36" s="9">
        <v>20</v>
      </c>
      <c r="U36" s="9">
        <v>21</v>
      </c>
      <c r="V36" s="9">
        <v>22</v>
      </c>
      <c r="W36" s="9">
        <v>23</v>
      </c>
      <c r="X36" s="9">
        <v>24</v>
      </c>
      <c r="Y36" s="9">
        <v>25</v>
      </c>
      <c r="Z36" s="9">
        <v>26</v>
      </c>
      <c r="AA36" s="9">
        <v>27</v>
      </c>
      <c r="AB36" s="9">
        <v>28</v>
      </c>
      <c r="AC36" s="9">
        <v>29</v>
      </c>
      <c r="AD36" s="9">
        <v>30</v>
      </c>
      <c r="AE36" s="9">
        <v>31</v>
      </c>
      <c r="AF36" s="9">
        <v>32</v>
      </c>
      <c r="AG36" s="9">
        <v>33</v>
      </c>
      <c r="AH36" s="9">
        <v>34</v>
      </c>
      <c r="AI36" s="9">
        <v>35</v>
      </c>
      <c r="AJ36" s="9">
        <v>36</v>
      </c>
      <c r="AK36" s="9">
        <v>37</v>
      </c>
      <c r="AL36" s="9">
        <v>38</v>
      </c>
      <c r="AM36" s="9">
        <v>39</v>
      </c>
      <c r="AN36" s="9">
        <v>40</v>
      </c>
      <c r="AO36" s="9">
        <v>41</v>
      </c>
      <c r="AP36" s="2"/>
      <c r="AQ36" s="2"/>
      <c r="AR36" s="3"/>
      <c r="AS36" s="7"/>
      <c r="AT36" s="91">
        <f t="shared" ref="AT36:AT49" si="7">SUMPRODUCT(20*C36+30*D36+40*E36+40*F36+200*G36+250*H36+300*I36+15*J36+30*K36+40*L36+50*M36+5*N36+5*O36+20*P36+250*Q36+200*R36+225*S36+250*T36+275*U36+200*V36+300*W36+400*X36+1000*Y36+10*Z36+2000*AA36+50*AB36+30*AC36+500*AD36+50*AE36+200*AF36+300*AG36+400*AH36+400*AI36+400*AJ36+200*AK36+10*AL36+AM35*AM36)</f>
        <v>216755</v>
      </c>
      <c r="AU36" s="91"/>
      <c r="AV36" s="6"/>
      <c r="AW36" s="8"/>
      <c r="AX36" s="4"/>
      <c r="AY36" s="4"/>
      <c r="AZ36" s="55"/>
      <c r="BA36" s="52"/>
      <c r="BB36" s="52"/>
      <c r="BC36" s="53"/>
      <c r="BD36" s="55"/>
    </row>
    <row r="37" spans="1:56" s="1" customFormat="1" ht="22.5" customHeight="1" x14ac:dyDescent="0.25">
      <c r="A37" s="9"/>
      <c r="B37" s="3"/>
      <c r="C37" s="3"/>
      <c r="D37" s="3"/>
      <c r="E37" s="3"/>
      <c r="F37" s="3"/>
      <c r="G37" s="50"/>
      <c r="H37" s="3"/>
      <c r="I37" s="3"/>
      <c r="J37" s="3"/>
      <c r="K37" s="32"/>
      <c r="L37" s="3"/>
      <c r="M37" s="3"/>
      <c r="N37" s="3"/>
      <c r="O37" s="3"/>
      <c r="P37" s="3"/>
      <c r="Q37" s="42"/>
      <c r="R37" s="3"/>
      <c r="S37" s="3"/>
      <c r="T37" s="3"/>
      <c r="U37" s="3"/>
      <c r="V37" s="46"/>
      <c r="W37" s="34"/>
      <c r="X37" s="3"/>
      <c r="Y37" s="38"/>
      <c r="Z37" s="3"/>
      <c r="AA37" s="3"/>
      <c r="AB37" s="3"/>
      <c r="AC37" s="3"/>
      <c r="AD37" s="3"/>
      <c r="AE37" s="3"/>
      <c r="AF37" s="3"/>
      <c r="AG37" s="3"/>
      <c r="AH37" s="3"/>
      <c r="AI37" s="3"/>
      <c r="AJ37" s="3"/>
      <c r="AK37" s="3"/>
      <c r="AL37" s="3"/>
      <c r="AM37" s="3"/>
      <c r="AN37" s="3"/>
      <c r="AO37" s="2"/>
      <c r="AP37" s="2"/>
      <c r="AQ37" s="2"/>
      <c r="AR37" s="3"/>
      <c r="AS37" s="7"/>
      <c r="AT37" s="91">
        <f t="shared" si="7"/>
        <v>0</v>
      </c>
      <c r="AU37" s="91"/>
      <c r="AV37" s="6"/>
      <c r="AW37" s="8"/>
      <c r="AX37" s="4"/>
      <c r="AY37" s="4"/>
      <c r="AZ37" s="55"/>
      <c r="BA37" s="52"/>
      <c r="BB37" s="52"/>
      <c r="BC37" s="53"/>
      <c r="BD37" s="55"/>
    </row>
    <row r="38" spans="1:56" s="1" customFormat="1" ht="22.5" customHeight="1" x14ac:dyDescent="0.25">
      <c r="A38" s="9"/>
      <c r="B38" s="3"/>
      <c r="C38" s="3"/>
      <c r="D38" s="3"/>
      <c r="E38" s="3"/>
      <c r="F38" s="3"/>
      <c r="G38" s="50"/>
      <c r="H38" s="3"/>
      <c r="I38" s="3"/>
      <c r="J38" s="3"/>
      <c r="K38" s="32"/>
      <c r="L38" s="3"/>
      <c r="M38" s="3"/>
      <c r="N38" s="3"/>
      <c r="O38" s="3"/>
      <c r="P38" s="3"/>
      <c r="Q38" s="42"/>
      <c r="R38" s="3"/>
      <c r="S38" s="3"/>
      <c r="T38" s="3"/>
      <c r="U38" s="3"/>
      <c r="V38" s="46"/>
      <c r="W38" s="34"/>
      <c r="X38" s="3"/>
      <c r="Y38" s="38"/>
      <c r="Z38" s="3"/>
      <c r="AA38" s="3"/>
      <c r="AB38" s="3"/>
      <c r="AC38" s="3"/>
      <c r="AD38" s="3"/>
      <c r="AF38" s="3"/>
      <c r="AG38" s="3"/>
      <c r="AH38" s="3"/>
      <c r="AI38" s="3"/>
      <c r="AJ38" s="3"/>
      <c r="AK38" s="3"/>
      <c r="AL38" s="3"/>
      <c r="AM38" s="3"/>
      <c r="AN38" s="3"/>
      <c r="AO38" s="2"/>
      <c r="AP38" s="2"/>
      <c r="AQ38" s="2"/>
      <c r="AR38" s="3"/>
      <c r="AS38" s="7"/>
      <c r="AT38" s="91">
        <f t="shared" si="7"/>
        <v>0</v>
      </c>
      <c r="AU38" s="91"/>
      <c r="AV38" s="6"/>
      <c r="AW38" s="8"/>
      <c r="AX38" s="4"/>
      <c r="AY38" s="4"/>
      <c r="AZ38" s="55"/>
      <c r="BA38" s="52"/>
      <c r="BB38" s="52"/>
      <c r="BC38" s="53"/>
      <c r="BD38" s="55"/>
    </row>
    <row r="39" spans="1:56" s="1" customFormat="1" ht="22.5" customHeight="1" x14ac:dyDescent="0.25">
      <c r="A39" s="9"/>
      <c r="B39" s="3"/>
      <c r="C39" s="3"/>
      <c r="D39" s="3"/>
      <c r="E39" s="3"/>
      <c r="F39" s="3"/>
      <c r="G39" s="50"/>
      <c r="H39" s="3"/>
      <c r="I39" s="3"/>
      <c r="J39" s="3"/>
      <c r="K39" s="32"/>
      <c r="L39" s="3"/>
      <c r="M39" s="3"/>
      <c r="N39" s="3"/>
      <c r="O39" s="3"/>
      <c r="P39" s="3"/>
      <c r="Q39" s="42"/>
      <c r="R39" s="3"/>
      <c r="S39" s="3"/>
      <c r="T39" s="3"/>
      <c r="U39" s="3"/>
      <c r="V39" s="46"/>
      <c r="W39" s="34"/>
      <c r="X39" s="3"/>
      <c r="Y39" s="38"/>
      <c r="Z39" s="3"/>
      <c r="AA39" s="3"/>
      <c r="AB39" s="3"/>
      <c r="AC39" s="3"/>
      <c r="AD39" s="3"/>
      <c r="AE39" s="3"/>
      <c r="AF39" s="3"/>
      <c r="AG39" s="3"/>
      <c r="AH39" s="3"/>
      <c r="AI39" s="3"/>
      <c r="AJ39" s="3"/>
      <c r="AK39" s="3"/>
      <c r="AL39" s="3"/>
      <c r="AM39" s="3"/>
      <c r="AN39" s="3"/>
      <c r="AO39" s="2"/>
      <c r="AP39" s="2"/>
      <c r="AQ39" s="2"/>
      <c r="AR39" s="3"/>
      <c r="AS39" s="7"/>
      <c r="AT39" s="91">
        <f t="shared" si="7"/>
        <v>0</v>
      </c>
      <c r="AU39" s="91"/>
      <c r="AV39" s="6"/>
      <c r="AW39" s="8"/>
      <c r="AX39" s="4"/>
      <c r="AY39" s="4"/>
      <c r="AZ39" s="55"/>
      <c r="BA39" s="52"/>
      <c r="BB39" s="52"/>
      <c r="BC39" s="53"/>
      <c r="BD39" s="55"/>
    </row>
    <row r="40" spans="1:56" s="1" customFormat="1" ht="22.5" customHeight="1" x14ac:dyDescent="0.25">
      <c r="A40" s="9"/>
      <c r="B40" s="3"/>
      <c r="C40" s="3"/>
      <c r="D40" s="3"/>
      <c r="E40" s="3"/>
      <c r="F40" s="3"/>
      <c r="G40" s="50"/>
      <c r="H40" s="3"/>
      <c r="I40" s="3"/>
      <c r="J40" s="3"/>
      <c r="K40" s="32"/>
      <c r="L40" s="3"/>
      <c r="M40" s="3"/>
      <c r="N40" s="3"/>
      <c r="O40" s="3"/>
      <c r="P40" s="3"/>
      <c r="Q40" s="42"/>
      <c r="R40" s="3"/>
      <c r="S40" s="3"/>
      <c r="T40" s="3"/>
      <c r="U40" s="3"/>
      <c r="V40" s="46"/>
      <c r="W40" s="34"/>
      <c r="X40" s="3"/>
      <c r="Y40" s="38"/>
      <c r="Z40" s="3"/>
      <c r="AA40" s="3"/>
      <c r="AB40" s="3"/>
      <c r="AC40" s="3"/>
      <c r="AD40" s="3"/>
      <c r="AE40" s="3"/>
      <c r="AF40" s="3"/>
      <c r="AG40" s="3"/>
      <c r="AH40" s="3"/>
      <c r="AI40" s="3"/>
      <c r="AJ40" s="3"/>
      <c r="AK40" s="3"/>
      <c r="AL40" s="3"/>
      <c r="AM40" s="3"/>
      <c r="AN40" s="3"/>
      <c r="AO40" s="2"/>
      <c r="AP40" s="2"/>
      <c r="AQ40" s="2"/>
      <c r="AR40" s="3"/>
      <c r="AS40" s="7"/>
      <c r="AT40" s="91">
        <f t="shared" si="7"/>
        <v>0</v>
      </c>
      <c r="AU40" s="91"/>
      <c r="AV40" s="6"/>
      <c r="AW40" s="8"/>
      <c r="AX40" s="4"/>
      <c r="AY40" s="4"/>
      <c r="AZ40" s="55"/>
      <c r="BA40" s="52"/>
      <c r="BB40" s="52"/>
      <c r="BC40" s="53"/>
      <c r="BD40" s="55"/>
    </row>
    <row r="41" spans="1:56" s="1" customFormat="1" ht="22.5" customHeight="1" x14ac:dyDescent="0.25">
      <c r="A41" s="9"/>
      <c r="B41" s="3"/>
      <c r="C41" s="3"/>
      <c r="D41" s="3"/>
      <c r="E41" s="3"/>
      <c r="F41" s="3"/>
      <c r="G41" s="50"/>
      <c r="H41" s="3"/>
      <c r="I41" s="3"/>
      <c r="J41" s="3"/>
      <c r="K41" s="32"/>
      <c r="L41" s="3"/>
      <c r="M41" s="3"/>
      <c r="N41" s="3"/>
      <c r="O41" s="3"/>
      <c r="P41" s="3"/>
      <c r="Q41" s="42"/>
      <c r="R41" s="3"/>
      <c r="S41" s="3"/>
      <c r="T41" s="3"/>
      <c r="U41" s="3"/>
      <c r="V41" s="46"/>
      <c r="W41" s="34"/>
      <c r="X41" s="3"/>
      <c r="Y41" s="38"/>
      <c r="Z41" s="3"/>
      <c r="AA41" s="3"/>
      <c r="AB41" s="3"/>
      <c r="AC41" s="3"/>
      <c r="AD41" s="3"/>
      <c r="AE41" s="3"/>
      <c r="AF41" s="3"/>
      <c r="AG41" s="3"/>
      <c r="AH41" s="3"/>
      <c r="AI41" s="3"/>
      <c r="AJ41" s="3"/>
      <c r="AK41" s="3"/>
      <c r="AL41" s="3"/>
      <c r="AM41" s="3"/>
      <c r="AN41" s="3"/>
      <c r="AO41" s="2"/>
      <c r="AP41" s="2"/>
      <c r="AQ41" s="2"/>
      <c r="AR41" s="3"/>
      <c r="AS41" s="7"/>
      <c r="AT41" s="91">
        <f t="shared" si="7"/>
        <v>0</v>
      </c>
      <c r="AU41" s="91"/>
      <c r="AV41" s="6"/>
      <c r="AW41" s="8"/>
      <c r="AX41" s="4"/>
      <c r="AY41" s="4"/>
      <c r="AZ41" s="55"/>
      <c r="BA41" s="52"/>
      <c r="BB41" s="52"/>
      <c r="BC41" s="53"/>
      <c r="BD41" s="55"/>
    </row>
    <row r="42" spans="1:56" s="1" customFormat="1" ht="22.5" customHeight="1" x14ac:dyDescent="0.25">
      <c r="A42" s="9"/>
      <c r="B42" s="3"/>
      <c r="C42" s="3"/>
      <c r="D42" s="3"/>
      <c r="E42" s="3"/>
      <c r="F42" s="3"/>
      <c r="G42" s="50"/>
      <c r="H42" s="3"/>
      <c r="I42" s="3"/>
      <c r="J42" s="3"/>
      <c r="K42" s="32"/>
      <c r="L42" s="3"/>
      <c r="M42" s="3"/>
      <c r="N42" s="3"/>
      <c r="O42" s="3"/>
      <c r="P42" s="3"/>
      <c r="Q42" s="42"/>
      <c r="R42" s="3"/>
      <c r="S42" s="3"/>
      <c r="T42" s="3"/>
      <c r="U42" s="3"/>
      <c r="V42" s="46"/>
      <c r="W42" s="34"/>
      <c r="X42" s="3"/>
      <c r="Y42" s="38"/>
      <c r="Z42" s="3"/>
      <c r="AA42" s="3"/>
      <c r="AB42" s="3"/>
      <c r="AC42" s="3"/>
      <c r="AD42" s="3"/>
      <c r="AE42" s="3"/>
      <c r="AF42" s="3"/>
      <c r="AG42" s="3"/>
      <c r="AH42" s="3"/>
      <c r="AI42" s="3"/>
      <c r="AJ42" s="3"/>
      <c r="AK42" s="3"/>
      <c r="AL42" s="3"/>
      <c r="AM42" s="3"/>
      <c r="AN42" s="3"/>
      <c r="AO42" s="2"/>
      <c r="AP42" s="2"/>
      <c r="AQ42" s="2"/>
      <c r="AR42" s="3"/>
      <c r="AS42" s="7"/>
      <c r="AT42" s="91">
        <f t="shared" si="7"/>
        <v>0</v>
      </c>
      <c r="AU42" s="91"/>
      <c r="AV42" s="6"/>
      <c r="AW42" s="8"/>
      <c r="AX42" s="4"/>
      <c r="AY42" s="4"/>
      <c r="AZ42" s="55"/>
      <c r="BA42" s="52"/>
      <c r="BB42" s="52"/>
      <c r="BC42" s="53"/>
      <c r="BD42" s="55"/>
    </row>
    <row r="43" spans="1:56" s="1" customFormat="1" ht="22.5" customHeight="1" x14ac:dyDescent="0.25">
      <c r="A43" s="9"/>
      <c r="B43" s="3"/>
      <c r="C43" s="3"/>
      <c r="D43" s="3"/>
      <c r="E43" s="3"/>
      <c r="F43" s="3"/>
      <c r="G43" s="50"/>
      <c r="H43" s="3"/>
      <c r="I43" s="3"/>
      <c r="J43" s="3"/>
      <c r="K43" s="32"/>
      <c r="L43" s="3"/>
      <c r="M43" s="3"/>
      <c r="N43" s="3"/>
      <c r="O43" s="3"/>
      <c r="P43" s="3"/>
      <c r="Q43" s="42"/>
      <c r="R43" s="3"/>
      <c r="S43" s="3"/>
      <c r="T43" s="3"/>
      <c r="U43" s="3"/>
      <c r="V43" s="46"/>
      <c r="W43" s="34"/>
      <c r="X43" s="3"/>
      <c r="Y43" s="38"/>
      <c r="Z43" s="3"/>
      <c r="AA43" s="3"/>
      <c r="AB43" s="3"/>
      <c r="AC43" s="3"/>
      <c r="AD43" s="3"/>
      <c r="AE43" s="3"/>
      <c r="AF43" s="3"/>
      <c r="AG43" s="3"/>
      <c r="AH43" s="3"/>
      <c r="AI43" s="3"/>
      <c r="AJ43" s="3"/>
      <c r="AK43" s="3"/>
      <c r="AL43" s="3"/>
      <c r="AM43" s="3"/>
      <c r="AN43" s="3"/>
      <c r="AO43" s="2"/>
      <c r="AP43" s="2"/>
      <c r="AQ43" s="2"/>
      <c r="AR43" s="3"/>
      <c r="AS43" s="7"/>
      <c r="AT43" s="91">
        <f t="shared" si="7"/>
        <v>0</v>
      </c>
      <c r="AU43" s="91"/>
      <c r="AV43" s="6"/>
      <c r="AW43" s="8"/>
      <c r="AX43" s="4"/>
      <c r="AY43" s="4"/>
      <c r="AZ43" s="55"/>
      <c r="BA43" s="52"/>
      <c r="BB43" s="52"/>
      <c r="BC43" s="53"/>
      <c r="BD43" s="55"/>
    </row>
    <row r="44" spans="1:56" s="1" customFormat="1" ht="22.5" customHeight="1" x14ac:dyDescent="0.25">
      <c r="A44" s="9"/>
      <c r="B44" s="3"/>
      <c r="C44" s="3"/>
      <c r="D44" s="3"/>
      <c r="E44" s="3"/>
      <c r="F44" s="3"/>
      <c r="G44" s="50"/>
      <c r="H44" s="3"/>
      <c r="I44" s="3"/>
      <c r="J44" s="3"/>
      <c r="K44" s="32"/>
      <c r="L44" s="3"/>
      <c r="M44" s="3"/>
      <c r="N44" s="3"/>
      <c r="O44" s="3"/>
      <c r="P44" s="3"/>
      <c r="Q44" s="42"/>
      <c r="R44" s="3"/>
      <c r="S44" s="3"/>
      <c r="T44" s="3"/>
      <c r="U44" s="3"/>
      <c r="V44" s="46"/>
      <c r="W44" s="34"/>
      <c r="X44" s="3"/>
      <c r="Y44" s="38"/>
      <c r="Z44" s="3"/>
      <c r="AA44" s="3"/>
      <c r="AB44" s="3"/>
      <c r="AC44" s="3"/>
      <c r="AD44" s="3"/>
      <c r="AE44" s="3"/>
      <c r="AF44" s="3"/>
      <c r="AG44" s="3"/>
      <c r="AH44" s="3"/>
      <c r="AI44" s="3"/>
      <c r="AJ44" s="3"/>
      <c r="AK44" s="3"/>
      <c r="AL44" s="3"/>
      <c r="AM44" s="3"/>
      <c r="AN44" s="3"/>
      <c r="AO44" s="2"/>
      <c r="AP44" s="2"/>
      <c r="AQ44" s="2"/>
      <c r="AR44" s="3"/>
      <c r="AS44" s="7"/>
      <c r="AT44" s="91">
        <f t="shared" si="7"/>
        <v>0</v>
      </c>
      <c r="AU44" s="91"/>
      <c r="AV44" s="6"/>
      <c r="AW44" s="8"/>
      <c r="AX44" s="4"/>
      <c r="AY44" s="4"/>
      <c r="AZ44" s="55"/>
      <c r="BA44" s="52"/>
      <c r="BB44" s="52"/>
      <c r="BC44" s="53"/>
      <c r="BD44" s="55"/>
    </row>
    <row r="45" spans="1:56" s="1" customFormat="1" ht="22.5" customHeight="1" x14ac:dyDescent="0.25">
      <c r="A45" s="9"/>
      <c r="B45" s="3"/>
      <c r="C45" s="3"/>
      <c r="D45" s="3"/>
      <c r="E45" s="3"/>
      <c r="F45" s="3"/>
      <c r="G45" s="50"/>
      <c r="H45" s="3"/>
      <c r="I45" s="3"/>
      <c r="J45" s="3"/>
      <c r="K45" s="32"/>
      <c r="L45" s="3"/>
      <c r="M45" s="3"/>
      <c r="N45" s="3"/>
      <c r="O45" s="3"/>
      <c r="P45" s="3"/>
      <c r="Q45" s="42"/>
      <c r="R45" s="3"/>
      <c r="S45" s="3"/>
      <c r="T45" s="3"/>
      <c r="U45" s="3"/>
      <c r="V45" s="46"/>
      <c r="W45" s="34"/>
      <c r="X45" s="3"/>
      <c r="Y45" s="38"/>
      <c r="Z45" s="3"/>
      <c r="AA45" s="3"/>
      <c r="AB45" s="3"/>
      <c r="AC45" s="3"/>
      <c r="AD45" s="3"/>
      <c r="AE45" s="3"/>
      <c r="AF45" s="3"/>
      <c r="AG45" s="3"/>
      <c r="AH45" s="3"/>
      <c r="AI45" s="3"/>
      <c r="AJ45" s="3"/>
      <c r="AK45" s="3"/>
      <c r="AL45" s="3"/>
      <c r="AM45" s="3"/>
      <c r="AN45" s="3"/>
      <c r="AO45" s="2"/>
      <c r="AP45" s="2"/>
      <c r="AQ45" s="2"/>
      <c r="AR45" s="3"/>
      <c r="AS45" s="7"/>
      <c r="AT45" s="91">
        <f t="shared" si="7"/>
        <v>0</v>
      </c>
      <c r="AU45" s="91"/>
      <c r="AV45" s="6"/>
      <c r="AW45" s="8"/>
      <c r="AX45" s="4"/>
      <c r="AY45" s="4"/>
      <c r="AZ45" s="55"/>
      <c r="BA45" s="52"/>
      <c r="BB45" s="52"/>
      <c r="BC45" s="53"/>
      <c r="BD45" s="55"/>
    </row>
    <row r="46" spans="1:56" s="1" customFormat="1" ht="22.5" customHeight="1" x14ac:dyDescent="0.25">
      <c r="A46" s="9"/>
      <c r="B46" s="3"/>
      <c r="C46" s="3"/>
      <c r="D46" s="3"/>
      <c r="E46" s="3"/>
      <c r="F46" s="3"/>
      <c r="G46" s="50"/>
      <c r="H46" s="3"/>
      <c r="I46" s="3"/>
      <c r="J46" s="3"/>
      <c r="K46" s="32"/>
      <c r="L46" s="3"/>
      <c r="M46" s="3"/>
      <c r="N46" s="3"/>
      <c r="O46" s="3"/>
      <c r="P46" s="3"/>
      <c r="Q46" s="42"/>
      <c r="R46" s="3"/>
      <c r="S46" s="3"/>
      <c r="T46" s="3"/>
      <c r="U46" s="3"/>
      <c r="V46" s="46"/>
      <c r="W46" s="34"/>
      <c r="X46" s="3"/>
      <c r="Y46" s="38"/>
      <c r="Z46" s="3"/>
      <c r="AA46" s="3"/>
      <c r="AB46" s="3"/>
      <c r="AC46" s="3"/>
      <c r="AD46" s="3"/>
      <c r="AE46" s="3"/>
      <c r="AF46" s="3"/>
      <c r="AG46" s="3"/>
      <c r="AH46" s="3"/>
      <c r="AI46" s="3"/>
      <c r="AJ46" s="3"/>
      <c r="AK46" s="3"/>
      <c r="AL46" s="3"/>
      <c r="AM46" s="3"/>
      <c r="AN46" s="3"/>
      <c r="AO46" s="2"/>
      <c r="AP46" s="2"/>
      <c r="AQ46" s="2"/>
      <c r="AR46" s="3"/>
      <c r="AS46" s="7"/>
      <c r="AT46" s="91">
        <f t="shared" si="7"/>
        <v>0</v>
      </c>
      <c r="AU46" s="91"/>
      <c r="AV46" s="6"/>
      <c r="AW46" s="8"/>
      <c r="AX46" s="4"/>
      <c r="AY46" s="4"/>
      <c r="AZ46" s="55"/>
      <c r="BA46" s="52"/>
      <c r="BB46" s="52"/>
      <c r="BC46" s="53"/>
      <c r="BD46" s="55"/>
    </row>
    <row r="47" spans="1:56" s="1" customFormat="1" ht="22.5" customHeight="1" x14ac:dyDescent="0.25">
      <c r="A47" s="9"/>
      <c r="B47" s="3"/>
      <c r="C47" s="3"/>
      <c r="D47" s="3"/>
      <c r="E47" s="3"/>
      <c r="F47" s="3"/>
      <c r="G47" s="50"/>
      <c r="H47" s="3"/>
      <c r="I47" s="3"/>
      <c r="J47" s="3"/>
      <c r="K47" s="32"/>
      <c r="L47" s="3"/>
      <c r="M47" s="3"/>
      <c r="N47" s="3"/>
      <c r="O47" s="3"/>
      <c r="P47" s="3"/>
      <c r="Q47" s="42"/>
      <c r="R47" s="3"/>
      <c r="S47" s="3"/>
      <c r="T47" s="3"/>
      <c r="U47" s="3"/>
      <c r="V47" s="46"/>
      <c r="W47" s="34"/>
      <c r="X47" s="3"/>
      <c r="Y47" s="38"/>
      <c r="Z47" s="3"/>
      <c r="AA47" s="3"/>
      <c r="AB47" s="3"/>
      <c r="AC47" s="3"/>
      <c r="AD47" s="3"/>
      <c r="AE47" s="3"/>
      <c r="AF47" s="3"/>
      <c r="AG47" s="3"/>
      <c r="AH47" s="3"/>
      <c r="AI47" s="3"/>
      <c r="AJ47" s="3"/>
      <c r="AK47" s="3"/>
      <c r="AL47" s="3"/>
      <c r="AM47" s="3"/>
      <c r="AN47" s="3"/>
      <c r="AO47" s="2"/>
      <c r="AP47" s="2"/>
      <c r="AQ47" s="2"/>
      <c r="AR47" s="3"/>
      <c r="AS47" s="7"/>
      <c r="AT47" s="91">
        <f t="shared" si="7"/>
        <v>0</v>
      </c>
      <c r="AU47" s="91"/>
      <c r="AV47" s="6"/>
      <c r="AW47" s="8"/>
      <c r="AX47" s="4"/>
      <c r="AY47" s="4"/>
      <c r="AZ47" s="55"/>
      <c r="BA47" s="52"/>
      <c r="BB47" s="52"/>
      <c r="BC47" s="53"/>
      <c r="BD47" s="55"/>
    </row>
    <row r="48" spans="1:56" s="1" customFormat="1" ht="22.5" customHeight="1" x14ac:dyDescent="0.25">
      <c r="A48" s="9"/>
      <c r="B48" s="3"/>
      <c r="C48" s="3"/>
      <c r="D48" s="3"/>
      <c r="E48" s="3"/>
      <c r="F48" s="3"/>
      <c r="G48" s="50"/>
      <c r="H48" s="3"/>
      <c r="I48" s="3"/>
      <c r="J48" s="3"/>
      <c r="K48" s="32"/>
      <c r="L48" s="3"/>
      <c r="M48" s="3"/>
      <c r="N48" s="3"/>
      <c r="O48" s="3"/>
      <c r="P48" s="3"/>
      <c r="Q48" s="42"/>
      <c r="R48" s="3"/>
      <c r="S48" s="3"/>
      <c r="T48" s="3"/>
      <c r="U48" s="3"/>
      <c r="V48" s="46"/>
      <c r="W48" s="34"/>
      <c r="X48" s="3"/>
      <c r="Y48" s="38"/>
      <c r="Z48" s="3"/>
      <c r="AA48" s="3"/>
      <c r="AB48" s="3"/>
      <c r="AC48" s="3"/>
      <c r="AD48" s="3"/>
      <c r="AE48" s="3"/>
      <c r="AF48" s="3"/>
      <c r="AG48" s="3"/>
      <c r="AH48" s="3"/>
      <c r="AI48" s="3"/>
      <c r="AJ48" s="3"/>
      <c r="AK48" s="3"/>
      <c r="AL48" s="3"/>
      <c r="AM48" s="3"/>
      <c r="AN48" s="3"/>
      <c r="AO48" s="2"/>
      <c r="AP48" s="2"/>
      <c r="AQ48" s="2"/>
      <c r="AR48" s="3"/>
      <c r="AS48" s="7"/>
      <c r="AT48" s="91">
        <f t="shared" si="7"/>
        <v>0</v>
      </c>
      <c r="AU48" s="91"/>
      <c r="AV48" s="6"/>
      <c r="AW48" s="8"/>
      <c r="AX48" s="4"/>
      <c r="AY48" s="4"/>
      <c r="AZ48" s="55"/>
      <c r="BA48" s="52"/>
      <c r="BB48" s="52"/>
      <c r="BC48" s="53"/>
      <c r="BD48" s="55"/>
    </row>
    <row r="49" spans="1:56" s="1" customFormat="1" ht="22.5" customHeight="1" x14ac:dyDescent="0.25">
      <c r="A49" s="9"/>
      <c r="B49" s="56"/>
      <c r="C49" s="56"/>
      <c r="D49" s="56"/>
      <c r="E49" s="56"/>
      <c r="F49" s="56"/>
      <c r="G49" s="57"/>
      <c r="H49" s="56"/>
      <c r="I49" s="56"/>
      <c r="J49" s="56"/>
      <c r="K49" s="58"/>
      <c r="L49" s="56"/>
      <c r="M49" s="56"/>
      <c r="N49" s="56"/>
      <c r="O49" s="56"/>
      <c r="P49" s="56"/>
      <c r="Q49" s="59"/>
      <c r="R49" s="56"/>
      <c r="S49" s="56"/>
      <c r="T49" s="56"/>
      <c r="U49" s="56"/>
      <c r="V49" s="60"/>
      <c r="W49" s="61"/>
      <c r="X49" s="56"/>
      <c r="Y49" s="62"/>
      <c r="Z49" s="56"/>
      <c r="AA49" s="56"/>
      <c r="AB49" s="56"/>
      <c r="AC49" s="56"/>
      <c r="AD49" s="56"/>
      <c r="AE49" s="56"/>
      <c r="AF49" s="56"/>
      <c r="AG49" s="56"/>
      <c r="AH49" s="56"/>
      <c r="AI49" s="56"/>
      <c r="AJ49" s="56"/>
      <c r="AK49" s="56"/>
      <c r="AL49" s="56"/>
      <c r="AM49" s="56"/>
      <c r="AN49" s="56"/>
      <c r="AO49" s="63"/>
      <c r="AP49" s="63"/>
      <c r="AQ49" s="63"/>
      <c r="AR49" s="56"/>
      <c r="AS49" s="64"/>
      <c r="AT49" s="91">
        <f t="shared" si="7"/>
        <v>0</v>
      </c>
      <c r="AU49" s="91"/>
      <c r="AV49" s="6"/>
      <c r="AW49" s="8"/>
      <c r="AX49" s="4"/>
      <c r="AY49" s="4"/>
      <c r="AZ49" s="55"/>
      <c r="BA49" s="128"/>
      <c r="BB49" s="129"/>
      <c r="BC49" s="53"/>
      <c r="BD49" s="55"/>
    </row>
    <row r="50" spans="1:56" ht="60.75" customHeight="1" x14ac:dyDescent="0.2">
      <c r="A50" s="65"/>
      <c r="B50" s="65"/>
      <c r="C50" s="66">
        <f>SUM(C4:C49)</f>
        <v>75</v>
      </c>
      <c r="D50" s="66"/>
      <c r="E50" s="66">
        <f t="shared" ref="E50:AM50" si="8">SUM(E4:E49)</f>
        <v>15</v>
      </c>
      <c r="F50" s="66">
        <f t="shared" si="8"/>
        <v>8</v>
      </c>
      <c r="G50" s="67">
        <f t="shared" si="8"/>
        <v>8</v>
      </c>
      <c r="H50" s="66">
        <f t="shared" si="8"/>
        <v>14</v>
      </c>
      <c r="I50" s="66">
        <f t="shared" si="8"/>
        <v>9</v>
      </c>
      <c r="J50" s="66">
        <f t="shared" si="8"/>
        <v>11</v>
      </c>
      <c r="K50" s="68">
        <f t="shared" si="8"/>
        <v>39</v>
      </c>
      <c r="L50" s="66">
        <f t="shared" si="8"/>
        <v>12</v>
      </c>
      <c r="M50" s="66">
        <f t="shared" si="8"/>
        <v>16</v>
      </c>
      <c r="N50" s="66">
        <f t="shared" si="8"/>
        <v>14</v>
      </c>
      <c r="O50" s="66">
        <f t="shared" si="8"/>
        <v>15</v>
      </c>
      <c r="P50" s="66">
        <f t="shared" si="8"/>
        <v>19</v>
      </c>
      <c r="Q50" s="69">
        <f t="shared" si="8"/>
        <v>22</v>
      </c>
      <c r="R50" s="66">
        <f t="shared" si="8"/>
        <v>18</v>
      </c>
      <c r="S50" s="66">
        <f t="shared" si="8"/>
        <v>19</v>
      </c>
      <c r="T50" s="66">
        <f t="shared" si="8"/>
        <v>20</v>
      </c>
      <c r="U50" s="66">
        <f t="shared" si="8"/>
        <v>21</v>
      </c>
      <c r="V50" s="70">
        <f t="shared" si="8"/>
        <v>26</v>
      </c>
      <c r="W50" s="71">
        <f t="shared" si="8"/>
        <v>24</v>
      </c>
      <c r="X50" s="66">
        <f t="shared" si="8"/>
        <v>24</v>
      </c>
      <c r="Y50" s="72">
        <f t="shared" si="8"/>
        <v>29</v>
      </c>
      <c r="Z50" s="66">
        <f t="shared" si="8"/>
        <v>26</v>
      </c>
      <c r="AA50" s="66">
        <f t="shared" si="8"/>
        <v>27</v>
      </c>
      <c r="AB50" s="66">
        <f t="shared" si="8"/>
        <v>28</v>
      </c>
      <c r="AC50" s="66">
        <f t="shared" si="8"/>
        <v>29</v>
      </c>
      <c r="AD50" s="66">
        <f t="shared" si="8"/>
        <v>30</v>
      </c>
      <c r="AE50" s="66">
        <f t="shared" si="8"/>
        <v>31</v>
      </c>
      <c r="AF50" s="66">
        <f t="shared" si="8"/>
        <v>33</v>
      </c>
      <c r="AG50" s="66">
        <f t="shared" si="8"/>
        <v>33</v>
      </c>
      <c r="AH50" s="66">
        <f t="shared" si="8"/>
        <v>34</v>
      </c>
      <c r="AI50" s="66">
        <f t="shared" si="8"/>
        <v>35</v>
      </c>
      <c r="AJ50" s="66">
        <f t="shared" si="8"/>
        <v>36</v>
      </c>
      <c r="AK50" s="66">
        <f t="shared" si="8"/>
        <v>39</v>
      </c>
      <c r="AL50" s="66">
        <f t="shared" si="8"/>
        <v>38</v>
      </c>
      <c r="AM50" s="66">
        <f t="shared" si="8"/>
        <v>53</v>
      </c>
      <c r="AN50" s="66"/>
      <c r="AO50" s="65"/>
      <c r="AP50" s="65"/>
      <c r="AQ50" s="65"/>
      <c r="AR50" s="65"/>
      <c r="AS50" s="73"/>
      <c r="AT50" s="74">
        <f>SUM(AT4:AT31)</f>
        <v>15920</v>
      </c>
      <c r="AU50" s="101"/>
    </row>
    <row r="51" spans="1:56" ht="18.75" customHeight="1" x14ac:dyDescent="0.2">
      <c r="A51" s="65"/>
      <c r="B51" s="65"/>
      <c r="C51" s="66">
        <f>C3</f>
        <v>20</v>
      </c>
      <c r="D51" s="66"/>
      <c r="E51" s="66">
        <f t="shared" ref="E51:AM51" si="9">E3</f>
        <v>40</v>
      </c>
      <c r="F51" s="66">
        <f t="shared" si="9"/>
        <v>40</v>
      </c>
      <c r="G51" s="67">
        <f t="shared" si="9"/>
        <v>200</v>
      </c>
      <c r="H51" s="66">
        <f t="shared" si="9"/>
        <v>250</v>
      </c>
      <c r="I51" s="66">
        <f t="shared" si="9"/>
        <v>300</v>
      </c>
      <c r="J51" s="66">
        <f t="shared" si="9"/>
        <v>15</v>
      </c>
      <c r="K51" s="68">
        <f t="shared" si="9"/>
        <v>30</v>
      </c>
      <c r="L51" s="66">
        <f t="shared" si="9"/>
        <v>40</v>
      </c>
      <c r="M51" s="66">
        <f t="shared" si="9"/>
        <v>50</v>
      </c>
      <c r="N51" s="66">
        <f t="shared" si="9"/>
        <v>5</v>
      </c>
      <c r="O51" s="66">
        <f t="shared" si="9"/>
        <v>5</v>
      </c>
      <c r="P51" s="66">
        <f t="shared" si="9"/>
        <v>20</v>
      </c>
      <c r="Q51" s="69">
        <f t="shared" si="9"/>
        <v>250</v>
      </c>
      <c r="R51" s="66">
        <f t="shared" si="9"/>
        <v>200</v>
      </c>
      <c r="S51" s="66">
        <f t="shared" si="9"/>
        <v>225</v>
      </c>
      <c r="T51" s="66">
        <f t="shared" si="9"/>
        <v>250</v>
      </c>
      <c r="U51" s="66">
        <f t="shared" si="9"/>
        <v>275</v>
      </c>
      <c r="V51" s="70">
        <f t="shared" si="9"/>
        <v>200</v>
      </c>
      <c r="W51" s="71">
        <f t="shared" si="9"/>
        <v>300</v>
      </c>
      <c r="X51" s="66">
        <f t="shared" si="9"/>
        <v>400</v>
      </c>
      <c r="Y51" s="72">
        <f t="shared" si="9"/>
        <v>1000</v>
      </c>
      <c r="Z51" s="66">
        <f t="shared" si="9"/>
        <v>10</v>
      </c>
      <c r="AA51" s="66">
        <f t="shared" si="9"/>
        <v>2000</v>
      </c>
      <c r="AB51" s="66">
        <f t="shared" si="9"/>
        <v>50</v>
      </c>
      <c r="AC51" s="66">
        <f t="shared" si="9"/>
        <v>30</v>
      </c>
      <c r="AD51" s="66">
        <f t="shared" si="9"/>
        <v>500</v>
      </c>
      <c r="AE51" s="66">
        <f t="shared" si="9"/>
        <v>50</v>
      </c>
      <c r="AF51" s="66">
        <f t="shared" si="9"/>
        <v>200</v>
      </c>
      <c r="AG51" s="66">
        <f t="shared" si="9"/>
        <v>300</v>
      </c>
      <c r="AH51" s="66">
        <f t="shared" si="9"/>
        <v>400</v>
      </c>
      <c r="AI51" s="66">
        <f t="shared" si="9"/>
        <v>400</v>
      </c>
      <c r="AJ51" s="66">
        <f t="shared" si="9"/>
        <v>400</v>
      </c>
      <c r="AK51" s="66">
        <f t="shared" si="9"/>
        <v>200</v>
      </c>
      <c r="AL51" s="66">
        <f t="shared" si="9"/>
        <v>10</v>
      </c>
      <c r="AM51" s="66">
        <f t="shared" si="9"/>
        <v>200</v>
      </c>
      <c r="AN51" s="66"/>
      <c r="AO51" s="65"/>
      <c r="AP51" s="65"/>
      <c r="AQ51" s="65"/>
      <c r="AR51" s="65"/>
      <c r="AS51" s="73"/>
      <c r="AT51" s="75"/>
      <c r="AU51" s="102"/>
    </row>
    <row r="52" spans="1:56" x14ac:dyDescent="0.2">
      <c r="A52" s="65"/>
      <c r="B52" s="65"/>
      <c r="C52" s="66">
        <f>C50*C51</f>
        <v>1500</v>
      </c>
      <c r="D52" s="66"/>
      <c r="E52" s="66">
        <f t="shared" ref="E52:AM52" si="10">E50*E51</f>
        <v>600</v>
      </c>
      <c r="F52" s="66">
        <f t="shared" si="10"/>
        <v>320</v>
      </c>
      <c r="G52" s="67">
        <f t="shared" si="10"/>
        <v>1600</v>
      </c>
      <c r="H52" s="66">
        <f t="shared" si="10"/>
        <v>3500</v>
      </c>
      <c r="I52" s="66">
        <f t="shared" si="10"/>
        <v>2700</v>
      </c>
      <c r="J52" s="66">
        <f t="shared" si="10"/>
        <v>165</v>
      </c>
      <c r="K52" s="68">
        <f t="shared" si="10"/>
        <v>1170</v>
      </c>
      <c r="L52" s="66">
        <f t="shared" si="10"/>
        <v>480</v>
      </c>
      <c r="M52" s="66">
        <f t="shared" si="10"/>
        <v>800</v>
      </c>
      <c r="N52" s="66">
        <f t="shared" si="10"/>
        <v>70</v>
      </c>
      <c r="O52" s="66">
        <f t="shared" si="10"/>
        <v>75</v>
      </c>
      <c r="P52" s="66">
        <f t="shared" si="10"/>
        <v>380</v>
      </c>
      <c r="Q52" s="69">
        <f t="shared" si="10"/>
        <v>5500</v>
      </c>
      <c r="R52" s="66">
        <f t="shared" si="10"/>
        <v>3600</v>
      </c>
      <c r="S52" s="66">
        <f t="shared" si="10"/>
        <v>4275</v>
      </c>
      <c r="T52" s="66">
        <f t="shared" si="10"/>
        <v>5000</v>
      </c>
      <c r="U52" s="66">
        <f t="shared" si="10"/>
        <v>5775</v>
      </c>
      <c r="V52" s="70">
        <f t="shared" si="10"/>
        <v>5200</v>
      </c>
      <c r="W52" s="71">
        <f t="shared" si="10"/>
        <v>7200</v>
      </c>
      <c r="X52" s="66">
        <f t="shared" si="10"/>
        <v>9600</v>
      </c>
      <c r="Y52" s="72">
        <f t="shared" si="10"/>
        <v>29000</v>
      </c>
      <c r="Z52" s="66">
        <f t="shared" si="10"/>
        <v>260</v>
      </c>
      <c r="AA52" s="66">
        <f t="shared" si="10"/>
        <v>54000</v>
      </c>
      <c r="AB52" s="66">
        <f t="shared" si="10"/>
        <v>1400</v>
      </c>
      <c r="AC52" s="66">
        <f t="shared" si="10"/>
        <v>870</v>
      </c>
      <c r="AD52" s="66">
        <f t="shared" si="10"/>
        <v>15000</v>
      </c>
      <c r="AE52" s="66">
        <f t="shared" si="10"/>
        <v>1550</v>
      </c>
      <c r="AF52" s="66">
        <f t="shared" si="10"/>
        <v>6600</v>
      </c>
      <c r="AG52" s="66">
        <f t="shared" si="10"/>
        <v>9900</v>
      </c>
      <c r="AH52" s="66">
        <f t="shared" si="10"/>
        <v>13600</v>
      </c>
      <c r="AI52" s="66">
        <f t="shared" si="10"/>
        <v>14000</v>
      </c>
      <c r="AJ52" s="66">
        <f t="shared" si="10"/>
        <v>14400</v>
      </c>
      <c r="AK52" s="66">
        <f t="shared" si="10"/>
        <v>7800</v>
      </c>
      <c r="AL52" s="66">
        <f t="shared" si="10"/>
        <v>380</v>
      </c>
      <c r="AM52" s="66">
        <f t="shared" si="10"/>
        <v>10600</v>
      </c>
      <c r="AN52" s="66"/>
      <c r="AO52" s="65">
        <v>0</v>
      </c>
      <c r="AP52" s="65">
        <v>0</v>
      </c>
      <c r="AQ52" s="65"/>
      <c r="AR52" s="65">
        <v>0</v>
      </c>
      <c r="AS52" s="73"/>
      <c r="AT52" s="75">
        <f>SUM(C52:AR52)</f>
        <v>238870</v>
      </c>
      <c r="AU52" s="102"/>
    </row>
    <row r="53" spans="1:56" x14ac:dyDescent="0.2">
      <c r="A53" s="65"/>
      <c r="B53" s="65"/>
      <c r="C53" s="65"/>
      <c r="D53" s="65"/>
      <c r="E53" s="65"/>
      <c r="F53" s="65"/>
      <c r="G53" s="49"/>
      <c r="H53" s="65"/>
      <c r="I53" s="65"/>
      <c r="J53" s="65"/>
      <c r="K53" s="31"/>
      <c r="L53" s="65"/>
      <c r="M53" s="65"/>
      <c r="N53" s="65"/>
      <c r="O53" s="65"/>
      <c r="P53" s="65"/>
      <c r="Q53" s="41"/>
      <c r="R53" s="65"/>
      <c r="S53" s="65"/>
      <c r="T53" s="65"/>
      <c r="U53" s="65"/>
      <c r="V53" s="45"/>
      <c r="W53" s="33"/>
      <c r="X53" s="65"/>
      <c r="Y53" s="37"/>
      <c r="Z53" s="65"/>
      <c r="AA53" s="65"/>
      <c r="AB53" s="65"/>
      <c r="AC53" s="65"/>
      <c r="AD53" s="65"/>
      <c r="AE53" s="65"/>
      <c r="AF53" s="65"/>
      <c r="AG53" s="65"/>
      <c r="AH53" s="65"/>
      <c r="AI53" s="65"/>
      <c r="AJ53" s="65"/>
      <c r="AK53" s="65"/>
      <c r="AL53" s="65"/>
      <c r="AM53" s="65"/>
      <c r="AN53" s="65"/>
      <c r="AO53" s="65"/>
      <c r="AP53" s="65"/>
      <c r="AQ53" s="65"/>
      <c r="AR53" s="65"/>
      <c r="AS53" s="73"/>
      <c r="AT53" s="65"/>
      <c r="AU53" s="103"/>
    </row>
    <row r="54" spans="1:56" x14ac:dyDescent="0.2">
      <c r="A54" s="65"/>
      <c r="B54" s="65"/>
      <c r="C54" s="65"/>
      <c r="D54" s="65"/>
      <c r="E54" s="65"/>
      <c r="F54" s="65"/>
      <c r="G54" s="49"/>
      <c r="H54" s="65"/>
      <c r="I54" s="65"/>
      <c r="J54" s="65"/>
      <c r="K54" s="31"/>
      <c r="L54" s="65"/>
      <c r="M54" s="65"/>
      <c r="N54" s="65"/>
      <c r="O54" s="65"/>
      <c r="P54" s="65"/>
      <c r="Q54" s="41"/>
      <c r="R54" s="65"/>
      <c r="S54" s="65"/>
      <c r="T54" s="65"/>
      <c r="U54" s="65"/>
      <c r="V54" s="45"/>
      <c r="W54" s="33"/>
      <c r="X54" s="65"/>
      <c r="Y54" s="37"/>
      <c r="Z54" s="65"/>
      <c r="AA54" s="65"/>
      <c r="AB54" s="65"/>
      <c r="AC54" s="65"/>
      <c r="AD54" s="65"/>
      <c r="AE54" s="65"/>
      <c r="AF54" s="65"/>
      <c r="AG54" s="65"/>
      <c r="AH54" s="65"/>
      <c r="AI54" s="65"/>
      <c r="AJ54" s="65"/>
      <c r="AK54" s="65"/>
      <c r="AL54" s="65"/>
      <c r="AM54" s="65"/>
      <c r="AN54" s="65"/>
      <c r="AO54" s="65"/>
      <c r="AP54" s="65"/>
      <c r="AQ54" s="65"/>
      <c r="AR54" s="65"/>
      <c r="AS54" s="73"/>
      <c r="AT54" s="65"/>
      <c r="AU54" s="103"/>
    </row>
  </sheetData>
  <sheetProtection formatCells="0" formatColumns="0" formatRows="0" insertColumns="0" insertRows="0" insertHyperlinks="0" deleteColumns="0" deleteRows="0" sort="0" autoFilter="0" pivotTables="0"/>
  <autoFilter ref="A2:AW50"/>
  <mergeCells count="1">
    <mergeCell ref="BA49:BB49"/>
  </mergeCells>
  <phoneticPr fontId="5" type="noConversion"/>
  <pageMargins left="0.7" right="0.7" top="0.75" bottom="0.75" header="0.3" footer="0.3"/>
  <pageSetup scale="85"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55"/>
  <sheetViews>
    <sheetView topLeftCell="A28" workbookViewId="0">
      <selection activeCell="B52" sqref="B52"/>
    </sheetView>
  </sheetViews>
  <sheetFormatPr defaultRowHeight="12.75" x14ac:dyDescent="0.2"/>
  <cols>
    <col min="2" max="2" width="28.5703125" customWidth="1"/>
    <col min="3" max="3" width="21.42578125" customWidth="1"/>
    <col min="4" max="4" width="22.42578125" customWidth="1"/>
    <col min="5" max="5" width="14" customWidth="1"/>
    <col min="8" max="8" width="25.140625" customWidth="1"/>
  </cols>
  <sheetData>
    <row r="1" spans="1:8" ht="15.75" x14ac:dyDescent="0.25">
      <c r="A1" s="136" t="s">
        <v>65</v>
      </c>
      <c r="B1" s="136"/>
      <c r="C1" s="136"/>
      <c r="D1" s="136"/>
      <c r="E1" s="136"/>
    </row>
    <row r="2" spans="1:8" ht="15" customHeight="1" x14ac:dyDescent="0.2">
      <c r="A2" s="137" t="s">
        <v>62</v>
      </c>
      <c r="B2" s="138">
        <v>2022</v>
      </c>
      <c r="C2" s="138"/>
      <c r="D2" s="20" t="s">
        <v>63</v>
      </c>
      <c r="E2" s="21" t="s">
        <v>16</v>
      </c>
      <c r="F2" s="127">
        <f>E52</f>
        <v>640</v>
      </c>
      <c r="H2">
        <f>VLOOKUP($E$2,expat,41,0)</f>
        <v>80</v>
      </c>
    </row>
    <row r="3" spans="1:8" ht="15" customHeight="1" x14ac:dyDescent="0.2">
      <c r="A3" s="137"/>
      <c r="B3" s="138" t="s">
        <v>60</v>
      </c>
      <c r="C3" s="138"/>
      <c r="D3" s="139" t="str">
        <f>VLOOKUP($E$2,expat,2,0)</f>
        <v>SIFA C FRANCIS</v>
      </c>
      <c r="E3" s="140" t="s">
        <v>22</v>
      </c>
    </row>
    <row r="4" spans="1:8" ht="15" customHeight="1" x14ac:dyDescent="0.2">
      <c r="A4" s="137"/>
      <c r="B4" s="138">
        <v>2023</v>
      </c>
      <c r="C4" s="138"/>
      <c r="D4" s="139"/>
      <c r="E4" s="140"/>
    </row>
    <row r="5" spans="1:8" ht="15" customHeight="1" x14ac:dyDescent="0.2">
      <c r="A5" s="130" t="s">
        <v>59</v>
      </c>
      <c r="B5" s="130"/>
      <c r="C5" s="130"/>
      <c r="D5" s="130"/>
      <c r="E5" s="130"/>
    </row>
    <row r="6" spans="1:8" ht="15" customHeight="1" x14ac:dyDescent="0.2">
      <c r="A6" s="22" t="s">
        <v>58</v>
      </c>
      <c r="B6" s="23" t="s">
        <v>0</v>
      </c>
      <c r="C6" s="92" t="s">
        <v>1</v>
      </c>
      <c r="D6" s="106" t="s">
        <v>2</v>
      </c>
      <c r="E6" s="106" t="s">
        <v>8</v>
      </c>
      <c r="F6" s="4"/>
    </row>
    <row r="7" spans="1:8" ht="15" customHeight="1" x14ac:dyDescent="0.2">
      <c r="A7" s="82">
        <v>1</v>
      </c>
      <c r="B7" s="83" t="s">
        <v>23</v>
      </c>
      <c r="C7" s="93">
        <v>20</v>
      </c>
      <c r="D7" s="98">
        <f>VLOOKUP($E$2,expat,3,0)</f>
        <v>4</v>
      </c>
      <c r="E7" s="99">
        <f>C7*D7</f>
        <v>80</v>
      </c>
    </row>
    <row r="8" spans="1:8" ht="15" customHeight="1" x14ac:dyDescent="0.2">
      <c r="A8" s="82">
        <v>2</v>
      </c>
      <c r="B8" s="83" t="s">
        <v>23</v>
      </c>
      <c r="C8" s="93">
        <v>30</v>
      </c>
      <c r="D8" s="98">
        <f>VLOOKUP($E$2,expat,4,0)</f>
        <v>0</v>
      </c>
      <c r="E8" s="99">
        <f t="shared" ref="E8:E50" si="0">C8*D8</f>
        <v>0</v>
      </c>
    </row>
    <row r="9" spans="1:8" ht="15" customHeight="1" x14ac:dyDescent="0.2">
      <c r="A9" s="82">
        <v>3</v>
      </c>
      <c r="B9" s="83" t="s">
        <v>24</v>
      </c>
      <c r="C9" s="93">
        <v>40</v>
      </c>
      <c r="D9" s="98">
        <f>VLOOKUP($E$2,expat,5,0)</f>
        <v>0</v>
      </c>
      <c r="E9" s="99">
        <f t="shared" si="0"/>
        <v>0</v>
      </c>
    </row>
    <row r="10" spans="1:8" ht="15" customHeight="1" x14ac:dyDescent="0.2">
      <c r="A10" s="82">
        <v>4</v>
      </c>
      <c r="B10" s="83" t="s">
        <v>25</v>
      </c>
      <c r="C10" s="93">
        <v>40</v>
      </c>
      <c r="D10" s="98">
        <f>VLOOKUP($E$2,expat,6,0)</f>
        <v>0</v>
      </c>
      <c r="E10" s="99">
        <f t="shared" si="0"/>
        <v>0</v>
      </c>
    </row>
    <row r="11" spans="1:8" ht="15" customHeight="1" x14ac:dyDescent="0.2">
      <c r="A11" s="82">
        <v>5</v>
      </c>
      <c r="B11" s="83" t="s">
        <v>26</v>
      </c>
      <c r="C11" s="93">
        <v>200</v>
      </c>
      <c r="D11" s="98">
        <f>VLOOKUP($E$2,expat,7,0)</f>
        <v>0</v>
      </c>
      <c r="E11" s="99">
        <f t="shared" si="0"/>
        <v>0</v>
      </c>
    </row>
    <row r="12" spans="1:8" ht="15" customHeight="1" x14ac:dyDescent="0.2">
      <c r="A12" s="82">
        <v>6</v>
      </c>
      <c r="B12" s="83" t="s">
        <v>27</v>
      </c>
      <c r="C12" s="93">
        <v>250</v>
      </c>
      <c r="D12" s="98">
        <f>VLOOKUP($E$2,expat,8,0)</f>
        <v>0</v>
      </c>
      <c r="E12" s="99">
        <f t="shared" si="0"/>
        <v>0</v>
      </c>
    </row>
    <row r="13" spans="1:8" ht="15" customHeight="1" x14ac:dyDescent="0.2">
      <c r="A13" s="82">
        <v>7</v>
      </c>
      <c r="B13" s="83" t="s">
        <v>28</v>
      </c>
      <c r="C13" s="93">
        <v>300</v>
      </c>
      <c r="D13" s="98">
        <f>VLOOKUP($E$2,expat,9,0)</f>
        <v>0</v>
      </c>
      <c r="E13" s="99">
        <f t="shared" si="0"/>
        <v>0</v>
      </c>
    </row>
    <row r="14" spans="1:8" ht="15" customHeight="1" x14ac:dyDescent="0.2">
      <c r="A14" s="82">
        <v>8</v>
      </c>
      <c r="B14" s="83" t="s">
        <v>29</v>
      </c>
      <c r="C14" s="93">
        <v>15</v>
      </c>
      <c r="D14" s="98">
        <f>VLOOKUP($E$2,expat,10,0)</f>
        <v>0</v>
      </c>
      <c r="E14" s="99">
        <f t="shared" si="0"/>
        <v>0</v>
      </c>
    </row>
    <row r="15" spans="1:8" ht="15" customHeight="1" x14ac:dyDescent="0.2">
      <c r="A15" s="82">
        <v>9</v>
      </c>
      <c r="B15" s="83" t="s">
        <v>30</v>
      </c>
      <c r="C15" s="93">
        <v>30</v>
      </c>
      <c r="D15" s="98">
        <f>VLOOKUP($E$2,expat,11,0)</f>
        <v>1</v>
      </c>
      <c r="E15" s="99">
        <f>C15*D15</f>
        <v>30</v>
      </c>
    </row>
    <row r="16" spans="1:8" ht="15" customHeight="1" x14ac:dyDescent="0.2">
      <c r="A16" s="82">
        <v>10</v>
      </c>
      <c r="B16" s="83" t="s">
        <v>31</v>
      </c>
      <c r="C16" s="93">
        <v>40</v>
      </c>
      <c r="D16" s="98">
        <f>VLOOKUP($E$2,expat,12,0)</f>
        <v>0</v>
      </c>
      <c r="E16" s="99">
        <f t="shared" si="0"/>
        <v>0</v>
      </c>
    </row>
    <row r="17" spans="1:5" ht="15" customHeight="1" x14ac:dyDescent="0.2">
      <c r="A17" s="82">
        <v>11</v>
      </c>
      <c r="B17" s="83" t="s">
        <v>32</v>
      </c>
      <c r="C17" s="93">
        <v>50</v>
      </c>
      <c r="D17" s="98">
        <f>VLOOKUP($E$2,expat,13,0)</f>
        <v>0</v>
      </c>
      <c r="E17" s="99">
        <f t="shared" si="0"/>
        <v>0</v>
      </c>
    </row>
    <row r="18" spans="1:5" ht="15" customHeight="1" x14ac:dyDescent="0.2">
      <c r="A18" s="82">
        <v>12</v>
      </c>
      <c r="B18" s="83" t="s">
        <v>33</v>
      </c>
      <c r="C18" s="93">
        <v>5</v>
      </c>
      <c r="D18" s="98">
        <f>VLOOKUP($E$2,expat,14,0)</f>
        <v>0</v>
      </c>
      <c r="E18" s="99">
        <f t="shared" si="0"/>
        <v>0</v>
      </c>
    </row>
    <row r="19" spans="1:5" ht="15" customHeight="1" x14ac:dyDescent="0.2">
      <c r="A19" s="82">
        <v>13</v>
      </c>
      <c r="B19" s="83" t="s">
        <v>34</v>
      </c>
      <c r="C19" s="93">
        <v>5</v>
      </c>
      <c r="D19" s="98">
        <f>VLOOKUP($E$2,expat,15,0)</f>
        <v>0</v>
      </c>
      <c r="E19" s="99">
        <f t="shared" si="0"/>
        <v>0</v>
      </c>
    </row>
    <row r="20" spans="1:5" ht="15" customHeight="1" x14ac:dyDescent="0.2">
      <c r="A20" s="82">
        <v>14</v>
      </c>
      <c r="B20" s="83" t="s">
        <v>35</v>
      </c>
      <c r="C20" s="93">
        <v>20</v>
      </c>
      <c r="D20" s="98">
        <f>VLOOKUP($E$2,expat,16,0)</f>
        <v>0</v>
      </c>
      <c r="E20" s="99">
        <f t="shared" si="0"/>
        <v>0</v>
      </c>
    </row>
    <row r="21" spans="1:5" ht="15" customHeight="1" x14ac:dyDescent="0.2">
      <c r="A21" s="82">
        <v>15</v>
      </c>
      <c r="B21" s="83" t="s">
        <v>36</v>
      </c>
      <c r="C21" s="93">
        <v>250</v>
      </c>
      <c r="D21" s="98">
        <f>VLOOKUP($E$2,expat,17,0)</f>
        <v>1</v>
      </c>
      <c r="E21" s="99">
        <f t="shared" si="0"/>
        <v>250</v>
      </c>
    </row>
    <row r="22" spans="1:5" ht="15" customHeight="1" x14ac:dyDescent="0.2">
      <c r="A22" s="82">
        <v>16</v>
      </c>
      <c r="B22" s="83" t="s">
        <v>37</v>
      </c>
      <c r="C22" s="93">
        <v>200</v>
      </c>
      <c r="D22" s="98">
        <f>VLOOKUP($E$2,expat,18,0)</f>
        <v>0</v>
      </c>
      <c r="E22" s="99">
        <f t="shared" si="0"/>
        <v>0</v>
      </c>
    </row>
    <row r="23" spans="1:5" ht="15" customHeight="1" x14ac:dyDescent="0.2">
      <c r="A23" s="82">
        <v>17</v>
      </c>
      <c r="B23" s="83" t="s">
        <v>38</v>
      </c>
      <c r="C23" s="93">
        <v>225</v>
      </c>
      <c r="D23" s="98">
        <f>VLOOKUP($E$2,expat,19,0)</f>
        <v>0</v>
      </c>
      <c r="E23" s="99">
        <f t="shared" si="0"/>
        <v>0</v>
      </c>
    </row>
    <row r="24" spans="1:5" ht="15" customHeight="1" x14ac:dyDescent="0.2">
      <c r="A24" s="82">
        <v>18</v>
      </c>
      <c r="B24" s="83" t="s">
        <v>39</v>
      </c>
      <c r="C24" s="93">
        <v>250</v>
      </c>
      <c r="D24" s="98">
        <f>VLOOKUP($E$2,expat,20,0)</f>
        <v>0</v>
      </c>
      <c r="E24" s="99">
        <f t="shared" si="0"/>
        <v>0</v>
      </c>
    </row>
    <row r="25" spans="1:5" ht="15" customHeight="1" x14ac:dyDescent="0.2">
      <c r="A25" s="82">
        <v>19</v>
      </c>
      <c r="B25" s="83" t="s">
        <v>40</v>
      </c>
      <c r="C25" s="93">
        <v>275</v>
      </c>
      <c r="D25" s="98">
        <f>VLOOKUP($E$2,expat,21,0)</f>
        <v>0</v>
      </c>
      <c r="E25" s="99">
        <f t="shared" si="0"/>
        <v>0</v>
      </c>
    </row>
    <row r="26" spans="1:5" ht="15" customHeight="1" x14ac:dyDescent="0.2">
      <c r="A26" s="82">
        <v>20</v>
      </c>
      <c r="B26" s="83" t="s">
        <v>41</v>
      </c>
      <c r="C26" s="93">
        <v>200</v>
      </c>
      <c r="D26" s="98">
        <f>VLOOKUP($E$2,expat,22,0)</f>
        <v>0</v>
      </c>
      <c r="E26" s="99">
        <f t="shared" si="0"/>
        <v>0</v>
      </c>
    </row>
    <row r="27" spans="1:5" ht="15" customHeight="1" x14ac:dyDescent="0.2">
      <c r="A27" s="82">
        <v>21</v>
      </c>
      <c r="B27" s="83" t="s">
        <v>42</v>
      </c>
      <c r="C27" s="93">
        <v>300</v>
      </c>
      <c r="D27" s="98">
        <f>VLOOKUP($E$2,expat,23,0)</f>
        <v>0</v>
      </c>
      <c r="E27" s="99">
        <f>C27*D27</f>
        <v>0</v>
      </c>
    </row>
    <row r="28" spans="1:5" ht="15" customHeight="1" x14ac:dyDescent="0.2">
      <c r="A28" s="82">
        <v>22</v>
      </c>
      <c r="B28" s="83" t="s">
        <v>43</v>
      </c>
      <c r="C28" s="93">
        <v>400</v>
      </c>
      <c r="D28" s="98">
        <f>VLOOKUP($E$2,expat,24,0)</f>
        <v>0</v>
      </c>
      <c r="E28" s="99">
        <f t="shared" si="0"/>
        <v>0</v>
      </c>
    </row>
    <row r="29" spans="1:5" ht="15" customHeight="1" x14ac:dyDescent="0.2">
      <c r="A29" s="82">
        <v>23</v>
      </c>
      <c r="B29" s="83" t="s">
        <v>44</v>
      </c>
      <c r="C29" s="93">
        <v>1000</v>
      </c>
      <c r="D29" s="98">
        <f>VLOOKUP($E$2,expat,25,0)</f>
        <v>0</v>
      </c>
      <c r="E29" s="99">
        <f t="shared" si="0"/>
        <v>0</v>
      </c>
    </row>
    <row r="30" spans="1:5" ht="15" customHeight="1" x14ac:dyDescent="0.2">
      <c r="A30" s="82">
        <v>24</v>
      </c>
      <c r="B30" s="83" t="s">
        <v>45</v>
      </c>
      <c r="C30" s="93">
        <v>10</v>
      </c>
      <c r="D30" s="98">
        <f>VLOOKUP($E$2,expat,26,0)</f>
        <v>0</v>
      </c>
      <c r="E30" s="99">
        <f t="shared" si="0"/>
        <v>0</v>
      </c>
    </row>
    <row r="31" spans="1:5" ht="15" customHeight="1" x14ac:dyDescent="0.2">
      <c r="A31" s="82">
        <v>25</v>
      </c>
      <c r="B31" s="83" t="s">
        <v>46</v>
      </c>
      <c r="C31" s="93">
        <v>2000</v>
      </c>
      <c r="D31" s="98">
        <f>VLOOKUP($E$2,expat,27,0)</f>
        <v>0</v>
      </c>
      <c r="E31" s="99">
        <f t="shared" si="0"/>
        <v>0</v>
      </c>
    </row>
    <row r="32" spans="1:5" ht="15" customHeight="1" x14ac:dyDescent="0.2">
      <c r="A32" s="82">
        <v>26</v>
      </c>
      <c r="B32" s="83" t="s">
        <v>47</v>
      </c>
      <c r="C32" s="93">
        <v>50</v>
      </c>
      <c r="D32" s="98">
        <f>VLOOKUP($E$2,expat,28,0)</f>
        <v>0</v>
      </c>
      <c r="E32" s="99">
        <f t="shared" si="0"/>
        <v>0</v>
      </c>
    </row>
    <row r="33" spans="1:5" ht="15" customHeight="1" x14ac:dyDescent="0.2">
      <c r="A33" s="82">
        <v>27</v>
      </c>
      <c r="B33" s="83" t="s">
        <v>48</v>
      </c>
      <c r="C33" s="93">
        <v>30</v>
      </c>
      <c r="D33" s="98">
        <f>VLOOKUP($E$2,expat,29,0)</f>
        <v>0</v>
      </c>
      <c r="E33" s="99">
        <f t="shared" si="0"/>
        <v>0</v>
      </c>
    </row>
    <row r="34" spans="1:5" ht="15" customHeight="1" x14ac:dyDescent="0.2">
      <c r="A34" s="82">
        <v>28</v>
      </c>
      <c r="B34" s="83" t="s">
        <v>49</v>
      </c>
      <c r="C34" s="93">
        <v>500</v>
      </c>
      <c r="D34" s="98">
        <f>VLOOKUP($E$2,expat,30,0)</f>
        <v>0</v>
      </c>
      <c r="E34" s="99">
        <f t="shared" si="0"/>
        <v>0</v>
      </c>
    </row>
    <row r="35" spans="1:5" ht="15" customHeight="1" x14ac:dyDescent="0.2">
      <c r="A35" s="82">
        <v>29</v>
      </c>
      <c r="B35" s="83" t="s">
        <v>50</v>
      </c>
      <c r="C35" s="93">
        <v>50</v>
      </c>
      <c r="D35" s="98">
        <f>VLOOKUP($E$2,expat,31,0)</f>
        <v>0</v>
      </c>
      <c r="E35" s="99">
        <f t="shared" si="0"/>
        <v>0</v>
      </c>
    </row>
    <row r="36" spans="1:5" ht="15" customHeight="1" x14ac:dyDescent="0.2">
      <c r="A36" s="82">
        <v>30</v>
      </c>
      <c r="B36" s="83" t="s">
        <v>51</v>
      </c>
      <c r="C36" s="93">
        <v>200</v>
      </c>
      <c r="D36" s="98">
        <f>VLOOKUP($E$2,expat,32,0)</f>
        <v>0</v>
      </c>
      <c r="E36" s="99">
        <f t="shared" si="0"/>
        <v>0</v>
      </c>
    </row>
    <row r="37" spans="1:5" ht="15" customHeight="1" x14ac:dyDescent="0.2">
      <c r="A37" s="82">
        <v>31</v>
      </c>
      <c r="B37" s="85" t="s">
        <v>52</v>
      </c>
      <c r="C37" s="93">
        <v>300</v>
      </c>
      <c r="D37" s="98">
        <f>VLOOKUP($E$2,expat,33,0)</f>
        <v>0</v>
      </c>
      <c r="E37" s="99">
        <f t="shared" si="0"/>
        <v>0</v>
      </c>
    </row>
    <row r="38" spans="1:5" ht="15" customHeight="1" x14ac:dyDescent="0.2">
      <c r="A38" s="82">
        <v>32</v>
      </c>
      <c r="B38" s="83" t="s">
        <v>71</v>
      </c>
      <c r="C38" s="93">
        <v>400</v>
      </c>
      <c r="D38" s="98">
        <f>VLOOKUP($E$2,expat,34,0)</f>
        <v>0</v>
      </c>
      <c r="E38" s="99">
        <f t="shared" si="0"/>
        <v>0</v>
      </c>
    </row>
    <row r="39" spans="1:5" ht="15" customHeight="1" x14ac:dyDescent="0.2">
      <c r="A39" s="82">
        <v>33</v>
      </c>
      <c r="B39" s="83" t="s">
        <v>53</v>
      </c>
      <c r="C39" s="93">
        <v>400</v>
      </c>
      <c r="D39" s="98">
        <f>VLOOKUP($E$2,expat,35,0)</f>
        <v>0</v>
      </c>
      <c r="E39" s="99">
        <f t="shared" si="0"/>
        <v>0</v>
      </c>
    </row>
    <row r="40" spans="1:5" ht="15" customHeight="1" x14ac:dyDescent="0.2">
      <c r="A40" s="82">
        <v>34</v>
      </c>
      <c r="B40" s="83" t="s">
        <v>54</v>
      </c>
      <c r="C40" s="93">
        <v>400</v>
      </c>
      <c r="D40" s="98">
        <f>VLOOKUP($E$2,expat,36,0)</f>
        <v>0</v>
      </c>
      <c r="E40" s="99">
        <f t="shared" si="0"/>
        <v>0</v>
      </c>
    </row>
    <row r="41" spans="1:5" ht="15" customHeight="1" x14ac:dyDescent="0.2">
      <c r="A41" s="82">
        <v>35</v>
      </c>
      <c r="B41" s="83" t="s">
        <v>55</v>
      </c>
      <c r="C41" s="93">
        <v>200</v>
      </c>
      <c r="D41" s="98">
        <f>VLOOKUP($E$2,expat,37,0)</f>
        <v>0</v>
      </c>
      <c r="E41" s="99">
        <f t="shared" si="0"/>
        <v>0</v>
      </c>
    </row>
    <row r="42" spans="1:5" ht="15" customHeight="1" thickBot="1" x14ac:dyDescent="0.25">
      <c r="A42" s="82">
        <v>36</v>
      </c>
      <c r="B42" s="83" t="s">
        <v>56</v>
      </c>
      <c r="C42" s="93">
        <v>10</v>
      </c>
      <c r="D42" s="98">
        <f>VLOOKUP($E$2,expat,38,0)</f>
        <v>0</v>
      </c>
      <c r="E42" s="99">
        <f t="shared" si="0"/>
        <v>0</v>
      </c>
    </row>
    <row r="43" spans="1:5" ht="15" customHeight="1" thickBot="1" x14ac:dyDescent="0.25">
      <c r="A43" s="82">
        <v>37</v>
      </c>
      <c r="B43" s="86" t="s">
        <v>86</v>
      </c>
      <c r="C43" s="94">
        <f>VLOOKUP($E$2,expat,41,0)</f>
        <v>80</v>
      </c>
      <c r="D43" s="98">
        <v>1</v>
      </c>
      <c r="E43" s="99">
        <f t="shared" si="0"/>
        <v>80</v>
      </c>
    </row>
    <row r="44" spans="1:5" ht="15" customHeight="1" x14ac:dyDescent="0.2">
      <c r="A44" s="82">
        <v>38</v>
      </c>
      <c r="B44" s="115" t="s">
        <v>57</v>
      </c>
      <c r="C44" s="94">
        <v>200</v>
      </c>
      <c r="D44" s="98">
        <f>VLOOKUP($E$2,expat,40,0)</f>
        <v>1</v>
      </c>
      <c r="E44" s="99">
        <f t="shared" si="0"/>
        <v>200</v>
      </c>
    </row>
    <row r="45" spans="1:5" ht="15" customHeight="1" x14ac:dyDescent="0.2">
      <c r="A45" s="82">
        <v>39</v>
      </c>
      <c r="B45" s="87"/>
      <c r="C45" s="95"/>
      <c r="D45" s="88"/>
      <c r="E45" s="99">
        <f t="shared" si="0"/>
        <v>0</v>
      </c>
    </row>
    <row r="46" spans="1:5" ht="15" customHeight="1" x14ac:dyDescent="0.2">
      <c r="A46" s="82">
        <v>40</v>
      </c>
      <c r="B46" s="87"/>
      <c r="C46" s="95"/>
      <c r="D46" s="88"/>
      <c r="E46" s="99">
        <f t="shared" si="0"/>
        <v>0</v>
      </c>
    </row>
    <row r="47" spans="1:5" ht="15" customHeight="1" x14ac:dyDescent="0.2">
      <c r="A47" s="82">
        <v>41</v>
      </c>
      <c r="B47" s="87"/>
      <c r="C47" s="95"/>
      <c r="D47" s="88"/>
      <c r="E47" s="99">
        <f t="shared" si="0"/>
        <v>0</v>
      </c>
    </row>
    <row r="48" spans="1:5" x14ac:dyDescent="0.2">
      <c r="A48" s="82">
        <v>42</v>
      </c>
      <c r="B48" s="87"/>
      <c r="C48" s="95"/>
      <c r="D48" s="88"/>
      <c r="E48" s="99">
        <f t="shared" si="0"/>
        <v>0</v>
      </c>
    </row>
    <row r="49" spans="1:5" x14ac:dyDescent="0.2">
      <c r="A49" s="82">
        <v>43</v>
      </c>
      <c r="B49" s="87"/>
      <c r="C49" s="95"/>
      <c r="D49" s="88"/>
      <c r="E49" s="99">
        <f t="shared" si="0"/>
        <v>0</v>
      </c>
    </row>
    <row r="50" spans="1:5" x14ac:dyDescent="0.2">
      <c r="A50" s="82">
        <v>44</v>
      </c>
      <c r="B50" s="87"/>
      <c r="C50" s="95"/>
      <c r="D50" s="88"/>
      <c r="E50" s="99">
        <f t="shared" si="0"/>
        <v>0</v>
      </c>
    </row>
    <row r="51" spans="1:5" x14ac:dyDescent="0.2">
      <c r="A51" s="89"/>
      <c r="B51" s="90"/>
      <c r="C51" s="95"/>
      <c r="D51" s="88">
        <v>0</v>
      </c>
      <c r="E51" s="84"/>
    </row>
    <row r="52" spans="1:5" ht="14.25" x14ac:dyDescent="0.2">
      <c r="A52" s="24"/>
      <c r="B52" s="25"/>
      <c r="C52" s="96"/>
      <c r="D52" s="26" t="s">
        <v>61</v>
      </c>
      <c r="E52" s="100">
        <f>SUM(E7:E51)</f>
        <v>640</v>
      </c>
    </row>
    <row r="53" spans="1:5" ht="14.25" x14ac:dyDescent="0.2">
      <c r="A53" s="105" t="s">
        <v>7</v>
      </c>
      <c r="B53" s="131"/>
      <c r="C53" s="132"/>
      <c r="D53" s="27"/>
      <c r="E53" s="28"/>
    </row>
    <row r="54" spans="1:5" x14ac:dyDescent="0.2">
      <c r="A54" s="133" t="s">
        <v>112</v>
      </c>
      <c r="B54" s="133"/>
      <c r="C54" s="133"/>
      <c r="D54" s="133"/>
      <c r="E54" s="133"/>
    </row>
    <row r="55" spans="1:5" ht="16.5" thickBot="1" x14ac:dyDescent="0.3">
      <c r="A55" s="134" t="s">
        <v>3</v>
      </c>
      <c r="B55" s="135"/>
      <c r="C55" s="97"/>
      <c r="D55" s="80"/>
      <c r="E55" s="81"/>
    </row>
  </sheetData>
  <mergeCells count="11">
    <mergeCell ref="A5:E5"/>
    <mergeCell ref="B53:C53"/>
    <mergeCell ref="A54:E54"/>
    <mergeCell ref="A55:B55"/>
    <mergeCell ref="A1:E1"/>
    <mergeCell ref="A2:A4"/>
    <mergeCell ref="B2:C2"/>
    <mergeCell ref="B3:C3"/>
    <mergeCell ref="D3:D4"/>
    <mergeCell ref="E3:E4"/>
    <mergeCell ref="B4:C4"/>
  </mergeCells>
  <dataValidations count="1">
    <dataValidation type="list" allowBlank="1" showInputMessage="1" showErrorMessage="1" sqref="E2">
      <formula1>empsr</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2022-24 DUES LIST</vt:lpstr>
      <vt:lpstr>RECEIPT</vt:lpstr>
      <vt:lpstr>expat</vt:lpstr>
      <vt:lpstr>'2022-24 DUES LIST'!Print_Area</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dc:creator>
  <cp:lastModifiedBy>user</cp:lastModifiedBy>
  <cp:lastPrinted>2024-03-22T09:35:55Z</cp:lastPrinted>
  <dcterms:created xsi:type="dcterms:W3CDTF">2009-06-06T05:52:00Z</dcterms:created>
  <dcterms:modified xsi:type="dcterms:W3CDTF">2025-03-17T04:48:28Z</dcterms:modified>
</cp:coreProperties>
</file>