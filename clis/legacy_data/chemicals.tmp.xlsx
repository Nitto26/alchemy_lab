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showInkAnnotation="0" codeName="ThisWorkbook" defaultThemeVersion="124226"/>
  <bookViews>
    <workbookView xWindow="0" yWindow="0" windowWidth="20490" windowHeight="7755" activeTab="1"/>
  </bookViews>
  <sheets>
    <sheet name="SEARCH" sheetId="2" r:id="rId1"/>
    <sheet name="STOCK DETAILS OF CHEMICALS" sheetId="1" r:id="rId2"/>
    <sheet name="Sheet1" sheetId="3" r:id="rId3"/>
  </sheets>
  <externalReferences>
    <externalReference r:id="rId4"/>
    <externalReference r:id="rId5"/>
    <externalReference r:id="rId6"/>
    <externalReference r:id="rId7"/>
    <externalReference r:id="rId8"/>
  </externalReferences>
  <definedNames>
    <definedName name="_emp1">#REF!</definedName>
    <definedName name="_xlnm._FilterDatabase" localSheetId="1" hidden="1">'STOCK DETAILS OF CHEMICALS'!$A$2:$Z$954</definedName>
    <definedName name="CP">[1]July!$B$1:$AT$683</definedName>
    <definedName name="ct">'[2]Time Sheet'!$B$5:$BB$184</definedName>
    <definedName name="Desig">'[3]Time Sheet2'!$L$11:$L$14</definedName>
    <definedName name="designation">[4]Sheet2!$C$3:$C$5</definedName>
    <definedName name="EMP">#REF!</definedName>
    <definedName name="empsr">'[5]PDO-Sr'!$B$4:$B$36</definedName>
    <definedName name="expat">'STOCK DETAILS OF CHEMICALS'!$A:$X</definedName>
    <definedName name="list">'[5]PDO-Jr'!#REF!</definedName>
    <definedName name="payrol">'[5]PDO-Jr'!$B$5:$BD$203</definedName>
    <definedName name="Payrolsr">'[5]PDO-Sr'!$B$4:$AY$37</definedName>
    <definedName name="_xlnm.Print_Area" localSheetId="0">SEARCH!$A$1:$E$19</definedName>
    <definedName name="_xlnm.Print_Area" localSheetId="1">'STOCK DETAILS OF CHEMICALS'!$A$1:$X$161</definedName>
    <definedName name="test">'[5]Timesheet JR'!$B$5:$CN$231</definedName>
  </definedNames>
  <calcPr calcId="144525"/>
</workbook>
</file>

<file path=xl/calcChain.xml><?xml version="1.0" encoding="utf-8"?>
<calcChain xmlns="http://schemas.openxmlformats.org/spreadsheetml/2006/main">
  <c r="M812" i="1" l="1"/>
  <c r="B15" i="2" l="1"/>
  <c r="B14" i="2"/>
  <c r="D14" i="2" s="1"/>
  <c r="B8" i="2"/>
  <c r="M584" i="1" l="1"/>
  <c r="B10" i="2" l="1"/>
  <c r="B9" i="2"/>
  <c r="B7" i="2"/>
  <c r="B4" i="2" l="1"/>
  <c r="C14" i="2" s="1"/>
  <c r="E14" i="2" s="1"/>
  <c r="U584" i="1" l="1"/>
  <c r="S584" i="1"/>
  <c r="Q584" i="1"/>
  <c r="O584" i="1"/>
  <c r="K584" i="1"/>
  <c r="I584" i="1"/>
  <c r="G584" i="1"/>
  <c r="E584" i="1"/>
  <c r="W584" i="1" l="1"/>
  <c r="X584" i="1" s="1"/>
  <c r="D3" i="2"/>
  <c r="Y584"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3" i="1"/>
  <c r="E3" i="1" l="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Q4" i="1"/>
  <c r="Q5" i="1"/>
  <c r="Q6" i="1"/>
  <c r="Q7" i="1"/>
  <c r="Q8" i="1"/>
  <c r="Q9" i="1"/>
  <c r="C8" i="2" s="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O4" i="1"/>
  <c r="O5" i="1"/>
  <c r="O6" i="1"/>
  <c r="O7" i="1"/>
  <c r="O8" i="1"/>
  <c r="O9" i="1"/>
  <c r="D15" i="2" s="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9" i="1"/>
  <c r="O150"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I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U3" i="1"/>
  <c r="S3" i="1"/>
  <c r="Q3" i="1"/>
  <c r="O3" i="1"/>
  <c r="K3" i="1"/>
  <c r="G3" i="1"/>
  <c r="A3" i="2"/>
  <c r="B13" i="2"/>
  <c r="D13" i="2" s="1"/>
  <c r="D12" i="2"/>
  <c r="B11" i="2"/>
  <c r="D11" i="2" s="1"/>
  <c r="D7" i="2"/>
  <c r="C11" i="2" l="1"/>
  <c r="E11" i="2" s="1"/>
  <c r="C12" i="2"/>
  <c r="E12" i="2" s="1"/>
  <c r="C7" i="2"/>
  <c r="C10" i="2"/>
  <c r="C9" i="2"/>
  <c r="C15" i="2"/>
  <c r="E15" i="2" s="1"/>
  <c r="C13" i="2"/>
  <c r="E13" i="2" s="1"/>
  <c r="W800" i="1"/>
  <c r="Y800" i="1" s="1"/>
  <c r="W948" i="1"/>
  <c r="Y948" i="1" s="1"/>
  <c r="W936" i="1"/>
  <c r="Y936" i="1" s="1"/>
  <c r="W928" i="1"/>
  <c r="Y928" i="1" s="1"/>
  <c r="W916" i="1"/>
  <c r="W904" i="1"/>
  <c r="Y904" i="1" s="1"/>
  <c r="W896" i="1"/>
  <c r="Y896" i="1" s="1"/>
  <c r="W892" i="1"/>
  <c r="W884" i="1"/>
  <c r="Y884" i="1" s="1"/>
  <c r="W880" i="1"/>
  <c r="Y880" i="1" s="1"/>
  <c r="W872" i="1"/>
  <c r="Y872" i="1" s="1"/>
  <c r="W864" i="1"/>
  <c r="Y864" i="1" s="1"/>
  <c r="W860" i="1"/>
  <c r="W856" i="1"/>
  <c r="Y856" i="1" s="1"/>
  <c r="W852" i="1"/>
  <c r="Y852" i="1" s="1"/>
  <c r="W844" i="1"/>
  <c r="W840" i="1"/>
  <c r="W836" i="1"/>
  <c r="Y836" i="1" s="1"/>
  <c r="W832" i="1"/>
  <c r="Y832" i="1" s="1"/>
  <c r="W824" i="1"/>
  <c r="Y824" i="1" s="1"/>
  <c r="W820" i="1"/>
  <c r="Y820" i="1" s="1"/>
  <c r="W816" i="1"/>
  <c r="Y816" i="1" s="1"/>
  <c r="W812" i="1"/>
  <c r="Y812" i="1" s="1"/>
  <c r="W796" i="1"/>
  <c r="Y796" i="1" s="1"/>
  <c r="W940" i="1"/>
  <c r="W912" i="1"/>
  <c r="Y912" i="1" s="1"/>
  <c r="W888" i="1"/>
  <c r="Y888" i="1" s="1"/>
  <c r="W868" i="1"/>
  <c r="Y868" i="1" s="1"/>
  <c r="W848" i="1"/>
  <c r="W828" i="1"/>
  <c r="Y828" i="1" s="1"/>
  <c r="W808" i="1"/>
  <c r="Y808" i="1" s="1"/>
  <c r="W776" i="1"/>
  <c r="Y776" i="1" s="1"/>
  <c r="W952" i="1"/>
  <c r="W944" i="1"/>
  <c r="Y944" i="1" s="1"/>
  <c r="W932" i="1"/>
  <c r="Y932" i="1" s="1"/>
  <c r="W924" i="1"/>
  <c r="W920" i="1"/>
  <c r="W908" i="1"/>
  <c r="Y908" i="1" s="1"/>
  <c r="W900" i="1"/>
  <c r="Y900" i="1" s="1"/>
  <c r="W876" i="1"/>
  <c r="W804" i="1"/>
  <c r="W455" i="1"/>
  <c r="Y455" i="1" s="1"/>
  <c r="W792" i="1"/>
  <c r="Y792" i="1" s="1"/>
  <c r="W788" i="1"/>
  <c r="Y788" i="1" s="1"/>
  <c r="W784" i="1"/>
  <c r="W780" i="1"/>
  <c r="Y780" i="1" s="1"/>
  <c r="W764" i="1"/>
  <c r="Y764" i="1" s="1"/>
  <c r="W760" i="1"/>
  <c r="Y760" i="1" s="1"/>
  <c r="W752" i="1"/>
  <c r="W748" i="1"/>
  <c r="Y748" i="1" s="1"/>
  <c r="W740" i="1"/>
  <c r="Y740" i="1" s="1"/>
  <c r="W736" i="1"/>
  <c r="Y736" i="1" s="1"/>
  <c r="W728" i="1"/>
  <c r="W724" i="1"/>
  <c r="Y724" i="1" s="1"/>
  <c r="W716" i="1"/>
  <c r="Y716" i="1" s="1"/>
  <c r="W708" i="1"/>
  <c r="W700" i="1"/>
  <c r="Y700" i="1" s="1"/>
  <c r="W696" i="1"/>
  <c r="Y696" i="1" s="1"/>
  <c r="W688" i="1"/>
  <c r="Y688" i="1" s="1"/>
  <c r="W680" i="1"/>
  <c r="W672" i="1"/>
  <c r="W664" i="1"/>
  <c r="Y664" i="1" s="1"/>
  <c r="W656" i="1"/>
  <c r="Y656" i="1" s="1"/>
  <c r="W652" i="1"/>
  <c r="Y652" i="1" s="1"/>
  <c r="W644" i="1"/>
  <c r="W640" i="1"/>
  <c r="Y640" i="1" s="1"/>
  <c r="W632" i="1"/>
  <c r="Y632" i="1" s="1"/>
  <c r="W628" i="1"/>
  <c r="W620" i="1"/>
  <c r="Y620" i="1" s="1"/>
  <c r="W616" i="1"/>
  <c r="Y616" i="1" s="1"/>
  <c r="W608" i="1"/>
  <c r="Y608" i="1" s="1"/>
  <c r="W604" i="1"/>
  <c r="Y604" i="1" s="1"/>
  <c r="W596" i="1"/>
  <c r="W588" i="1"/>
  <c r="Y588" i="1" s="1"/>
  <c r="W579" i="1"/>
  <c r="Y579" i="1" s="1"/>
  <c r="W571" i="1"/>
  <c r="Y571" i="1" s="1"/>
  <c r="W567" i="1"/>
  <c r="W559" i="1"/>
  <c r="Y559" i="1" s="1"/>
  <c r="W551" i="1"/>
  <c r="Y551" i="1" s="1"/>
  <c r="W547" i="1"/>
  <c r="W539" i="1"/>
  <c r="W531" i="1"/>
  <c r="Y531" i="1" s="1"/>
  <c r="W523" i="1"/>
  <c r="Y523" i="1" s="1"/>
  <c r="W515" i="1"/>
  <c r="Y515" i="1" s="1"/>
  <c r="W511" i="1"/>
  <c r="W503" i="1"/>
  <c r="Y503" i="1" s="1"/>
  <c r="W499" i="1"/>
  <c r="Y499" i="1" s="1"/>
  <c r="W491" i="1"/>
  <c r="Y491" i="1" s="1"/>
  <c r="W487" i="1"/>
  <c r="W479" i="1"/>
  <c r="Y479" i="1" s="1"/>
  <c r="W475" i="1"/>
  <c r="Y475" i="1" s="1"/>
  <c r="W471" i="1"/>
  <c r="W463" i="1"/>
  <c r="Y463" i="1" s="1"/>
  <c r="W459" i="1"/>
  <c r="Y459" i="1" s="1"/>
  <c r="W447" i="1"/>
  <c r="Y447" i="1" s="1"/>
  <c r="W443" i="1"/>
  <c r="Y443" i="1" s="1"/>
  <c r="W431" i="1"/>
  <c r="W427" i="1"/>
  <c r="Y427" i="1" s="1"/>
  <c r="W415" i="1"/>
  <c r="Y415" i="1" s="1"/>
  <c r="W411" i="1"/>
  <c r="W399" i="1"/>
  <c r="W387" i="1"/>
  <c r="Y387" i="1" s="1"/>
  <c r="W375" i="1"/>
  <c r="Y375" i="1" s="1"/>
  <c r="W363" i="1"/>
  <c r="W351" i="1"/>
  <c r="W343" i="1"/>
  <c r="Y343" i="1" s="1"/>
  <c r="W331" i="1"/>
  <c r="Y331" i="1" s="1"/>
  <c r="W319" i="1"/>
  <c r="Y319" i="1" s="1"/>
  <c r="W307" i="1"/>
  <c r="Y307" i="1" s="1"/>
  <c r="W299" i="1"/>
  <c r="Y299" i="1" s="1"/>
  <c r="W291" i="1"/>
  <c r="Y291" i="1" s="1"/>
  <c r="W279" i="1"/>
  <c r="Y279" i="1" s="1"/>
  <c r="W271" i="1"/>
  <c r="W263" i="1"/>
  <c r="Y263" i="1" s="1"/>
  <c r="W255" i="1"/>
  <c r="Y255" i="1" s="1"/>
  <c r="W247" i="1"/>
  <c r="W239" i="1"/>
  <c r="Y239" i="1" s="1"/>
  <c r="W231" i="1"/>
  <c r="Y231" i="1" s="1"/>
  <c r="W227" i="1"/>
  <c r="Y227" i="1" s="1"/>
  <c r="W215" i="1"/>
  <c r="W211" i="1"/>
  <c r="Y211" i="1" s="1"/>
  <c r="W203" i="1"/>
  <c r="Y203" i="1" s="1"/>
  <c r="W195" i="1"/>
  <c r="Y195" i="1" s="1"/>
  <c r="W191" i="1"/>
  <c r="Y191" i="1" s="1"/>
  <c r="W187" i="1"/>
  <c r="W175" i="1"/>
  <c r="Y175" i="1" s="1"/>
  <c r="W171" i="1"/>
  <c r="Y171" i="1" s="1"/>
  <c r="W167" i="1"/>
  <c r="Y167" i="1" s="1"/>
  <c r="W155" i="1"/>
  <c r="W151" i="1"/>
  <c r="Y151" i="1" s="1"/>
  <c r="W147" i="1"/>
  <c r="Y147" i="1" s="1"/>
  <c r="W135" i="1"/>
  <c r="W131" i="1"/>
  <c r="W127" i="1"/>
  <c r="Y127" i="1" s="1"/>
  <c r="W123" i="1"/>
  <c r="Y123" i="1" s="1"/>
  <c r="W119" i="1"/>
  <c r="W115" i="1"/>
  <c r="Y115" i="1" s="1"/>
  <c r="W103" i="1"/>
  <c r="Y103" i="1" s="1"/>
  <c r="W99" i="1"/>
  <c r="Y99" i="1" s="1"/>
  <c r="W95" i="1"/>
  <c r="Y95" i="1" s="1"/>
  <c r="W91" i="1"/>
  <c r="W87" i="1"/>
  <c r="Y87" i="1" s="1"/>
  <c r="W83" i="1"/>
  <c r="Y83" i="1" s="1"/>
  <c r="W79" i="1"/>
  <c r="W75" i="1"/>
  <c r="W63" i="1"/>
  <c r="Y63" i="1" s="1"/>
  <c r="W59" i="1"/>
  <c r="Y59" i="1" s="1"/>
  <c r="W55" i="1"/>
  <c r="W51" i="1"/>
  <c r="W47" i="1"/>
  <c r="Y47" i="1" s="1"/>
  <c r="W43" i="1"/>
  <c r="Y43" i="1" s="1"/>
  <c r="W39" i="1"/>
  <c r="W35" i="1"/>
  <c r="W31" i="1"/>
  <c r="Y31" i="1" s="1"/>
  <c r="W27" i="1"/>
  <c r="Y27" i="1" s="1"/>
  <c r="W23" i="1"/>
  <c r="W19" i="1"/>
  <c r="W7" i="1"/>
  <c r="Y7" i="1" s="1"/>
  <c r="W947" i="1"/>
  <c r="Y947" i="1" s="1"/>
  <c r="W931" i="1"/>
  <c r="W915" i="1"/>
  <c r="W899" i="1"/>
  <c r="Y899" i="1" s="1"/>
  <c r="W883" i="1"/>
  <c r="Y883" i="1" s="1"/>
  <c r="W871" i="1"/>
  <c r="W859" i="1"/>
  <c r="Y859" i="1" s="1"/>
  <c r="W847" i="1"/>
  <c r="Y847" i="1" s="1"/>
  <c r="W835" i="1"/>
  <c r="Y835" i="1" s="1"/>
  <c r="W827" i="1"/>
  <c r="W819" i="1"/>
  <c r="W807" i="1"/>
  <c r="Y807" i="1" s="1"/>
  <c r="W795" i="1"/>
  <c r="Y795" i="1" s="1"/>
  <c r="W779" i="1"/>
  <c r="Y779" i="1" s="1"/>
  <c r="W763" i="1"/>
  <c r="W743" i="1"/>
  <c r="Y743" i="1" s="1"/>
  <c r="W723" i="1"/>
  <c r="Y723" i="1" s="1"/>
  <c r="W711" i="1"/>
  <c r="W699" i="1"/>
  <c r="W687" i="1"/>
  <c r="Y687" i="1" s="1"/>
  <c r="W671" i="1"/>
  <c r="Y671" i="1" s="1"/>
  <c r="W655" i="1"/>
  <c r="Y655" i="1" s="1"/>
  <c r="W643" i="1"/>
  <c r="W631" i="1"/>
  <c r="Y631" i="1" s="1"/>
  <c r="W615" i="1"/>
  <c r="Y615" i="1" s="1"/>
  <c r="W599" i="1"/>
  <c r="W582" i="1"/>
  <c r="W566" i="1"/>
  <c r="Y566" i="1" s="1"/>
  <c r="W546" i="1"/>
  <c r="Y546" i="1" s="1"/>
  <c r="W526" i="1"/>
  <c r="Y526" i="1" s="1"/>
  <c r="W506" i="1"/>
  <c r="W490" i="1"/>
  <c r="Y490" i="1" s="1"/>
  <c r="W474" i="1"/>
  <c r="Y474" i="1" s="1"/>
  <c r="W462" i="1"/>
  <c r="W446" i="1"/>
  <c r="W430" i="1"/>
  <c r="Y430" i="1" s="1"/>
  <c r="W418" i="1"/>
  <c r="Y418" i="1" s="1"/>
  <c r="W398" i="1"/>
  <c r="W382" i="1"/>
  <c r="Y382" i="1" s="1"/>
  <c r="W370" i="1"/>
  <c r="Y370" i="1" s="1"/>
  <c r="W354" i="1"/>
  <c r="Y354" i="1" s="1"/>
  <c r="W338" i="1"/>
  <c r="Y338" i="1" s="1"/>
  <c r="W318" i="1"/>
  <c r="W290" i="1"/>
  <c r="Y290" i="1" s="1"/>
  <c r="W270" i="1"/>
  <c r="Y270" i="1" s="1"/>
  <c r="W254" i="1"/>
  <c r="W234" i="1"/>
  <c r="W206" i="1"/>
  <c r="Y206" i="1" s="1"/>
  <c r="W186" i="1"/>
  <c r="Y186" i="1" s="1"/>
  <c r="W162" i="1"/>
  <c r="Y162" i="1" s="1"/>
  <c r="W142" i="1"/>
  <c r="W114" i="1"/>
  <c r="Y114" i="1" s="1"/>
  <c r="W78" i="1"/>
  <c r="Y78" i="1" s="1"/>
  <c r="W14" i="1"/>
  <c r="Y14" i="1" s="1"/>
  <c r="W772" i="1"/>
  <c r="W768" i="1"/>
  <c r="Y768" i="1" s="1"/>
  <c r="W756" i="1"/>
  <c r="Y756" i="1" s="1"/>
  <c r="W744" i="1"/>
  <c r="W732" i="1"/>
  <c r="Y732" i="1" s="1"/>
  <c r="W720" i="1"/>
  <c r="Y720" i="1" s="1"/>
  <c r="W712" i="1"/>
  <c r="Y712" i="1" s="1"/>
  <c r="W704" i="1"/>
  <c r="Y704" i="1" s="1"/>
  <c r="W692" i="1"/>
  <c r="W684" i="1"/>
  <c r="Y684" i="1" s="1"/>
  <c r="W676" i="1"/>
  <c r="Y676" i="1" s="1"/>
  <c r="W668" i="1"/>
  <c r="Y668" i="1" s="1"/>
  <c r="W660" i="1"/>
  <c r="W648" i="1"/>
  <c r="Y648" i="1" s="1"/>
  <c r="W636" i="1"/>
  <c r="Y636" i="1" s="1"/>
  <c r="W624" i="1"/>
  <c r="Y624" i="1" s="1"/>
  <c r="W612" i="1"/>
  <c r="W600" i="1"/>
  <c r="Y600" i="1" s="1"/>
  <c r="W592" i="1"/>
  <c r="W583" i="1"/>
  <c r="W575" i="1"/>
  <c r="W563" i="1"/>
  <c r="Y563" i="1" s="1"/>
  <c r="W555" i="1"/>
  <c r="Y555" i="1" s="1"/>
  <c r="W543" i="1"/>
  <c r="W535" i="1"/>
  <c r="W527" i="1"/>
  <c r="Y527" i="1" s="1"/>
  <c r="W519" i="1"/>
  <c r="Y519" i="1" s="1"/>
  <c r="W507" i="1"/>
  <c r="Y507" i="1" s="1"/>
  <c r="W495" i="1"/>
  <c r="Y495" i="1" s="1"/>
  <c r="W483" i="1"/>
  <c r="Y483" i="1" s="1"/>
  <c r="W467" i="1"/>
  <c r="W451" i="1"/>
  <c r="Y451" i="1" s="1"/>
  <c r="W439" i="1"/>
  <c r="W423" i="1"/>
  <c r="Y423" i="1" s="1"/>
  <c r="W407" i="1"/>
  <c r="W395" i="1"/>
  <c r="W383" i="1"/>
  <c r="W371" i="1"/>
  <c r="Y371" i="1" s="1"/>
  <c r="W359" i="1"/>
  <c r="Y359" i="1" s="1"/>
  <c r="W347" i="1"/>
  <c r="W335" i="1"/>
  <c r="W323" i="1"/>
  <c r="Y323" i="1" s="1"/>
  <c r="W311" i="1"/>
  <c r="W295" i="1"/>
  <c r="Y295" i="1" s="1"/>
  <c r="W283" i="1"/>
  <c r="W267" i="1"/>
  <c r="Y267" i="1" s="1"/>
  <c r="W251" i="1"/>
  <c r="Y251" i="1" s="1"/>
  <c r="W235" i="1"/>
  <c r="Y235" i="1" s="1"/>
  <c r="W219" i="1"/>
  <c r="W199" i="1"/>
  <c r="Y199" i="1" s="1"/>
  <c r="W179" i="1"/>
  <c r="W159" i="1"/>
  <c r="W139" i="1"/>
  <c r="W111" i="1"/>
  <c r="Y111" i="1" s="1"/>
  <c r="W71" i="1"/>
  <c r="Y71" i="1" s="1"/>
  <c r="W15" i="1"/>
  <c r="Y15" i="1" s="1"/>
  <c r="W951" i="1"/>
  <c r="Y951" i="1" s="1"/>
  <c r="W943" i="1"/>
  <c r="Y943" i="1" s="1"/>
  <c r="W935" i="1"/>
  <c r="W923" i="1"/>
  <c r="W911" i="1"/>
  <c r="W903" i="1"/>
  <c r="Y903" i="1" s="1"/>
  <c r="W891" i="1"/>
  <c r="Y891" i="1" s="1"/>
  <c r="W879" i="1"/>
  <c r="Y879" i="1" s="1"/>
  <c r="W867" i="1"/>
  <c r="Y867" i="1" s="1"/>
  <c r="W855" i="1"/>
  <c r="Y855" i="1" s="1"/>
  <c r="W843" i="1"/>
  <c r="W831" i="1"/>
  <c r="W815" i="1"/>
  <c r="W803" i="1"/>
  <c r="Y803" i="1" s="1"/>
  <c r="W791" i="1"/>
  <c r="Y791" i="1" s="1"/>
  <c r="W783" i="1"/>
  <c r="W771" i="1"/>
  <c r="W759" i="1"/>
  <c r="Y759" i="1" s="1"/>
  <c r="W751" i="1"/>
  <c r="W739" i="1"/>
  <c r="Y739" i="1" s="1"/>
  <c r="W731" i="1"/>
  <c r="W719" i="1"/>
  <c r="Y719" i="1" s="1"/>
  <c r="W707" i="1"/>
  <c r="W695" i="1"/>
  <c r="W683" i="1"/>
  <c r="W675" i="1"/>
  <c r="Y675" i="1" s="1"/>
  <c r="W663" i="1"/>
  <c r="Y663" i="1" s="1"/>
  <c r="W651" i="1"/>
  <c r="Y651" i="1" s="1"/>
  <c r="W635" i="1"/>
  <c r="W623" i="1"/>
  <c r="Y623" i="1" s="1"/>
  <c r="W611" i="1"/>
  <c r="Y611" i="1" s="1"/>
  <c r="W607" i="1"/>
  <c r="Y607" i="1" s="1"/>
  <c r="W595" i="1"/>
  <c r="W587" i="1"/>
  <c r="Y587" i="1" s="1"/>
  <c r="W574" i="1"/>
  <c r="W570" i="1"/>
  <c r="W558" i="1"/>
  <c r="Y558" i="1" s="1"/>
  <c r="W554" i="1"/>
  <c r="Y554" i="1" s="1"/>
  <c r="W542" i="1"/>
  <c r="Y542" i="1" s="1"/>
  <c r="W534" i="1"/>
  <c r="W522" i="1"/>
  <c r="W514" i="1"/>
  <c r="Y514" i="1" s="1"/>
  <c r="W502" i="1"/>
  <c r="Y502" i="1" s="1"/>
  <c r="W494" i="1"/>
  <c r="Y494" i="1" s="1"/>
  <c r="W482" i="1"/>
  <c r="W470" i="1"/>
  <c r="Y470" i="1" s="1"/>
  <c r="W458" i="1"/>
  <c r="Y458" i="1" s="1"/>
  <c r="W450" i="1"/>
  <c r="W438" i="1"/>
  <c r="Y438" i="1" s="1"/>
  <c r="W426" i="1"/>
  <c r="Y426" i="1" s="1"/>
  <c r="W410" i="1"/>
  <c r="Y410" i="1" s="1"/>
  <c r="W402" i="1"/>
  <c r="Y402" i="1" s="1"/>
  <c r="W390" i="1"/>
  <c r="W378" i="1"/>
  <c r="Y378" i="1" s="1"/>
  <c r="W366" i="1"/>
  <c r="Y366" i="1" s="1"/>
  <c r="W358" i="1"/>
  <c r="Y358" i="1" s="1"/>
  <c r="W346" i="1"/>
  <c r="W334" i="1"/>
  <c r="Y334" i="1" s="1"/>
  <c r="W326" i="1"/>
  <c r="Y326" i="1" s="1"/>
  <c r="W310" i="1"/>
  <c r="Y310" i="1" s="1"/>
  <c r="W302" i="1"/>
  <c r="W294" i="1"/>
  <c r="Y294" i="1" s="1"/>
  <c r="W286" i="1"/>
  <c r="W278" i="1"/>
  <c r="Y278" i="1" s="1"/>
  <c r="W262" i="1"/>
  <c r="Y262" i="1" s="1"/>
  <c r="W250" i="1"/>
  <c r="Y250" i="1" s="1"/>
  <c r="W246" i="1"/>
  <c r="Y246" i="1" s="1"/>
  <c r="W238" i="1"/>
  <c r="W226" i="1"/>
  <c r="W218" i="1"/>
  <c r="Y218" i="1" s="1"/>
  <c r="W210" i="1"/>
  <c r="W198" i="1"/>
  <c r="Y198" i="1" s="1"/>
  <c r="W190" i="1"/>
  <c r="Y190" i="1" s="1"/>
  <c r="W178" i="1"/>
  <c r="Y178" i="1" s="1"/>
  <c r="W166" i="1"/>
  <c r="W154" i="1"/>
  <c r="Y154" i="1" s="1"/>
  <c r="W146" i="1"/>
  <c r="W134" i="1"/>
  <c r="Y134" i="1" s="1"/>
  <c r="W130" i="1"/>
  <c r="W118" i="1"/>
  <c r="Y118" i="1" s="1"/>
  <c r="W106" i="1"/>
  <c r="W98" i="1"/>
  <c r="Y98" i="1" s="1"/>
  <c r="W90" i="1"/>
  <c r="W82" i="1"/>
  <c r="Y82" i="1" s="1"/>
  <c r="W70" i="1"/>
  <c r="W66" i="1"/>
  <c r="Y66" i="1" s="1"/>
  <c r="W58" i="1"/>
  <c r="W50" i="1"/>
  <c r="W38" i="1"/>
  <c r="W30" i="1"/>
  <c r="Y30" i="1" s="1"/>
  <c r="W18" i="1"/>
  <c r="W6" i="1"/>
  <c r="Y6" i="1" s="1"/>
  <c r="W953" i="1"/>
  <c r="Y953" i="1" s="1"/>
  <c r="W950" i="1"/>
  <c r="Y950" i="1" s="1"/>
  <c r="W946" i="1"/>
  <c r="Y946" i="1" s="1"/>
  <c r="W942" i="1"/>
  <c r="Y942" i="1" s="1"/>
  <c r="W938" i="1"/>
  <c r="W934" i="1"/>
  <c r="Y934" i="1" s="1"/>
  <c r="W930" i="1"/>
  <c r="Y930" i="1" s="1"/>
  <c r="W926" i="1"/>
  <c r="W922" i="1"/>
  <c r="Y922" i="1" s="1"/>
  <c r="W914" i="1"/>
  <c r="Y914" i="1" s="1"/>
  <c r="W910" i="1"/>
  <c r="Y910" i="1" s="1"/>
  <c r="W906" i="1"/>
  <c r="W902" i="1"/>
  <c r="Y902" i="1" s="1"/>
  <c r="W898" i="1"/>
  <c r="Y898" i="1" s="1"/>
  <c r="W894" i="1"/>
  <c r="W890" i="1"/>
  <c r="Y890" i="1" s="1"/>
  <c r="W886" i="1"/>
  <c r="Y886" i="1" s="1"/>
  <c r="W882" i="1"/>
  <c r="Y882" i="1" s="1"/>
  <c r="W878" i="1"/>
  <c r="Y878" i="1" s="1"/>
  <c r="W874" i="1"/>
  <c r="Y874" i="1" s="1"/>
  <c r="W870" i="1"/>
  <c r="Y870" i="1" s="1"/>
  <c r="W866" i="1"/>
  <c r="Y866" i="1" s="1"/>
  <c r="W862" i="1"/>
  <c r="Y862" i="1" s="1"/>
  <c r="W854" i="1"/>
  <c r="Y854" i="1" s="1"/>
  <c r="W850" i="1"/>
  <c r="W846" i="1"/>
  <c r="Y846" i="1" s="1"/>
  <c r="W842" i="1"/>
  <c r="W838" i="1"/>
  <c r="Y838" i="1" s="1"/>
  <c r="W834" i="1"/>
  <c r="W830" i="1"/>
  <c r="Y830" i="1" s="1"/>
  <c r="W826" i="1"/>
  <c r="Y826" i="1" s="1"/>
  <c r="W822" i="1"/>
  <c r="Y822" i="1" s="1"/>
  <c r="W818" i="1"/>
  <c r="W814" i="1"/>
  <c r="Y814" i="1" s="1"/>
  <c r="W810" i="1"/>
  <c r="Y810" i="1" s="1"/>
  <c r="W806" i="1"/>
  <c r="W802" i="1"/>
  <c r="W798" i="1"/>
  <c r="Y798" i="1" s="1"/>
  <c r="W790" i="1"/>
  <c r="Y790" i="1" s="1"/>
  <c r="W786" i="1"/>
  <c r="Y786" i="1" s="1"/>
  <c r="W782" i="1"/>
  <c r="W778" i="1"/>
  <c r="Y778" i="1" s="1"/>
  <c r="W774" i="1"/>
  <c r="Y774" i="1" s="1"/>
  <c r="W770" i="1"/>
  <c r="Y770" i="1" s="1"/>
  <c r="W766" i="1"/>
  <c r="W762" i="1"/>
  <c r="Y762" i="1" s="1"/>
  <c r="W758" i="1"/>
  <c r="W754" i="1"/>
  <c r="W750" i="1"/>
  <c r="W746" i="1"/>
  <c r="Y746" i="1" s="1"/>
  <c r="W738" i="1"/>
  <c r="W435" i="1"/>
  <c r="Y435" i="1" s="1"/>
  <c r="W419" i="1"/>
  <c r="Y419" i="1" s="1"/>
  <c r="W403" i="1"/>
  <c r="Y403" i="1" s="1"/>
  <c r="W391" i="1"/>
  <c r="W379" i="1"/>
  <c r="Y379" i="1" s="1"/>
  <c r="W367" i="1"/>
  <c r="W355" i="1"/>
  <c r="Y355" i="1" s="1"/>
  <c r="W339" i="1"/>
  <c r="Y339" i="1" s="1"/>
  <c r="W327" i="1"/>
  <c r="Y327" i="1" s="1"/>
  <c r="W315" i="1"/>
  <c r="W303" i="1"/>
  <c r="Y303" i="1" s="1"/>
  <c r="W287" i="1"/>
  <c r="Y287" i="1" s="1"/>
  <c r="W275" i="1"/>
  <c r="Y275" i="1" s="1"/>
  <c r="W259" i="1"/>
  <c r="W243" i="1"/>
  <c r="Y243" i="1" s="1"/>
  <c r="W223" i="1"/>
  <c r="W207" i="1"/>
  <c r="W183" i="1"/>
  <c r="W163" i="1"/>
  <c r="Y163" i="1" s="1"/>
  <c r="W143" i="1"/>
  <c r="Y143" i="1" s="1"/>
  <c r="W107" i="1"/>
  <c r="W67" i="1"/>
  <c r="W11" i="1"/>
  <c r="Y11" i="1" s="1"/>
  <c r="W954" i="1"/>
  <c r="W939" i="1"/>
  <c r="W927" i="1"/>
  <c r="W919" i="1"/>
  <c r="Y919" i="1" s="1"/>
  <c r="W907" i="1"/>
  <c r="W895" i="1"/>
  <c r="Y895" i="1" s="1"/>
  <c r="W887" i="1"/>
  <c r="W875" i="1"/>
  <c r="Y875" i="1" s="1"/>
  <c r="W863" i="1"/>
  <c r="Y863" i="1" s="1"/>
  <c r="W851" i="1"/>
  <c r="Y851" i="1" s="1"/>
  <c r="W839" i="1"/>
  <c r="W823" i="1"/>
  <c r="Y823" i="1" s="1"/>
  <c r="W811" i="1"/>
  <c r="Y811" i="1" s="1"/>
  <c r="W799" i="1"/>
  <c r="Y799" i="1" s="1"/>
  <c r="W787" i="1"/>
  <c r="W775" i="1"/>
  <c r="Y775" i="1" s="1"/>
  <c r="W767" i="1"/>
  <c r="W755" i="1"/>
  <c r="Y755" i="1" s="1"/>
  <c r="W747" i="1"/>
  <c r="W735" i="1"/>
  <c r="Y735" i="1" s="1"/>
  <c r="W727" i="1"/>
  <c r="W715" i="1"/>
  <c r="Y715" i="1" s="1"/>
  <c r="W703" i="1"/>
  <c r="Y703" i="1" s="1"/>
  <c r="W691" i="1"/>
  <c r="Y691" i="1" s="1"/>
  <c r="W679" i="1"/>
  <c r="W667" i="1"/>
  <c r="W659" i="1"/>
  <c r="W647" i="1"/>
  <c r="Y647" i="1" s="1"/>
  <c r="W639" i="1"/>
  <c r="Y639" i="1" s="1"/>
  <c r="W627" i="1"/>
  <c r="W619" i="1"/>
  <c r="W603" i="1"/>
  <c r="Y603" i="1" s="1"/>
  <c r="W591" i="1"/>
  <c r="Y591" i="1" s="1"/>
  <c r="W578" i="1"/>
  <c r="Y578" i="1" s="1"/>
  <c r="W562" i="1"/>
  <c r="W550" i="1"/>
  <c r="Y550" i="1" s="1"/>
  <c r="W538" i="1"/>
  <c r="W530" i="1"/>
  <c r="W518" i="1"/>
  <c r="Y518" i="1" s="1"/>
  <c r="W510" i="1"/>
  <c r="Y510" i="1" s="1"/>
  <c r="W498" i="1"/>
  <c r="W486" i="1"/>
  <c r="W478" i="1"/>
  <c r="W466" i="1"/>
  <c r="Y466" i="1" s="1"/>
  <c r="W454" i="1"/>
  <c r="W442" i="1"/>
  <c r="Y442" i="1" s="1"/>
  <c r="W434" i="1"/>
  <c r="W422" i="1"/>
  <c r="Y422" i="1" s="1"/>
  <c r="W414" i="1"/>
  <c r="W406" i="1"/>
  <c r="Y406" i="1" s="1"/>
  <c r="W394" i="1"/>
  <c r="W386" i="1"/>
  <c r="Y386" i="1" s="1"/>
  <c r="W374" i="1"/>
  <c r="Y374" i="1" s="1"/>
  <c r="W362" i="1"/>
  <c r="W350" i="1"/>
  <c r="W342" i="1"/>
  <c r="Y342" i="1" s="1"/>
  <c r="W330" i="1"/>
  <c r="W322" i="1"/>
  <c r="Y322" i="1" s="1"/>
  <c r="W314" i="1"/>
  <c r="W306" i="1"/>
  <c r="Y306" i="1" s="1"/>
  <c r="W298" i="1"/>
  <c r="Y298" i="1" s="1"/>
  <c r="W282" i="1"/>
  <c r="Y282" i="1" s="1"/>
  <c r="W274" i="1"/>
  <c r="W266" i="1"/>
  <c r="Y266" i="1" s="1"/>
  <c r="W258" i="1"/>
  <c r="W242" i="1"/>
  <c r="Y242" i="1" s="1"/>
  <c r="W230" i="1"/>
  <c r="Y230" i="1" s="1"/>
  <c r="W222" i="1"/>
  <c r="Y222" i="1" s="1"/>
  <c r="W214" i="1"/>
  <c r="Y214" i="1" s="1"/>
  <c r="W202" i="1"/>
  <c r="W194" i="1"/>
  <c r="Y194" i="1" s="1"/>
  <c r="W182" i="1"/>
  <c r="Y182" i="1" s="1"/>
  <c r="W174" i="1"/>
  <c r="W170" i="1"/>
  <c r="Y170" i="1" s="1"/>
  <c r="W158" i="1"/>
  <c r="W150" i="1"/>
  <c r="Y150" i="1" s="1"/>
  <c r="W138" i="1"/>
  <c r="Y138" i="1" s="1"/>
  <c r="W126" i="1"/>
  <c r="Y126" i="1" s="1"/>
  <c r="W122" i="1"/>
  <c r="W110" i="1"/>
  <c r="Y110" i="1" s="1"/>
  <c r="W102" i="1"/>
  <c r="Y102" i="1" s="1"/>
  <c r="W94" i="1"/>
  <c r="W86" i="1"/>
  <c r="W74" i="1"/>
  <c r="Y74" i="1" s="1"/>
  <c r="W62" i="1"/>
  <c r="W54" i="1"/>
  <c r="Y54" i="1" s="1"/>
  <c r="W46" i="1"/>
  <c r="W42" i="1"/>
  <c r="Y42" i="1" s="1"/>
  <c r="W34" i="1"/>
  <c r="Y34" i="1" s="1"/>
  <c r="W26" i="1"/>
  <c r="W22" i="1"/>
  <c r="W10" i="1"/>
  <c r="Y10" i="1" s="1"/>
  <c r="W918" i="1"/>
  <c r="Y918" i="1" s="1"/>
  <c r="W858" i="1"/>
  <c r="Y858" i="1" s="1"/>
  <c r="W794" i="1"/>
  <c r="Y794" i="1" s="1"/>
  <c r="W742" i="1"/>
  <c r="Y742" i="1" s="1"/>
  <c r="W726" i="1"/>
  <c r="W718" i="1"/>
  <c r="W714" i="1"/>
  <c r="Y714" i="1" s="1"/>
  <c r="W706" i="1"/>
  <c r="Y706" i="1" s="1"/>
  <c r="W698" i="1"/>
  <c r="W690" i="1"/>
  <c r="Y690" i="1" s="1"/>
  <c r="W682" i="1"/>
  <c r="Y682" i="1" s="1"/>
  <c r="W674" i="1"/>
  <c r="Y674" i="1" s="1"/>
  <c r="W666" i="1"/>
  <c r="Y666" i="1" s="1"/>
  <c r="W662" i="1"/>
  <c r="W654" i="1"/>
  <c r="W650" i="1"/>
  <c r="Y650" i="1" s="1"/>
  <c r="W646" i="1"/>
  <c r="W638" i="1"/>
  <c r="W634" i="1"/>
  <c r="W630" i="1"/>
  <c r="Y630" i="1" s="1"/>
  <c r="W626" i="1"/>
  <c r="W622" i="1"/>
  <c r="W614" i="1"/>
  <c r="Y614" i="1" s="1"/>
  <c r="W610" i="1"/>
  <c r="Y610" i="1" s="1"/>
  <c r="W606" i="1"/>
  <c r="W602" i="1"/>
  <c r="W598" i="1"/>
  <c r="W594" i="1"/>
  <c r="Y594" i="1" s="1"/>
  <c r="W590" i="1"/>
  <c r="Y590" i="1" s="1"/>
  <c r="W586" i="1"/>
  <c r="Y586" i="1" s="1"/>
  <c r="W581" i="1"/>
  <c r="W577" i="1"/>
  <c r="Y577" i="1" s="1"/>
  <c r="W573" i="1"/>
  <c r="Y573" i="1" s="1"/>
  <c r="W569" i="1"/>
  <c r="Y569" i="1" s="1"/>
  <c r="W565" i="1"/>
  <c r="W561" i="1"/>
  <c r="Y561" i="1" s="1"/>
  <c r="W557" i="1"/>
  <c r="Y557" i="1" s="1"/>
  <c r="W553" i="1"/>
  <c r="Y553" i="1" s="1"/>
  <c r="W549" i="1"/>
  <c r="Y549" i="1" s="1"/>
  <c r="W545" i="1"/>
  <c r="Y545" i="1" s="1"/>
  <c r="W541" i="1"/>
  <c r="W537" i="1"/>
  <c r="Y537" i="1" s="1"/>
  <c r="W533" i="1"/>
  <c r="W529" i="1"/>
  <c r="Y529" i="1" s="1"/>
  <c r="W521" i="1"/>
  <c r="Y521" i="1" s="1"/>
  <c r="W517" i="1"/>
  <c r="Y517" i="1" s="1"/>
  <c r="W513" i="1"/>
  <c r="W509" i="1"/>
  <c r="Y509" i="1" s="1"/>
  <c r="W505" i="1"/>
  <c r="Y505" i="1" s="1"/>
  <c r="W501" i="1"/>
  <c r="Y501" i="1" s="1"/>
  <c r="W497" i="1"/>
  <c r="Y497" i="1" s="1"/>
  <c r="W493" i="1"/>
  <c r="Y493" i="1" s="1"/>
  <c r="W489" i="1"/>
  <c r="W485" i="1"/>
  <c r="Y485" i="1" s="1"/>
  <c r="W481" i="1"/>
  <c r="Y481" i="1" s="1"/>
  <c r="W477" i="1"/>
  <c r="Y477" i="1" s="1"/>
  <c r="W473" i="1"/>
  <c r="W469" i="1"/>
  <c r="Y469" i="1" s="1"/>
  <c r="W465" i="1"/>
  <c r="Y465" i="1" s="1"/>
  <c r="W461" i="1"/>
  <c r="Y461" i="1" s="1"/>
  <c r="W457" i="1"/>
  <c r="Y457" i="1" s="1"/>
  <c r="W453" i="1"/>
  <c r="Y453" i="1" s="1"/>
  <c r="W449" i="1"/>
  <c r="Y449" i="1" s="1"/>
  <c r="W445" i="1"/>
  <c r="Y445" i="1" s="1"/>
  <c r="W441" i="1"/>
  <c r="Y441" i="1" s="1"/>
  <c r="W437" i="1"/>
  <c r="W433" i="1"/>
  <c r="W429" i="1"/>
  <c r="Y429" i="1" s="1"/>
  <c r="W425" i="1"/>
  <c r="W421" i="1"/>
  <c r="Y421" i="1" s="1"/>
  <c r="W417" i="1"/>
  <c r="Y417" i="1" s="1"/>
  <c r="W413" i="1"/>
  <c r="Y413" i="1" s="1"/>
  <c r="W409" i="1"/>
  <c r="Y409" i="1" s="1"/>
  <c r="W405" i="1"/>
  <c r="W401" i="1"/>
  <c r="W397" i="1"/>
  <c r="Y397" i="1" s="1"/>
  <c r="W393" i="1"/>
  <c r="Y393" i="1" s="1"/>
  <c r="W389" i="1"/>
  <c r="Y389" i="1" s="1"/>
  <c r="W385" i="1"/>
  <c r="W381" i="1"/>
  <c r="Y381" i="1" s="1"/>
  <c r="W377" i="1"/>
  <c r="Y377" i="1" s="1"/>
  <c r="W373" i="1"/>
  <c r="W369" i="1"/>
  <c r="W365" i="1"/>
  <c r="Y365" i="1" s="1"/>
  <c r="W361" i="1"/>
  <c r="W357" i="1"/>
  <c r="W353" i="1"/>
  <c r="W349" i="1"/>
  <c r="Y349" i="1" s="1"/>
  <c r="W345" i="1"/>
  <c r="Y345" i="1" s="1"/>
  <c r="W341" i="1"/>
  <c r="Y341" i="1" s="1"/>
  <c r="W337" i="1"/>
  <c r="W333" i="1"/>
  <c r="Y333" i="1" s="1"/>
  <c r="W329" i="1"/>
  <c r="W325" i="1"/>
  <c r="Y325" i="1" s="1"/>
  <c r="W321" i="1"/>
  <c r="Y321" i="1" s="1"/>
  <c r="W317" i="1"/>
  <c r="Y317" i="1" s="1"/>
  <c r="W313" i="1"/>
  <c r="Y313" i="1" s="1"/>
  <c r="W309" i="1"/>
  <c r="Y309" i="1" s="1"/>
  <c r="W305" i="1"/>
  <c r="W301" i="1"/>
  <c r="Y301" i="1" s="1"/>
  <c r="W297" i="1"/>
  <c r="Y297" i="1" s="1"/>
  <c r="W293" i="1"/>
  <c r="Y293" i="1" s="1"/>
  <c r="W289" i="1"/>
  <c r="W285" i="1"/>
  <c r="Y285" i="1" s="1"/>
  <c r="W281" i="1"/>
  <c r="Y281" i="1" s="1"/>
  <c r="W277" i="1"/>
  <c r="Y277" i="1" s="1"/>
  <c r="W273" i="1"/>
  <c r="W269" i="1"/>
  <c r="Y269" i="1" s="1"/>
  <c r="W265" i="1"/>
  <c r="Y265" i="1" s="1"/>
  <c r="W261" i="1"/>
  <c r="Y261" i="1" s="1"/>
  <c r="W257" i="1"/>
  <c r="W253" i="1"/>
  <c r="Y253" i="1" s="1"/>
  <c r="W249" i="1"/>
  <c r="Y249" i="1" s="1"/>
  <c r="W245" i="1"/>
  <c r="Y245" i="1" s="1"/>
  <c r="W241" i="1"/>
  <c r="W237" i="1"/>
  <c r="Y237" i="1" s="1"/>
  <c r="W233" i="1"/>
  <c r="Y233" i="1" s="1"/>
  <c r="W229" i="1"/>
  <c r="Y229" i="1" s="1"/>
  <c r="W225" i="1"/>
  <c r="W221" i="1"/>
  <c r="Y221" i="1" s="1"/>
  <c r="W217" i="1"/>
  <c r="Y217" i="1" s="1"/>
  <c r="W213" i="1"/>
  <c r="Y213" i="1" s="1"/>
  <c r="W209" i="1"/>
  <c r="W205" i="1"/>
  <c r="Y205" i="1" s="1"/>
  <c r="W201" i="1"/>
  <c r="Y201" i="1" s="1"/>
  <c r="W197" i="1"/>
  <c r="Y197" i="1" s="1"/>
  <c r="W193" i="1"/>
  <c r="W189" i="1"/>
  <c r="Y189" i="1" s="1"/>
  <c r="W185" i="1"/>
  <c r="Y185" i="1" s="1"/>
  <c r="W181" i="1"/>
  <c r="W177" i="1"/>
  <c r="W173" i="1"/>
  <c r="Y173" i="1" s="1"/>
  <c r="W169" i="1"/>
  <c r="Y169" i="1" s="1"/>
  <c r="W165" i="1"/>
  <c r="W161" i="1"/>
  <c r="Y161" i="1" s="1"/>
  <c r="W157" i="1"/>
  <c r="Y157" i="1" s="1"/>
  <c r="W153" i="1"/>
  <c r="W149" i="1"/>
  <c r="Y149" i="1" s="1"/>
  <c r="W145" i="1"/>
  <c r="Y145" i="1" s="1"/>
  <c r="W141" i="1"/>
  <c r="Y141" i="1" s="1"/>
  <c r="W137" i="1"/>
  <c r="W133" i="1"/>
  <c r="Y133" i="1" s="1"/>
  <c r="W129" i="1"/>
  <c r="Y129" i="1" s="1"/>
  <c r="W125" i="1"/>
  <c r="Y125" i="1" s="1"/>
  <c r="W121" i="1"/>
  <c r="Y121" i="1" s="1"/>
  <c r="W117" i="1"/>
  <c r="Y117" i="1" s="1"/>
  <c r="W113" i="1"/>
  <c r="W109" i="1"/>
  <c r="Y109" i="1" s="1"/>
  <c r="W105" i="1"/>
  <c r="W101" i="1"/>
  <c r="Y101" i="1" s="1"/>
  <c r="W97" i="1"/>
  <c r="W93" i="1"/>
  <c r="Y93" i="1" s="1"/>
  <c r="W89" i="1"/>
  <c r="Y89" i="1" s="1"/>
  <c r="W85" i="1"/>
  <c r="W81" i="1"/>
  <c r="W77" i="1"/>
  <c r="Y77" i="1" s="1"/>
  <c r="W73" i="1"/>
  <c r="W69" i="1"/>
  <c r="Y69" i="1" s="1"/>
  <c r="W65" i="1"/>
  <c r="W61" i="1"/>
  <c r="Y61" i="1" s="1"/>
  <c r="W57" i="1"/>
  <c r="Y57" i="1" s="1"/>
  <c r="W53" i="1"/>
  <c r="Y53" i="1" s="1"/>
  <c r="W49" i="1"/>
  <c r="W45" i="1"/>
  <c r="Y45" i="1" s="1"/>
  <c r="W41" i="1"/>
  <c r="W37" i="1"/>
  <c r="Y37" i="1" s="1"/>
  <c r="W33" i="1"/>
  <c r="W29" i="1"/>
  <c r="Y29" i="1" s="1"/>
  <c r="W25" i="1"/>
  <c r="W21" i="1"/>
  <c r="Y21" i="1" s="1"/>
  <c r="W17" i="1"/>
  <c r="W13" i="1"/>
  <c r="Y13" i="1" s="1"/>
  <c r="W9" i="1"/>
  <c r="Y9" i="1" s="1"/>
  <c r="W5" i="1"/>
  <c r="Y5" i="1" s="1"/>
  <c r="W734" i="1"/>
  <c r="W730" i="1"/>
  <c r="Y730" i="1" s="1"/>
  <c r="W722" i="1"/>
  <c r="Y722" i="1" s="1"/>
  <c r="W710" i="1"/>
  <c r="W702" i="1"/>
  <c r="W694" i="1"/>
  <c r="Y694" i="1" s="1"/>
  <c r="W686" i="1"/>
  <c r="Y686" i="1" s="1"/>
  <c r="W678" i="1"/>
  <c r="Y678" i="1" s="1"/>
  <c r="W670" i="1"/>
  <c r="W658" i="1"/>
  <c r="Y658" i="1" s="1"/>
  <c r="W642" i="1"/>
  <c r="Y642" i="1" s="1"/>
  <c r="W618" i="1"/>
  <c r="Y618" i="1" s="1"/>
  <c r="W525" i="1"/>
  <c r="W949" i="1"/>
  <c r="Y949" i="1" s="1"/>
  <c r="W945" i="1"/>
  <c r="Y945" i="1" s="1"/>
  <c r="W941" i="1"/>
  <c r="W937" i="1"/>
  <c r="Y937" i="1" s="1"/>
  <c r="W933" i="1"/>
  <c r="W929" i="1"/>
  <c r="W925" i="1"/>
  <c r="Y925" i="1" s="1"/>
  <c r="W921" i="1"/>
  <c r="Y921" i="1" s="1"/>
  <c r="W917" i="1"/>
  <c r="Y917" i="1" s="1"/>
  <c r="W913" i="1"/>
  <c r="W909" i="1"/>
  <c r="Y909" i="1" s="1"/>
  <c r="W905" i="1"/>
  <c r="Y905" i="1" s="1"/>
  <c r="W901" i="1"/>
  <c r="Y901" i="1" s="1"/>
  <c r="W897" i="1"/>
  <c r="W893" i="1"/>
  <c r="Y893" i="1" s="1"/>
  <c r="W889" i="1"/>
  <c r="Y889" i="1" s="1"/>
  <c r="W885" i="1"/>
  <c r="W881" i="1"/>
  <c r="W877" i="1"/>
  <c r="Y877" i="1" s="1"/>
  <c r="W873" i="1"/>
  <c r="Y873" i="1" s="1"/>
  <c r="W869" i="1"/>
  <c r="W865" i="1"/>
  <c r="W861" i="1"/>
  <c r="W857" i="1"/>
  <c r="Y857" i="1" s="1"/>
  <c r="W853" i="1"/>
  <c r="Y853" i="1" s="1"/>
  <c r="W849" i="1"/>
  <c r="W845" i="1"/>
  <c r="W841" i="1"/>
  <c r="Y841" i="1" s="1"/>
  <c r="W837" i="1"/>
  <c r="Y837" i="1" s="1"/>
  <c r="W833" i="1"/>
  <c r="Y833" i="1" s="1"/>
  <c r="W829" i="1"/>
  <c r="W825" i="1"/>
  <c r="Y825" i="1" s="1"/>
  <c r="W821" i="1"/>
  <c r="Y821" i="1" s="1"/>
  <c r="W817" i="1"/>
  <c r="Y817" i="1" s="1"/>
  <c r="W813" i="1"/>
  <c r="Y813" i="1" s="1"/>
  <c r="W809" i="1"/>
  <c r="Y809" i="1" s="1"/>
  <c r="W805" i="1"/>
  <c r="W801" i="1"/>
  <c r="Y801" i="1" s="1"/>
  <c r="W797" i="1"/>
  <c r="Y797" i="1" s="1"/>
  <c r="W793" i="1"/>
  <c r="Y793" i="1" s="1"/>
  <c r="W789" i="1"/>
  <c r="Y789" i="1" s="1"/>
  <c r="W785" i="1"/>
  <c r="Y785" i="1" s="1"/>
  <c r="W781" i="1"/>
  <c r="W777" i="1"/>
  <c r="Y777" i="1" s="1"/>
  <c r="W773" i="1"/>
  <c r="W769" i="1"/>
  <c r="Y769" i="1" s="1"/>
  <c r="W765" i="1"/>
  <c r="W761" i="1"/>
  <c r="Y761" i="1" s="1"/>
  <c r="W757" i="1"/>
  <c r="Y757" i="1" s="1"/>
  <c r="W753" i="1"/>
  <c r="Y753" i="1" s="1"/>
  <c r="W749" i="1"/>
  <c r="W745" i="1"/>
  <c r="Y745" i="1" s="1"/>
  <c r="W741" i="1"/>
  <c r="Y741" i="1" s="1"/>
  <c r="W737" i="1"/>
  <c r="Y737" i="1" s="1"/>
  <c r="W733" i="1"/>
  <c r="W729" i="1"/>
  <c r="Y729" i="1" s="1"/>
  <c r="W725" i="1"/>
  <c r="W721" i="1"/>
  <c r="Y721" i="1" s="1"/>
  <c r="W717" i="1"/>
  <c r="W713" i="1"/>
  <c r="Y713" i="1" s="1"/>
  <c r="W709" i="1"/>
  <c r="W705" i="1"/>
  <c r="Y705" i="1" s="1"/>
  <c r="W701" i="1"/>
  <c r="W697" i="1"/>
  <c r="Y697" i="1" s="1"/>
  <c r="W693" i="1"/>
  <c r="Y693" i="1" s="1"/>
  <c r="W689" i="1"/>
  <c r="Y689" i="1" s="1"/>
  <c r="W685" i="1"/>
  <c r="W3" i="1"/>
  <c r="Y3" i="1" s="1"/>
  <c r="W681" i="1"/>
  <c r="Y681" i="1" s="1"/>
  <c r="W677" i="1"/>
  <c r="Y677" i="1" s="1"/>
  <c r="W673" i="1"/>
  <c r="Y673" i="1" s="1"/>
  <c r="W669" i="1"/>
  <c r="Y669" i="1" s="1"/>
  <c r="W665" i="1"/>
  <c r="Y665" i="1" s="1"/>
  <c r="W661" i="1"/>
  <c r="Y661" i="1" s="1"/>
  <c r="W657" i="1"/>
  <c r="Y657" i="1" s="1"/>
  <c r="W653" i="1"/>
  <c r="Y653" i="1" s="1"/>
  <c r="W649" i="1"/>
  <c r="W645" i="1"/>
  <c r="Y645" i="1" s="1"/>
  <c r="W641" i="1"/>
  <c r="Y641" i="1" s="1"/>
  <c r="W637" i="1"/>
  <c r="Y637" i="1" s="1"/>
  <c r="W633" i="1"/>
  <c r="Y633" i="1" s="1"/>
  <c r="W629" i="1"/>
  <c r="Y629" i="1" s="1"/>
  <c r="W625" i="1"/>
  <c r="Y625" i="1" s="1"/>
  <c r="W621" i="1"/>
  <c r="Y621" i="1" s="1"/>
  <c r="W617" i="1"/>
  <c r="Y617" i="1" s="1"/>
  <c r="W613" i="1"/>
  <c r="Y613" i="1" s="1"/>
  <c r="W609" i="1"/>
  <c r="Y609" i="1" s="1"/>
  <c r="W605" i="1"/>
  <c r="Y605" i="1" s="1"/>
  <c r="W601" i="1"/>
  <c r="W597" i="1"/>
  <c r="Y597" i="1" s="1"/>
  <c r="W593" i="1"/>
  <c r="Y593" i="1" s="1"/>
  <c r="W589" i="1"/>
  <c r="Y589" i="1" s="1"/>
  <c r="W585" i="1"/>
  <c r="Y585" i="1" s="1"/>
  <c r="W580" i="1"/>
  <c r="W576" i="1"/>
  <c r="W572" i="1"/>
  <c r="Y572" i="1" s="1"/>
  <c r="W568" i="1"/>
  <c r="Y568" i="1" s="1"/>
  <c r="W564" i="1"/>
  <c r="Y564" i="1" s="1"/>
  <c r="W560" i="1"/>
  <c r="W556" i="1"/>
  <c r="Y556" i="1" s="1"/>
  <c r="W552" i="1"/>
  <c r="Y552" i="1" s="1"/>
  <c r="W548" i="1"/>
  <c r="Y548" i="1" s="1"/>
  <c r="W544" i="1"/>
  <c r="W540" i="1"/>
  <c r="Y540" i="1" s="1"/>
  <c r="W536" i="1"/>
  <c r="Y536" i="1" s="1"/>
  <c r="W532" i="1"/>
  <c r="W528" i="1"/>
  <c r="Y528" i="1" s="1"/>
  <c r="W524" i="1"/>
  <c r="Y524" i="1" s="1"/>
  <c r="W520" i="1"/>
  <c r="W516" i="1"/>
  <c r="W512" i="1"/>
  <c r="W508" i="1"/>
  <c r="Y508" i="1" s="1"/>
  <c r="W504" i="1"/>
  <c r="W500" i="1"/>
  <c r="W496" i="1"/>
  <c r="W492" i="1"/>
  <c r="Y492" i="1" s="1"/>
  <c r="W488" i="1"/>
  <c r="Y488" i="1" s="1"/>
  <c r="W484" i="1"/>
  <c r="W480" i="1"/>
  <c r="W476" i="1"/>
  <c r="Y476" i="1" s="1"/>
  <c r="W472" i="1"/>
  <c r="W468" i="1"/>
  <c r="W464" i="1"/>
  <c r="W460" i="1"/>
  <c r="Y460" i="1" s="1"/>
  <c r="W456" i="1"/>
  <c r="W452" i="1"/>
  <c r="W448" i="1"/>
  <c r="W444" i="1"/>
  <c r="Y444" i="1" s="1"/>
  <c r="W440" i="1"/>
  <c r="Y440" i="1" s="1"/>
  <c r="W436" i="1"/>
  <c r="Y436" i="1" s="1"/>
  <c r="W432" i="1"/>
  <c r="Y432" i="1" s="1"/>
  <c r="W428" i="1"/>
  <c r="Y428" i="1" s="1"/>
  <c r="W424" i="1"/>
  <c r="Y424" i="1" s="1"/>
  <c r="W420" i="1"/>
  <c r="W416" i="1"/>
  <c r="Y416" i="1" s="1"/>
  <c r="W412" i="1"/>
  <c r="Y412" i="1" s="1"/>
  <c r="W408" i="1"/>
  <c r="W404" i="1"/>
  <c r="Y404" i="1" s="1"/>
  <c r="W400" i="1"/>
  <c r="Y400" i="1" s="1"/>
  <c r="W396" i="1"/>
  <c r="Y396" i="1" s="1"/>
  <c r="W392" i="1"/>
  <c r="Y392" i="1" s="1"/>
  <c r="W388" i="1"/>
  <c r="Y388" i="1" s="1"/>
  <c r="W384" i="1"/>
  <c r="W380" i="1"/>
  <c r="Y380" i="1" s="1"/>
  <c r="W376" i="1"/>
  <c r="Y376" i="1" s="1"/>
  <c r="W372" i="1"/>
  <c r="W368" i="1"/>
  <c r="Y368" i="1" s="1"/>
  <c r="W364" i="1"/>
  <c r="Y364" i="1" s="1"/>
  <c r="W360" i="1"/>
  <c r="Y360" i="1" s="1"/>
  <c r="W356" i="1"/>
  <c r="Y356" i="1" s="1"/>
  <c r="W352" i="1"/>
  <c r="Y352" i="1" s="1"/>
  <c r="W348" i="1"/>
  <c r="Y348" i="1" s="1"/>
  <c r="W344" i="1"/>
  <c r="Y344" i="1" s="1"/>
  <c r="W340" i="1"/>
  <c r="Y340" i="1" s="1"/>
  <c r="W336" i="1"/>
  <c r="W332" i="1"/>
  <c r="Y332" i="1" s="1"/>
  <c r="W328" i="1"/>
  <c r="Y328" i="1" s="1"/>
  <c r="W324" i="1"/>
  <c r="W320" i="1"/>
  <c r="Y320" i="1" s="1"/>
  <c r="W316" i="1"/>
  <c r="Y316" i="1" s="1"/>
  <c r="W312" i="1"/>
  <c r="Y312" i="1" s="1"/>
  <c r="W308" i="1"/>
  <c r="W304" i="1"/>
  <c r="Y304" i="1" s="1"/>
  <c r="W300" i="1"/>
  <c r="Y300" i="1" s="1"/>
  <c r="W296" i="1"/>
  <c r="Y296" i="1" s="1"/>
  <c r="W292" i="1"/>
  <c r="Y292" i="1" s="1"/>
  <c r="W288" i="1"/>
  <c r="W284" i="1"/>
  <c r="Y284" i="1" s="1"/>
  <c r="W280" i="1"/>
  <c r="Y280" i="1" s="1"/>
  <c r="W276" i="1"/>
  <c r="Y276" i="1" s="1"/>
  <c r="W272" i="1"/>
  <c r="W268" i="1"/>
  <c r="Y268" i="1" s="1"/>
  <c r="W264" i="1"/>
  <c r="Y264" i="1" s="1"/>
  <c r="W260" i="1"/>
  <c r="Y260" i="1" s="1"/>
  <c r="W256" i="1"/>
  <c r="W252" i="1"/>
  <c r="Y252" i="1" s="1"/>
  <c r="W248" i="1"/>
  <c r="Y248" i="1" s="1"/>
  <c r="W244" i="1"/>
  <c r="Y244" i="1" s="1"/>
  <c r="W240" i="1"/>
  <c r="W236" i="1"/>
  <c r="Y236" i="1" s="1"/>
  <c r="W232" i="1"/>
  <c r="Y232" i="1" s="1"/>
  <c r="W228" i="1"/>
  <c r="Y228" i="1" s="1"/>
  <c r="W224" i="1"/>
  <c r="W220" i="1"/>
  <c r="Y220" i="1" s="1"/>
  <c r="W216" i="1"/>
  <c r="Y216" i="1" s="1"/>
  <c r="W212" i="1"/>
  <c r="Y212" i="1" s="1"/>
  <c r="W208" i="1"/>
  <c r="W204" i="1"/>
  <c r="Y204" i="1" s="1"/>
  <c r="W200" i="1"/>
  <c r="Y200" i="1" s="1"/>
  <c r="W196" i="1"/>
  <c r="Y196" i="1" s="1"/>
  <c r="W192" i="1"/>
  <c r="W188" i="1"/>
  <c r="Y188" i="1" s="1"/>
  <c r="W184" i="1"/>
  <c r="Y184" i="1" s="1"/>
  <c r="W180" i="1"/>
  <c r="Y180" i="1" s="1"/>
  <c r="W176" i="1"/>
  <c r="W172" i="1"/>
  <c r="Y172" i="1" s="1"/>
  <c r="W168" i="1"/>
  <c r="Y168" i="1" s="1"/>
  <c r="W164" i="1"/>
  <c r="W160" i="1"/>
  <c r="W156" i="1"/>
  <c r="Y156" i="1" s="1"/>
  <c r="W152" i="1"/>
  <c r="Y152" i="1" s="1"/>
  <c r="W148" i="1"/>
  <c r="Y148" i="1" s="1"/>
  <c r="W144" i="1"/>
  <c r="W140" i="1"/>
  <c r="Y140" i="1" s="1"/>
  <c r="W136" i="1"/>
  <c r="Y136" i="1" s="1"/>
  <c r="W132" i="1"/>
  <c r="Y132" i="1" s="1"/>
  <c r="W128" i="1"/>
  <c r="W124" i="1"/>
  <c r="Y124" i="1" s="1"/>
  <c r="W120" i="1"/>
  <c r="Y120" i="1" s="1"/>
  <c r="W116" i="1"/>
  <c r="Y116" i="1" s="1"/>
  <c r="W112" i="1"/>
  <c r="Y112" i="1" s="1"/>
  <c r="W108" i="1"/>
  <c r="Y108" i="1" s="1"/>
  <c r="W104" i="1"/>
  <c r="Y104" i="1" s="1"/>
  <c r="W100" i="1"/>
  <c r="Y100" i="1" s="1"/>
  <c r="W96" i="1"/>
  <c r="Y96" i="1" s="1"/>
  <c r="W92" i="1"/>
  <c r="Y92" i="1" s="1"/>
  <c r="W88" i="1"/>
  <c r="Y88" i="1" s="1"/>
  <c r="W84" i="1"/>
  <c r="W80" i="1"/>
  <c r="W76" i="1"/>
  <c r="Y76" i="1" s="1"/>
  <c r="W72" i="1"/>
  <c r="Y72" i="1" s="1"/>
  <c r="W68" i="1"/>
  <c r="W64" i="1"/>
  <c r="W60" i="1"/>
  <c r="Y60" i="1" s="1"/>
  <c r="W56" i="1"/>
  <c r="Y56" i="1" s="1"/>
  <c r="W52" i="1"/>
  <c r="W48" i="1"/>
  <c r="W44" i="1"/>
  <c r="Y44" i="1" s="1"/>
  <c r="W40" i="1"/>
  <c r="W36" i="1"/>
  <c r="W32" i="1"/>
  <c r="W28" i="1"/>
  <c r="Y28" i="1" s="1"/>
  <c r="W24" i="1"/>
  <c r="Y24" i="1" s="1"/>
  <c r="W20" i="1"/>
  <c r="W16" i="1"/>
  <c r="W12" i="1"/>
  <c r="Y12" i="1" s="1"/>
  <c r="W8" i="1"/>
  <c r="Y8" i="1" s="1"/>
  <c r="W4" i="1"/>
  <c r="X371" i="1"/>
  <c r="X891" i="1"/>
  <c r="X863" i="1"/>
  <c r="X847" i="1"/>
  <c r="X835" i="1"/>
  <c r="X735" i="1"/>
  <c r="X687" i="1"/>
  <c r="X675" i="1"/>
  <c r="X623" i="1"/>
  <c r="X566" i="1"/>
  <c r="X550" i="1"/>
  <c r="X195" i="1"/>
  <c r="X186" i="1"/>
  <c r="X943" i="1"/>
  <c r="X387" i="1"/>
  <c r="X175" i="1"/>
  <c r="X171" i="1"/>
  <c r="X121" i="1"/>
  <c r="X110" i="1"/>
  <c r="X102" i="1"/>
  <c r="X98" i="1"/>
  <c r="X42" i="1"/>
  <c r="X919" i="1"/>
  <c r="X430" i="1"/>
  <c r="X422" i="1"/>
  <c r="X342" i="1"/>
  <c r="X334" i="1"/>
  <c r="X199" i="1"/>
  <c r="X427" i="1"/>
  <c r="X531" i="1"/>
  <c r="X559" i="1"/>
  <c r="X527" i="1"/>
  <c r="X723" i="1"/>
  <c r="X603" i="1"/>
  <c r="X563" i="1"/>
  <c r="X551" i="1"/>
  <c r="X423" i="1"/>
  <c r="X719" i="1"/>
  <c r="X663" i="1"/>
  <c r="X631" i="1"/>
  <c r="X630" i="1"/>
  <c r="X615" i="1"/>
  <c r="X946" i="1"/>
  <c r="X930" i="1"/>
  <c r="X914" i="1"/>
  <c r="X944" i="1"/>
  <c r="X936" i="1"/>
  <c r="X934" i="1"/>
  <c r="X910" i="1"/>
  <c r="X948" i="1"/>
  <c r="X810" i="1"/>
  <c r="X774" i="1"/>
  <c r="X898" i="1"/>
  <c r="X846" i="1"/>
  <c r="X807" i="1"/>
  <c r="X912" i="1"/>
  <c r="X908" i="1"/>
  <c r="X904" i="1"/>
  <c r="X888" i="1"/>
  <c r="X880" i="1"/>
  <c r="X856" i="1"/>
  <c r="X852" i="1"/>
  <c r="X836" i="1"/>
  <c r="X828" i="1"/>
  <c r="X778" i="1"/>
  <c r="X762" i="1"/>
  <c r="X746" i="1"/>
  <c r="X510" i="1"/>
  <c r="X814" i="1"/>
  <c r="X811" i="1"/>
  <c r="X798" i="1"/>
  <c r="X795" i="1"/>
  <c r="X790" i="1"/>
  <c r="X780" i="1"/>
  <c r="X768" i="1"/>
  <c r="X764" i="1"/>
  <c r="X756" i="1"/>
  <c r="X748" i="1"/>
  <c r="X816" i="1"/>
  <c r="X812" i="1"/>
  <c r="X808" i="1"/>
  <c r="X775" i="1"/>
  <c r="X759" i="1"/>
  <c r="X724" i="1"/>
  <c r="X720" i="1"/>
  <c r="X696" i="1"/>
  <c r="X684" i="1"/>
  <c r="X676" i="1"/>
  <c r="X664" i="1"/>
  <c r="X648" i="1"/>
  <c r="X640" i="1"/>
  <c r="X636" i="1"/>
  <c r="X616" i="1"/>
  <c r="X608" i="1"/>
  <c r="X600" i="1"/>
  <c r="X514" i="1"/>
  <c r="X490" i="1"/>
  <c r="X502" i="1"/>
  <c r="X386" i="1"/>
  <c r="X378" i="1"/>
  <c r="X493" i="1"/>
  <c r="X323" i="1"/>
  <c r="X523" i="1"/>
  <c r="X267" i="1"/>
  <c r="X503" i="1"/>
  <c r="X483" i="1"/>
  <c r="X459" i="1"/>
  <c r="X455" i="1"/>
  <c r="X251" i="1"/>
  <c r="X333" i="1"/>
  <c r="X263" i="1"/>
  <c r="X355" i="1"/>
  <c r="X331" i="1"/>
  <c r="X303" i="1"/>
  <c r="X243" i="1"/>
  <c r="X354" i="1"/>
  <c r="X255" i="1"/>
  <c r="X290" i="1"/>
  <c r="X270" i="1"/>
  <c r="X266" i="1"/>
  <c r="X250" i="1"/>
  <c r="X246" i="1"/>
  <c r="X214" i="1"/>
  <c r="X206" i="1"/>
  <c r="X306" i="1"/>
  <c r="X269" i="1"/>
  <c r="X150" i="1"/>
  <c r="X151" i="1"/>
  <c r="X127" i="1"/>
  <c r="X83" i="1"/>
  <c r="X111" i="1"/>
  <c r="X103" i="1"/>
  <c r="X74" i="1"/>
  <c r="X71" i="1"/>
  <c r="X63" i="1"/>
  <c r="X31" i="1"/>
  <c r="X27" i="1"/>
  <c r="X11" i="1"/>
  <c r="D10" i="2"/>
  <c r="D9" i="2"/>
  <c r="D8" i="2"/>
  <c r="X134" i="1" l="1"/>
  <c r="X650" i="1"/>
  <c r="X218" i="1"/>
  <c r="X265" i="1"/>
  <c r="X301" i="1"/>
  <c r="X429" i="1"/>
  <c r="X233" i="1"/>
  <c r="X693" i="1"/>
  <c r="X185" i="1"/>
  <c r="X918" i="1"/>
  <c r="X518" i="1"/>
  <c r="X558" i="1"/>
  <c r="X870" i="1"/>
  <c r="X77" i="1"/>
  <c r="X285" i="1"/>
  <c r="X221" i="1"/>
  <c r="X449" i="1"/>
  <c r="X529" i="1"/>
  <c r="X189" i="1"/>
  <c r="X461" i="1"/>
  <c r="X577" i="1"/>
  <c r="X45" i="1"/>
  <c r="X610" i="1"/>
  <c r="X706" i="1"/>
  <c r="X463" i="1"/>
  <c r="X732" i="1"/>
  <c r="X609" i="1"/>
  <c r="X820" i="1"/>
  <c r="X794" i="1"/>
  <c r="X438" i="1"/>
  <c r="X867" i="1"/>
  <c r="X115" i="1"/>
  <c r="X129" i="1"/>
  <c r="X262" i="1"/>
  <c r="X239" i="1"/>
  <c r="X211" i="1"/>
  <c r="X307" i="1"/>
  <c r="X382" i="1"/>
  <c r="X368" i="1"/>
  <c r="X481" i="1"/>
  <c r="X432" i="1"/>
  <c r="X528" i="1"/>
  <c r="X620" i="1"/>
  <c r="X700" i="1"/>
  <c r="X400" i="1"/>
  <c r="X641" i="1"/>
  <c r="X902" i="1"/>
  <c r="X714" i="1"/>
  <c r="X419" i="1"/>
  <c r="X909" i="1"/>
  <c r="X951" i="1"/>
  <c r="X703" i="1"/>
  <c r="X877" i="1"/>
  <c r="X145" i="1"/>
  <c r="X320" i="1"/>
  <c r="X230" i="1"/>
  <c r="X495" i="1"/>
  <c r="X417" i="1"/>
  <c r="X657" i="1"/>
  <c r="X800" i="1"/>
  <c r="X884" i="1"/>
  <c r="X549" i="1"/>
  <c r="X859" i="1"/>
  <c r="X953" i="1"/>
  <c r="X866" i="1"/>
  <c r="X716" i="1"/>
  <c r="X593" i="1"/>
  <c r="X729" i="1"/>
  <c r="X497" i="1"/>
  <c r="X359" i="1"/>
  <c r="X190" i="1"/>
  <c r="X163" i="1"/>
  <c r="X633" i="1"/>
  <c r="X917" i="1"/>
  <c r="X686" i="1"/>
  <c r="X492" i="1"/>
  <c r="X60" i="1"/>
  <c r="X141" i="1"/>
  <c r="X172" i="1"/>
  <c r="X76" i="1"/>
  <c r="X125" i="1"/>
  <c r="X237" i="1"/>
  <c r="X304" i="1"/>
  <c r="X321" i="1"/>
  <c r="X396" i="1"/>
  <c r="X365" i="1"/>
  <c r="X509" i="1"/>
  <c r="X413" i="1"/>
  <c r="X465" i="1"/>
  <c r="X416" i="1"/>
  <c r="X797" i="1"/>
  <c r="X545" i="1"/>
  <c r="X625" i="1"/>
  <c r="X673" i="1"/>
  <c r="X886" i="1"/>
  <c r="X922" i="1"/>
  <c r="X614" i="1"/>
  <c r="X682" i="1"/>
  <c r="X161" i="1"/>
  <c r="X194" i="1"/>
  <c r="X893" i="1"/>
  <c r="X112" i="1"/>
  <c r="X813" i="1"/>
  <c r="X925" i="1"/>
  <c r="X352" i="1"/>
  <c r="X339" i="1"/>
  <c r="X138" i="1"/>
  <c r="X519" i="1"/>
  <c r="X441" i="1"/>
  <c r="X458" i="1"/>
  <c r="X688" i="1"/>
  <c r="X792" i="1"/>
  <c r="X832" i="1"/>
  <c r="X872" i="1"/>
  <c r="X896" i="1"/>
  <c r="X826" i="1"/>
  <c r="X932" i="1"/>
  <c r="X579" i="1"/>
  <c r="X557" i="1"/>
  <c r="X542" i="1"/>
  <c r="X591" i="1"/>
  <c r="X639" i="1"/>
  <c r="X410" i="1"/>
  <c r="X57" i="1"/>
  <c r="X853" i="1"/>
  <c r="X7" i="1"/>
  <c r="X43" i="1"/>
  <c r="X78" i="1"/>
  <c r="X87" i="1"/>
  <c r="X123" i="1"/>
  <c r="X143" i="1"/>
  <c r="X205" i="1"/>
  <c r="X253" i="1"/>
  <c r="X297" i="1"/>
  <c r="X326" i="1"/>
  <c r="X222" i="1"/>
  <c r="X294" i="1"/>
  <c r="X317" i="1"/>
  <c r="X291" i="1"/>
  <c r="X343" i="1"/>
  <c r="X231" i="1"/>
  <c r="X349" i="1"/>
  <c r="X447" i="1"/>
  <c r="X479" i="1"/>
  <c r="X201" i="1"/>
  <c r="X521" i="1"/>
  <c r="X397" i="1"/>
  <c r="X445" i="1"/>
  <c r="X477" i="1"/>
  <c r="X370" i="1"/>
  <c r="X470" i="1"/>
  <c r="X474" i="1"/>
  <c r="X588" i="1"/>
  <c r="X299" i="1"/>
  <c r="X561" i="1"/>
  <c r="X665" i="1"/>
  <c r="X743" i="1"/>
  <c r="X803" i="1"/>
  <c r="X466" i="1"/>
  <c r="X791" i="1"/>
  <c r="X900" i="1"/>
  <c r="X830" i="1"/>
  <c r="X882" i="1"/>
  <c r="X742" i="1"/>
  <c r="X950" i="1"/>
  <c r="X647" i="1"/>
  <c r="X403" i="1"/>
  <c r="X587" i="1"/>
  <c r="X722" i="1"/>
  <c r="X573" i="1"/>
  <c r="X203" i="1"/>
  <c r="X426" i="1"/>
  <c r="X30" i="1"/>
  <c r="X66" i="1"/>
  <c r="X114" i="1"/>
  <c r="X169" i="1"/>
  <c r="X178" i="1"/>
  <c r="X182" i="1"/>
  <c r="X554" i="1"/>
  <c r="X594" i="1"/>
  <c r="X674" i="1"/>
  <c r="X691" i="1"/>
  <c r="X823" i="1"/>
  <c r="X855" i="1"/>
  <c r="X875" i="1"/>
  <c r="X899" i="1"/>
  <c r="X903" i="1"/>
  <c r="X47" i="1"/>
  <c r="X24" i="1"/>
  <c r="X232" i="1"/>
  <c r="X316" i="1"/>
  <c r="X637" i="1"/>
  <c r="X669" i="1"/>
  <c r="X248" i="1"/>
  <c r="X392" i="1"/>
  <c r="X191" i="1"/>
  <c r="X136" i="1"/>
  <c r="X488" i="1"/>
  <c r="X152" i="1"/>
  <c r="X296" i="1"/>
  <c r="X681" i="1"/>
  <c r="X757" i="1"/>
  <c r="X585" i="1"/>
  <c r="X949" i="1"/>
  <c r="X901" i="1"/>
  <c r="X59" i="1"/>
  <c r="X10" i="1"/>
  <c r="X540" i="1"/>
  <c r="X197" i="1"/>
  <c r="X857" i="1"/>
  <c r="X204" i="1"/>
  <c r="X412" i="1"/>
  <c r="X621" i="1"/>
  <c r="X777" i="1"/>
  <c r="X905" i="1"/>
  <c r="X157" i="1"/>
  <c r="X889" i="1"/>
  <c r="X96" i="1"/>
  <c r="X28" i="1"/>
  <c r="Y711" i="1"/>
  <c r="X711" i="1"/>
  <c r="Y827" i="1"/>
  <c r="X827" i="1"/>
  <c r="Y119" i="1"/>
  <c r="X119" i="1"/>
  <c r="Y215" i="1"/>
  <c r="X215" i="1"/>
  <c r="Y680" i="1"/>
  <c r="X680" i="1"/>
  <c r="Y94" i="1"/>
  <c r="X94" i="1"/>
  <c r="Y40" i="1"/>
  <c r="X40" i="1"/>
  <c r="Y472" i="1"/>
  <c r="X472" i="1"/>
  <c r="Y504" i="1"/>
  <c r="X504" i="1"/>
  <c r="Y709" i="1"/>
  <c r="X709" i="1"/>
  <c r="Y869" i="1"/>
  <c r="X869" i="1"/>
  <c r="Y41" i="1"/>
  <c r="X41" i="1"/>
  <c r="Y73" i="1"/>
  <c r="X73" i="1"/>
  <c r="Y105" i="1"/>
  <c r="X105" i="1"/>
  <c r="Y153" i="1"/>
  <c r="X153" i="1"/>
  <c r="Y473" i="1"/>
  <c r="X473" i="1"/>
  <c r="Y541" i="1"/>
  <c r="X541" i="1"/>
  <c r="Y626" i="1"/>
  <c r="X626" i="1"/>
  <c r="Y646" i="1"/>
  <c r="X646" i="1"/>
  <c r="Y698" i="1"/>
  <c r="X698" i="1"/>
  <c r="Y454" i="1"/>
  <c r="X454" i="1"/>
  <c r="Y538" i="1"/>
  <c r="X538" i="1"/>
  <c r="Y727" i="1"/>
  <c r="X727" i="1"/>
  <c r="Y223" i="1"/>
  <c r="X223" i="1"/>
  <c r="Y738" i="1"/>
  <c r="X738" i="1"/>
  <c r="Y758" i="1"/>
  <c r="X758" i="1"/>
  <c r="Y58" i="1"/>
  <c r="X58" i="1"/>
  <c r="Y130" i="1"/>
  <c r="X130" i="1"/>
  <c r="Y210" i="1"/>
  <c r="X210" i="1"/>
  <c r="Y286" i="1"/>
  <c r="X286" i="1"/>
  <c r="Y574" i="1"/>
  <c r="X574" i="1"/>
  <c r="Y707" i="1"/>
  <c r="X707" i="1"/>
  <c r="Y751" i="1"/>
  <c r="X751" i="1"/>
  <c r="Y843" i="1"/>
  <c r="X843" i="1"/>
  <c r="Y935" i="1"/>
  <c r="X935" i="1"/>
  <c r="Y179" i="1"/>
  <c r="X179" i="1"/>
  <c r="Y311" i="1"/>
  <c r="X311" i="1"/>
  <c r="Y407" i="1"/>
  <c r="X407" i="1"/>
  <c r="Y467" i="1"/>
  <c r="X467" i="1"/>
  <c r="Y592" i="1"/>
  <c r="X592" i="1"/>
  <c r="Y520" i="1"/>
  <c r="X520" i="1"/>
  <c r="Y725" i="1"/>
  <c r="X725" i="1"/>
  <c r="Y773" i="1"/>
  <c r="X773" i="1"/>
  <c r="Y805" i="1"/>
  <c r="X805" i="1"/>
  <c r="Y25" i="1"/>
  <c r="X25" i="1"/>
  <c r="Y137" i="1"/>
  <c r="X137" i="1"/>
  <c r="Y329" i="1"/>
  <c r="X329" i="1"/>
  <c r="Y361" i="1"/>
  <c r="X361" i="1"/>
  <c r="Y425" i="1"/>
  <c r="X425" i="1"/>
  <c r="Y489" i="1"/>
  <c r="X489" i="1"/>
  <c r="Y606" i="1"/>
  <c r="X606" i="1"/>
  <c r="Y726" i="1"/>
  <c r="X726" i="1"/>
  <c r="Y62" i="1"/>
  <c r="X62" i="1"/>
  <c r="Y174" i="1"/>
  <c r="X174" i="1"/>
  <c r="Y258" i="1"/>
  <c r="X258" i="1"/>
  <c r="Y330" i="1"/>
  <c r="X330" i="1"/>
  <c r="Y414" i="1"/>
  <c r="X414" i="1"/>
  <c r="Y498" i="1"/>
  <c r="X498" i="1"/>
  <c r="Y679" i="1"/>
  <c r="X679" i="1"/>
  <c r="Y767" i="1"/>
  <c r="X767" i="1"/>
  <c r="Y907" i="1"/>
  <c r="X907" i="1"/>
  <c r="Y954" i="1"/>
  <c r="X954" i="1"/>
  <c r="Y391" i="1"/>
  <c r="X391" i="1"/>
  <c r="Y842" i="1"/>
  <c r="X842" i="1"/>
  <c r="Y894" i="1"/>
  <c r="X894" i="1"/>
  <c r="Y18" i="1"/>
  <c r="X18" i="1"/>
  <c r="Y90" i="1"/>
  <c r="X90" i="1"/>
  <c r="Y166" i="1"/>
  <c r="X166" i="1"/>
  <c r="X88" i="1"/>
  <c r="X104" i="1"/>
  <c r="X264" i="1"/>
  <c r="X217" i="1"/>
  <c r="X249" i="1"/>
  <c r="X281" i="1"/>
  <c r="X287" i="1"/>
  <c r="X366" i="1"/>
  <c r="X345" i="1"/>
  <c r="X424" i="1"/>
  <c r="X505" i="1"/>
  <c r="X409" i="1"/>
  <c r="X789" i="1"/>
  <c r="X617" i="1"/>
  <c r="X536" i="1"/>
  <c r="X878" i="1"/>
  <c r="X666" i="1"/>
  <c r="X34" i="1"/>
  <c r="X377" i="1"/>
  <c r="X642" i="1"/>
  <c r="X837" i="1"/>
  <c r="X196" i="1"/>
  <c r="Y408" i="1"/>
  <c r="X408" i="1"/>
  <c r="Y456" i="1"/>
  <c r="X456" i="1"/>
  <c r="Y601" i="1"/>
  <c r="X601" i="1"/>
  <c r="Y649" i="1"/>
  <c r="X649" i="1"/>
  <c r="Y885" i="1"/>
  <c r="X885" i="1"/>
  <c r="Y933" i="1"/>
  <c r="X933" i="1"/>
  <c r="X72" i="1"/>
  <c r="X216" i="1"/>
  <c r="X280" i="1"/>
  <c r="X298" i="1"/>
  <c r="X313" i="1"/>
  <c r="X374" i="1"/>
  <c r="X440" i="1"/>
  <c r="X457" i="1"/>
  <c r="X741" i="1"/>
  <c r="X568" i="1"/>
  <c r="X862" i="1"/>
  <c r="X555" i="1"/>
  <c r="X9" i="1"/>
  <c r="X89" i="1"/>
  <c r="X162" i="1"/>
  <c r="X590" i="1"/>
  <c r="X611" i="1"/>
  <c r="X821" i="1"/>
  <c r="X393" i="1"/>
  <c r="X344" i="1"/>
  <c r="X671" i="1"/>
  <c r="X883" i="1"/>
  <c r="X418" i="1"/>
  <c r="X99" i="1"/>
  <c r="X140" i="1"/>
  <c r="X147" i="1"/>
  <c r="X252" i="1"/>
  <c r="X300" i="1"/>
  <c r="X227" i="1"/>
  <c r="X364" i="1"/>
  <c r="X380" i="1"/>
  <c r="X475" i="1"/>
  <c r="X499" i="1"/>
  <c r="X632" i="1"/>
  <c r="X656" i="1"/>
  <c r="X712" i="1"/>
  <c r="X809" i="1"/>
  <c r="X572" i="1"/>
  <c r="X605" i="1"/>
  <c r="X740" i="1"/>
  <c r="X415" i="1"/>
  <c r="X375" i="1"/>
  <c r="X947" i="1"/>
  <c r="X873" i="1"/>
  <c r="X546" i="1"/>
  <c r="X228" i="1"/>
  <c r="X292" i="1"/>
  <c r="X278" i="1"/>
  <c r="X275" i="1"/>
  <c r="X319" i="1"/>
  <c r="X451" i="1"/>
  <c r="X491" i="1"/>
  <c r="X515" i="1"/>
  <c r="X689" i="1"/>
  <c r="X868" i="1"/>
  <c r="X858" i="1"/>
  <c r="X874" i="1"/>
  <c r="X890" i="1"/>
  <c r="X618" i="1"/>
  <c r="X340" i="1"/>
  <c r="X21" i="1"/>
  <c r="X69" i="1"/>
  <c r="X154" i="1"/>
  <c r="X389" i="1"/>
  <c r="X261" i="1"/>
  <c r="X356" i="1"/>
  <c r="X668" i="1"/>
  <c r="X494" i="1"/>
  <c r="X776" i="1"/>
  <c r="X838" i="1"/>
  <c r="X435" i="1"/>
  <c r="X569" i="1"/>
  <c r="X117" i="1"/>
  <c r="X379" i="1"/>
  <c r="X655" i="1"/>
  <c r="X8" i="1"/>
  <c r="X56" i="1"/>
  <c r="X95" i="1"/>
  <c r="X120" i="1"/>
  <c r="X124" i="1"/>
  <c r="X126" i="1"/>
  <c r="X236" i="1"/>
  <c r="X268" i="1"/>
  <c r="X312" i="1"/>
  <c r="X328" i="1"/>
  <c r="X295" i="1"/>
  <c r="X360" i="1"/>
  <c r="X443" i="1"/>
  <c r="X460" i="1"/>
  <c r="X376" i="1"/>
  <c r="X604" i="1"/>
  <c r="X624" i="1"/>
  <c r="X793" i="1"/>
  <c r="X524" i="1"/>
  <c r="X556" i="1"/>
  <c r="X589" i="1"/>
  <c r="X653" i="1"/>
  <c r="X697" i="1"/>
  <c r="X739" i="1"/>
  <c r="X755" i="1"/>
  <c r="X796" i="1"/>
  <c r="X760" i="1"/>
  <c r="X552" i="1"/>
  <c r="X824" i="1"/>
  <c r="X928" i="1"/>
  <c r="X651" i="1"/>
  <c r="X200" i="1"/>
  <c r="X14" i="1"/>
  <c r="X29" i="1"/>
  <c r="X168" i="1"/>
  <c r="X173" i="1"/>
  <c r="X381" i="1"/>
  <c r="X184" i="1"/>
  <c r="X841" i="1"/>
  <c r="X348" i="1"/>
  <c r="X68" i="1"/>
  <c r="Y68" i="1"/>
  <c r="X452" i="1"/>
  <c r="Y452" i="1"/>
  <c r="X500" i="1"/>
  <c r="Y500" i="1"/>
  <c r="X865" i="1"/>
  <c r="Y865" i="1"/>
  <c r="X913" i="1"/>
  <c r="Y913" i="1"/>
  <c r="X622" i="1"/>
  <c r="Y622" i="1"/>
  <c r="X638" i="1"/>
  <c r="Y638" i="1"/>
  <c r="X202" i="1"/>
  <c r="Y202" i="1"/>
  <c r="X530" i="1"/>
  <c r="Y530" i="1"/>
  <c r="X627" i="1"/>
  <c r="Y627" i="1"/>
  <c r="X939" i="1"/>
  <c r="Y939" i="1"/>
  <c r="X207" i="1"/>
  <c r="Y207" i="1"/>
  <c r="X806" i="1"/>
  <c r="Y806" i="1"/>
  <c r="X906" i="1"/>
  <c r="Y906" i="1"/>
  <c r="X50" i="1"/>
  <c r="Y50" i="1"/>
  <c r="X238" i="1"/>
  <c r="Y238" i="1"/>
  <c r="X450" i="1"/>
  <c r="Y450" i="1"/>
  <c r="X534" i="1"/>
  <c r="Y534" i="1"/>
  <c r="X570" i="1"/>
  <c r="Y570" i="1"/>
  <c r="X695" i="1"/>
  <c r="Y695" i="1"/>
  <c r="X783" i="1"/>
  <c r="Y783" i="1"/>
  <c r="X831" i="1"/>
  <c r="Y831" i="1"/>
  <c r="X923" i="1"/>
  <c r="Y923" i="1"/>
  <c r="X159" i="1"/>
  <c r="Y159" i="1"/>
  <c r="X347" i="1"/>
  <c r="Y347" i="1"/>
  <c r="X395" i="1"/>
  <c r="Y395" i="1"/>
  <c r="X543" i="1"/>
  <c r="Y543" i="1"/>
  <c r="X583" i="1"/>
  <c r="Y583" i="1"/>
  <c r="X744" i="1"/>
  <c r="Y744" i="1"/>
  <c r="X254" i="1"/>
  <c r="Y254" i="1"/>
  <c r="X398" i="1"/>
  <c r="Y398" i="1"/>
  <c r="X462" i="1"/>
  <c r="Y462" i="1"/>
  <c r="X599" i="1"/>
  <c r="Y599" i="1"/>
  <c r="X871" i="1"/>
  <c r="Y871" i="1"/>
  <c r="X931" i="1"/>
  <c r="Y931" i="1"/>
  <c r="X23" i="1"/>
  <c r="Y23" i="1"/>
  <c r="X39" i="1"/>
  <c r="Y39" i="1"/>
  <c r="X55" i="1"/>
  <c r="Y55" i="1"/>
  <c r="X79" i="1"/>
  <c r="Y79" i="1"/>
  <c r="X135" i="1"/>
  <c r="Y135" i="1"/>
  <c r="X247" i="1"/>
  <c r="Y247" i="1"/>
  <c r="X363" i="1"/>
  <c r="Y363" i="1"/>
  <c r="X411" i="1"/>
  <c r="Y411" i="1"/>
  <c r="X471" i="1"/>
  <c r="Y471" i="1"/>
  <c r="X547" i="1"/>
  <c r="Y547" i="1"/>
  <c r="X628" i="1"/>
  <c r="Y628" i="1"/>
  <c r="X708" i="1"/>
  <c r="Y708" i="1"/>
  <c r="X876" i="1"/>
  <c r="Y876" i="1"/>
  <c r="X924" i="1"/>
  <c r="Y924" i="1"/>
  <c r="X844" i="1"/>
  <c r="Y844" i="1"/>
  <c r="X892" i="1"/>
  <c r="Y892" i="1"/>
  <c r="X20" i="1"/>
  <c r="Y20" i="1"/>
  <c r="X52" i="1"/>
  <c r="Y52" i="1"/>
  <c r="X164" i="1"/>
  <c r="Y164" i="1"/>
  <c r="X308" i="1"/>
  <c r="Y308" i="1"/>
  <c r="X372" i="1"/>
  <c r="Y372" i="1"/>
  <c r="X484" i="1"/>
  <c r="Y484" i="1"/>
  <c r="X532" i="1"/>
  <c r="Y532" i="1"/>
  <c r="X580" i="1"/>
  <c r="Y580" i="1"/>
  <c r="X881" i="1"/>
  <c r="Y881" i="1"/>
  <c r="X710" i="1"/>
  <c r="Y710" i="1"/>
  <c r="X85" i="1"/>
  <c r="Y85" i="1"/>
  <c r="X165" i="1"/>
  <c r="Y165" i="1"/>
  <c r="X357" i="1"/>
  <c r="Y357" i="1"/>
  <c r="X405" i="1"/>
  <c r="Y405" i="1"/>
  <c r="X602" i="1"/>
  <c r="Y602" i="1"/>
  <c r="X662" i="1"/>
  <c r="Y662" i="1"/>
  <c r="X718" i="1"/>
  <c r="Y718" i="1"/>
  <c r="X26" i="1"/>
  <c r="Y26" i="1"/>
  <c r="X667" i="1"/>
  <c r="Y667" i="1"/>
  <c r="X107" i="1"/>
  <c r="Y107" i="1"/>
  <c r="X754" i="1"/>
  <c r="Y754" i="1"/>
  <c r="X926" i="1"/>
  <c r="Y926" i="1"/>
  <c r="X82" i="1"/>
  <c r="X133" i="1"/>
  <c r="X149" i="1"/>
  <c r="X100" i="1"/>
  <c r="X116" i="1"/>
  <c r="X212" i="1"/>
  <c r="X276" i="1"/>
  <c r="X245" i="1"/>
  <c r="X242" i="1"/>
  <c r="X282" i="1"/>
  <c r="X325" i="1"/>
  <c r="X327" i="1"/>
  <c r="X341" i="1"/>
  <c r="X548" i="1"/>
  <c r="X442" i="1"/>
  <c r="X704" i="1"/>
  <c r="X713" i="1"/>
  <c r="X737" i="1"/>
  <c r="X745" i="1"/>
  <c r="X769" i="1"/>
  <c r="X779" i="1"/>
  <c r="X822" i="1"/>
  <c r="X694" i="1"/>
  <c r="X5" i="1"/>
  <c r="X586" i="1"/>
  <c r="X198" i="1"/>
  <c r="X332" i="1"/>
  <c r="X13" i="1"/>
  <c r="X37" i="1"/>
  <c r="X53" i="1"/>
  <c r="X61" i="1"/>
  <c r="X109" i="1"/>
  <c r="X118" i="1"/>
  <c r="X156" i="1"/>
  <c r="X945" i="1"/>
  <c r="X690" i="1"/>
  <c r="X833" i="1"/>
  <c r="X180" i="1"/>
  <c r="X895" i="1"/>
  <c r="X402" i="1"/>
  <c r="X571" i="1"/>
  <c r="X4" i="1"/>
  <c r="Y4" i="1"/>
  <c r="X84" i="1"/>
  <c r="Y84" i="1"/>
  <c r="X437" i="1"/>
  <c r="Y437" i="1"/>
  <c r="X486" i="1"/>
  <c r="Y486" i="1"/>
  <c r="X148" i="1"/>
  <c r="X260" i="1"/>
  <c r="X229" i="1"/>
  <c r="X421" i="1"/>
  <c r="X517" i="1"/>
  <c r="X436" i="1"/>
  <c r="X469" i="1"/>
  <c r="X501" i="1"/>
  <c r="X613" i="1"/>
  <c r="X645" i="1"/>
  <c r="X942" i="1"/>
  <c r="X170" i="1"/>
  <c r="X406" i="1"/>
  <c r="X36" i="1"/>
  <c r="Y36" i="1"/>
  <c r="X324" i="1"/>
  <c r="Y324" i="1"/>
  <c r="X420" i="1"/>
  <c r="Y420" i="1"/>
  <c r="X468" i="1"/>
  <c r="Y468" i="1"/>
  <c r="X516" i="1"/>
  <c r="Y516" i="1"/>
  <c r="X849" i="1"/>
  <c r="Y849" i="1"/>
  <c r="X897" i="1"/>
  <c r="Y897" i="1"/>
  <c r="X929" i="1"/>
  <c r="Y929" i="1"/>
  <c r="X181" i="1"/>
  <c r="Y181" i="1"/>
  <c r="X373" i="1"/>
  <c r="Y373" i="1"/>
  <c r="X362" i="1"/>
  <c r="Y362" i="1"/>
  <c r="X293" i="1"/>
  <c r="X453" i="1"/>
  <c r="X485" i="1"/>
  <c r="X564" i="1"/>
  <c r="X597" i="1"/>
  <c r="X629" i="1"/>
  <c r="X661" i="1"/>
  <c r="X677" i="1"/>
  <c r="X721" i="1"/>
  <c r="X785" i="1"/>
  <c r="X770" i="1"/>
  <c r="X537" i="1"/>
  <c r="X6" i="1"/>
  <c r="X54" i="1"/>
  <c r="X101" i="1"/>
  <c r="X578" i="1"/>
  <c r="X15" i="1"/>
  <c r="X12" i="1"/>
  <c r="X44" i="1"/>
  <c r="X92" i="1"/>
  <c r="X108" i="1"/>
  <c r="X132" i="1"/>
  <c r="X220" i="1"/>
  <c r="X244" i="1"/>
  <c r="X284" i="1"/>
  <c r="X213" i="1"/>
  <c r="X277" i="1"/>
  <c r="X310" i="1"/>
  <c r="X322" i="1"/>
  <c r="X309" i="1"/>
  <c r="X358" i="1"/>
  <c r="X279" i="1"/>
  <c r="X388" i="1"/>
  <c r="X428" i="1"/>
  <c r="X444" i="1"/>
  <c r="X476" i="1"/>
  <c r="X507" i="1"/>
  <c r="X404" i="1"/>
  <c r="X235" i="1"/>
  <c r="X652" i="1"/>
  <c r="X736" i="1"/>
  <c r="X801" i="1"/>
  <c r="X817" i="1"/>
  <c r="X508" i="1"/>
  <c r="X705" i="1"/>
  <c r="X753" i="1"/>
  <c r="X761" i="1"/>
  <c r="X788" i="1"/>
  <c r="X864" i="1"/>
  <c r="X786" i="1"/>
  <c r="X854" i="1"/>
  <c r="X799" i="1"/>
  <c r="X553" i="1"/>
  <c r="X678" i="1"/>
  <c r="X715" i="1"/>
  <c r="X338" i="1"/>
  <c r="X526" i="1"/>
  <c r="X921" i="1"/>
  <c r="X93" i="1"/>
  <c r="X167" i="1"/>
  <c r="X937" i="1"/>
  <c r="X188" i="1"/>
  <c r="X607" i="1"/>
  <c r="X658" i="1"/>
  <c r="X730" i="1"/>
  <c r="X825" i="1"/>
  <c r="X851" i="1"/>
  <c r="X879" i="1"/>
  <c r="X16" i="1"/>
  <c r="Y16" i="1"/>
  <c r="X32" i="1"/>
  <c r="Y32" i="1"/>
  <c r="X48" i="1"/>
  <c r="Y48" i="1"/>
  <c r="X64" i="1"/>
  <c r="Y64" i="1"/>
  <c r="X80" i="1"/>
  <c r="Y80" i="1"/>
  <c r="X128" i="1"/>
  <c r="Y128" i="1"/>
  <c r="X144" i="1"/>
  <c r="Y144" i="1"/>
  <c r="X160" i="1"/>
  <c r="Y160" i="1"/>
  <c r="X176" i="1"/>
  <c r="Y176" i="1"/>
  <c r="X192" i="1"/>
  <c r="Y192" i="1"/>
  <c r="X208" i="1"/>
  <c r="Y208" i="1"/>
  <c r="X224" i="1"/>
  <c r="Y224" i="1"/>
  <c r="X240" i="1"/>
  <c r="Y240" i="1"/>
  <c r="X256" i="1"/>
  <c r="Y256" i="1"/>
  <c r="X272" i="1"/>
  <c r="Y272" i="1"/>
  <c r="X288" i="1"/>
  <c r="Y288" i="1"/>
  <c r="X336" i="1"/>
  <c r="Y336" i="1"/>
  <c r="X384" i="1"/>
  <c r="Y384" i="1"/>
  <c r="X448" i="1"/>
  <c r="Y448" i="1"/>
  <c r="X464" i="1"/>
  <c r="Y464" i="1"/>
  <c r="X480" i="1"/>
  <c r="Y480" i="1"/>
  <c r="X496" i="1"/>
  <c r="Y496" i="1"/>
  <c r="X512" i="1"/>
  <c r="Y512" i="1"/>
  <c r="X544" i="1"/>
  <c r="Y544" i="1"/>
  <c r="X560" i="1"/>
  <c r="Y560" i="1"/>
  <c r="X576" i="1"/>
  <c r="Y576" i="1"/>
  <c r="X685" i="1"/>
  <c r="Y685" i="1"/>
  <c r="X701" i="1"/>
  <c r="Y701" i="1"/>
  <c r="X717" i="1"/>
  <c r="Y717" i="1"/>
  <c r="X733" i="1"/>
  <c r="Y733" i="1"/>
  <c r="X749" i="1"/>
  <c r="Y749" i="1"/>
  <c r="X765" i="1"/>
  <c r="Y765" i="1"/>
  <c r="X781" i="1"/>
  <c r="Y781" i="1"/>
  <c r="X829" i="1"/>
  <c r="Y829" i="1"/>
  <c r="X845" i="1"/>
  <c r="Y845" i="1"/>
  <c r="X861" i="1"/>
  <c r="Y861" i="1"/>
  <c r="X941" i="1"/>
  <c r="Y941" i="1"/>
  <c r="X525" i="1"/>
  <c r="Y525" i="1"/>
  <c r="X670" i="1"/>
  <c r="Y670" i="1"/>
  <c r="X702" i="1"/>
  <c r="Y702" i="1"/>
  <c r="X734" i="1"/>
  <c r="Y734" i="1"/>
  <c r="X17" i="1"/>
  <c r="Y17" i="1"/>
  <c r="X33" i="1"/>
  <c r="Y33" i="1"/>
  <c r="X49" i="1"/>
  <c r="Y49" i="1"/>
  <c r="X65" i="1"/>
  <c r="Y65" i="1"/>
  <c r="X81" i="1"/>
  <c r="Y81" i="1"/>
  <c r="X97" i="1"/>
  <c r="Y97" i="1"/>
  <c r="X113" i="1"/>
  <c r="Y113" i="1"/>
  <c r="X177" i="1"/>
  <c r="Y177" i="1"/>
  <c r="X193" i="1"/>
  <c r="Y193" i="1"/>
  <c r="X209" i="1"/>
  <c r="Y209" i="1"/>
  <c r="X225" i="1"/>
  <c r="Y225" i="1"/>
  <c r="X241" i="1"/>
  <c r="Y241" i="1"/>
  <c r="X257" i="1"/>
  <c r="Y257" i="1"/>
  <c r="X273" i="1"/>
  <c r="Y273" i="1"/>
  <c r="X289" i="1"/>
  <c r="Y289" i="1"/>
  <c r="X305" i="1"/>
  <c r="Y305" i="1"/>
  <c r="X337" i="1"/>
  <c r="Y337" i="1"/>
  <c r="X353" i="1"/>
  <c r="Y353" i="1"/>
  <c r="X369" i="1"/>
  <c r="Y369" i="1"/>
  <c r="X385" i="1"/>
  <c r="Y385" i="1"/>
  <c r="X401" i="1"/>
  <c r="Y401" i="1"/>
  <c r="X433" i="1"/>
  <c r="Y433" i="1"/>
  <c r="X513" i="1"/>
  <c r="Y513" i="1"/>
  <c r="X533" i="1"/>
  <c r="Y533" i="1"/>
  <c r="X565" i="1"/>
  <c r="Y565" i="1"/>
  <c r="X581" i="1"/>
  <c r="Y581" i="1"/>
  <c r="X598" i="1"/>
  <c r="Y598" i="1"/>
  <c r="X634" i="1"/>
  <c r="Y634" i="1"/>
  <c r="X654" i="1"/>
  <c r="Y654" i="1"/>
  <c r="X22" i="1"/>
  <c r="Y22" i="1"/>
  <c r="X46" i="1"/>
  <c r="Y46" i="1"/>
  <c r="X86" i="1"/>
  <c r="Y86" i="1"/>
  <c r="X122" i="1"/>
  <c r="Y122" i="1"/>
  <c r="X158" i="1"/>
  <c r="Y158" i="1"/>
  <c r="X274" i="1"/>
  <c r="Y274" i="1"/>
  <c r="X314" i="1"/>
  <c r="Y314" i="1"/>
  <c r="X350" i="1"/>
  <c r="Y350" i="1"/>
  <c r="X394" i="1"/>
  <c r="Y394" i="1"/>
  <c r="X434" i="1"/>
  <c r="Y434" i="1"/>
  <c r="X478" i="1"/>
  <c r="Y478" i="1"/>
  <c r="X562" i="1"/>
  <c r="Y562" i="1"/>
  <c r="X619" i="1"/>
  <c r="Y619" i="1"/>
  <c r="X659" i="1"/>
  <c r="Y659" i="1"/>
  <c r="X747" i="1"/>
  <c r="Y747" i="1"/>
  <c r="X787" i="1"/>
  <c r="Y787" i="1"/>
  <c r="X839" i="1"/>
  <c r="Y839" i="1"/>
  <c r="X887" i="1"/>
  <c r="Y887" i="1"/>
  <c r="X927" i="1"/>
  <c r="Y927" i="1"/>
  <c r="X67" i="1"/>
  <c r="Y67" i="1"/>
  <c r="X183" i="1"/>
  <c r="Y183" i="1"/>
  <c r="X259" i="1"/>
  <c r="Y259" i="1"/>
  <c r="X315" i="1"/>
  <c r="Y315" i="1"/>
  <c r="X367" i="1"/>
  <c r="Y367" i="1"/>
  <c r="X750" i="1"/>
  <c r="Y750" i="1"/>
  <c r="X766" i="1"/>
  <c r="Y766" i="1"/>
  <c r="X782" i="1"/>
  <c r="Y782" i="1"/>
  <c r="X802" i="1"/>
  <c r="Y802" i="1"/>
  <c r="X818" i="1"/>
  <c r="Y818" i="1"/>
  <c r="X834" i="1"/>
  <c r="Y834" i="1"/>
  <c r="X850" i="1"/>
  <c r="Y850" i="1"/>
  <c r="X938" i="1"/>
  <c r="Y938" i="1"/>
  <c r="X38" i="1"/>
  <c r="Y38" i="1"/>
  <c r="X70" i="1"/>
  <c r="Y70" i="1"/>
  <c r="X106" i="1"/>
  <c r="Y106" i="1"/>
  <c r="X146" i="1"/>
  <c r="Y146" i="1"/>
  <c r="X226" i="1"/>
  <c r="Y226" i="1"/>
  <c r="X302" i="1"/>
  <c r="Y302" i="1"/>
  <c r="X346" i="1"/>
  <c r="Y346" i="1"/>
  <c r="X390" i="1"/>
  <c r="Y390" i="1"/>
  <c r="X482" i="1"/>
  <c r="Y482" i="1"/>
  <c r="X522" i="1"/>
  <c r="Y522" i="1"/>
  <c r="X595" i="1"/>
  <c r="Y595" i="1"/>
  <c r="X635" i="1"/>
  <c r="Y635" i="1"/>
  <c r="X683" i="1"/>
  <c r="Y683" i="1"/>
  <c r="X731" i="1"/>
  <c r="Y731" i="1"/>
  <c r="X771" i="1"/>
  <c r="Y771" i="1"/>
  <c r="X815" i="1"/>
  <c r="Y815" i="1"/>
  <c r="X911" i="1"/>
  <c r="Y911" i="1"/>
  <c r="X139" i="1"/>
  <c r="Y139" i="1"/>
  <c r="X219" i="1"/>
  <c r="Y219" i="1"/>
  <c r="X283" i="1"/>
  <c r="Y283" i="1"/>
  <c r="X335" i="1"/>
  <c r="Y335" i="1"/>
  <c r="X383" i="1"/>
  <c r="Y383" i="1"/>
  <c r="X439" i="1"/>
  <c r="Y439" i="1"/>
  <c r="X535" i="1"/>
  <c r="Y535" i="1"/>
  <c r="X575" i="1"/>
  <c r="Y575" i="1"/>
  <c r="X612" i="1"/>
  <c r="Y612" i="1"/>
  <c r="X660" i="1"/>
  <c r="Y660" i="1"/>
  <c r="X692" i="1"/>
  <c r="Y692" i="1"/>
  <c r="X772" i="1"/>
  <c r="Y772" i="1"/>
  <c r="X142" i="1"/>
  <c r="Y142" i="1"/>
  <c r="X234" i="1"/>
  <c r="Y234" i="1"/>
  <c r="X318" i="1"/>
  <c r="Y318" i="1"/>
  <c r="X446" i="1"/>
  <c r="Y446" i="1"/>
  <c r="X506" i="1"/>
  <c r="Y506" i="1"/>
  <c r="X582" i="1"/>
  <c r="Y582" i="1"/>
  <c r="X643" i="1"/>
  <c r="Y643" i="1"/>
  <c r="X699" i="1"/>
  <c r="Y699" i="1"/>
  <c r="X763" i="1"/>
  <c r="Y763" i="1"/>
  <c r="X819" i="1"/>
  <c r="Y819" i="1"/>
  <c r="X915" i="1"/>
  <c r="Y915" i="1"/>
  <c r="X19" i="1"/>
  <c r="Y19" i="1"/>
  <c r="X35" i="1"/>
  <c r="Y35" i="1"/>
  <c r="X51" i="1"/>
  <c r="Y51" i="1"/>
  <c r="X75" i="1"/>
  <c r="Y75" i="1"/>
  <c r="X91" i="1"/>
  <c r="Y91" i="1"/>
  <c r="X131" i="1"/>
  <c r="Y131" i="1"/>
  <c r="X155" i="1"/>
  <c r="Y155" i="1"/>
  <c r="X187" i="1"/>
  <c r="Y187" i="1"/>
  <c r="X271" i="1"/>
  <c r="Y271" i="1"/>
  <c r="X351" i="1"/>
  <c r="Y351" i="1"/>
  <c r="X399" i="1"/>
  <c r="Y399" i="1"/>
  <c r="X431" i="1"/>
  <c r="Y431" i="1"/>
  <c r="X487" i="1"/>
  <c r="Y487" i="1"/>
  <c r="X511" i="1"/>
  <c r="Y511" i="1"/>
  <c r="X539" i="1"/>
  <c r="Y539" i="1"/>
  <c r="X567" i="1"/>
  <c r="Y567" i="1"/>
  <c r="X596" i="1"/>
  <c r="Y596" i="1"/>
  <c r="X644" i="1"/>
  <c r="Y644" i="1"/>
  <c r="X672" i="1"/>
  <c r="Y672" i="1"/>
  <c r="X728" i="1"/>
  <c r="Y728" i="1"/>
  <c r="X752" i="1"/>
  <c r="Y752" i="1"/>
  <c r="X784" i="1"/>
  <c r="Y784" i="1"/>
  <c r="X804" i="1"/>
  <c r="Y804" i="1"/>
  <c r="X920" i="1"/>
  <c r="Y920" i="1"/>
  <c r="X952" i="1"/>
  <c r="Y952" i="1"/>
  <c r="X848" i="1"/>
  <c r="Y848" i="1"/>
  <c r="X940" i="1"/>
  <c r="Y940" i="1"/>
  <c r="X840" i="1"/>
  <c r="Y840" i="1"/>
  <c r="X860" i="1"/>
  <c r="Y860" i="1"/>
  <c r="X916" i="1"/>
  <c r="Y916" i="1"/>
  <c r="E10" i="2"/>
  <c r="X3" i="1"/>
  <c r="D16" i="2"/>
  <c r="D17" i="2" s="1"/>
  <c r="B17" i="2" s="1"/>
  <c r="E9" i="2" l="1"/>
  <c r="E7" i="2"/>
  <c r="E8" i="2"/>
  <c r="E16" i="2" l="1"/>
</calcChain>
</file>

<file path=xl/sharedStrings.xml><?xml version="1.0" encoding="utf-8"?>
<sst xmlns="http://schemas.openxmlformats.org/spreadsheetml/2006/main" count="4800" uniqueCount="1931">
  <si>
    <t>Remarks:</t>
  </si>
  <si>
    <t>YEAR</t>
  </si>
  <si>
    <t>NAME</t>
  </si>
  <si>
    <t>BSC CHEMISTRY  , ST THOMAS COLLEGE  (AUTONOMOUS) THRISSUR</t>
  </si>
  <si>
    <t>SLNO.</t>
  </si>
  <si>
    <t>CHEMICAL NO:</t>
  </si>
  <si>
    <t>GM</t>
  </si>
  <si>
    <t>GMS</t>
  </si>
  <si>
    <t>ALUMINIUM ACETATE</t>
  </si>
  <si>
    <t>ALUMINIUM ACETATE BASIC</t>
  </si>
  <si>
    <t>ALUMINIUM ARSENATE</t>
  </si>
  <si>
    <t>ALUMINIUM BORATE</t>
  </si>
  <si>
    <t>ALUMINIUM BROMIDE</t>
  </si>
  <si>
    <t>ALUMINIUM CHLORIDE</t>
  </si>
  <si>
    <t>ALUMINIUM FLUORIDE</t>
  </si>
  <si>
    <t>ALUMINIUM NITRATE</t>
  </si>
  <si>
    <t>ALUMINIUM NITRATE AR</t>
  </si>
  <si>
    <t>ALUMINIUM OXALATE</t>
  </si>
  <si>
    <t>ALUMINIUM OXIDE</t>
  </si>
  <si>
    <t>ALUMINIUM PHOSPHATE</t>
  </si>
  <si>
    <t>ALUMINIUM ISOPROPOXIDE</t>
  </si>
  <si>
    <t>ALUMINIUM  SILICATE</t>
  </si>
  <si>
    <t>ALUMINIUM SULPHATE</t>
  </si>
  <si>
    <t>AMMONIUM ACETATE</t>
  </si>
  <si>
    <t>AMMONIUM ARSENATE</t>
  </si>
  <si>
    <t>AMMONIUM BORATE</t>
  </si>
  <si>
    <t>AMMONIUM BROMIDE</t>
  </si>
  <si>
    <t>AMMONIUM CARBONATE</t>
  </si>
  <si>
    <t>AMMONIUM CHLORIDE</t>
  </si>
  <si>
    <t>AMMONIUM CHLORIDE AR</t>
  </si>
  <si>
    <t>AMMONIUM CHROMATE</t>
  </si>
  <si>
    <t>AMMONIUM CITRATE</t>
  </si>
  <si>
    <t>AMMONIUM DICHROMATE</t>
  </si>
  <si>
    <t>AMMONIUM FLUORIDE</t>
  </si>
  <si>
    <t>AMMONIUM HYDROXIDE SOLUTION</t>
  </si>
  <si>
    <t>AMMONIUM IODIDE</t>
  </si>
  <si>
    <t>AMMONIUM MOLYBDATE</t>
  </si>
  <si>
    <t>AMMONIUM NITRATE</t>
  </si>
  <si>
    <t>AMMONIUM NITRATE AR</t>
  </si>
  <si>
    <t>AMMONIUM DIHYDROGEN ORTHO PHOSPH</t>
  </si>
  <si>
    <t>AMMONIUM DIHYDROGEN ORTHO PHOSPHAT</t>
  </si>
  <si>
    <t>DI AMMO HYDROGEN ORTHO PHOSPHA</t>
  </si>
  <si>
    <t>DI AMMONIUM OXALATE</t>
  </si>
  <si>
    <t>AMMONIUM OXALATE</t>
  </si>
  <si>
    <t>AMMONIUM PERSULPHATE</t>
  </si>
  <si>
    <t>AMMONIUM PHOSPHATE DI BAS</t>
  </si>
  <si>
    <t>AMMONIUM SULPHATE</t>
  </si>
  <si>
    <t>AMMONIUM SULPHATE AR</t>
  </si>
  <si>
    <t>AMMONIUM SULPHIDE SOLUTION</t>
  </si>
  <si>
    <t>AMMONIUM THIO CYANIDE AR</t>
  </si>
  <si>
    <t>ANTIMONY OXIDE</t>
  </si>
  <si>
    <t>ANTIMONY PENTOXIDE</t>
  </si>
  <si>
    <t>ANTIMONY BYCHLORIDE</t>
  </si>
  <si>
    <t>ANTIMONY POTASSIUM TARTARATE</t>
  </si>
  <si>
    <t>AMMONIUM ARSENITE</t>
  </si>
  <si>
    <t>ANTIMONY SULPHIDE BLACK</t>
  </si>
  <si>
    <t>ANTIMONY SULPHIDE GOLD</t>
  </si>
  <si>
    <t>ALUMINIUM SULPHATE AR</t>
  </si>
  <si>
    <t>ALUMINIUM AMMONIUM SULPHATE</t>
  </si>
  <si>
    <t>ANTIMONY</t>
  </si>
  <si>
    <t>ARSENIO TRI IODIDE</t>
  </si>
  <si>
    <t>ARSENIOUS OXIDE</t>
  </si>
  <si>
    <t>ARSENIC PENTOXIDE</t>
  </si>
  <si>
    <t>ARSENIC SULPHATE RED POWDER</t>
  </si>
  <si>
    <t>ASBESTOS</t>
  </si>
  <si>
    <t>BARIUM ACETATE</t>
  </si>
  <si>
    <t>BARIUM ARSENATE</t>
  </si>
  <si>
    <t>BARIUM ARSENITE</t>
  </si>
  <si>
    <t>BARIUM BORATE</t>
  </si>
  <si>
    <t>BARIUM BROMIDE</t>
  </si>
  <si>
    <t>BARIUM CARBONATE</t>
  </si>
  <si>
    <t>BARIUM CHLORATE</t>
  </si>
  <si>
    <t>BARIUM CHLORIDE</t>
  </si>
  <si>
    <t>BARIUM CHLORIDE AR</t>
  </si>
  <si>
    <t>BARIUM CHROMATE</t>
  </si>
  <si>
    <t>BARIUM FLUORIDE</t>
  </si>
  <si>
    <t>BARIUM FORMATE</t>
  </si>
  <si>
    <t>BARIUM HYDROXIDE</t>
  </si>
  <si>
    <t>BARIUM IODIDE</t>
  </si>
  <si>
    <t>BARIUM NITRATE</t>
  </si>
  <si>
    <t>BARIUM OXALATE</t>
  </si>
  <si>
    <t>BARIUM OXIDE</t>
  </si>
  <si>
    <t>BARIUM PEROXIDE</t>
  </si>
  <si>
    <t>BARIUM PHOSPHATE</t>
  </si>
  <si>
    <t>BARIUM SULPHATE</t>
  </si>
  <si>
    <t>BARIUM SULPHIDE</t>
  </si>
  <si>
    <t>BARIUM SULPHITE</t>
  </si>
  <si>
    <t>BARIUM THIOSULPHATE</t>
  </si>
  <si>
    <t>BARIUM TARTARATE</t>
  </si>
  <si>
    <t>BISMUTH ACETATE</t>
  </si>
  <si>
    <t>BISMUTH ARSENATE</t>
  </si>
  <si>
    <t>BISMUTH ARSENITE</t>
  </si>
  <si>
    <t>BISMUTH CARBONATE</t>
  </si>
  <si>
    <t>BISMUTH BORATE</t>
  </si>
  <si>
    <t>BISMUTH NITRATE</t>
  </si>
  <si>
    <t>BISMUTH OXALATE</t>
  </si>
  <si>
    <t>BISMUTH OXIDE</t>
  </si>
  <si>
    <t>BIMUTH OXYCHLORIDE</t>
  </si>
  <si>
    <t>BISMUTH PHOSPHATE</t>
  </si>
  <si>
    <t>BISMUTH SULPHATE</t>
  </si>
  <si>
    <t>BISMUTH SULPHIDE</t>
  </si>
  <si>
    <t>BISMUTH TARTARATE</t>
  </si>
  <si>
    <t>BISMUTH SOD.TARTARATE</t>
  </si>
  <si>
    <t>BISMUTH TRICHLORIDE</t>
  </si>
  <si>
    <t>BLEACHING POWDER</t>
  </si>
  <si>
    <t xml:space="preserve">BORAX </t>
  </si>
  <si>
    <t>BORAX AR</t>
  </si>
  <si>
    <t>BORIC ACID</t>
  </si>
  <si>
    <t>BORON AMORPHOUS</t>
  </si>
  <si>
    <t>CADMIUM ACETATE</t>
  </si>
  <si>
    <t>CADMIUM ARSENATE</t>
  </si>
  <si>
    <t>CADMIUM ARSENITE</t>
  </si>
  <si>
    <t>CADMIUM BORATE</t>
  </si>
  <si>
    <t>CADMIUM CARBONATE</t>
  </si>
  <si>
    <t>CADMIUM CHLORIDE</t>
  </si>
  <si>
    <t>CADMIUM CHROMATE</t>
  </si>
  <si>
    <t>CADMIUM IODIDE</t>
  </si>
  <si>
    <t>CADMIUM NITRATE</t>
  </si>
  <si>
    <t>CADMIUM OXALATE</t>
  </si>
  <si>
    <t>CADMIUM OXIDE</t>
  </si>
  <si>
    <t>CADMIUM PHOSPHATE</t>
  </si>
  <si>
    <t>CADMIUM SULPHATE</t>
  </si>
  <si>
    <t>CADMIUM SULPHIDE</t>
  </si>
  <si>
    <t>CADMIUM THIOSULPHATE</t>
  </si>
  <si>
    <t>CALCIUM ACETATE</t>
  </si>
  <si>
    <t>CALCIUM ARSENATE</t>
  </si>
  <si>
    <t>CALCIUM ARSENITE</t>
  </si>
  <si>
    <t>CALCIUM BORATE</t>
  </si>
  <si>
    <t>CALCIUM BROMIDE</t>
  </si>
  <si>
    <t>CALCIUM CARBONATE</t>
  </si>
  <si>
    <t>CALCIUM CARBONATE AR</t>
  </si>
  <si>
    <t>CALCIUM CHORIDE</t>
  </si>
  <si>
    <t>CALCIUM CHLORIDE AR</t>
  </si>
  <si>
    <t>CALCIUM CHROMATE</t>
  </si>
  <si>
    <t>CALCIUM FLUORIDE</t>
  </si>
  <si>
    <t>CALCIUM FORMATE</t>
  </si>
  <si>
    <t>CALCIUM IODIDE</t>
  </si>
  <si>
    <t>CALCIUM NITRATE</t>
  </si>
  <si>
    <t>CALCIUM OXALATE</t>
  </si>
  <si>
    <t>CALCIUM OXIDE</t>
  </si>
  <si>
    <t>CALCIUM PHOSPHATE</t>
  </si>
  <si>
    <t>CALCIUM PHOSPHATE DIBASIC</t>
  </si>
  <si>
    <t>CALCIUM SULPHATE(PLASTER OF PARIS)</t>
  </si>
  <si>
    <t>GYPSUM(CALCIUM SULPHATE)</t>
  </si>
  <si>
    <t>CALCIUM SULPHATE AR</t>
  </si>
  <si>
    <t>CALCIUM SULPHIDE</t>
  </si>
  <si>
    <t>CALCIUM SULPHITE</t>
  </si>
  <si>
    <t>CALCIUM TARTARATE</t>
  </si>
  <si>
    <t>CALCITE</t>
  </si>
  <si>
    <t>CHROMIUM ACETATE</t>
  </si>
  <si>
    <t>CHROMIUM CHLORIDE</t>
  </si>
  <si>
    <t>CHROMIC ACID</t>
  </si>
  <si>
    <t>CHROME ALUM</t>
  </si>
  <si>
    <t>CHROMIUM IRON STONE</t>
  </si>
  <si>
    <t>CHROMIUM NITRATE AR</t>
  </si>
  <si>
    <t>CHROMIUM NITRATE</t>
  </si>
  <si>
    <t>CHROMIUM OXALATE</t>
  </si>
  <si>
    <t>CHROMIUM OXIDE GREEN</t>
  </si>
  <si>
    <t>CHROMIUM PHOSPHATE</t>
  </si>
  <si>
    <t>CHROMIUM SULPHATE</t>
  </si>
  <si>
    <t>COBALT ACETATE</t>
  </si>
  <si>
    <t>COBALT ARSENATE</t>
  </si>
  <si>
    <t>COBALT ARSENITE</t>
  </si>
  <si>
    <t>COBALT BORATE</t>
  </si>
  <si>
    <t>COBALT CARBONATE</t>
  </si>
  <si>
    <t>COBALT CHLORIDE</t>
  </si>
  <si>
    <t>COBALT CHROMATE</t>
  </si>
  <si>
    <t>COBALT NITRATE</t>
  </si>
  <si>
    <t>COBALT OXALATE</t>
  </si>
  <si>
    <t>COBALT OXIDE</t>
  </si>
  <si>
    <t>COBALT PHOSPHATE</t>
  </si>
  <si>
    <t>COBALT SULPHATE</t>
  </si>
  <si>
    <t>COBALT SILICATE</t>
  </si>
  <si>
    <t>COPPER ACETATE</t>
  </si>
  <si>
    <t>COPPER ;;</t>
  </si>
  <si>
    <t>COPPER ARSENATE</t>
  </si>
  <si>
    <t>COPPER ARSENITE</t>
  </si>
  <si>
    <t>COPPER BORATE</t>
  </si>
  <si>
    <t>COPPER BROMIDE(ICE)</t>
  </si>
  <si>
    <t>COPPER BROMIDE(OUS)</t>
  </si>
  <si>
    <t>COPPER CHLORIDE</t>
  </si>
  <si>
    <t>COPPER CARBONATE</t>
  </si>
  <si>
    <t>COPPER CHROMATE</t>
  </si>
  <si>
    <t>COPPER FLUORIDE</t>
  </si>
  <si>
    <t>COPPER IODIDE</t>
  </si>
  <si>
    <t>COPPER METAL FOIL AR</t>
  </si>
  <si>
    <t>COPPER NITRATE</t>
  </si>
  <si>
    <t>COPPER OXALATE</t>
  </si>
  <si>
    <t>COPPER OXIDE</t>
  </si>
  <si>
    <t>COPPER OXIDE( )</t>
  </si>
  <si>
    <t xml:space="preserve">COPPER PHOSPHATE </t>
  </si>
  <si>
    <t>COPPER SULPHATE</t>
  </si>
  <si>
    <t>COPPER SULPHITE</t>
  </si>
  <si>
    <t>COPPER AMMONIUM SULPHATE</t>
  </si>
  <si>
    <t>COPPER SULPHIDE</t>
  </si>
  <si>
    <t>COPPER TARTARATE</t>
  </si>
  <si>
    <t>COPPER TURNINGS</t>
  </si>
  <si>
    <t>DOLAMITE</t>
  </si>
  <si>
    <t>ELECTROLYTIC COPPER POWDER</t>
  </si>
  <si>
    <t>FERRIC ACETATE</t>
  </si>
  <si>
    <t>FERRIC ACETATE BASIC</t>
  </si>
  <si>
    <t>FERRIC ARSENATE</t>
  </si>
  <si>
    <t>FERRIC ARSENITE</t>
  </si>
  <si>
    <t>FERRIC BORATE</t>
  </si>
  <si>
    <t>FERRIC CHLORIDE</t>
  </si>
  <si>
    <t>FERRIC AMMONIUM CITRATE</t>
  </si>
  <si>
    <t>FERRIC NITRATE</t>
  </si>
  <si>
    <t>FERRIC OXALATE</t>
  </si>
  <si>
    <t>FERRIC AMMONIUM OXALTE</t>
  </si>
  <si>
    <t>FERRIC AMMONIUM OXIDE</t>
  </si>
  <si>
    <t>FERRIC OXIDE RED</t>
  </si>
  <si>
    <t>FERRIUM AMMONIUM  OXIDE RED</t>
  </si>
  <si>
    <t>FERRIC PHOSPHATE</t>
  </si>
  <si>
    <t>FERRIC SULPHATE</t>
  </si>
  <si>
    <t>FERRIC AMMONIUM SULPHATE</t>
  </si>
  <si>
    <t>FERRIC AMMONIUM SULPHATE AR</t>
  </si>
  <si>
    <t>FERROUS OXALTE</t>
  </si>
  <si>
    <t>FERROUS SULPHIDE STICKS</t>
  </si>
  <si>
    <t>FERROUS SULPHATE</t>
  </si>
  <si>
    <t>FERROUS SULPHATE HEPTAHYDRATE</t>
  </si>
  <si>
    <t>FERROUS AMMONIUM SULPHATE AR</t>
  </si>
  <si>
    <t>FULLERS EARTH POWDER</t>
  </si>
  <si>
    <t>FUSION MIXTURE</t>
  </si>
  <si>
    <t>GALENA</t>
  </si>
  <si>
    <t>GLASS WOOL</t>
  </si>
  <si>
    <t>GRAPHITE</t>
  </si>
  <si>
    <t>RS</t>
  </si>
  <si>
    <t>NOS</t>
  </si>
  <si>
    <t>CHEMICAL NO #</t>
  </si>
  <si>
    <t>GMS/ LTRS</t>
  </si>
  <si>
    <t>TOTAL GM</t>
  </si>
  <si>
    <t xml:space="preserve">TOTAL AMOUNT </t>
  </si>
  <si>
    <t>TOTAL KG</t>
  </si>
  <si>
    <t>AMOUNT/GM/LTS</t>
  </si>
  <si>
    <t>RS/GM,LTS</t>
  </si>
  <si>
    <t xml:space="preserve"> Summary</t>
  </si>
  <si>
    <t>IN CHEM 01</t>
  </si>
  <si>
    <t>IN CHEM 03</t>
  </si>
  <si>
    <t>IN CHEM 04</t>
  </si>
  <si>
    <t>IN CHEM 05</t>
  </si>
  <si>
    <t>IN CHEM 06</t>
  </si>
  <si>
    <t>IN CHEM 07</t>
  </si>
  <si>
    <t>IN CHEM 08</t>
  </si>
  <si>
    <t>IN CHEM 10</t>
  </si>
  <si>
    <t>IN CHEM 11</t>
  </si>
  <si>
    <t>IN CHEM 12</t>
  </si>
  <si>
    <t>IN CHEM 14</t>
  </si>
  <si>
    <t>IN CHEM 15</t>
  </si>
  <si>
    <t>IN CHEM 16</t>
  </si>
  <si>
    <t>IN CHEM 17</t>
  </si>
  <si>
    <t>IN CHEM 18</t>
  </si>
  <si>
    <t>IN CHEM 19</t>
  </si>
  <si>
    <t>IN CHEM 20</t>
  </si>
  <si>
    <t>IN CHEM 21</t>
  </si>
  <si>
    <t>IN CHEM 22</t>
  </si>
  <si>
    <t>IN CHEM 23</t>
  </si>
  <si>
    <t>IN CHEM 24</t>
  </si>
  <si>
    <t>IN CHEM 25</t>
  </si>
  <si>
    <t>IN CHEM 26</t>
  </si>
  <si>
    <t>IN CHEM 27</t>
  </si>
  <si>
    <t>IN CHEM 28</t>
  </si>
  <si>
    <t>IN CHEM 29</t>
  </si>
  <si>
    <t>IN CHEM 30</t>
  </si>
  <si>
    <t>IN CHEM 31</t>
  </si>
  <si>
    <t>IN CHEM 32</t>
  </si>
  <si>
    <t>IN CHEM 33</t>
  </si>
  <si>
    <t>IN CHEM 34</t>
  </si>
  <si>
    <t>IN CHEM 35</t>
  </si>
  <si>
    <t>IN CHEM 36</t>
  </si>
  <si>
    <t>IN CHEM 37</t>
  </si>
  <si>
    <t>IN CHEM 38</t>
  </si>
  <si>
    <t>IN CHEM 39</t>
  </si>
  <si>
    <t>IN CHEM 40</t>
  </si>
  <si>
    <t>IN CHEM 41</t>
  </si>
  <si>
    <t>IN CHEM 42</t>
  </si>
  <si>
    <t>IN CHEM 43</t>
  </si>
  <si>
    <t>IN CHEM 44</t>
  </si>
  <si>
    <t>IN CHEM 45</t>
  </si>
  <si>
    <t>IN CHEM 46</t>
  </si>
  <si>
    <t>IN CHEM 47</t>
  </si>
  <si>
    <t>IN CHEM 48</t>
  </si>
  <si>
    <t>IN CHEM 49</t>
  </si>
  <si>
    <t>IN CHEM 50</t>
  </si>
  <si>
    <t>IN CHEM 51</t>
  </si>
  <si>
    <t>IN CHEM 52</t>
  </si>
  <si>
    <t>IN CHEM 53</t>
  </si>
  <si>
    <t>IN CHEM 54</t>
  </si>
  <si>
    <t>IN CHEM 55</t>
  </si>
  <si>
    <t>IN CHEM 56</t>
  </si>
  <si>
    <t>IN CHEM 57</t>
  </si>
  <si>
    <t>IN CHEM 58</t>
  </si>
  <si>
    <t>IN CHEM 59</t>
  </si>
  <si>
    <t>IN CHEM 60</t>
  </si>
  <si>
    <t>IN CHEM 61</t>
  </si>
  <si>
    <t>IN CHEM 62</t>
  </si>
  <si>
    <t>IN CHEM 63</t>
  </si>
  <si>
    <t>IN CHEM 64</t>
  </si>
  <si>
    <t>IN CHEM 65</t>
  </si>
  <si>
    <t>IN CHEM 66</t>
  </si>
  <si>
    <t>IN CHEM 67</t>
  </si>
  <si>
    <t>IN CHEM 68</t>
  </si>
  <si>
    <t>IN CHEM 69</t>
  </si>
  <si>
    <t>IN CHEM 70</t>
  </si>
  <si>
    <t>IN CHEM 71</t>
  </si>
  <si>
    <t>IN CHEM 72</t>
  </si>
  <si>
    <t>IN CHEM 73</t>
  </si>
  <si>
    <t>IN CHEM 74</t>
  </si>
  <si>
    <t>IN CHEM 75</t>
  </si>
  <si>
    <t>IN CHEM 76</t>
  </si>
  <si>
    <t>IN CHEM 77</t>
  </si>
  <si>
    <t>IN CHEM 78</t>
  </si>
  <si>
    <t>IN CHEM 79</t>
  </si>
  <si>
    <t>IN CHEM 80</t>
  </si>
  <si>
    <t>IN CHEM 81</t>
  </si>
  <si>
    <t>IN CHEM 82</t>
  </si>
  <si>
    <t>IN CHEM 83</t>
  </si>
  <si>
    <t>IN CHEM 84</t>
  </si>
  <si>
    <t>IN CHEM 85</t>
  </si>
  <si>
    <t>IN CHEM 86</t>
  </si>
  <si>
    <t>IN CHEM 87</t>
  </si>
  <si>
    <t>IN CHEM 88</t>
  </si>
  <si>
    <t>IN CHEM 89</t>
  </si>
  <si>
    <t>IN CHEM 90</t>
  </si>
  <si>
    <t>IN CHEM 91</t>
  </si>
  <si>
    <t>IN CHEM 92</t>
  </si>
  <si>
    <t>IN CHEM 93</t>
  </si>
  <si>
    <t>IN CHEM 94</t>
  </si>
  <si>
    <t>IN CHEM 95</t>
  </si>
  <si>
    <t>IN CHEM 96</t>
  </si>
  <si>
    <t>IN CHEM 97</t>
  </si>
  <si>
    <t>IN CHEM 98</t>
  </si>
  <si>
    <t>IN CHEM 99</t>
  </si>
  <si>
    <t>IN CHEM 100</t>
  </si>
  <si>
    <t>IN CHEM 101</t>
  </si>
  <si>
    <t>IN CHEM 102</t>
  </si>
  <si>
    <t>IN CHEM 103</t>
  </si>
  <si>
    <t>IN CHEM 104</t>
  </si>
  <si>
    <t>IN CHEM 105</t>
  </si>
  <si>
    <t>IN CHEM 106</t>
  </si>
  <si>
    <t>IN CHEM 107</t>
  </si>
  <si>
    <t>IN CHEM 108</t>
  </si>
  <si>
    <t>IN CHEM 109</t>
  </si>
  <si>
    <t>IN CHEM 110</t>
  </si>
  <si>
    <t>IN CHEM 111</t>
  </si>
  <si>
    <t>IN CHEM 112</t>
  </si>
  <si>
    <t>IN CHEM 113</t>
  </si>
  <si>
    <t>IN CHEM 114</t>
  </si>
  <si>
    <t>IN CHEM 115</t>
  </si>
  <si>
    <t>IN CHEM 116</t>
  </si>
  <si>
    <t>IN CHEM 117</t>
  </si>
  <si>
    <t>IN CHEM 118</t>
  </si>
  <si>
    <t>IN CHEM 119</t>
  </si>
  <si>
    <t>IN CHEM 120</t>
  </si>
  <si>
    <t>IN CHEM 121</t>
  </si>
  <si>
    <t>IN CHEM 122</t>
  </si>
  <si>
    <t>IN CHEM 123</t>
  </si>
  <si>
    <t>IN CHEM 124</t>
  </si>
  <si>
    <t>IN CHEM 125</t>
  </si>
  <si>
    <t>IN CHEM 126</t>
  </si>
  <si>
    <t>IN CHEM 127</t>
  </si>
  <si>
    <t>IN CHEM 128</t>
  </si>
  <si>
    <t>IN CHEM 129</t>
  </si>
  <si>
    <t>IN CHEM 130</t>
  </si>
  <si>
    <t>IN CHEM 131</t>
  </si>
  <si>
    <t>IN CHEM 132</t>
  </si>
  <si>
    <t>IN CHEM 133</t>
  </si>
  <si>
    <t>IN CHEM 134</t>
  </si>
  <si>
    <t>IN CHEM 135</t>
  </si>
  <si>
    <t>IN CHEM 136</t>
  </si>
  <si>
    <t>IN CHEM 137</t>
  </si>
  <si>
    <t>IN CHEM 138</t>
  </si>
  <si>
    <t>IN CHEM 139</t>
  </si>
  <si>
    <t>IN CHEM 140</t>
  </si>
  <si>
    <t>IN CHEM 141</t>
  </si>
  <si>
    <t>IN CHEM 142</t>
  </si>
  <si>
    <t>IN CHEM 143</t>
  </si>
  <si>
    <t>IN CHEM 144</t>
  </si>
  <si>
    <t>IN CHEM 145</t>
  </si>
  <si>
    <t>IN CHEM 146</t>
  </si>
  <si>
    <t>IN CHEM 147</t>
  </si>
  <si>
    <t>IN CHEM 148</t>
  </si>
  <si>
    <t>IN CHEM 149</t>
  </si>
  <si>
    <t>IN CHEM 150</t>
  </si>
  <si>
    <t>IN CHEM 151</t>
  </si>
  <si>
    <t>IN CHEM 152</t>
  </si>
  <si>
    <t>IN CHEM 153</t>
  </si>
  <si>
    <t>IN CHEM 154</t>
  </si>
  <si>
    <t>IN CHEM 155</t>
  </si>
  <si>
    <t>IN CHEM 156</t>
  </si>
  <si>
    <t>IN CHEM 157</t>
  </si>
  <si>
    <t>IN CHEM 158</t>
  </si>
  <si>
    <t>IN CHEM 159</t>
  </si>
  <si>
    <t>IN CHEM 160</t>
  </si>
  <si>
    <t>IN CHEM 161</t>
  </si>
  <si>
    <t>IN CHEM 162</t>
  </si>
  <si>
    <t>IN CHEM 163</t>
  </si>
  <si>
    <t>IN CHEM 164</t>
  </si>
  <si>
    <t>IN CHEM 165</t>
  </si>
  <si>
    <t>IN CHEM 166</t>
  </si>
  <si>
    <t>IN CHEM 167</t>
  </si>
  <si>
    <t>IN CHEM 168</t>
  </si>
  <si>
    <t>IN CHEM 169</t>
  </si>
  <si>
    <t>IN CHEM 170</t>
  </si>
  <si>
    <t>IN CHEM 171</t>
  </si>
  <si>
    <t>IN CHEM 172</t>
  </si>
  <si>
    <t>IN CHEM 173</t>
  </si>
  <si>
    <t>IN CHEM 174</t>
  </si>
  <si>
    <t>IN CHEM 175</t>
  </si>
  <si>
    <t>IN CHEM 176</t>
  </si>
  <si>
    <t>IN CHEM 177</t>
  </si>
  <si>
    <t>IN CHEM 178</t>
  </si>
  <si>
    <t>IN CHEM 179</t>
  </si>
  <si>
    <t>IN CHEM 180</t>
  </si>
  <si>
    <t>IN CHEM 181</t>
  </si>
  <si>
    <t>IN CHEM 182</t>
  </si>
  <si>
    <t>IN CHEM 183</t>
  </si>
  <si>
    <t>IN CHEM 184</t>
  </si>
  <si>
    <t>IN CHEM 185</t>
  </si>
  <si>
    <t>IN CHEM 186</t>
  </si>
  <si>
    <t>IN CHEM 187</t>
  </si>
  <si>
    <t>IN CHEM 188</t>
  </si>
  <si>
    <t>IN CHEM 189</t>
  </si>
  <si>
    <t>IN CHEM 190</t>
  </si>
  <si>
    <t>IN CHEM 191</t>
  </si>
  <si>
    <t>IN CHEM 192</t>
  </si>
  <si>
    <t>IN CHEM 193</t>
  </si>
  <si>
    <t>IN CHEM 194</t>
  </si>
  <si>
    <t>IN CHEM 195</t>
  </si>
  <si>
    <t>IN CHEM 196</t>
  </si>
  <si>
    <t>IN CHEM 197</t>
  </si>
  <si>
    <t>IN CHEM 198</t>
  </si>
  <si>
    <t>IN CHEM 199</t>
  </si>
  <si>
    <t>IN CHEM 200</t>
  </si>
  <si>
    <t>IN CHEM 201</t>
  </si>
  <si>
    <t>IN CHEM 202</t>
  </si>
  <si>
    <t>IN CHEM 203</t>
  </si>
  <si>
    <t>IN CHEM 204</t>
  </si>
  <si>
    <t>IN CHEM 205</t>
  </si>
  <si>
    <t>IN CHEM 206</t>
  </si>
  <si>
    <t>IN CHEM 207</t>
  </si>
  <si>
    <t>IN CHEM 208</t>
  </si>
  <si>
    <t>IN CHEM 209</t>
  </si>
  <si>
    <t>IN CHEM 210</t>
  </si>
  <si>
    <t>IN CHEM 211</t>
  </si>
  <si>
    <t>IN CHEM 212</t>
  </si>
  <si>
    <t>IN CHEM 213</t>
  </si>
  <si>
    <t>IN CHEM 214</t>
  </si>
  <si>
    <t>IN CHEM 215</t>
  </si>
  <si>
    <t>IN CHEM 216</t>
  </si>
  <si>
    <t>IN CHEM 217</t>
  </si>
  <si>
    <t>IN CHEM 218</t>
  </si>
  <si>
    <t>IN CHEM 219</t>
  </si>
  <si>
    <t>IN CHEM 220</t>
  </si>
  <si>
    <t>IN CHEM 221</t>
  </si>
  <si>
    <t>IN CHEM 222</t>
  </si>
  <si>
    <t>IN CHEM 223</t>
  </si>
  <si>
    <t>IN CHEM 224</t>
  </si>
  <si>
    <t>IN CHEM 225</t>
  </si>
  <si>
    <t>IN CHEM 226</t>
  </si>
  <si>
    <t>IN CHEM 227</t>
  </si>
  <si>
    <t>IN CHEM 228</t>
  </si>
  <si>
    <t>IN CHEM 229</t>
  </si>
  <si>
    <t>IN CHEM 230</t>
  </si>
  <si>
    <t>IN CHEM 231</t>
  </si>
  <si>
    <t>IN CHEM 232</t>
  </si>
  <si>
    <t>IN CHEM 233</t>
  </si>
  <si>
    <t>IN CHEM 234</t>
  </si>
  <si>
    <t>IN CHEM 235</t>
  </si>
  <si>
    <t>IN CHEM 236</t>
  </si>
  <si>
    <t>IN CHEM 237</t>
  </si>
  <si>
    <t>IN CHEM 238</t>
  </si>
  <si>
    <t>IN CHEM 239</t>
  </si>
  <si>
    <t>IN CHEM 240</t>
  </si>
  <si>
    <t>IN CHEM 241</t>
  </si>
  <si>
    <t>IN CHEM 242</t>
  </si>
  <si>
    <t>IN CHEM 243</t>
  </si>
  <si>
    <t>IN CHEM 244</t>
  </si>
  <si>
    <t>IN CHEM 245</t>
  </si>
  <si>
    <t>IN CHEM 246</t>
  </si>
  <si>
    <t>IN CHEM 247</t>
  </si>
  <si>
    <t>IN CHEM 248</t>
  </si>
  <si>
    <t>IN CHEM 249</t>
  </si>
  <si>
    <t>IN CHEM 250</t>
  </si>
  <si>
    <t>IN CHEM 251</t>
  </si>
  <si>
    <t>IN CHEM 252</t>
  </si>
  <si>
    <t>IN CHEM 253</t>
  </si>
  <si>
    <t>IN CHEM 254</t>
  </si>
  <si>
    <t>IN CHEM 255</t>
  </si>
  <si>
    <t>IN CHEM 256</t>
  </si>
  <si>
    <t>IN CHEM 257</t>
  </si>
  <si>
    <t>IN CHEM 258</t>
  </si>
  <si>
    <t>IN CHEM 259</t>
  </si>
  <si>
    <t>IN CHEM 260</t>
  </si>
  <si>
    <t>IN CHEM 261</t>
  </si>
  <si>
    <t>IN CHEM 262</t>
  </si>
  <si>
    <t>IN CHEM 263</t>
  </si>
  <si>
    <t>IN CHEM 264</t>
  </si>
  <si>
    <t>IN CHEM 265</t>
  </si>
  <si>
    <t>IN CHEM 266</t>
  </si>
  <si>
    <t>IN CHEM 267</t>
  </si>
  <si>
    <t>IN CHEM 268</t>
  </si>
  <si>
    <t>IN CHEM 269</t>
  </si>
  <si>
    <t>IN CHEM 270</t>
  </si>
  <si>
    <t>IN CHEM 271</t>
  </si>
  <si>
    <t>IN CHEM 272</t>
  </si>
  <si>
    <t>IN CHEM 273</t>
  </si>
  <si>
    <t>IN CHEM 274</t>
  </si>
  <si>
    <t>IN CHEM 275</t>
  </si>
  <si>
    <t>IN CHEM 276</t>
  </si>
  <si>
    <t>IN CHEM 277</t>
  </si>
  <si>
    <t>IN CHEM 278</t>
  </si>
  <si>
    <t>IN CHEM 279</t>
  </si>
  <si>
    <t>IN CHEM 280</t>
  </si>
  <si>
    <t>IN CHEM 281</t>
  </si>
  <si>
    <t>IN CHEM 282</t>
  </si>
  <si>
    <t>IN CHEM 283</t>
  </si>
  <si>
    <t>IN CHEM 284</t>
  </si>
  <si>
    <t>IN CHEM 285</t>
  </si>
  <si>
    <t>IN CHEM 286</t>
  </si>
  <si>
    <t>IN CHEM 287</t>
  </si>
  <si>
    <t>IN CHEM 288</t>
  </si>
  <si>
    <t>IN CHEM 289</t>
  </si>
  <si>
    <t>IN CHEM 290</t>
  </si>
  <si>
    <t>IN CHEM 291</t>
  </si>
  <si>
    <t>IN CHEM 292</t>
  </si>
  <si>
    <t>IN CHEM 293</t>
  </si>
  <si>
    <t>IN CHEM 294</t>
  </si>
  <si>
    <t>IN CHEM 295</t>
  </si>
  <si>
    <t>IN CHEM 296</t>
  </si>
  <si>
    <t>IN CHEM 297</t>
  </si>
  <si>
    <t>IN CHEM 298</t>
  </si>
  <si>
    <t>IN CHEM 299</t>
  </si>
  <si>
    <t>IN CHEM 300</t>
  </si>
  <si>
    <t>IN CHEM 301</t>
  </si>
  <si>
    <t>IN CHEM 302</t>
  </si>
  <si>
    <t>IN CHEM 303</t>
  </si>
  <si>
    <t>IN CHEM 304</t>
  </si>
  <si>
    <t>IN CHEM 305</t>
  </si>
  <si>
    <t>IN CHEM 306</t>
  </si>
  <si>
    <t>IN CHEM 307</t>
  </si>
  <si>
    <t>IN CHEM 308</t>
  </si>
  <si>
    <t>IN CHEM 309</t>
  </si>
  <si>
    <t>HYDROBROMIC ACID</t>
  </si>
  <si>
    <t>HYDROCHLORIC ACID</t>
  </si>
  <si>
    <t>HYDROFLOURIDE</t>
  </si>
  <si>
    <t>HYDROIODIC ACID</t>
  </si>
  <si>
    <t xml:space="preserve">HYDROGEN PEROXIDE </t>
  </si>
  <si>
    <t>IODINE</t>
  </si>
  <si>
    <t>IODIC ACID</t>
  </si>
  <si>
    <t>IODINE MONOCHLORIDE</t>
  </si>
  <si>
    <t>IODINE TRICHLORIDE</t>
  </si>
  <si>
    <t>KAOLINE LEVIS(COLLOIDAL)</t>
  </si>
  <si>
    <t>KIESALGHUR</t>
  </si>
  <si>
    <t>LEAD BLACK</t>
  </si>
  <si>
    <t>LEAD ACETATE</t>
  </si>
  <si>
    <t>LEAD ACETATE AR</t>
  </si>
  <si>
    <t>LEAD ARSENATE</t>
  </si>
  <si>
    <t>LEAD ARSENITE</t>
  </si>
  <si>
    <t>LEAD BORATE</t>
  </si>
  <si>
    <t>LEAD BROMIDE</t>
  </si>
  <si>
    <t>LEAD CARBONATE</t>
  </si>
  <si>
    <t>LEAD CHLORIDE</t>
  </si>
  <si>
    <t>LEAD CHROMATE</t>
  </si>
  <si>
    <t>LEAD NITRATE</t>
  </si>
  <si>
    <t>LEAD NITRATE AR</t>
  </si>
  <si>
    <t>LEAD OXALATE</t>
  </si>
  <si>
    <t>LEAD OXIDE</t>
  </si>
  <si>
    <t>LEAD PEROXIDE</t>
  </si>
  <si>
    <t>LEAD PHOSPHATE</t>
  </si>
  <si>
    <t>LEAD SULPHATE</t>
  </si>
  <si>
    <t>LEAD SULPHIDE</t>
  </si>
  <si>
    <t>LEAD STEARATE</t>
  </si>
  <si>
    <t>LEAD TARTARATE</t>
  </si>
  <si>
    <t>LEAD TETROXIDE</t>
  </si>
  <si>
    <t>LEAD THIOSULPHATE</t>
  </si>
  <si>
    <t>MAGNESIUM ACETATE</t>
  </si>
  <si>
    <t>MAGNESIUM ARSENATE</t>
  </si>
  <si>
    <t>MAGNESIUM ARSENITE</t>
  </si>
  <si>
    <t>MAGNESIUM BORATE</t>
  </si>
  <si>
    <t>MAGNISUM BROMIDE</t>
  </si>
  <si>
    <t>MAGNESIUM CARBONATE</t>
  </si>
  <si>
    <t>MAGNESIUM CARBONATE(LIGHT)</t>
  </si>
  <si>
    <t>MAGNESIUM CHLORIDE</t>
  </si>
  <si>
    <t>MAGNESIUM CHLORIDE AR</t>
  </si>
  <si>
    <t>MAGNESIUM AMMONIUM CHLORIDE</t>
  </si>
  <si>
    <t>MAGNESIUM CHROMATE</t>
  </si>
  <si>
    <t>MAGNESIUM FLOURIDE</t>
  </si>
  <si>
    <t>MAGNESIUM NITRATE</t>
  </si>
  <si>
    <t>MAGNESIUM OXALATE</t>
  </si>
  <si>
    <t>MAGNESIUM OXIDE</t>
  </si>
  <si>
    <t>MAGNESIUM PHOSPHATE</t>
  </si>
  <si>
    <t>MAGNESIUM AMMONIUM PHOSPHATE</t>
  </si>
  <si>
    <t>MAGNESIUM SULPHATE</t>
  </si>
  <si>
    <t>MAGNESIUM SULPHATE AR</t>
  </si>
  <si>
    <t>MAGNESIUM SULPHITE</t>
  </si>
  <si>
    <t>MAGNESIUM THIOSULPHATE</t>
  </si>
  <si>
    <t>MAGNESITE</t>
  </si>
  <si>
    <t>MANGANESE ACETATE</t>
  </si>
  <si>
    <t>MANGANESE ARSENATE</t>
  </si>
  <si>
    <t>MANGANESE ARSENITE</t>
  </si>
  <si>
    <t>MANGANESE BORATE</t>
  </si>
  <si>
    <t xml:space="preserve">MANGANESE CARBONATE </t>
  </si>
  <si>
    <t>MANGANESE CHLORIDE</t>
  </si>
  <si>
    <t>MANGANESE CHROMATE</t>
  </si>
  <si>
    <t>MANGANESE DIOXIDE</t>
  </si>
  <si>
    <t>MANGANESE FLOURIDE</t>
  </si>
  <si>
    <t>MANGANESE NITRATE</t>
  </si>
  <si>
    <t>MANGANESE OXALATE</t>
  </si>
  <si>
    <t>MANGANESE PHOSPHATE</t>
  </si>
  <si>
    <t>MANGANESE SULPHATE</t>
  </si>
  <si>
    <t>MANGANESE SULPHIDE</t>
  </si>
  <si>
    <t>MANGANESE TARTARATE</t>
  </si>
  <si>
    <t>MARINE GLUE</t>
  </si>
  <si>
    <t>MERCURIC CARBONATE</t>
  </si>
  <si>
    <t>MERCURIC CHLORIDE</t>
  </si>
  <si>
    <t>MERCURIC CHLORIDE AR</t>
  </si>
  <si>
    <t>MERCURIC CYANIDE</t>
  </si>
  <si>
    <t>MERCURIC IODIDE</t>
  </si>
  <si>
    <t>MERCURIC OXIDE</t>
  </si>
  <si>
    <t>MERCURIC OXIDE YELLOW</t>
  </si>
  <si>
    <t>MERCURIC SULPHATE</t>
  </si>
  <si>
    <t>MERCURIC SULPHATE BLUE</t>
  </si>
  <si>
    <t>MERCURIC SULPHIDE</t>
  </si>
  <si>
    <t>MERCURIC SULPHOCYANIDE</t>
  </si>
  <si>
    <t>MERCURIC ACETATE</t>
  </si>
  <si>
    <t>MERCUROUS CHLORIDDE</t>
  </si>
  <si>
    <t>MERCUROUS NITRATE</t>
  </si>
  <si>
    <t>NICKEL ACETATE</t>
  </si>
  <si>
    <t>NICKEL AMMONIUM SULPHATE</t>
  </si>
  <si>
    <t>NICKEL AMMONIUM SULPHATE AR</t>
  </si>
  <si>
    <t>NICKEL ARSENATE</t>
  </si>
  <si>
    <t>NICKEL ARSENITE</t>
  </si>
  <si>
    <t>NICKEL BORATE</t>
  </si>
  <si>
    <t>NICKEL CARBONATE</t>
  </si>
  <si>
    <t>NICKEL CHLORIDE</t>
  </si>
  <si>
    <t>NICKEL CHROMATE</t>
  </si>
  <si>
    <t>NICKEL NITRATE</t>
  </si>
  <si>
    <t>NICKEL NITRATE AR</t>
  </si>
  <si>
    <t>NICKEL OXALATE</t>
  </si>
  <si>
    <t>NICKEL PHOSPHATE</t>
  </si>
  <si>
    <t>NICKEL SULPHATE</t>
  </si>
  <si>
    <t>NICKEL SULPHIDE</t>
  </si>
  <si>
    <t>NICKEL TARTARATE</t>
  </si>
  <si>
    <t>NITRIC ACID</t>
  </si>
  <si>
    <t>PERCHLORIDE ACID 60%</t>
  </si>
  <si>
    <t>PERIODIC ACID(ORTHO)</t>
  </si>
  <si>
    <t>PHOSPHOROUS (RED) AMORPHOUS</t>
  </si>
  <si>
    <t>PHOSPHOROUS OXY CHLORIDE</t>
  </si>
  <si>
    <t>PHOSPHOROUS CHLORIDE</t>
  </si>
  <si>
    <t>PHOSPHOROUS PENTOXIDE</t>
  </si>
  <si>
    <t>HYPO PHOSPHOROUS ACID</t>
  </si>
  <si>
    <t>META PHOSPHORIC ACID</t>
  </si>
  <si>
    <t>ORTHO PHOSPHORIC ACID</t>
  </si>
  <si>
    <t>ORTHO PHOSPHORIC ACID AR</t>
  </si>
  <si>
    <t>POTASSIUM ACETATE</t>
  </si>
  <si>
    <t>POTASSIUM ALUMINIUM SULPHATE</t>
  </si>
  <si>
    <t>POTASSIUM ALUMINIUM SULPHATE AR</t>
  </si>
  <si>
    <t>POTASSIUM ANTIMONATE</t>
  </si>
  <si>
    <t>POTASSIUM ANTIMONITE</t>
  </si>
  <si>
    <t>POTASSSIUM ARSENATE</t>
  </si>
  <si>
    <t>POTASSIUM ARSENITE</t>
  </si>
  <si>
    <t>POTASSIUM BICARBONATE</t>
  </si>
  <si>
    <t xml:space="preserve">POTASSIUM BISULPHATE </t>
  </si>
  <si>
    <t xml:space="preserve">POTASSSIUM BISULPHATE AR </t>
  </si>
  <si>
    <t>POTASSIUM BORATE</t>
  </si>
  <si>
    <t>POTASSIUM BROMATE</t>
  </si>
  <si>
    <t>POTASSSIUM BROMATE AR</t>
  </si>
  <si>
    <t>POTASSIUM BROMIDE</t>
  </si>
  <si>
    <t>POTASSIUM BROMIDE AR</t>
  </si>
  <si>
    <t>POTASSIUM CARBONATE</t>
  </si>
  <si>
    <t>POTASSIUM CHLORATE</t>
  </si>
  <si>
    <t>POTASSIUM CHLORIDE</t>
  </si>
  <si>
    <t>POTASSIUM CHLORIDE AR</t>
  </si>
  <si>
    <t>POTASSIUM CHROMATE</t>
  </si>
  <si>
    <t>POTASSIUM CHROMATE AR</t>
  </si>
  <si>
    <t>POTASSIUM CYANIDE</t>
  </si>
  <si>
    <t xml:space="preserve">POTASSIUM DICHROMATE </t>
  </si>
  <si>
    <t>POTASSIUM DICHROMATE AR</t>
  </si>
  <si>
    <t>POTASSIUM FERRICYANIDE</t>
  </si>
  <si>
    <t>POTASSIUM FERRICYANIDE AR</t>
  </si>
  <si>
    <t>POTASSIUM FERROCYANIDE</t>
  </si>
  <si>
    <t>POTASSIUM FERROCYANIDE AR</t>
  </si>
  <si>
    <t>POTASSIUM FLOURIDE</t>
  </si>
  <si>
    <t>DI POTASSIUM HYDROGEN PHOSPHATE</t>
  </si>
  <si>
    <t>POTASSIUM HYDROGEN PHTHALATE</t>
  </si>
  <si>
    <t>POTASSIUM HYDROGEN TARTARATE</t>
  </si>
  <si>
    <t>POTASSIUM HYDROXIDE</t>
  </si>
  <si>
    <t>POTASSIUM IODATE</t>
  </si>
  <si>
    <t>POTASSIUM IODATE AR</t>
  </si>
  <si>
    <t>POTASSIUM IODIDE</t>
  </si>
  <si>
    <t>POTASSIUM IODIDE AR</t>
  </si>
  <si>
    <t>POTASSIUM META TRISULPHITE</t>
  </si>
  <si>
    <t>POTASSIUM NITRATE</t>
  </si>
  <si>
    <t>POTASSSIUM NITRATE AR</t>
  </si>
  <si>
    <t>POTASSIUM NITRITE</t>
  </si>
  <si>
    <t>POTASSIUM OXALATE</t>
  </si>
  <si>
    <t>POTASSIUM PERCHLORATE</t>
  </si>
  <si>
    <t>POTASSIUM PEROXIDE</t>
  </si>
  <si>
    <t>POTASSIUM PERIODATE</t>
  </si>
  <si>
    <t>POTASSIUM PERMANGANATE</t>
  </si>
  <si>
    <t>POTASSIUM PERSULPHATE</t>
  </si>
  <si>
    <t>POTASSIUM PRRSULPHATE AR</t>
  </si>
  <si>
    <t>POTASSIUM PHOSPHATE (DIBASIC)</t>
  </si>
  <si>
    <t>POTASSIUM PYROSULPHATE</t>
  </si>
  <si>
    <t>POTASSIUM SULPHATE</t>
  </si>
  <si>
    <t>POTASSIUM SULPHATE AR</t>
  </si>
  <si>
    <t>POTASSIUM ALU. SULPHATE</t>
  </si>
  <si>
    <t>POTASSIUM SULPHIDE</t>
  </si>
  <si>
    <t>POTASSIUM SULPHOCYANIDE</t>
  </si>
  <si>
    <t>POTASSIUM TARTARATE</t>
  </si>
  <si>
    <t>POTASSSIUM XANTHATE</t>
  </si>
  <si>
    <t>PUMICE STONE</t>
  </si>
  <si>
    <t>SILICON(FUSED)</t>
  </si>
  <si>
    <t>SILICON CARBIDE</t>
  </si>
  <si>
    <t>SILVER ACETATE</t>
  </si>
  <si>
    <t>SILVER BROMIDE</t>
  </si>
  <si>
    <t>SILVER NITRATE</t>
  </si>
  <si>
    <t>SILVER NITRATE AR</t>
  </si>
  <si>
    <t>SILVER OXIDE</t>
  </si>
  <si>
    <t>SILVER SULPHATE</t>
  </si>
  <si>
    <t>SODIUM ACETATE HYDRATE(TRIHYDRATED)</t>
  </si>
  <si>
    <t>SODIUM ACETATE HYDRATED AR</t>
  </si>
  <si>
    <t>SODIUM ACETATE (ANHYDROUS)</t>
  </si>
  <si>
    <t>SODIUM ACETATE (ANHYDROUS) AR</t>
  </si>
  <si>
    <t>SODIUM AMMONIUM PHOSPHATE</t>
  </si>
  <si>
    <t>SODIUM ARSENATE</t>
  </si>
  <si>
    <t>SODIUM ARSENITE</t>
  </si>
  <si>
    <t>SODIUM BARBITAL</t>
  </si>
  <si>
    <t>SODIUM BISMUTHATE</t>
  </si>
  <si>
    <t>SODIUM BICARBONATE</t>
  </si>
  <si>
    <t>SODIUM BICARBONATE AR</t>
  </si>
  <si>
    <t>SODIUM BISULPHATE</t>
  </si>
  <si>
    <t>SODIUM BISULPHITE</t>
  </si>
  <si>
    <t>SODIUM BITARTARATE</t>
  </si>
  <si>
    <t>SODIUM BROMIDE</t>
  </si>
  <si>
    <t>SODIUM CARBONATE</t>
  </si>
  <si>
    <t>SODIUM CARBONITE</t>
  </si>
  <si>
    <t>SODIUM CHLORIDE</t>
  </si>
  <si>
    <t>SODIUM CHLORIDE AR</t>
  </si>
  <si>
    <t>SODIUM CHROMATE</t>
  </si>
  <si>
    <t>SODIUM CITRATE</t>
  </si>
  <si>
    <t>SODIUM COBALT NITRATE</t>
  </si>
  <si>
    <t>SODIUM CYANIDE</t>
  </si>
  <si>
    <t>SODIUM DICHROMATE</t>
  </si>
  <si>
    <t>SODIUM DIHYDROGEN ORTHO PHOSPHATE</t>
  </si>
  <si>
    <t>SODIUM FERROCYANIDE</t>
  </si>
  <si>
    <t>SODIUM FLOURIDE</t>
  </si>
  <si>
    <t>DISODIUM HYDROGEN PHOSPHATE</t>
  </si>
  <si>
    <t>SODIUM HYDROXIDE(FLAKES)</t>
  </si>
  <si>
    <t>SODIUM HYDROXIDE (PELLETS)</t>
  </si>
  <si>
    <t>SODIUM HYDROXIDE (PELLETS) AR</t>
  </si>
  <si>
    <t>SODIUM HYDROXIDE (STICKS)</t>
  </si>
  <si>
    <t>SODIUM META SILICATE</t>
  </si>
  <si>
    <t>SODIUM NITRATE</t>
  </si>
  <si>
    <t>SODIUM NITRATE AR</t>
  </si>
  <si>
    <t>SODIUM NITRITE</t>
  </si>
  <si>
    <t>SODIUM NITRITE AR</t>
  </si>
  <si>
    <t>SODIUM NITROPRUSIDE</t>
  </si>
  <si>
    <t>SODIUM NITROPRUSIDE AR</t>
  </si>
  <si>
    <t>SODIUM OXALATE</t>
  </si>
  <si>
    <t>SODIUM PEROXIDE</t>
  </si>
  <si>
    <t>SODIUM PHOSPHATE</t>
  </si>
  <si>
    <t>SODIUM PHOSPHATE (DIBASIC)</t>
  </si>
  <si>
    <t>SODIUM POTASSIUM TARTARATE</t>
  </si>
  <si>
    <t>SODIUM SULPHATE</t>
  </si>
  <si>
    <t>SODIUM SULPHATE AR</t>
  </si>
  <si>
    <t>SODIUM SULPHIDE</t>
  </si>
  <si>
    <t>SODIUM SULPHITE</t>
  </si>
  <si>
    <t>SODIUM THIOSULPHATE</t>
  </si>
  <si>
    <t>SODIUM THIOSULPHATE AR</t>
  </si>
  <si>
    <t>SODIUM LAURYL SULPHATE</t>
  </si>
  <si>
    <t>STANNIC CHLORIDE</t>
  </si>
  <si>
    <t>STANNIC OXIDE</t>
  </si>
  <si>
    <t>STANNOUS CHLORIDE</t>
  </si>
  <si>
    <t>STANNOUS OXALATE</t>
  </si>
  <si>
    <t>STANNOUS SULPHIDE</t>
  </si>
  <si>
    <t>STRONTIUM ACETATE</t>
  </si>
  <si>
    <t>STRONTIUM ARSENATE</t>
  </si>
  <si>
    <t>STRONTIUM BORATE</t>
  </si>
  <si>
    <t>STRONTIUM BROMIDE</t>
  </si>
  <si>
    <t>STRONTIUM CARBONATE</t>
  </si>
  <si>
    <t>STRONTIUM CHLORIDE</t>
  </si>
  <si>
    <t>STRONTIUM CHROMATE</t>
  </si>
  <si>
    <t>STRONTIUM HYDROXIDE</t>
  </si>
  <si>
    <t>STRONTIUM NITRATE</t>
  </si>
  <si>
    <t>STRONTIUM  OXALATE</t>
  </si>
  <si>
    <t>STRONTIOUM PHOSPHATE</t>
  </si>
  <si>
    <t>STRONTIUM SULPHATE</t>
  </si>
  <si>
    <t>STRONTIUM SULPHIDE</t>
  </si>
  <si>
    <t>STRONTIUM SULPHITE</t>
  </si>
  <si>
    <t>SULPHURIC ACID</t>
  </si>
  <si>
    <t>SULPHUR POWDER</t>
  </si>
  <si>
    <t>TIN METAL FOIL AR</t>
  </si>
  <si>
    <t>ZINC ACETATE</t>
  </si>
  <si>
    <t>ZINC ACETATE AR</t>
  </si>
  <si>
    <t>ZINC ARSENATE</t>
  </si>
  <si>
    <t>ZINC BORATE</t>
  </si>
  <si>
    <t>ZINC CARBONATE</t>
  </si>
  <si>
    <t>ZINC CHLORIDE</t>
  </si>
  <si>
    <t>ZINC CHLORIDE(STICKS)</t>
  </si>
  <si>
    <t>ZINC CHROMATE</t>
  </si>
  <si>
    <t>ZINC DUST</t>
  </si>
  <si>
    <t>ZINC FLOURIDE</t>
  </si>
  <si>
    <t>ZINC GRANULES</t>
  </si>
  <si>
    <t>ZINC GRANULES AR</t>
  </si>
  <si>
    <t>ZINC IODIDE</t>
  </si>
  <si>
    <t>ZINC NITRATE</t>
  </si>
  <si>
    <t>ZINC OXALATE</t>
  </si>
  <si>
    <t>ZINC OXIDE</t>
  </si>
  <si>
    <t>ZINC OXIDE AR</t>
  </si>
  <si>
    <t>ZINC PHOSPHATE</t>
  </si>
  <si>
    <t>ZINC POWDER AR</t>
  </si>
  <si>
    <t>ZINC SULPHATE</t>
  </si>
  <si>
    <t>ZINC SULPHATE AR</t>
  </si>
  <si>
    <t>ZINC SULPHIDE</t>
  </si>
  <si>
    <t>ZINC SULPHITE</t>
  </si>
  <si>
    <t>ZINC RODE</t>
  </si>
  <si>
    <t>ALUMINIUM METAL FOIL</t>
  </si>
  <si>
    <t>ALUMINIUM METAL POWDER</t>
  </si>
  <si>
    <t>ALUMINIUM TURNINGS</t>
  </si>
  <si>
    <t>ANTIMONY METAL</t>
  </si>
  <si>
    <t>BAR MAGNET</t>
  </si>
  <si>
    <t>BISMUTH METAL</t>
  </si>
  <si>
    <t>CADMIUM METAL</t>
  </si>
  <si>
    <t>CALCIUM METAL</t>
  </si>
  <si>
    <t>CHROMIUM METAL</t>
  </si>
  <si>
    <t>COBALT METAL</t>
  </si>
  <si>
    <t>COPPER METAL FOIL</t>
  </si>
  <si>
    <t>DUTCH METAL</t>
  </si>
  <si>
    <t>DIAMOND GLASS</t>
  </si>
  <si>
    <t>IRON POWDER</t>
  </si>
  <si>
    <t>GLASS TUBE CUTTER</t>
  </si>
  <si>
    <t>IRON WIRE</t>
  </si>
  <si>
    <t>LEAD ASBESTOS</t>
  </si>
  <si>
    <t>LEAD FOIL</t>
  </si>
  <si>
    <t>LEAD SHOTS</t>
  </si>
  <si>
    <t>MAGNESIUM METAL POWDER</t>
  </si>
  <si>
    <t>MAGNESIUM RIBBON</t>
  </si>
  <si>
    <t>MAGNESIUM</t>
  </si>
  <si>
    <t>MANGANESE METAL</t>
  </si>
  <si>
    <t>MERCURY METAL</t>
  </si>
  <si>
    <t>MICA</t>
  </si>
  <si>
    <t>NICKEL METAL</t>
  </si>
  <si>
    <t>PHOSPHOROUS WHITE</t>
  </si>
  <si>
    <t>PLATINUM ELECTRODE</t>
  </si>
  <si>
    <t>PLATINUM FOIL</t>
  </si>
  <si>
    <t>PLATINUM LOOP</t>
  </si>
  <si>
    <t>PLATINUM WIRE</t>
  </si>
  <si>
    <t>PLATINUM CATALYST</t>
  </si>
  <si>
    <t>POTASSIUM METAL</t>
  </si>
  <si>
    <t>SILVER FOIL</t>
  </si>
  <si>
    <t>SODIUM METAL</t>
  </si>
  <si>
    <t>TIN METAL GRANULES</t>
  </si>
  <si>
    <t>ZINC METAL FOIL</t>
  </si>
  <si>
    <t>AMMONIUM META VANADATE</t>
  </si>
  <si>
    <t>BUFFER TABLETS</t>
  </si>
  <si>
    <t>CERIC AMMONIUM NITRATE</t>
  </si>
  <si>
    <t>CERIC NITRATE</t>
  </si>
  <si>
    <t>CERIC AMMONIUM SULPHATE</t>
  </si>
  <si>
    <t>CERIC SULPHATE</t>
  </si>
  <si>
    <t>CHLORO PLATINUM ACID</t>
  </si>
  <si>
    <t>ERIOCHROME BLACK T</t>
  </si>
  <si>
    <t>GOLD CHLORIDE</t>
  </si>
  <si>
    <t>LITHIUM METAL</t>
  </si>
  <si>
    <t>LITHIUM CARBONATE</t>
  </si>
  <si>
    <t>LITHIUM CHLORIDE</t>
  </si>
  <si>
    <t>LITHIUM HYDRIDE</t>
  </si>
  <si>
    <t>LITHIUM NITRATE</t>
  </si>
  <si>
    <t>LITHIUM SULPHATE</t>
  </si>
  <si>
    <t>OSMIC ACID</t>
  </si>
  <si>
    <t>OSMIC TETROXIDE</t>
  </si>
  <si>
    <t>PALLADIUM CHLORIDE</t>
  </si>
  <si>
    <t>POTASSIUM TELLURATE</t>
  </si>
  <si>
    <t>POTASSIUM TELLURITE</t>
  </si>
  <si>
    <t xml:space="preserve">RUBIDIUM NITRATE </t>
  </si>
  <si>
    <t>SELENIUM DIOXIDE</t>
  </si>
  <si>
    <t>SELENIUM METAL</t>
  </si>
  <si>
    <t>SODIUM SELENATE</t>
  </si>
  <si>
    <t>SODIUM SELENITE</t>
  </si>
  <si>
    <t>SODIUM TUNGSTATE</t>
  </si>
  <si>
    <t>THALLIUM SULPHATE</t>
  </si>
  <si>
    <t>THALLOUS ACETATE</t>
  </si>
  <si>
    <t>TITANIUM OXIDE</t>
  </si>
  <si>
    <t>TITANIC CHLORIDE</t>
  </si>
  <si>
    <t>TITANIC SULPHATE</t>
  </si>
  <si>
    <t>TITANIC NITRATE</t>
  </si>
  <si>
    <t>TITANOUS SULPHATE</t>
  </si>
  <si>
    <t>URANYL ACETATE</t>
  </si>
  <si>
    <t>URANYL SULPHATE</t>
  </si>
  <si>
    <t>URANYL NITRATE</t>
  </si>
  <si>
    <t>VANADYL SULPHATE</t>
  </si>
  <si>
    <t>ZIRCONIUM NITRATE</t>
  </si>
  <si>
    <t>ZIRCONIUM SULPHATE</t>
  </si>
  <si>
    <t>SPOT TEST OUTFIT COMPLETE</t>
  </si>
  <si>
    <t>THORIUM NITRATE</t>
  </si>
  <si>
    <t>CALCOON</t>
  </si>
  <si>
    <t>ANTIMONY OXYCHLORIDE</t>
  </si>
  <si>
    <t>IN CHEM 310</t>
  </si>
  <si>
    <t>IN CHEM 311</t>
  </si>
  <si>
    <t>IN CHEM 312</t>
  </si>
  <si>
    <t>IN CHEM 313</t>
  </si>
  <si>
    <t>IN CHEM 314</t>
  </si>
  <si>
    <t>IN CHEM 315</t>
  </si>
  <si>
    <t>IN CHEM 316</t>
  </si>
  <si>
    <t>IN CHEM 317</t>
  </si>
  <si>
    <t>IN CHEM 318</t>
  </si>
  <si>
    <t>IN CHEM 319</t>
  </si>
  <si>
    <t>IN CHEM 320</t>
  </si>
  <si>
    <t>IN CHEM 321</t>
  </si>
  <si>
    <t>IN CHEM 322</t>
  </si>
  <si>
    <t>IN CHEM 323</t>
  </si>
  <si>
    <t>IN CHEM 324</t>
  </si>
  <si>
    <t>IN CHEM 325</t>
  </si>
  <si>
    <t>IN CHEM 326</t>
  </si>
  <si>
    <t>IN CHEM 327</t>
  </si>
  <si>
    <t>IN CHEM 328</t>
  </si>
  <si>
    <t>IN CHEM 329</t>
  </si>
  <si>
    <t>IN CHEM 330</t>
  </si>
  <si>
    <t>IN CHEM 331</t>
  </si>
  <si>
    <t>IN CHEM 332</t>
  </si>
  <si>
    <t>IN CHEM 333</t>
  </si>
  <si>
    <t>IN CHEM 334</t>
  </si>
  <si>
    <t>IN CHEM 335</t>
  </si>
  <si>
    <t>IN CHEM 336</t>
  </si>
  <si>
    <t>IN CHEM 337</t>
  </si>
  <si>
    <t>IN CHEM 338</t>
  </si>
  <si>
    <t>IN CHEM 339</t>
  </si>
  <si>
    <t>IN CHEM 340</t>
  </si>
  <si>
    <t>IN CHEM 341</t>
  </si>
  <si>
    <t>IN CHEM 342</t>
  </si>
  <si>
    <t>IN CHEM 343</t>
  </si>
  <si>
    <t>IN CHEM 344</t>
  </si>
  <si>
    <t>IN CHEM 345</t>
  </si>
  <si>
    <t>IN CHEM 346</t>
  </si>
  <si>
    <t>IN CHEM 347</t>
  </si>
  <si>
    <t>IN CHEM 348</t>
  </si>
  <si>
    <t>IN CHEM 349</t>
  </si>
  <si>
    <t>IN CHEM 350</t>
  </si>
  <si>
    <t>IN CHEM 351</t>
  </si>
  <si>
    <t>IN CHEM 352</t>
  </si>
  <si>
    <t>IN CHEM 353</t>
  </si>
  <si>
    <t>IN CHEM 354</t>
  </si>
  <si>
    <t>IN CHEM 355</t>
  </si>
  <si>
    <t>IN CHEM 356</t>
  </si>
  <si>
    <t>IN CHEM 357</t>
  </si>
  <si>
    <t>IN CHEM 358</t>
  </si>
  <si>
    <t>IN CHEM 359</t>
  </si>
  <si>
    <t>IN CHEM 360</t>
  </si>
  <si>
    <t>IN CHEM 361</t>
  </si>
  <si>
    <t>IN CHEM 362</t>
  </si>
  <si>
    <t>IN CHEM 363</t>
  </si>
  <si>
    <t>IN CHEM 364</t>
  </si>
  <si>
    <t>IN CHEM 365</t>
  </si>
  <si>
    <t>IN CHEM 366</t>
  </si>
  <si>
    <t>IN CHEM 367</t>
  </si>
  <si>
    <t>IN CHEM 368</t>
  </si>
  <si>
    <t>IN CHEM 369</t>
  </si>
  <si>
    <t>IN CHEM 370</t>
  </si>
  <si>
    <t>IN CHEM 371</t>
  </si>
  <si>
    <t>IN CHEM 372</t>
  </si>
  <si>
    <t>IN CHEM 373</t>
  </si>
  <si>
    <t>IN CHEM 374</t>
  </si>
  <si>
    <t>IN CHEM 375</t>
  </si>
  <si>
    <t>IN CHEM 376</t>
  </si>
  <si>
    <t>IN CHEM 377</t>
  </si>
  <si>
    <t>IN CHEM 378</t>
  </si>
  <si>
    <t>IN CHEM 379</t>
  </si>
  <si>
    <t>IN CHEM 380</t>
  </si>
  <si>
    <t>IN CHEM 381</t>
  </si>
  <si>
    <t>IN CHEM 382</t>
  </si>
  <si>
    <t>IN CHEM 383</t>
  </si>
  <si>
    <t>IN CHEM 384</t>
  </si>
  <si>
    <t>IN CHEM 385</t>
  </si>
  <si>
    <t>IN CHEM 386</t>
  </si>
  <si>
    <t>IN CHEM 387</t>
  </si>
  <si>
    <t>IN CHEM 388</t>
  </si>
  <si>
    <t>IN CHEM 389</t>
  </si>
  <si>
    <t>IN CHEM 390</t>
  </si>
  <si>
    <t>IN CHEM 391</t>
  </si>
  <si>
    <t>IN CHEM 392</t>
  </si>
  <si>
    <t>IN CHEM 393</t>
  </si>
  <si>
    <t>IN CHEM 394</t>
  </si>
  <si>
    <t>IN CHEM 395</t>
  </si>
  <si>
    <t>IN CHEM 396</t>
  </si>
  <si>
    <t>IN CHEM 397</t>
  </si>
  <si>
    <t>IN CHEM 398</t>
  </si>
  <si>
    <t>IN CHEM 399</t>
  </si>
  <si>
    <t>IN CHEM 400</t>
  </si>
  <si>
    <t>IN CHEM 401</t>
  </si>
  <si>
    <t>IN CHEM 402</t>
  </si>
  <si>
    <t>IN CHEM 403</t>
  </si>
  <si>
    <t>IN CHEM 404</t>
  </si>
  <si>
    <t>IN CHEM 405</t>
  </si>
  <si>
    <t>IN CHEM 406</t>
  </si>
  <si>
    <t>IN CHEM 407</t>
  </si>
  <si>
    <t>IN CHEM 408</t>
  </si>
  <si>
    <t>IN CHEM 409</t>
  </si>
  <si>
    <t>IN CHEM 410</t>
  </si>
  <si>
    <t>IN CHEM 411</t>
  </si>
  <si>
    <t>IN CHEM 412</t>
  </si>
  <si>
    <t>IN CHEM 413</t>
  </si>
  <si>
    <t>IN CHEM 414</t>
  </si>
  <si>
    <t>IN CHEM 415</t>
  </si>
  <si>
    <t>IN CHEM 416</t>
  </si>
  <si>
    <t>IN CHEM 417</t>
  </si>
  <si>
    <t>IN CHEM 418</t>
  </si>
  <si>
    <t>IN CHEM 419</t>
  </si>
  <si>
    <t>IN CHEM 420</t>
  </si>
  <si>
    <t>IN CHEM 421</t>
  </si>
  <si>
    <t>IN CHEM 422</t>
  </si>
  <si>
    <t>IN CHEM 423</t>
  </si>
  <si>
    <t>IN CHEM 424</t>
  </si>
  <si>
    <t>IN CHEM 425</t>
  </si>
  <si>
    <t>IN CHEM 426</t>
  </si>
  <si>
    <t>IN CHEM 427</t>
  </si>
  <si>
    <t>IN CHEM 428</t>
  </si>
  <si>
    <t>IN CHEM 429</t>
  </si>
  <si>
    <t>IN CHEM 430</t>
  </si>
  <si>
    <t>IN CHEM 431</t>
  </si>
  <si>
    <t>IN CHEM 432</t>
  </si>
  <si>
    <t>IN CHEM 433</t>
  </si>
  <si>
    <t>IN CHEM 434</t>
  </si>
  <si>
    <t>IN CHEM 435</t>
  </si>
  <si>
    <t>IN CHEM 436</t>
  </si>
  <si>
    <t>IN CHEM 437</t>
  </si>
  <si>
    <t>IN CHEM 438</t>
  </si>
  <si>
    <t>IN CHEM 439</t>
  </si>
  <si>
    <t>IN CHEM 440</t>
  </si>
  <si>
    <t>IN CHEM 441</t>
  </si>
  <si>
    <t>IN CHEM 442</t>
  </si>
  <si>
    <t>IN CHEM 443</t>
  </si>
  <si>
    <t>IN CHEM 444</t>
  </si>
  <si>
    <t>IN CHEM 445</t>
  </si>
  <si>
    <t>IN CHEM 446</t>
  </si>
  <si>
    <t>IN CHEM 447</t>
  </si>
  <si>
    <t>IN CHEM 448</t>
  </si>
  <si>
    <t>IN CHEM 449</t>
  </si>
  <si>
    <t>IN CHEM 450</t>
  </si>
  <si>
    <t>IN CHEM 451</t>
  </si>
  <si>
    <t>IN CHEM 452</t>
  </si>
  <si>
    <t>IN CHEM 453</t>
  </si>
  <si>
    <t>IN CHEM 454</t>
  </si>
  <si>
    <t>IN CHEM 455</t>
  </si>
  <si>
    <t>IN CHEM 456</t>
  </si>
  <si>
    <t>IN CHEM 457</t>
  </si>
  <si>
    <t>IN CHEM 458</t>
  </si>
  <si>
    <t>IN CHEM 459</t>
  </si>
  <si>
    <t>IN CHEM 460</t>
  </si>
  <si>
    <t>IN CHEM 461</t>
  </si>
  <si>
    <t>IN CHEM 462</t>
  </si>
  <si>
    <t>IN CHEM 463</t>
  </si>
  <si>
    <t>IN CHEM 464</t>
  </si>
  <si>
    <t>IN CHEM 465</t>
  </si>
  <si>
    <t>IN CHEM 466</t>
  </si>
  <si>
    <t>IN CHEM 467</t>
  </si>
  <si>
    <t>IN CHEM 468</t>
  </si>
  <si>
    <t>IN CHEM 469</t>
  </si>
  <si>
    <t>IN CHEM 470</t>
  </si>
  <si>
    <t>IN CHEM 471</t>
  </si>
  <si>
    <t>IN CHEM 472</t>
  </si>
  <si>
    <t>IN CHEM 473</t>
  </si>
  <si>
    <t>IN CHEM 474</t>
  </si>
  <si>
    <t>IN CHEM 475</t>
  </si>
  <si>
    <t>IN CHEM 476</t>
  </si>
  <si>
    <t>IN CHEM 477</t>
  </si>
  <si>
    <t>IN CHEM 478</t>
  </si>
  <si>
    <t>IN CHEM 479</t>
  </si>
  <si>
    <t>IN CHEM 480</t>
  </si>
  <si>
    <t>IN CHEM 481</t>
  </si>
  <si>
    <t>IN CHEM 482</t>
  </si>
  <si>
    <t>IN CHEM 483</t>
  </si>
  <si>
    <t>IN CHEM 484</t>
  </si>
  <si>
    <t>IN CHEM 485</t>
  </si>
  <si>
    <t>IN CHEM 486</t>
  </si>
  <si>
    <t>IN CHEM 487</t>
  </si>
  <si>
    <t>IN CHEM 488</t>
  </si>
  <si>
    <t>IN CHEM 489</t>
  </si>
  <si>
    <t>IN CHEM 490</t>
  </si>
  <si>
    <t>IN CHEM 491</t>
  </si>
  <si>
    <t>IN CHEM 492</t>
  </si>
  <si>
    <t>IN CHEM 493</t>
  </si>
  <si>
    <t>IN CHEM 494</t>
  </si>
  <si>
    <t>IN CHEM 495</t>
  </si>
  <si>
    <t>IN CHEM 496</t>
  </si>
  <si>
    <t>IN CHEM 497</t>
  </si>
  <si>
    <t>IN CHEM 498</t>
  </si>
  <si>
    <t>IN CHEM 499</t>
  </si>
  <si>
    <t>IN CHEM 500</t>
  </si>
  <si>
    <t>IN CHEM 501</t>
  </si>
  <si>
    <t>IN CHEM 502</t>
  </si>
  <si>
    <t>IN CHEM 503</t>
  </si>
  <si>
    <t>IN CHEM 504</t>
  </si>
  <si>
    <t>IN CHEM 505</t>
  </si>
  <si>
    <t>IN CHEM 506</t>
  </si>
  <si>
    <t>IN CHEM 507</t>
  </si>
  <si>
    <t>IN CHEM 508</t>
  </si>
  <si>
    <t>IN CHEM 509</t>
  </si>
  <si>
    <t>IN CHEM 510</t>
  </si>
  <si>
    <t>IN CHEM 511</t>
  </si>
  <si>
    <t>IN CHEM 512</t>
  </si>
  <si>
    <t>IN CHEM 513</t>
  </si>
  <si>
    <t>IN CHEM 514</t>
  </si>
  <si>
    <t>IN CHEM 515</t>
  </si>
  <si>
    <t>IN CHEM 516</t>
  </si>
  <si>
    <t>IN CHEM 517</t>
  </si>
  <si>
    <t>IN CHEM 518</t>
  </si>
  <si>
    <t>IN CHEM 519</t>
  </si>
  <si>
    <t>IN CHEM 520</t>
  </si>
  <si>
    <t>IN CHEM 521</t>
  </si>
  <si>
    <t>IN CHEM 522</t>
  </si>
  <si>
    <t>IN CHEM 523</t>
  </si>
  <si>
    <t>IN CHEM 524</t>
  </si>
  <si>
    <t>IN CHEM 525</t>
  </si>
  <si>
    <t>IN CHEM 526</t>
  </si>
  <si>
    <t>IN CHEM 527</t>
  </si>
  <si>
    <t>IN CHEM 528</t>
  </si>
  <si>
    <t>IN CHEM 529</t>
  </si>
  <si>
    <t>IN CHEM 530</t>
  </si>
  <si>
    <t>IN CHEM 531</t>
  </si>
  <si>
    <t>IN CHEM 532</t>
  </si>
  <si>
    <t>IN CHEM 533</t>
  </si>
  <si>
    <t>IN CHEM 534</t>
  </si>
  <si>
    <t>IN CHEM 535</t>
  </si>
  <si>
    <t>IN CHEM 536</t>
  </si>
  <si>
    <t>IN CHEM 537</t>
  </si>
  <si>
    <t>IN CHEM 538</t>
  </si>
  <si>
    <t>IN CHEM 539</t>
  </si>
  <si>
    <t>IN CHEM 540</t>
  </si>
  <si>
    <t>IN CHEM 541</t>
  </si>
  <si>
    <t>IN CHEM 542</t>
  </si>
  <si>
    <t>IN CHEM 543</t>
  </si>
  <si>
    <t>IN CHEM 544</t>
  </si>
  <si>
    <t>IN CHEM 545</t>
  </si>
  <si>
    <t>IN CHEM 546</t>
  </si>
  <si>
    <t>IN CHEM 547</t>
  </si>
  <si>
    <t>IN CHEM 548</t>
  </si>
  <si>
    <t>IN CHEM 549</t>
  </si>
  <si>
    <t>IN CHEM 550</t>
  </si>
  <si>
    <t>IN CHEM 551</t>
  </si>
  <si>
    <t>IN CHEM 552</t>
  </si>
  <si>
    <t>IN CHEM 553</t>
  </si>
  <si>
    <t>IN CHEM 554</t>
  </si>
  <si>
    <t>IN CHEM 555</t>
  </si>
  <si>
    <t>IN CHEM 556</t>
  </si>
  <si>
    <t>IN CHEM 557</t>
  </si>
  <si>
    <t>IN CHEM 558</t>
  </si>
  <si>
    <t>IN CHEM 559</t>
  </si>
  <si>
    <t>IN CHEM 560</t>
  </si>
  <si>
    <t>IN CHEM 561</t>
  </si>
  <si>
    <t>IN CHEM 562</t>
  </si>
  <si>
    <t>IN CHEM 563</t>
  </si>
  <si>
    <t>IN CHEM 564</t>
  </si>
  <si>
    <t>IN CHEM 565</t>
  </si>
  <si>
    <t>IN CHEM 566</t>
  </si>
  <si>
    <t>IN CHEM 567</t>
  </si>
  <si>
    <t>IN CHEM 568</t>
  </si>
  <si>
    <t>IN CHEM 569</t>
  </si>
  <si>
    <t>IN CHEM 570</t>
  </si>
  <si>
    <t>IN CHEM 571</t>
  </si>
  <si>
    <t>IN CHEM 572</t>
  </si>
  <si>
    <t>IN CHEM 573</t>
  </si>
  <si>
    <t>IN CHEM 574</t>
  </si>
  <si>
    <t>IN CHEM 575</t>
  </si>
  <si>
    <t>IN CHEM 576</t>
  </si>
  <si>
    <t>IN CHEM 577</t>
  </si>
  <si>
    <t>IN CHEM 578</t>
  </si>
  <si>
    <t>IN CHEM 579</t>
  </si>
  <si>
    <t xml:space="preserve"> BALANCE TOTAL KG</t>
  </si>
  <si>
    <t>Taken  Details</t>
  </si>
  <si>
    <t>EDTA</t>
  </si>
  <si>
    <t>ACETAMIDE</t>
  </si>
  <si>
    <t>ACETIC ACID</t>
  </si>
  <si>
    <t>ACETIC ACID AR</t>
  </si>
  <si>
    <t>ACETIC ANHYDRIDE</t>
  </si>
  <si>
    <t>ACETIC ANHYDRIDE AR</t>
  </si>
  <si>
    <t>ACETONE</t>
  </si>
  <si>
    <t>ACETO NITRILE</t>
  </si>
  <si>
    <t>ACETOPHENONE</t>
  </si>
  <si>
    <t>ACETYL ACETONE</t>
  </si>
  <si>
    <t>ACETYL CHLORIDE</t>
  </si>
  <si>
    <t>ACETYL SALICYLIC ACID</t>
  </si>
  <si>
    <t>ADIPIC ACID</t>
  </si>
  <si>
    <t>AGAR AGAR POWDER</t>
  </si>
  <si>
    <t>ALBUMIN EGG</t>
  </si>
  <si>
    <t>ALIZARIN(BLUE)</t>
  </si>
  <si>
    <t>ALIZARIN(RED)</t>
  </si>
  <si>
    <t>ALLYL ALCOHOL</t>
  </si>
  <si>
    <t>ALUMINONE AR(USSR)</t>
  </si>
  <si>
    <t>P-AMINO ACETANILIDE</t>
  </si>
  <si>
    <t>PARA AMINO BENZOIC ACID</t>
  </si>
  <si>
    <t>O-AMINO PHENOL</t>
  </si>
  <si>
    <t>AMMONIUM PURPURATE(MUREXIDE)</t>
  </si>
  <si>
    <t>AMYL ACETATE</t>
  </si>
  <si>
    <t>AMYL ALCOHOL (ISO)</t>
  </si>
  <si>
    <t>AMYL ALCOHOL (NORMAL)</t>
  </si>
  <si>
    <t>AMYL NITRATE</t>
  </si>
  <si>
    <t>ANILINE</t>
  </si>
  <si>
    <t>ANILINE BLUE</t>
  </si>
  <si>
    <t>ANILINE HYDRO CHLORIDE</t>
  </si>
  <si>
    <t>ANILINE SULPHATE</t>
  </si>
  <si>
    <t>ANILINE VIOLET</t>
  </si>
  <si>
    <t>O-ANISIDINE</t>
  </si>
  <si>
    <t>ANISOLE(BDH)</t>
  </si>
  <si>
    <t>ANTHRACENE</t>
  </si>
  <si>
    <t>ANTHRACITE</t>
  </si>
  <si>
    <t>ANTHRANILIC ACID</t>
  </si>
  <si>
    <t>ANTHRAQUINONE</t>
  </si>
  <si>
    <t>ARGININE MONO HYDROCHLORIDE</t>
  </si>
  <si>
    <t>L-ASCORBIC ACID</t>
  </si>
  <si>
    <t>AZO BENZENE</t>
  </si>
  <si>
    <t>BARBITONE</t>
  </si>
  <si>
    <t>BENZYL CHLORIDE</t>
  </si>
  <si>
    <t>BENZALDEHYDE</t>
  </si>
  <si>
    <t>BENZAMIDE</t>
  </si>
  <si>
    <t>BENZENE</t>
  </si>
  <si>
    <t>BENZENE AR</t>
  </si>
  <si>
    <t>BENZAMIDE BASE</t>
  </si>
  <si>
    <t>BENZIL</t>
  </si>
  <si>
    <t xml:space="preserve">BENZOIC ACID </t>
  </si>
  <si>
    <t>(ALPHA) BEZOIN OXIME</t>
  </si>
  <si>
    <t>BENZO PHENONE</t>
  </si>
  <si>
    <t>P- BENZO QUINONE</t>
  </si>
  <si>
    <t>BENZOYL CHLORIDE</t>
  </si>
  <si>
    <t>BENZYL ALCOHOL</t>
  </si>
  <si>
    <t>BENZYL BENZOATE</t>
  </si>
  <si>
    <t>BENZYL BROMIDE</t>
  </si>
  <si>
    <t xml:space="preserve"> BENZYL CHLORIDE </t>
  </si>
  <si>
    <t>BORNEOL (NATURAL)</t>
  </si>
  <si>
    <t>BRILLIANT GREEN</t>
  </si>
  <si>
    <t xml:space="preserve"> BROMINE</t>
  </si>
  <si>
    <t xml:space="preserve">P-BROMO ACETANILIDE </t>
  </si>
  <si>
    <t>BROMO BENZENE</t>
  </si>
  <si>
    <t>BROMO CRESOL PURPLE</t>
  </si>
  <si>
    <t>BROMO PHENOL</t>
  </si>
  <si>
    <t>N-BROMO SUCCINIMIDE</t>
  </si>
  <si>
    <t xml:space="preserve">BRUCINE </t>
  </si>
  <si>
    <t>N- BUTYL ALCOHOL</t>
  </si>
  <si>
    <t>N- BUTANOL AR</t>
  </si>
  <si>
    <t xml:space="preserve">ISO- BUTYL ALCOHOL </t>
  </si>
  <si>
    <t>ISO- BUTYL ALCOHOL</t>
  </si>
  <si>
    <t>N- BUTYL CHLORIDE</t>
  </si>
  <si>
    <t xml:space="preserve">CAFFEINE </t>
  </si>
  <si>
    <t>CAMPHOR</t>
  </si>
  <si>
    <t xml:space="preserve">CARBON DISULPHIDE </t>
  </si>
  <si>
    <t>CARBON TETRA CHLORIDE</t>
  </si>
  <si>
    <t>CARMINIC ACID</t>
  </si>
  <si>
    <t>CASCINE</t>
  </si>
  <si>
    <t xml:space="preserve">CATECHOL </t>
  </si>
  <si>
    <t>CELLOIDIN</t>
  </si>
  <si>
    <t>CHARCOAL- WOOD</t>
  </si>
  <si>
    <t xml:space="preserve">CHARCOAL ACTIVATED </t>
  </si>
  <si>
    <t>CHARCOAL AMINOL</t>
  </si>
  <si>
    <t>TRI-CHLORO ACETIC ACID DI-CHLORO ACETIC ACID</t>
  </si>
  <si>
    <t>CHLORO BENZENE</t>
  </si>
  <si>
    <t xml:space="preserve">MONO CHLORO ACETIC ACID </t>
  </si>
  <si>
    <t>P- CHLORO ANILINE</t>
  </si>
  <si>
    <t>L-CHLORONAPHTHALENE O-CHLORO NITRO BENZENE</t>
  </si>
  <si>
    <t xml:space="preserve">P- CHLORO PHENOL </t>
  </si>
  <si>
    <t>O- CHLORO PHENOL</t>
  </si>
  <si>
    <t>O- CHLORO BENZOIC ACID CHLORAMINE T</t>
  </si>
  <si>
    <t>CHLORAL HYDRATE</t>
  </si>
  <si>
    <t xml:space="preserve">CHLOROFORM </t>
  </si>
  <si>
    <t>CHROMOTROPIC ACID</t>
  </si>
  <si>
    <t>CINNAMIC ACID</t>
  </si>
  <si>
    <t>CITRIC ACID</t>
  </si>
  <si>
    <t>COLLODION</t>
  </si>
  <si>
    <t>CONGO RED</t>
  </si>
  <si>
    <t>M- CRESOL</t>
  </si>
  <si>
    <t>O-  CRESOL</t>
  </si>
  <si>
    <t>P-  CRESOL</t>
  </si>
  <si>
    <t>O-  CRESOL PTHALINE</t>
  </si>
  <si>
    <t>CRYSTAL VIOLET</t>
  </si>
  <si>
    <t>CUFFERON</t>
  </si>
  <si>
    <t>CYCLOHEXANE</t>
  </si>
  <si>
    <t>CYCLOHEAXANONE</t>
  </si>
  <si>
    <t>CYCLOHEXANOL</t>
  </si>
  <si>
    <t>DEXTRINE</t>
  </si>
  <si>
    <t>DEXTROSE</t>
  </si>
  <si>
    <t>ORTHO DICHLORO BENZENE</t>
  </si>
  <si>
    <t>PARA DICHLORO BENZENE</t>
  </si>
  <si>
    <t>DIETHYL ADIPATE</t>
  </si>
  <si>
    <t>DIETHYL PTHALATE</t>
  </si>
  <si>
    <t>DIMETHYLAMINE</t>
  </si>
  <si>
    <t>DIMETHYL ANILINE</t>
  </si>
  <si>
    <t>DIMETHYL FORMAMIDE</t>
  </si>
  <si>
    <t>DIMETHYL GLYOXIME</t>
  </si>
  <si>
    <t>DIMETHYL SULPHATE</t>
  </si>
  <si>
    <t>METE DINITRO BENZENE</t>
  </si>
  <si>
    <t>2,4 DINTRO PHENYL HYDRAZINE</t>
  </si>
  <si>
    <t>1,4 DIOXAN</t>
  </si>
  <si>
    <t>DIPHENYL</t>
  </si>
  <si>
    <t>DIPHENYL AMINE</t>
  </si>
  <si>
    <t>DIPHENYLAMINE SULFURIC ACID</t>
  </si>
  <si>
    <t>DIPHENYL CARBAZIDE</t>
  </si>
  <si>
    <t>DIPHENYL CARBAZIDE AR</t>
  </si>
  <si>
    <t>DIPHENYL THIOUREA</t>
  </si>
  <si>
    <t>PARA DIPICRYLAMINE</t>
  </si>
  <si>
    <t>DI THIO OXAMIDE</t>
  </si>
  <si>
    <t>EDTA MAGNESIUM DISODIUM SALT</t>
  </si>
  <si>
    <t>EOSIN YELLOW</t>
  </si>
  <si>
    <t>ETHANOL AMINE MONO</t>
  </si>
  <si>
    <t>ETHER PETROLEUM</t>
  </si>
  <si>
    <t>PETROLEUM ETHER</t>
  </si>
  <si>
    <t>ETHER SOLVENT</t>
  </si>
  <si>
    <t>ETHYL ACETATE</t>
  </si>
  <si>
    <t>ETHYL ACETO ACETATE</t>
  </si>
  <si>
    <t>ETHYL ACRYLATE</t>
  </si>
  <si>
    <t>N- ETHYL ANILINE</t>
  </si>
  <si>
    <t>ETHYL BENZENE</t>
  </si>
  <si>
    <t>ETHYL BENZOATE</t>
  </si>
  <si>
    <t>ETHYL CHLORO FORMATE</t>
  </si>
  <si>
    <t>ETHYL CINNAMATE</t>
  </si>
  <si>
    <t>ETHYL IODIDE</t>
  </si>
  <si>
    <t>ETHYL SALICYLATE</t>
  </si>
  <si>
    <t>ETHYLENE BROMIDE</t>
  </si>
  <si>
    <t>ETHYLENE DIAMINE</t>
  </si>
  <si>
    <t>ETHYL FORMATE</t>
  </si>
  <si>
    <t>ETHYLENE GLYCOL</t>
  </si>
  <si>
    <t>EUCALYPTUS OIL</t>
  </si>
  <si>
    <t>FERROIN SOLUTION</t>
  </si>
  <si>
    <t>FLUORESCEIN</t>
  </si>
  <si>
    <t>FORMALDEHYDE SOLUTION</t>
  </si>
  <si>
    <t>FORMAMIDE</t>
  </si>
  <si>
    <t>FORMIC ACID</t>
  </si>
  <si>
    <t>D(-) FRUCTOSE</t>
  </si>
  <si>
    <t>FUSCHIN - BASIC (PARA ROSANILINE)</t>
  </si>
  <si>
    <t>FULLER'S EARTH ACTIVATED</t>
  </si>
  <si>
    <t>FUMERIC ACID</t>
  </si>
  <si>
    <t>FURFURALDEHYDE</t>
  </si>
  <si>
    <t>GALLIC ACID</t>
  </si>
  <si>
    <t>GELATINE POWDER SHEETS</t>
  </si>
  <si>
    <t>D- GLUCOSE</t>
  </si>
  <si>
    <t>D- GLUCOSE AR</t>
  </si>
  <si>
    <t>GLYCERIN</t>
  </si>
  <si>
    <t>GLYCINE</t>
  </si>
  <si>
    <t>GLYCOLIC ACID</t>
  </si>
  <si>
    <t>GUANIDIUM CARBONATE</t>
  </si>
  <si>
    <t>GUANIDIUM CARBONATE AR</t>
  </si>
  <si>
    <t>GUANOSINE</t>
  </si>
  <si>
    <t>HELIOTROPINE</t>
  </si>
  <si>
    <t>HEXA CHLORO BENZENE</t>
  </si>
  <si>
    <t>HEXAMINE</t>
  </si>
  <si>
    <t>HEXANE</t>
  </si>
  <si>
    <t>HISTIDINE MONOHYDRO CHLORIDE</t>
  </si>
  <si>
    <t>HYDRAZINE HYDROCHLORIDE</t>
  </si>
  <si>
    <t>HYDRAZINE SULPHATE</t>
  </si>
  <si>
    <t>HYDROQUINONE</t>
  </si>
  <si>
    <t>HYDROXYLAMINE HYDROCHLORIDE</t>
  </si>
  <si>
    <t>HYDROXYLAMINE HYDROCHLORIDE AR</t>
  </si>
  <si>
    <t>8- HYDROXYQUINOLINE</t>
  </si>
  <si>
    <t>INDIGO CARNINE</t>
  </si>
  <si>
    <t>INOSITOL</t>
  </si>
  <si>
    <t>IODO BENZENE</t>
  </si>
  <si>
    <t>IODOFORM</t>
  </si>
  <si>
    <t>ISATINE</t>
  </si>
  <si>
    <t>LACTIC ACID</t>
  </si>
  <si>
    <t>LACTOSE</t>
  </si>
  <si>
    <t>LINSEED OIL</t>
  </si>
  <si>
    <t>LITMUS</t>
  </si>
  <si>
    <t>MAGENTE</t>
  </si>
  <si>
    <t>MAGNESON</t>
  </si>
  <si>
    <t>MALACHITE GREEN</t>
  </si>
  <si>
    <t>MALEIC ACID</t>
  </si>
  <si>
    <t>MALEIC ANHYDRIDE</t>
  </si>
  <si>
    <t>MALIC ACID</t>
  </si>
  <si>
    <t>MALONIC ACID</t>
  </si>
  <si>
    <t>MALTOSE</t>
  </si>
  <si>
    <t>MANDELIC ACID</t>
  </si>
  <si>
    <t>MANNITOL</t>
  </si>
  <si>
    <t>MENTHOL</t>
  </si>
  <si>
    <t>MENTHYL SALICYLATE</t>
  </si>
  <si>
    <t>2- MERCAPTO BENZO THIOZOLE</t>
  </si>
  <si>
    <t>MESITYL OXIDE</t>
  </si>
  <si>
    <t>METHANOL</t>
  </si>
  <si>
    <t>METHIONINE</t>
  </si>
  <si>
    <t>2- METHOXY ETHANOL</t>
  </si>
  <si>
    <t>METHYLENE BLUE</t>
  </si>
  <si>
    <t>METHYLENE CHLORIDE</t>
  </si>
  <si>
    <t>METHYL ACETATE</t>
  </si>
  <si>
    <t>METHYL ACRYLATE</t>
  </si>
  <si>
    <t>N- METHYL ANILINE</t>
  </si>
  <si>
    <t>METHYL ANTHRANILATE</t>
  </si>
  <si>
    <t>METHYL BENZOATE</t>
  </si>
  <si>
    <t>METHYL CINNAMATE</t>
  </si>
  <si>
    <t>METHYL ETHYL KETONE</t>
  </si>
  <si>
    <t>METHYL FORMATE</t>
  </si>
  <si>
    <t>METHYL GREEN</t>
  </si>
  <si>
    <t>METHYL METHACRYALTE</t>
  </si>
  <si>
    <t>METHYL OXALATE</t>
  </si>
  <si>
    <t>METHYL ORANGE</t>
  </si>
  <si>
    <t>METHYL RED</t>
  </si>
  <si>
    <t>METHYL SALICYLATE</t>
  </si>
  <si>
    <t>MORIN</t>
  </si>
  <si>
    <t>NAPHTHALENE</t>
  </si>
  <si>
    <t>ALPHA - NAPHTHALENE BROMIDE</t>
  </si>
  <si>
    <t>ALPHA - NAPHTHOL (ALPHA)</t>
  </si>
  <si>
    <t>BETA- NAPHTHOL (2- NAPHTHOL)</t>
  </si>
  <si>
    <t>ALPHA - NAPHTHOL BENZOIN</t>
  </si>
  <si>
    <t>1- NAPHTHOL AMINE</t>
  </si>
  <si>
    <t>NICOTINE</t>
  </si>
  <si>
    <t>NICOTINIC ACID</t>
  </si>
  <si>
    <t>NIGROSINE</t>
  </si>
  <si>
    <t>NINHYDRINE</t>
  </si>
  <si>
    <t>O- NITRL ANILINE</t>
  </si>
  <si>
    <t xml:space="preserve">M- NITRO ANILINE </t>
  </si>
  <si>
    <t>P- NITRO ANILINE</t>
  </si>
  <si>
    <t>2- NITRO BENZALDEHYDE</t>
  </si>
  <si>
    <t>3- NITRO BENZALDEHYDE</t>
  </si>
  <si>
    <t xml:space="preserve">NITRO BENZENE </t>
  </si>
  <si>
    <t xml:space="preserve">O- NITRO BENZOIC ACID </t>
  </si>
  <si>
    <t xml:space="preserve">M- NITRO BENZOIC ACID </t>
  </si>
  <si>
    <t>P- NITRO BENZOIC ACID</t>
  </si>
  <si>
    <t>NITRO ETHANOL</t>
  </si>
  <si>
    <t xml:space="preserve">ALPHA - NITRO NAPHTHALENE </t>
  </si>
  <si>
    <t xml:space="preserve">O- NITRO PHENOL </t>
  </si>
  <si>
    <t>M- NITRO PHENOL</t>
  </si>
  <si>
    <t xml:space="preserve">P- NITRO PHENOL </t>
  </si>
  <si>
    <t>O- NITRO TOLUENE</t>
  </si>
  <si>
    <t>P- NITRO TOLUENE.</t>
  </si>
  <si>
    <t xml:space="preserve">L- NITRO-2-NAPTHOL </t>
  </si>
  <si>
    <t>OIL CEDER (MICROSCOPY)</t>
  </si>
  <si>
    <t>OIL OF LEMON</t>
  </si>
  <si>
    <t>OLEIC ACID</t>
  </si>
  <si>
    <t xml:space="preserve">OXALIC ACID </t>
  </si>
  <si>
    <t>OXALIC ACID A.R.</t>
  </si>
  <si>
    <t>PALMITIC ACID</t>
  </si>
  <si>
    <t xml:space="preserve">PARA 1(2PYRIDYLAZO-2-NAPHTOL) </t>
  </si>
  <si>
    <t>PARAFFIN LIQUID</t>
  </si>
  <si>
    <t>PARAFFIN WAX</t>
  </si>
  <si>
    <t>PETROLEUM GELLY</t>
  </si>
  <si>
    <t>PHENACETIN</t>
  </si>
  <si>
    <t>PHENATHRENE</t>
  </si>
  <si>
    <t>P- PHENETIDINE</t>
  </si>
  <si>
    <t>PHENOL</t>
  </si>
  <si>
    <t>PHENOL PHTHALEIN</t>
  </si>
  <si>
    <t>PHENYL ACETATE</t>
  </si>
  <si>
    <t xml:space="preserve">PHENYL ACETIC ACID </t>
  </si>
  <si>
    <t>PHENYL ANTHRANILIC ACID</t>
  </si>
  <si>
    <t>PHENYL BENZOATE</t>
  </si>
  <si>
    <t xml:space="preserve">O- PHENYLENE DIAMINE </t>
  </si>
  <si>
    <t>M-PHENYLENE DIAMINE</t>
  </si>
  <si>
    <t xml:space="preserve">P- PHENYLENE DIAMINE </t>
  </si>
  <si>
    <t>BETA-PHENYL ETHANOL</t>
  </si>
  <si>
    <t>PHENYL HYADRAZINE</t>
  </si>
  <si>
    <t>PHENYL HYADRAZINE HYDROCHLORIDE</t>
  </si>
  <si>
    <t>PHENYL SALICYLATE</t>
  </si>
  <si>
    <t xml:space="preserve">PHLOROGLUCINOL </t>
  </si>
  <si>
    <t>PHTHALIE ACID</t>
  </si>
  <si>
    <t>PHTHALIC ANHYDRIDE</t>
  </si>
  <si>
    <t>PHTHALIMIDE</t>
  </si>
  <si>
    <t xml:space="preserve">GAMA- PICOLINE </t>
  </si>
  <si>
    <t>PICRIC ACID</t>
  </si>
  <si>
    <t>PIPERAZINE</t>
  </si>
  <si>
    <t>PIPERIDINE</t>
  </si>
  <si>
    <t>PROPIONIC ACID</t>
  </si>
  <si>
    <t>ISO PROPYL ALCOHOL</t>
  </si>
  <si>
    <t>ISO- PROPYL ALCOHOL AR</t>
  </si>
  <si>
    <t xml:space="preserve">PROPYL ALCOHOL </t>
  </si>
  <si>
    <t>DI- ISO PROPYL ETHER</t>
  </si>
  <si>
    <t>PROPYLENE GLYCOL</t>
  </si>
  <si>
    <t>PROPYLENE OXIDE</t>
  </si>
  <si>
    <t>PYRAZOLINE</t>
  </si>
  <si>
    <t xml:space="preserve">PYRIDINE </t>
  </si>
  <si>
    <t>PYRIDINE AR</t>
  </si>
  <si>
    <t>PYRA GALLIC ACID</t>
  </si>
  <si>
    <t>PYRA GALLOL</t>
  </si>
  <si>
    <t>QUINALDINE RED</t>
  </si>
  <si>
    <t xml:space="preserve">QUINHYDRONE </t>
  </si>
  <si>
    <t>QUINE SULPHATE</t>
  </si>
  <si>
    <t>QUINALINE</t>
  </si>
  <si>
    <t>QUINONE (BENZO QUINONE)</t>
  </si>
  <si>
    <t>RAFFINOSE</t>
  </si>
  <si>
    <t>RESIN</t>
  </si>
  <si>
    <t>RESORCINOL</t>
  </si>
  <si>
    <t>ROSILINE (ROSIN)</t>
  </si>
  <si>
    <t>ROSIN</t>
  </si>
  <si>
    <t>SACCHARINE</t>
  </si>
  <si>
    <t xml:space="preserve">SALICYLALDEHYDE </t>
  </si>
  <si>
    <t>SALICYLIC ACID</t>
  </si>
  <si>
    <t>SALOL</t>
  </si>
  <si>
    <t>SCARLET R</t>
  </si>
  <si>
    <t>SABACIC ACID</t>
  </si>
  <si>
    <t>SEMICARBAZIDE</t>
  </si>
  <si>
    <t>D-L- SERINE</t>
  </si>
  <si>
    <t>SILICA GEL G (FOR T. L. C.)</t>
  </si>
  <si>
    <t>SILICA GEL (FOR CHROMATOGRAPHY)</t>
  </si>
  <si>
    <t>SILICA GEL WHITE</t>
  </si>
  <si>
    <t>SILICA ACID</t>
  </si>
  <si>
    <t>SILICON COMPOUND (LUBRICANT)</t>
  </si>
  <si>
    <t>SODA LIME</t>
  </si>
  <si>
    <t>SODIUM BENZOATE</t>
  </si>
  <si>
    <t>SODIUM BOROHYDRIDE (B. D. H.) SODIUM DIPHENYL SULPHONATE</t>
  </si>
  <si>
    <t xml:space="preserve">SODIUM SALICYLATE </t>
  </si>
  <si>
    <t>SOLUBLE BLUE</t>
  </si>
  <si>
    <t xml:space="preserve">SOYABEAN MEAL </t>
  </si>
  <si>
    <t>STARCH SOLUBLE</t>
  </si>
  <si>
    <t>STARCH AR</t>
  </si>
  <si>
    <t>STEARIC ACID</t>
  </si>
  <si>
    <t>STILBENE</t>
  </si>
  <si>
    <t>SUCCINIC ACID</t>
  </si>
  <si>
    <t>SUCROSE</t>
  </si>
  <si>
    <t>SUCROSE AR</t>
  </si>
  <si>
    <t xml:space="preserve">SULPHANILAMIDE </t>
  </si>
  <si>
    <t>SULPHANILIC ACID</t>
  </si>
  <si>
    <t>TANNIC ACID</t>
  </si>
  <si>
    <t>D(+)- TARTARIC ACID AR</t>
  </si>
  <si>
    <t>(+) TARTARIC ACID</t>
  </si>
  <si>
    <t>TARTRAZINE</t>
  </si>
  <si>
    <t>TERAPHTHALIC ACID</t>
  </si>
  <si>
    <t>TERPENTINE</t>
  </si>
  <si>
    <t>TETRAHYDRO FURAN 1,2,5,8,TETRAHYDROXY ANTHRAQUINONE(REAGENT FOR MG)</t>
  </si>
  <si>
    <t>THEOPHYLLINE</t>
  </si>
  <si>
    <t xml:space="preserve">THIOGLYCOLLIC ACID </t>
  </si>
  <si>
    <t>THIONYL CHLORIDE</t>
  </si>
  <si>
    <t xml:space="preserve">THIOPHENE </t>
  </si>
  <si>
    <t>THIO UREA</t>
  </si>
  <si>
    <t>THYMOL</t>
  </si>
  <si>
    <t>TOLUENE</t>
  </si>
  <si>
    <t>TOLUENE-4-SULPHONIC ACID</t>
  </si>
  <si>
    <t>TOLUENE-4-SULPHONYL CHLORIDE</t>
  </si>
  <si>
    <t>O-TOLUIDINE</t>
  </si>
  <si>
    <t>P-TOLUIDINE</t>
  </si>
  <si>
    <t>TRIACTIN</t>
  </si>
  <si>
    <t>2,4,6,TRIBROMO ANILINE</t>
  </si>
  <si>
    <t>2,4,6,TRIBROMO PHENOL</t>
  </si>
  <si>
    <t>TRIETHYL AMINE</t>
  </si>
  <si>
    <t>TRI PHENUL PHOSPHINE</t>
  </si>
  <si>
    <t>DL-TRPTOPHAN</t>
  </si>
  <si>
    <t>TURMERIC POWDER</t>
  </si>
  <si>
    <t>UREA</t>
  </si>
  <si>
    <t>URIC ACID AR</t>
  </si>
  <si>
    <t>XYLENE</t>
  </si>
  <si>
    <t>WIG'S SOLUTION</t>
  </si>
  <si>
    <t>5,5-DIETHYL BARBITURIC ACID</t>
  </si>
  <si>
    <t>D-XYLOSE PURISIS</t>
  </si>
  <si>
    <t>REMARKS</t>
  </si>
  <si>
    <t>COMMON / NOT</t>
  </si>
  <si>
    <t>CHEMICALS PASSWORD123</t>
  </si>
  <si>
    <t>C</t>
  </si>
  <si>
    <t>N</t>
  </si>
  <si>
    <t>COPPER ALLOY</t>
  </si>
  <si>
    <t>SODIUM OXALATE   A</t>
  </si>
  <si>
    <t>ACETALDEDYDE</t>
  </si>
  <si>
    <t>OR CHEM 1</t>
  </si>
  <si>
    <t>ACETANILIDE</t>
  </si>
  <si>
    <t>CARBAZOL</t>
  </si>
  <si>
    <t>IN CHEM 02</t>
  </si>
  <si>
    <t>IN CHEM 09</t>
  </si>
  <si>
    <t>IN CHEM 13</t>
  </si>
  <si>
    <t>OR CHEM 2</t>
  </si>
  <si>
    <t>OR CHEM 3</t>
  </si>
  <si>
    <t>OR CHEM 4</t>
  </si>
  <si>
    <t>OR CHEM 5</t>
  </si>
  <si>
    <t>OR CHEM 6</t>
  </si>
  <si>
    <t>OR CHEM 7</t>
  </si>
  <si>
    <t>OR CHEM 8</t>
  </si>
  <si>
    <t>OR CHEM 9</t>
  </si>
  <si>
    <t>OR CHEM 10</t>
  </si>
  <si>
    <t>OR CHEM 11</t>
  </si>
  <si>
    <t>OR CHEM 12</t>
  </si>
  <si>
    <t>OR CHEM 13</t>
  </si>
  <si>
    <t>OR CHEM 14</t>
  </si>
  <si>
    <t>OR CHEM 15</t>
  </si>
  <si>
    <t>OR CHEM 16</t>
  </si>
  <si>
    <t>OR CHEM 17</t>
  </si>
  <si>
    <t>OR CHEM 18</t>
  </si>
  <si>
    <t>OR CHEM 19</t>
  </si>
  <si>
    <t>OR CHEM 20</t>
  </si>
  <si>
    <t>OR CHEM 21</t>
  </si>
  <si>
    <t>OR CHEM 22</t>
  </si>
  <si>
    <t>OR CHEM 23</t>
  </si>
  <si>
    <t>OR CHEM 24</t>
  </si>
  <si>
    <t>OR CHEM 25</t>
  </si>
  <si>
    <t>OR CHEM 26</t>
  </si>
  <si>
    <t>OR CHEM 27</t>
  </si>
  <si>
    <t>OR CHEM 28</t>
  </si>
  <si>
    <t>OR CHEM 29</t>
  </si>
  <si>
    <t>OR CHEM 30</t>
  </si>
  <si>
    <t>OR CHEM 31</t>
  </si>
  <si>
    <t>OR CHEM 32</t>
  </si>
  <si>
    <t>OR CHEM 33</t>
  </si>
  <si>
    <t>OR CHEM 34</t>
  </si>
  <si>
    <t>OR CHEM 35</t>
  </si>
  <si>
    <t>OR CHEM 36</t>
  </si>
  <si>
    <t>OR CHEM 37</t>
  </si>
  <si>
    <t>OR CHEM 38</t>
  </si>
  <si>
    <t>OR CHEM 39</t>
  </si>
  <si>
    <t>OR CHEM 40</t>
  </si>
  <si>
    <t>OR CHEM 41</t>
  </si>
  <si>
    <t>OR CHEM 42</t>
  </si>
  <si>
    <t>OR CHEM 43</t>
  </si>
  <si>
    <t>OR CHEM 44</t>
  </si>
  <si>
    <t>OR CHEM 45</t>
  </si>
  <si>
    <t>OR CHEM 46</t>
  </si>
  <si>
    <t>OR CHEM 47</t>
  </si>
  <si>
    <t>OR CHEM 48</t>
  </si>
  <si>
    <t>OR CHEM 49</t>
  </si>
  <si>
    <t>OR CHEM 50</t>
  </si>
  <si>
    <t>OR CHEM 51</t>
  </si>
  <si>
    <t>OR CHEM 52</t>
  </si>
  <si>
    <t>OR CHEM 53</t>
  </si>
  <si>
    <t>OR CHEM 54</t>
  </si>
  <si>
    <t>OR CHEM 55</t>
  </si>
  <si>
    <t>OR CHEM 56</t>
  </si>
  <si>
    <t>OR CHEM 57</t>
  </si>
  <si>
    <t>OR CHEM 58</t>
  </si>
  <si>
    <t>OR CHEM 59</t>
  </si>
  <si>
    <t>OR CHEM 60</t>
  </si>
  <si>
    <t>OR CHEM 61</t>
  </si>
  <si>
    <t>OR CHEM 62</t>
  </si>
  <si>
    <t>OR CHEM 63</t>
  </si>
  <si>
    <t>OR CHEM 64</t>
  </si>
  <si>
    <t>OR CHEM 65</t>
  </si>
  <si>
    <t>OR CHEM 66</t>
  </si>
  <si>
    <t>OR CHEM 67</t>
  </si>
  <si>
    <t>OR CHEM 68</t>
  </si>
  <si>
    <t>OR CHEM 69</t>
  </si>
  <si>
    <t>OR CHEM 70</t>
  </si>
  <si>
    <t>OR CHEM 71</t>
  </si>
  <si>
    <t>OR CHEM 72</t>
  </si>
  <si>
    <t>OR CHEM 73</t>
  </si>
  <si>
    <t>OR CHEM 74</t>
  </si>
  <si>
    <t>OR CHEM 75</t>
  </si>
  <si>
    <t>OR CHEM 76</t>
  </si>
  <si>
    <t>OR CHEM 77</t>
  </si>
  <si>
    <t>OR CHEM 78</t>
  </si>
  <si>
    <t>OR CHEM 79</t>
  </si>
  <si>
    <t>OR CHEM 80</t>
  </si>
  <si>
    <t>OR CHEM 81</t>
  </si>
  <si>
    <t>OR CHEM 82</t>
  </si>
  <si>
    <t>OR CHEM 83</t>
  </si>
  <si>
    <t>OR CHEM 84</t>
  </si>
  <si>
    <t>OR CHEM 85</t>
  </si>
  <si>
    <t>OR CHEM 86</t>
  </si>
  <si>
    <t>OR CHEM 87</t>
  </si>
  <si>
    <t>OR CHEM 88</t>
  </si>
  <si>
    <t>OR CHEM 89</t>
  </si>
  <si>
    <t>OR CHEM 90</t>
  </si>
  <si>
    <t>OR CHEM 91</t>
  </si>
  <si>
    <t>OR CHEM 92</t>
  </si>
  <si>
    <t>OR CHEM 93</t>
  </si>
  <si>
    <t>OR CHEM 94</t>
  </si>
  <si>
    <t>OR CHEM 95</t>
  </si>
  <si>
    <t>OR CHEM 96</t>
  </si>
  <si>
    <t>OR CHEM 97</t>
  </si>
  <si>
    <t>OR CHEM 98</t>
  </si>
  <si>
    <t>OR CHEM 99</t>
  </si>
  <si>
    <t>OR CHEM 100</t>
  </si>
  <si>
    <t>OR CHEM 101</t>
  </si>
  <si>
    <t>OR CHEM 102</t>
  </si>
  <si>
    <t>OR CHEM 103</t>
  </si>
  <si>
    <t>OR CHEM 104</t>
  </si>
  <si>
    <t>OR CHEM 105</t>
  </si>
  <si>
    <t>OR CHEM 106</t>
  </si>
  <si>
    <t>OR CHEM 107</t>
  </si>
  <si>
    <t>OR CHEM 108</t>
  </si>
  <si>
    <t>OR CHEM 109</t>
  </si>
  <si>
    <t>OR CHEM 110</t>
  </si>
  <si>
    <t>OR CHEM 111</t>
  </si>
  <si>
    <t>OR CHEM 112</t>
  </si>
  <si>
    <t>OR CHEM 113</t>
  </si>
  <si>
    <t>OR CHEM 114</t>
  </si>
  <si>
    <t>OR CHEM 115</t>
  </si>
  <si>
    <t>OR CHEM 116</t>
  </si>
  <si>
    <t>OR CHEM 117</t>
  </si>
  <si>
    <t>OR CHEM 118</t>
  </si>
  <si>
    <t>OR CHEM 119</t>
  </si>
  <si>
    <t>OR CHEM 120</t>
  </si>
  <si>
    <t>OR CHEM 121</t>
  </si>
  <si>
    <t>OR CHEM 122</t>
  </si>
  <si>
    <t>OR CHEM 123</t>
  </si>
  <si>
    <t>OR CHEM 124</t>
  </si>
  <si>
    <t>OR CHEM 125</t>
  </si>
  <si>
    <t>OR CHEM 126</t>
  </si>
  <si>
    <t>OR CHEM 127</t>
  </si>
  <si>
    <t>OR CHEM 128</t>
  </si>
  <si>
    <t>OR CHEM 129</t>
  </si>
  <si>
    <t>OR CHEM 130</t>
  </si>
  <si>
    <t>OR CHEM 131</t>
  </si>
  <si>
    <t>OR CHEM 132</t>
  </si>
  <si>
    <t>OR CHEM 133</t>
  </si>
  <si>
    <t>OR CHEM 134</t>
  </si>
  <si>
    <t>OR CHEM 135</t>
  </si>
  <si>
    <t>OR CHEM 136</t>
  </si>
  <si>
    <t>OR CHEM 137</t>
  </si>
  <si>
    <t>OR CHEM 138</t>
  </si>
  <si>
    <t>OR CHEM 139</t>
  </si>
  <si>
    <t>OR CHEM 140</t>
  </si>
  <si>
    <t>OR CHEM 141</t>
  </si>
  <si>
    <t>OR CHEM 142</t>
  </si>
  <si>
    <t>OR CHEM 143</t>
  </si>
  <si>
    <t>OR CHEM 144</t>
  </si>
  <si>
    <t>OR CHEM 145</t>
  </si>
  <si>
    <t>OR CHEM 146</t>
  </si>
  <si>
    <t>OR CHEM 147</t>
  </si>
  <si>
    <t>OR CHEM 148</t>
  </si>
  <si>
    <t>OR CHEM 149</t>
  </si>
  <si>
    <t>OR CHEM 150</t>
  </si>
  <si>
    <t>OR CHEM 151</t>
  </si>
  <si>
    <t>OR CHEM 152</t>
  </si>
  <si>
    <t>OR CHEM 153</t>
  </si>
  <si>
    <t>OR CHEM 154</t>
  </si>
  <si>
    <t>OR CHEM 155</t>
  </si>
  <si>
    <t>OR CHEM 156</t>
  </si>
  <si>
    <t>OR CHEM 157</t>
  </si>
  <si>
    <t>OR CHEM 158</t>
  </si>
  <si>
    <t>OR CHEM 159</t>
  </si>
  <si>
    <t>OR CHEM 160</t>
  </si>
  <si>
    <t>OR CHEM 161</t>
  </si>
  <si>
    <t>OR CHEM 162</t>
  </si>
  <si>
    <t>OR CHEM 163</t>
  </si>
  <si>
    <t>OR CHEM 164</t>
  </si>
  <si>
    <t>OR CHEM 165</t>
  </si>
  <si>
    <t>OR CHEM 166</t>
  </si>
  <si>
    <t>OR CHEM 167</t>
  </si>
  <si>
    <t>OR CHEM 168</t>
  </si>
  <si>
    <t>OR CHEM 169</t>
  </si>
  <si>
    <t>OR CHEM 170</t>
  </si>
  <si>
    <t>OR CHEM 171</t>
  </si>
  <si>
    <t>OR CHEM 172</t>
  </si>
  <si>
    <t>OR CHEM 173</t>
  </si>
  <si>
    <t>OR CHEM 174</t>
  </si>
  <si>
    <t>OR CHEM 175</t>
  </si>
  <si>
    <t>OR CHEM 176</t>
  </si>
  <si>
    <t>OR CHEM 177</t>
  </si>
  <si>
    <t>OR CHEM 178</t>
  </si>
  <si>
    <t>OR CHEM 179</t>
  </si>
  <si>
    <t>OR CHEM 180</t>
  </si>
  <si>
    <t>OR CHEM 181</t>
  </si>
  <si>
    <t>OR CHEM 182</t>
  </si>
  <si>
    <t>OR CHEM 183</t>
  </si>
  <si>
    <t>OR CHEM 184</t>
  </si>
  <si>
    <t>OR CHEM 185</t>
  </si>
  <si>
    <t>OR CHEM 186</t>
  </si>
  <si>
    <t>OR CHEM 187</t>
  </si>
  <si>
    <t>OR CHEM 188</t>
  </si>
  <si>
    <t>OR CHEM 189</t>
  </si>
  <si>
    <t>OR CHEM 190</t>
  </si>
  <si>
    <t>OR CHEM 191</t>
  </si>
  <si>
    <t>OR CHEM 192</t>
  </si>
  <si>
    <t>OR CHEM 193</t>
  </si>
  <si>
    <t>OR CHEM 194</t>
  </si>
  <si>
    <t>OR CHEM 195</t>
  </si>
  <si>
    <t>OR CHEM 196</t>
  </si>
  <si>
    <t>OR CHEM 197</t>
  </si>
  <si>
    <t>OR CHEM 198</t>
  </si>
  <si>
    <t>OR CHEM 199</t>
  </si>
  <si>
    <t>OR CHEM 200</t>
  </si>
  <si>
    <t>OR CHEM 201</t>
  </si>
  <si>
    <t>OR CHEM 202</t>
  </si>
  <si>
    <t>OR CHEM 203</t>
  </si>
  <si>
    <t>OR CHEM 204</t>
  </si>
  <si>
    <t>OR CHEM 205</t>
  </si>
  <si>
    <t>OR CHEM 206</t>
  </si>
  <si>
    <t>OR CHEM 207</t>
  </si>
  <si>
    <t>OR CHEM 208</t>
  </si>
  <si>
    <t>OR CHEM 209</t>
  </si>
  <si>
    <t>OR CHEM 210</t>
  </si>
  <si>
    <t>OR CHEM 211</t>
  </si>
  <si>
    <t>OR CHEM 212</t>
  </si>
  <si>
    <t>OR CHEM 213</t>
  </si>
  <si>
    <t>OR CHEM 214</t>
  </si>
  <si>
    <t>OR CHEM 215</t>
  </si>
  <si>
    <t>OR CHEM 216</t>
  </si>
  <si>
    <t>OR CHEM 217</t>
  </si>
  <si>
    <t>OR CHEM 218</t>
  </si>
  <si>
    <t>OR CHEM 219</t>
  </si>
  <si>
    <t>OR CHEM 220</t>
  </si>
  <si>
    <t>OR CHEM 221</t>
  </si>
  <si>
    <t>OR CHEM 222</t>
  </si>
  <si>
    <t>OR CHEM 223</t>
  </si>
  <si>
    <t>OR CHEM 224</t>
  </si>
  <si>
    <t>OR CHEM 225</t>
  </si>
  <si>
    <t>OR CHEM 226</t>
  </si>
  <si>
    <t>OR CHEM 227</t>
  </si>
  <si>
    <t>OR CHEM 228</t>
  </si>
  <si>
    <t>OR CHEM 229</t>
  </si>
  <si>
    <t>OR CHEM 230</t>
  </si>
  <si>
    <t>OR CHEM 231</t>
  </si>
  <si>
    <t>OR CHEM 232</t>
  </si>
  <si>
    <t>OR CHEM 233</t>
  </si>
  <si>
    <t>OR CHEM 234</t>
  </si>
  <si>
    <t>OR CHEM 235</t>
  </si>
  <si>
    <t>OR CHEM 236</t>
  </si>
  <si>
    <t>OR CHEM 237</t>
  </si>
  <si>
    <t>OR CHEM 238</t>
  </si>
  <si>
    <t>OR CHEM 239</t>
  </si>
  <si>
    <t>OR CHEM 240</t>
  </si>
  <si>
    <t>OR CHEM 241</t>
  </si>
  <si>
    <t>OR CHEM 242</t>
  </si>
  <si>
    <t>OR CHEM 243</t>
  </si>
  <si>
    <t>OR CHEM 244</t>
  </si>
  <si>
    <t>OR CHEM 245</t>
  </si>
  <si>
    <t>OR CHEM 246</t>
  </si>
  <si>
    <t>OR CHEM 247</t>
  </si>
  <si>
    <t>OR CHEM 248</t>
  </si>
  <si>
    <t>OR CHEM 249</t>
  </si>
  <si>
    <t>OR CHEM 250</t>
  </si>
  <si>
    <t>OR CHEM 251</t>
  </si>
  <si>
    <t>OR CHEM 252</t>
  </si>
  <si>
    <t>OR CHEM 253</t>
  </si>
  <si>
    <t>OR CHEM 254</t>
  </si>
  <si>
    <t>OR CHEM 255</t>
  </si>
  <si>
    <t>OR CHEM 256</t>
  </si>
  <si>
    <t>OR CHEM 257</t>
  </si>
  <si>
    <t>OR CHEM 258</t>
  </si>
  <si>
    <t>OR CHEM 259</t>
  </si>
  <si>
    <t>OR CHEM 260</t>
  </si>
  <si>
    <t>OR CHEM 261</t>
  </si>
  <si>
    <t>OR CHEM 262</t>
  </si>
  <si>
    <t>OR CHEM 263</t>
  </si>
  <si>
    <t>OR CHEM 264</t>
  </si>
  <si>
    <t>OR CHEM 265</t>
  </si>
  <si>
    <t>OR CHEM 266</t>
  </si>
  <si>
    <t>OR CHEM 267</t>
  </si>
  <si>
    <t>OR CHEM 268</t>
  </si>
  <si>
    <t>OR CHEM 269</t>
  </si>
  <si>
    <t>OR CHEM 270</t>
  </si>
  <si>
    <t>OR CHEM 271</t>
  </si>
  <si>
    <t>OR CHEM 272</t>
  </si>
  <si>
    <t>OR CHEM 273</t>
  </si>
  <si>
    <t>OR CHEM 274</t>
  </si>
  <si>
    <t>OR CHEM 275</t>
  </si>
  <si>
    <t>OR CHEM 276</t>
  </si>
  <si>
    <t>OR CHEM 277</t>
  </si>
  <si>
    <t>OR CHEM 278</t>
  </si>
  <si>
    <t>OR CHEM 279</t>
  </si>
  <si>
    <t>OR CHEM 280</t>
  </si>
  <si>
    <t>OR CHEM 281</t>
  </si>
  <si>
    <t>OR CHEM 282</t>
  </si>
  <si>
    <t>OR CHEM 283</t>
  </si>
  <si>
    <t>OR CHEM 284</t>
  </si>
  <si>
    <t>OR CHEM 285</t>
  </si>
  <si>
    <t>OR CHEM 286</t>
  </si>
  <si>
    <t>OR CHEM 287</t>
  </si>
  <si>
    <t>OR CHEM 288</t>
  </si>
  <si>
    <t>OR CHEM 289</t>
  </si>
  <si>
    <t>OR CHEM 290</t>
  </si>
  <si>
    <t>OR CHEM 291</t>
  </si>
  <si>
    <t>OR CHEM 292</t>
  </si>
  <si>
    <t>OR CHEM 293</t>
  </si>
  <si>
    <t>OR CHEM 294</t>
  </si>
  <si>
    <t>OR CHEM 295</t>
  </si>
  <si>
    <t>OR CHEM 296</t>
  </si>
  <si>
    <t>OR CHEM 297</t>
  </si>
  <si>
    <t>OR CHEM 298</t>
  </si>
  <si>
    <t>OR CHEM 299</t>
  </si>
  <si>
    <t>OR CHEM 300</t>
  </si>
  <si>
    <t>OR CHEM 301</t>
  </si>
  <si>
    <t>OR CHEM 302</t>
  </si>
  <si>
    <t>OR CHEM 303</t>
  </si>
  <si>
    <t>OR CHEM 304</t>
  </si>
  <si>
    <t>OR CHEM 305</t>
  </si>
  <si>
    <t>OR CHEM 306</t>
  </si>
  <si>
    <t>OR CHEM 307</t>
  </si>
  <si>
    <t>OR CHEM 308</t>
  </si>
  <si>
    <t>OR CHEM 309</t>
  </si>
  <si>
    <t>OR CHEM 310</t>
  </si>
  <si>
    <t>OR CHEM 311</t>
  </si>
  <si>
    <t>OR CHEM 312</t>
  </si>
  <si>
    <t>OR CHEM 313</t>
  </si>
  <si>
    <t>OR CHEM 314</t>
  </si>
  <si>
    <t>OR CHEM 315</t>
  </si>
  <si>
    <t>OR CHEM 316</t>
  </si>
  <si>
    <t>OR CHEM 317</t>
  </si>
  <si>
    <t>OR CHEM 318</t>
  </si>
  <si>
    <t>OR CHEM 319</t>
  </si>
  <si>
    <t>OR CHEM 320</t>
  </si>
  <si>
    <t>OR CHEM 321</t>
  </si>
  <si>
    <t>OR CHEM 322</t>
  </si>
  <si>
    <t>OR CHEM 323</t>
  </si>
  <si>
    <t>OR CHEM 324</t>
  </si>
  <si>
    <t>OR CHEM 325</t>
  </si>
  <si>
    <t>OR CHEM 326</t>
  </si>
  <si>
    <t>OR CHEM 327</t>
  </si>
  <si>
    <t>OR CHEM 328</t>
  </si>
  <si>
    <t>OR CHEM 329</t>
  </si>
  <si>
    <t>OR CHEM 330</t>
  </si>
  <si>
    <t>OR CHEM 331</t>
  </si>
  <si>
    <t>OR CHEM 332</t>
  </si>
  <si>
    <t>OR CHEM 333</t>
  </si>
  <si>
    <t>OR CHEM 334</t>
  </si>
  <si>
    <t>OR CHEM 335</t>
  </si>
  <si>
    <t>OR CHEM 336</t>
  </si>
  <si>
    <t>OR CHEM 337</t>
  </si>
  <si>
    <t>OR CHEM 338</t>
  </si>
  <si>
    <t>OR CHEM 339</t>
  </si>
  <si>
    <t>OR CHEM 340</t>
  </si>
  <si>
    <t>OR CHEM 341</t>
  </si>
  <si>
    <t>OR CHEM 342</t>
  </si>
  <si>
    <t>OR CHEM 343</t>
  </si>
  <si>
    <t>OR CHEM 344</t>
  </si>
  <si>
    <t>OR CHEM 345</t>
  </si>
  <si>
    <t>OR CHEM 346</t>
  </si>
  <si>
    <t>OR CHEM 347</t>
  </si>
  <si>
    <t>OR CHEM 348</t>
  </si>
  <si>
    <t>OR CHEM 349</t>
  </si>
  <si>
    <t>OR CHEM 350</t>
  </si>
  <si>
    <t>OR CHEM 351</t>
  </si>
  <si>
    <t>OR CHEM 352</t>
  </si>
  <si>
    <t>OR CHEM 353</t>
  </si>
  <si>
    <t>OR CHEM 354</t>
  </si>
  <si>
    <t>OR CHEM 355</t>
  </si>
  <si>
    <t>OR CHEM 356</t>
  </si>
  <si>
    <t>OR CHEM 357</t>
  </si>
  <si>
    <t>OR CHEM 358</t>
  </si>
  <si>
    <t>OR CHEM 359</t>
  </si>
  <si>
    <t>OR CHEM 360</t>
  </si>
  <si>
    <t>OR CHEM 361</t>
  </si>
  <si>
    <t>OR CHEM 362</t>
  </si>
  <si>
    <t>OR CHEM 363</t>
  </si>
  <si>
    <t>OR CHEM 364</t>
  </si>
  <si>
    <t>OR CHEM 365</t>
  </si>
  <si>
    <t>OR CHEM 366</t>
  </si>
  <si>
    <t>OR CHEM 367</t>
  </si>
  <si>
    <t>OR CHEM 368</t>
  </si>
  <si>
    <t>OR CHEM 369</t>
  </si>
  <si>
    <t>OR CHEM 370</t>
  </si>
  <si>
    <t>OR CHEM 371</t>
  </si>
  <si>
    <t>OR CHEM 373</t>
  </si>
  <si>
    <t>OR CHEM 374</t>
  </si>
  <si>
    <t>FERROUS AMMONIUM SULPHATE mohr</t>
  </si>
  <si>
    <t>AMMONIUM SULPHO CYANIDE(THIOCYNATE)</t>
  </si>
  <si>
    <t xml:space="preserve"> </t>
  </si>
  <si>
    <t>O- NITRO PHENOL…..</t>
  </si>
  <si>
    <t>TITANIUM TETRAISOPROPOXIDE</t>
  </si>
  <si>
    <t xml:space="preserve">CHEMICALS </t>
  </si>
  <si>
    <t>LAB ASSISTANTS : Mr. Pauljo Paul, Mr.Fredy James, Mr.Jaison Jose</t>
  </si>
  <si>
    <t>Here Change the Chemical Number</t>
  </si>
  <si>
    <t>IN CHEM</t>
  </si>
  <si>
    <t>OR CHEM</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</si>
</sst>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 #,##0.00_);_(* \(#,##0.00\);_(* &quot;-&quot;??_);_(@_)"/>
    <numFmt numFmtId="165" formatCode="0.000"/>
    <numFmt numFmtId="166" formatCode="_(* #,##0.000_);_(* \(#,##0.000\);_(* &quot;-&quot;??_);_(@_)"/>
    <numFmt numFmtId="167" formatCode="_(* #,##0_);_(* \(#,##0\);_(* &quot;-&quot;??_);_(@_)"/>
    <numFmt numFmtId="168" formatCode="&quot;₹&quot;\ #,##0.00"/>
    <numFmt numFmtId="169" formatCode="&quot;₹&quot;\ #,##0.000"/>
  </numFmts>
  <fonts count="21" x14ac:knownFonts="1">
    <font>
      <sz val="10"/>
      <name val="Arial"/>
      <family val="2"/>
    </font>
    <font>
      <sz val="11"/>
      <color indexed="8"/>
      <name val="Arial"/>
      <family val="2"/>
    </font>
    <font>
      <sz val="8"/>
      <name val="Arial"/>
      <family val="2"/>
    </font>
    <font>
      <sz val="10"/>
      <name val="Arial"/>
      <family val="2"/>
      <charset val="178"/>
    </font>
    <font>
      <sz val="10"/>
      <name val="Arial"/>
      <family val="2"/>
    </font>
    <font>
      <sz val="8"/>
      <name val="Arial"/>
      <family val="2"/>
      <charset val="178"/>
    </font>
    <font>
      <b/>
      <sz val="9"/>
      <name val="Cambria"/>
      <family val="1"/>
      <scheme val="major"/>
    </font>
    <font>
      <b/>
      <sz val="10"/>
      <name val="Cambria"/>
      <family val="1"/>
      <scheme val="major"/>
    </font>
    <font>
      <sz val="12"/>
      <name val="Cambria"/>
      <family val="1"/>
      <scheme val="major"/>
    </font>
    <font>
      <sz val="10"/>
      <name val="Cambria"/>
      <family val="1"/>
      <scheme val="major"/>
    </font>
    <font>
      <b/>
      <u/>
      <sz val="9"/>
      <name val="Cambria"/>
      <family val="1"/>
      <scheme val="major"/>
    </font>
    <font>
      <sz val="11"/>
      <name val="Cambria"/>
      <family val="1"/>
      <scheme val="major"/>
    </font>
    <font>
      <b/>
      <sz val="11"/>
      <name val="Cambria"/>
      <family val="1"/>
      <scheme val="major"/>
    </font>
    <font>
      <b/>
      <sz val="12"/>
      <color indexed="30"/>
      <name val="Cambria"/>
      <family val="1"/>
      <scheme val="major"/>
    </font>
    <font>
      <b/>
      <sz val="11"/>
      <color rgb="FFFF0000"/>
      <name val="Cambria"/>
      <family val="1"/>
      <scheme val="major"/>
    </font>
    <font>
      <b/>
      <sz val="14"/>
      <color theme="3" tint="-0.499984740745262"/>
      <name val="Cambria"/>
      <family val="1"/>
      <scheme val="major"/>
    </font>
    <font>
      <b/>
      <sz val="18"/>
      <color rgb="FFFF0000"/>
      <name val="Cambria"/>
      <family val="1"/>
      <scheme val="major"/>
    </font>
    <font>
      <b/>
      <sz val="10"/>
      <color indexed="30"/>
      <name val="Cambria"/>
      <family val="1"/>
      <scheme val="major"/>
    </font>
    <font>
      <b/>
      <sz val="10"/>
      <color rgb="FFFF0000"/>
      <name val="Cambria"/>
      <family val="1"/>
      <scheme val="major"/>
    </font>
    <font>
      <b/>
      <sz val="12"/>
      <name val="Cambria"/>
      <family val="1"/>
      <scheme val="major"/>
    </font>
    <font>
      <sz val="16"/>
      <name val="Cambria"/>
      <family val="1"/>
      <scheme val="major"/>
    </font>
  </fonts>
  <fills count="15">
    <fill>
      <patternFill patternType="none"/>
    </fill>
    <fill>
      <patternFill patternType="gray125"/>
    </fill>
    <fill>
      <patternFill patternType="solid">
        <fgColor indexed="41"/>
        <bgColor indexed="64"/>
      </patternFill>
    </fill>
    <fill>
      <patternFill patternType="solid">
        <fgColor theme="0"/>
        <bgColor indexed="64"/>
      </patternFill>
    </fill>
    <fill>
      <patternFill patternType="solid">
        <fgColor theme="3" tint="0.59999389629810485"/>
        <bgColor indexed="64"/>
      </patternFill>
    </fill>
    <fill>
      <patternFill patternType="solid">
        <fgColor theme="5" tint="0.39997558519241921"/>
        <bgColor indexed="64"/>
      </patternFill>
    </fill>
    <fill>
      <patternFill patternType="solid">
        <fgColor theme="6" tint="-0.249977111117893"/>
        <bgColor indexed="64"/>
      </patternFill>
    </fill>
    <fill>
      <patternFill patternType="solid">
        <fgColor theme="9" tint="0.39997558519241921"/>
        <bgColor indexed="64"/>
      </patternFill>
    </fill>
    <fill>
      <patternFill patternType="solid">
        <fgColor rgb="FFFF0000"/>
        <bgColor indexed="64"/>
      </patternFill>
    </fill>
    <fill>
      <patternFill patternType="solid">
        <fgColor theme="3" tint="0.39997558519241921"/>
        <bgColor indexed="64"/>
      </patternFill>
    </fill>
    <fill>
      <patternFill patternType="solid">
        <fgColor theme="9" tint="-0.249977111117893"/>
        <bgColor indexed="64"/>
      </patternFill>
    </fill>
    <fill>
      <patternFill patternType="solid">
        <fgColor theme="7" tint="0.39997558519241921"/>
        <bgColor indexed="64"/>
      </patternFill>
    </fill>
    <fill>
      <patternFill patternType="solid">
        <fgColor theme="0" tint="-0.34998626667073579"/>
        <bgColor indexed="64"/>
      </patternFill>
    </fill>
    <fill>
      <patternFill patternType="solid">
        <fgColor theme="4"/>
        <bgColor indexed="64"/>
      </patternFill>
    </fill>
    <fill>
      <patternFill patternType="solid">
        <fgColor theme="5" tint="0.59999389629810485"/>
        <bgColor indexed="64"/>
      </patternFill>
    </fill>
  </fills>
  <borders count="20">
    <border>
      <left/>
      <right/>
      <top/>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hair">
        <color indexed="64"/>
      </top>
      <bottom style="hair">
        <color indexed="64"/>
      </bottom>
      <diagonal/>
    </border>
    <border>
      <left style="thin">
        <color indexed="64"/>
      </left>
      <right style="thin">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medium">
        <color indexed="64"/>
      </top>
      <bottom style="medium">
        <color indexed="64"/>
      </bottom>
      <diagonal/>
    </border>
    <border>
      <left style="hair">
        <color indexed="64"/>
      </left>
      <right/>
      <top style="hair">
        <color indexed="64"/>
      </top>
      <bottom style="hair">
        <color indexed="64"/>
      </bottom>
      <diagonal/>
    </border>
    <border>
      <left/>
      <right style="hair">
        <color indexed="64"/>
      </right>
      <top style="hair">
        <color indexed="64"/>
      </top>
      <bottom/>
      <diagonal/>
    </border>
    <border>
      <left style="hair">
        <color indexed="64"/>
      </left>
      <right/>
      <top style="hair">
        <color indexed="64"/>
      </top>
      <bottom/>
      <diagonal/>
    </border>
    <border>
      <left style="thin">
        <color indexed="64"/>
      </left>
      <right/>
      <top/>
      <bottom/>
      <diagonal/>
    </border>
  </borders>
  <cellStyleXfs count="4">
    <xf numFmtId="0" fontId="0" fillId="0" borderId="0"/>
    <xf numFmtId="164" fontId="1" fillId="0" borderId="0" applyFont="0" applyFill="0" applyBorder="0" applyAlignment="0" applyProtection="0"/>
    <xf numFmtId="0" fontId="3" fillId="0" borderId="0"/>
    <xf numFmtId="0" fontId="4" fillId="0" borderId="0"/>
  </cellStyleXfs>
  <cellXfs count="116">
    <xf numFmtId="0" fontId="0" fillId="0" borderId="0" xfId="0"/>
    <xf numFmtId="0" fontId="0" fillId="2" borderId="0" xfId="0" applyFill="1"/>
    <xf numFmtId="0" fontId="0" fillId="4" borderId="0" xfId="0" applyFill="1"/>
    <xf numFmtId="0" fontId="8" fillId="0" borderId="0" xfId="2" applyFont="1"/>
    <xf numFmtId="0" fontId="9" fillId="0" borderId="0" xfId="2" applyFont="1"/>
    <xf numFmtId="0" fontId="9" fillId="0" borderId="0" xfId="2" applyFont="1" applyAlignment="1">
      <alignment horizontal="center"/>
    </xf>
    <xf numFmtId="0" fontId="9" fillId="3" borderId="0" xfId="2" applyFont="1" applyFill="1" applyAlignment="1">
      <alignment horizontal="center"/>
    </xf>
    <xf numFmtId="0" fontId="0" fillId="3" borderId="0" xfId="0" applyFill="1" applyAlignment="1">
      <alignment horizontal="left"/>
    </xf>
    <xf numFmtId="0" fontId="0" fillId="3" borderId="0" xfId="0" applyFill="1"/>
    <xf numFmtId="0" fontId="6" fillId="0" borderId="10" xfId="2" applyFont="1" applyBorder="1" applyAlignment="1"/>
    <xf numFmtId="0" fontId="6" fillId="0" borderId="11" xfId="2" applyFont="1" applyBorder="1" applyAlignment="1"/>
    <xf numFmtId="0" fontId="0" fillId="7" borderId="0" xfId="0" applyFill="1" applyAlignment="1">
      <alignment horizontal="left"/>
    </xf>
    <xf numFmtId="168" fontId="0" fillId="0" borderId="0" xfId="0" applyNumberFormat="1" applyAlignment="1">
      <alignment horizontal="left"/>
    </xf>
    <xf numFmtId="0" fontId="7" fillId="7" borderId="3" xfId="2" applyFont="1" applyFill="1" applyBorder="1" applyAlignment="1">
      <alignment horizontal="center"/>
    </xf>
    <xf numFmtId="0" fontId="6" fillId="7" borderId="4" xfId="2" applyFont="1" applyFill="1" applyBorder="1" applyAlignment="1">
      <alignment horizontal="center" vertical="center"/>
    </xf>
    <xf numFmtId="0" fontId="6" fillId="7" borderId="6" xfId="2" applyFont="1" applyFill="1" applyBorder="1" applyAlignment="1">
      <alignment horizontal="center" vertical="center"/>
    </xf>
    <xf numFmtId="0" fontId="6" fillId="7" borderId="5" xfId="2" applyFont="1" applyFill="1" applyBorder="1" applyAlignment="1">
      <alignment horizontal="center" vertical="center"/>
    </xf>
    <xf numFmtId="0" fontId="6" fillId="7" borderId="3" xfId="2" applyFont="1" applyFill="1" applyBorder="1" applyAlignment="1">
      <alignment horizontal="center" vertical="center"/>
    </xf>
    <xf numFmtId="0" fontId="7" fillId="7" borderId="4" xfId="2" applyFont="1" applyFill="1" applyBorder="1" applyAlignment="1">
      <alignment horizontal="center" vertical="center"/>
    </xf>
    <xf numFmtId="0" fontId="7" fillId="7" borderId="3" xfId="0" applyFont="1" applyFill="1" applyBorder="1" applyAlignment="1">
      <alignment horizontal="center" wrapText="1"/>
    </xf>
    <xf numFmtId="168" fontId="0" fillId="7" borderId="3" xfId="0" applyNumberFormat="1" applyFont="1" applyFill="1" applyBorder="1"/>
    <xf numFmtId="167" fontId="9" fillId="7" borderId="5" xfId="1" applyNumberFormat="1" applyFont="1" applyFill="1" applyBorder="1" applyAlignment="1"/>
    <xf numFmtId="165" fontId="12" fillId="7" borderId="1" xfId="2" applyNumberFormat="1" applyFont="1" applyFill="1" applyBorder="1" applyAlignment="1">
      <alignment horizontal="right" vertical="center"/>
    </xf>
    <xf numFmtId="165" fontId="12" fillId="7" borderId="2" xfId="2" applyNumberFormat="1" applyFont="1" applyFill="1" applyBorder="1" applyAlignment="1">
      <alignment horizontal="right" vertical="center"/>
    </xf>
    <xf numFmtId="165" fontId="12" fillId="7" borderId="2" xfId="2" applyNumberFormat="1" applyFont="1" applyFill="1" applyBorder="1" applyAlignment="1">
      <alignment horizontal="center" vertical="center"/>
    </xf>
    <xf numFmtId="165" fontId="6" fillId="7" borderId="3" xfId="2" applyNumberFormat="1" applyFont="1" applyFill="1" applyBorder="1" applyAlignment="1">
      <alignment vertical="center" wrapText="1"/>
    </xf>
    <xf numFmtId="165" fontId="7" fillId="7" borderId="3" xfId="2" applyNumberFormat="1" applyFont="1" applyFill="1" applyBorder="1" applyAlignment="1">
      <alignment horizontal="left"/>
    </xf>
    <xf numFmtId="0" fontId="6" fillId="7" borderId="3" xfId="2" applyFont="1" applyFill="1" applyBorder="1" applyAlignment="1">
      <alignment vertical="center"/>
    </xf>
    <xf numFmtId="0" fontId="7" fillId="7" borderId="3" xfId="2" applyFont="1" applyFill="1" applyBorder="1" applyAlignment="1" applyProtection="1">
      <alignment horizontal="left"/>
      <protection locked="0"/>
    </xf>
    <xf numFmtId="0" fontId="6" fillId="7" borderId="3" xfId="2" applyFont="1" applyFill="1" applyBorder="1" applyAlignment="1">
      <alignment horizontal="left" vertical="center"/>
    </xf>
    <xf numFmtId="165" fontId="11" fillId="7" borderId="3" xfId="2" applyNumberFormat="1" applyFont="1" applyFill="1" applyBorder="1" applyAlignment="1">
      <alignment horizontal="left" vertical="center"/>
    </xf>
    <xf numFmtId="0" fontId="6" fillId="0" borderId="12" xfId="2" applyFont="1" applyBorder="1" applyAlignment="1">
      <alignment horizontal="left"/>
    </xf>
    <xf numFmtId="0" fontId="9" fillId="0" borderId="0" xfId="2" applyFont="1" applyAlignment="1">
      <alignment horizontal="left"/>
    </xf>
    <xf numFmtId="2" fontId="7" fillId="7" borderId="3" xfId="2" applyNumberFormat="1" applyFont="1" applyFill="1" applyBorder="1" applyAlignment="1">
      <alignment horizontal="left" vertical="center"/>
    </xf>
    <xf numFmtId="2" fontId="12" fillId="7" borderId="3" xfId="2" applyNumberFormat="1" applyFont="1" applyFill="1" applyBorder="1" applyAlignment="1">
      <alignment horizontal="left" vertical="center" wrapText="1"/>
    </xf>
    <xf numFmtId="2" fontId="16" fillId="7" borderId="3" xfId="2" applyNumberFormat="1" applyFont="1" applyFill="1" applyBorder="1" applyAlignment="1">
      <alignment horizontal="center" vertical="center"/>
    </xf>
    <xf numFmtId="0" fontId="0" fillId="0" borderId="0" xfId="0" applyFill="1" applyAlignment="1">
      <alignment horizontal="left"/>
    </xf>
    <xf numFmtId="0" fontId="0" fillId="3" borderId="0" xfId="0" applyFill="1" applyBorder="1"/>
    <xf numFmtId="0" fontId="0" fillId="3" borderId="0" xfId="0" applyFill="1" applyBorder="1" applyAlignment="1">
      <alignment horizontal="left"/>
    </xf>
    <xf numFmtId="168" fontId="0" fillId="3" borderId="0" xfId="0" applyNumberFormat="1" applyFill="1" applyBorder="1" applyAlignment="1">
      <alignment horizontal="left"/>
    </xf>
    <xf numFmtId="2" fontId="8" fillId="0" borderId="0" xfId="0" applyNumberFormat="1" applyFont="1"/>
    <xf numFmtId="2" fontId="8" fillId="7" borderId="0" xfId="0" applyNumberFormat="1" applyFont="1" applyFill="1" applyAlignment="1">
      <alignment horizontal="left"/>
    </xf>
    <xf numFmtId="2" fontId="8" fillId="3" borderId="0" xfId="0" applyNumberFormat="1" applyFont="1" applyFill="1" applyAlignment="1">
      <alignment horizontal="left"/>
    </xf>
    <xf numFmtId="2" fontId="8" fillId="0" borderId="0" xfId="0" applyNumberFormat="1" applyFont="1" applyFill="1" applyAlignment="1">
      <alignment horizontal="left"/>
    </xf>
    <xf numFmtId="2" fontId="9" fillId="3" borderId="0" xfId="0" applyNumberFormat="1" applyFont="1" applyFill="1" applyAlignment="1">
      <alignment horizontal="left"/>
    </xf>
    <xf numFmtId="2" fontId="9" fillId="0" borderId="0" xfId="0" applyNumberFormat="1" applyFont="1" applyAlignment="1">
      <alignment horizontal="left"/>
    </xf>
    <xf numFmtId="2" fontId="9" fillId="0" borderId="0" xfId="0" applyNumberFormat="1" applyFont="1"/>
    <xf numFmtId="2" fontId="0" fillId="3" borderId="0" xfId="0" applyNumberFormat="1" applyFill="1"/>
    <xf numFmtId="2" fontId="8" fillId="6" borderId="3" xfId="0" applyNumberFormat="1" applyFont="1" applyFill="1" applyBorder="1" applyAlignment="1">
      <alignment horizontal="center" vertical="center"/>
    </xf>
    <xf numFmtId="2" fontId="13" fillId="7" borderId="9" xfId="0" applyNumberFormat="1" applyFont="1" applyFill="1" applyBorder="1" applyAlignment="1">
      <alignment horizontal="left" vertical="center" wrapText="1"/>
    </xf>
    <xf numFmtId="2" fontId="13" fillId="3" borderId="9" xfId="0" applyNumberFormat="1" applyFont="1" applyFill="1" applyBorder="1" applyAlignment="1">
      <alignment horizontal="left" vertical="center" wrapText="1"/>
    </xf>
    <xf numFmtId="2" fontId="13" fillId="9" borderId="9" xfId="0" applyNumberFormat="1" applyFont="1" applyFill="1" applyBorder="1" applyAlignment="1">
      <alignment horizontal="left" vertical="center" wrapText="1"/>
    </xf>
    <xf numFmtId="2" fontId="13" fillId="12" borderId="9" xfId="0" applyNumberFormat="1" applyFont="1" applyFill="1" applyBorder="1" applyAlignment="1">
      <alignment horizontal="left" vertical="center" wrapText="1"/>
    </xf>
    <xf numFmtId="2" fontId="17" fillId="3" borderId="9" xfId="0" applyNumberFormat="1" applyFont="1" applyFill="1" applyBorder="1" applyAlignment="1">
      <alignment horizontal="left" vertical="center" wrapText="1"/>
    </xf>
    <xf numFmtId="2" fontId="17" fillId="4" borderId="9" xfId="0" applyNumberFormat="1" applyFont="1" applyFill="1" applyBorder="1" applyAlignment="1">
      <alignment horizontal="left" vertical="center" wrapText="1"/>
    </xf>
    <xf numFmtId="2" fontId="7" fillId="4" borderId="3" xfId="0" applyNumberFormat="1" applyFont="1" applyFill="1" applyBorder="1" applyAlignment="1">
      <alignment vertical="center" wrapText="1"/>
    </xf>
    <xf numFmtId="2" fontId="18" fillId="4" borderId="15" xfId="0" applyNumberFormat="1" applyFont="1" applyFill="1" applyBorder="1" applyAlignment="1">
      <alignment horizontal="center" vertical="center" wrapText="1"/>
    </xf>
    <xf numFmtId="2" fontId="0" fillId="10" borderId="3" xfId="0" applyNumberFormat="1" applyFill="1" applyBorder="1"/>
    <xf numFmtId="2" fontId="0" fillId="11" borderId="3" xfId="0" applyNumberFormat="1" applyFill="1" applyBorder="1" applyAlignment="1">
      <alignment vertical="center"/>
    </xf>
    <xf numFmtId="2" fontId="8" fillId="6" borderId="3" xfId="0" applyNumberFormat="1" applyFont="1" applyFill="1" applyBorder="1" applyAlignment="1">
      <alignment horizontal="center"/>
    </xf>
    <xf numFmtId="2" fontId="8" fillId="7" borderId="3" xfId="0" applyNumberFormat="1" applyFont="1" applyFill="1" applyBorder="1" applyAlignment="1">
      <alignment horizontal="left" wrapText="1"/>
    </xf>
    <xf numFmtId="2" fontId="8" fillId="3" borderId="3" xfId="0" applyNumberFormat="1" applyFont="1" applyFill="1" applyBorder="1" applyAlignment="1">
      <alignment horizontal="left" wrapText="1"/>
    </xf>
    <xf numFmtId="2" fontId="8" fillId="9" borderId="3" xfId="0" applyNumberFormat="1" applyFont="1" applyFill="1" applyBorder="1" applyAlignment="1">
      <alignment horizontal="left" wrapText="1"/>
    </xf>
    <xf numFmtId="2" fontId="8" fillId="12" borderId="3" xfId="0" applyNumberFormat="1" applyFont="1" applyFill="1" applyBorder="1" applyAlignment="1">
      <alignment horizontal="left" wrapText="1"/>
    </xf>
    <xf numFmtId="2" fontId="9" fillId="3" borderId="3" xfId="0" applyNumberFormat="1" applyFont="1" applyFill="1" applyBorder="1" applyAlignment="1">
      <alignment horizontal="left" wrapText="1"/>
    </xf>
    <xf numFmtId="2" fontId="9" fillId="6" borderId="3" xfId="0" applyNumberFormat="1" applyFont="1" applyFill="1" applyBorder="1" applyAlignment="1">
      <alignment horizontal="left" wrapText="1"/>
    </xf>
    <xf numFmtId="2" fontId="9" fillId="2" borderId="8" xfId="0" applyNumberFormat="1" applyFont="1" applyFill="1" applyBorder="1" applyAlignment="1">
      <alignment horizontal="center" vertical="center"/>
    </xf>
    <xf numFmtId="2" fontId="9" fillId="2" borderId="16" xfId="0" applyNumberFormat="1" applyFont="1" applyFill="1" applyBorder="1" applyAlignment="1">
      <alignment vertical="center"/>
    </xf>
    <xf numFmtId="2" fontId="0" fillId="11" borderId="3" xfId="0" applyNumberFormat="1" applyFill="1" applyBorder="1"/>
    <xf numFmtId="2" fontId="8" fillId="8" borderId="13" xfId="0" applyNumberFormat="1" applyFont="1" applyFill="1" applyBorder="1" applyAlignment="1">
      <alignment horizontal="center"/>
    </xf>
    <xf numFmtId="2" fontId="8" fillId="7" borderId="13" xfId="0" applyNumberFormat="1" applyFont="1" applyFill="1" applyBorder="1" applyAlignment="1">
      <alignment horizontal="left" wrapText="1"/>
    </xf>
    <xf numFmtId="2" fontId="8" fillId="3" borderId="13" xfId="0" applyNumberFormat="1" applyFont="1" applyFill="1" applyBorder="1" applyAlignment="1">
      <alignment horizontal="left" wrapText="1"/>
    </xf>
    <xf numFmtId="2" fontId="8" fillId="9" borderId="13" xfId="0" applyNumberFormat="1" applyFont="1" applyFill="1" applyBorder="1" applyAlignment="1">
      <alignment horizontal="left" wrapText="1"/>
    </xf>
    <xf numFmtId="2" fontId="8" fillId="12" borderId="13" xfId="0" applyNumberFormat="1" applyFont="1" applyFill="1" applyBorder="1" applyAlignment="1">
      <alignment horizontal="left" wrapText="1"/>
    </xf>
    <xf numFmtId="2" fontId="9" fillId="3" borderId="13" xfId="0" applyNumberFormat="1" applyFont="1" applyFill="1" applyBorder="1" applyAlignment="1">
      <alignment horizontal="left" wrapText="1"/>
    </xf>
    <xf numFmtId="2" fontId="9" fillId="6" borderId="13" xfId="0" applyNumberFormat="1" applyFont="1" applyFill="1" applyBorder="1" applyAlignment="1">
      <alignment horizontal="left" wrapText="1"/>
    </xf>
    <xf numFmtId="2" fontId="9" fillId="2" borderId="17" xfId="0" applyNumberFormat="1" applyFont="1" applyFill="1" applyBorder="1" applyAlignment="1">
      <alignment horizontal="center" vertical="center"/>
    </xf>
    <xf numFmtId="2" fontId="9" fillId="2" borderId="18" xfId="0" applyNumberFormat="1" applyFont="1" applyFill="1" applyBorder="1" applyAlignment="1">
      <alignment vertical="center"/>
    </xf>
    <xf numFmtId="2" fontId="0" fillId="10" borderId="13" xfId="0" applyNumberFormat="1" applyFill="1" applyBorder="1"/>
    <xf numFmtId="2" fontId="0" fillId="11" borderId="13" xfId="0" applyNumberFormat="1" applyFill="1" applyBorder="1"/>
    <xf numFmtId="1" fontId="8" fillId="0" borderId="0" xfId="0" applyNumberFormat="1" applyFont="1"/>
    <xf numFmtId="1" fontId="8" fillId="0" borderId="0" xfId="0" applyNumberFormat="1" applyFont="1" applyAlignment="1">
      <alignment horizontal="left"/>
    </xf>
    <xf numFmtId="1" fontId="19" fillId="6" borderId="3" xfId="0" applyNumberFormat="1" applyFont="1" applyFill="1" applyBorder="1" applyAlignment="1">
      <alignment horizontal="center" vertical="center"/>
    </xf>
    <xf numFmtId="1" fontId="19" fillId="5" borderId="3" xfId="0" applyNumberFormat="1" applyFont="1" applyFill="1" applyBorder="1" applyAlignment="1">
      <alignment horizontal="left" vertical="center"/>
    </xf>
    <xf numFmtId="1" fontId="19" fillId="6" borderId="3" xfId="0" applyNumberFormat="1" applyFont="1" applyFill="1" applyBorder="1" applyAlignment="1">
      <alignment horizontal="center"/>
    </xf>
    <xf numFmtId="1" fontId="19" fillId="5" borderId="3" xfId="0" applyNumberFormat="1" applyFont="1" applyFill="1" applyBorder="1" applyAlignment="1">
      <alignment horizontal="left" wrapText="1"/>
    </xf>
    <xf numFmtId="1" fontId="19" fillId="5" borderId="13" xfId="0" applyNumberFormat="1" applyFont="1" applyFill="1" applyBorder="1" applyAlignment="1">
      <alignment horizontal="left" wrapText="1"/>
    </xf>
    <xf numFmtId="1" fontId="19" fillId="6" borderId="13" xfId="0" applyNumberFormat="1" applyFont="1" applyFill="1" applyBorder="1" applyAlignment="1">
      <alignment horizontal="center"/>
    </xf>
    <xf numFmtId="1" fontId="19" fillId="8" borderId="13" xfId="0" applyNumberFormat="1" applyFont="1" applyFill="1" applyBorder="1" applyAlignment="1">
      <alignment horizontal="center"/>
    </xf>
    <xf numFmtId="1" fontId="19" fillId="13" borderId="13" xfId="0" applyNumberFormat="1" applyFont="1" applyFill="1" applyBorder="1" applyAlignment="1">
      <alignment horizontal="left" wrapText="1"/>
    </xf>
    <xf numFmtId="1" fontId="7" fillId="9" borderId="3" xfId="0" applyNumberFormat="1" applyFont="1" applyFill="1" applyBorder="1" applyAlignment="1">
      <alignment horizontal="left" vertical="center"/>
    </xf>
    <xf numFmtId="1" fontId="7" fillId="9" borderId="13" xfId="0" applyNumberFormat="1" applyFont="1" applyFill="1" applyBorder="1" applyAlignment="1">
      <alignment horizontal="left" vertical="center"/>
    </xf>
    <xf numFmtId="1" fontId="0" fillId="3" borderId="0" xfId="0" applyNumberFormat="1" applyFill="1" applyBorder="1"/>
    <xf numFmtId="1" fontId="0" fillId="3" borderId="0" xfId="0" applyNumberFormat="1" applyFill="1" applyBorder="1" applyAlignment="1">
      <alignment horizontal="left"/>
    </xf>
    <xf numFmtId="1" fontId="0" fillId="0" borderId="0" xfId="0" applyNumberFormat="1"/>
    <xf numFmtId="1" fontId="0" fillId="0" borderId="0" xfId="0" applyNumberFormat="1" applyAlignment="1">
      <alignment horizontal="left"/>
    </xf>
    <xf numFmtId="1" fontId="6" fillId="5" borderId="3" xfId="0" applyNumberFormat="1" applyFont="1" applyFill="1" applyBorder="1" applyAlignment="1">
      <alignment horizontal="left" wrapText="1"/>
    </xf>
    <xf numFmtId="0" fontId="8" fillId="0" borderId="0" xfId="2" applyFont="1" applyAlignment="1">
      <alignment horizontal="center"/>
    </xf>
    <xf numFmtId="0" fontId="8" fillId="14" borderId="3" xfId="2" applyFont="1" applyFill="1" applyBorder="1" applyAlignment="1">
      <alignment horizontal="center"/>
    </xf>
    <xf numFmtId="0" fontId="8" fillId="14" borderId="3" xfId="2" applyFont="1" applyFill="1" applyBorder="1"/>
    <xf numFmtId="165" fontId="9" fillId="14" borderId="3" xfId="2" applyNumberFormat="1" applyFont="1" applyFill="1" applyBorder="1" applyAlignment="1">
      <alignment horizontal="center"/>
    </xf>
    <xf numFmtId="0" fontId="9" fillId="14" borderId="3" xfId="2" applyFont="1" applyFill="1" applyBorder="1" applyAlignment="1">
      <alignment horizontal="center"/>
    </xf>
    <xf numFmtId="0" fontId="9" fillId="14" borderId="3" xfId="2" applyFont="1" applyFill="1" applyBorder="1"/>
    <xf numFmtId="0" fontId="20" fillId="0" borderId="19" xfId="2" applyFont="1" applyBorder="1" applyAlignment="1">
      <alignment horizontal="center"/>
    </xf>
    <xf numFmtId="0" fontId="20" fillId="0" borderId="0" xfId="2" applyFont="1" applyAlignment="1">
      <alignment horizontal="center"/>
    </xf>
    <xf numFmtId="165" fontId="7" fillId="7" borderId="3" xfId="2" applyNumberFormat="1" applyFont="1" applyFill="1" applyBorder="1" applyAlignment="1">
      <alignment horizontal="left"/>
    </xf>
    <xf numFmtId="0" fontId="6" fillId="7" borderId="3" xfId="2" applyFont="1" applyFill="1" applyBorder="1" applyAlignment="1">
      <alignment horizontal="center"/>
    </xf>
    <xf numFmtId="169" fontId="6" fillId="7" borderId="3" xfId="2" applyNumberFormat="1" applyFont="1" applyFill="1" applyBorder="1" applyAlignment="1">
      <alignment horizontal="center"/>
    </xf>
    <xf numFmtId="14" fontId="6" fillId="7" borderId="13" xfId="2" applyNumberFormat="1" applyFont="1" applyFill="1" applyBorder="1" applyAlignment="1">
      <alignment horizontal="center" vertical="center"/>
    </xf>
    <xf numFmtId="14" fontId="6" fillId="7" borderId="14" xfId="2" applyNumberFormat="1" applyFont="1" applyFill="1" applyBorder="1" applyAlignment="1">
      <alignment horizontal="center" vertical="center"/>
    </xf>
    <xf numFmtId="0" fontId="15" fillId="7" borderId="0" xfId="2" applyFont="1" applyFill="1" applyBorder="1" applyAlignment="1">
      <alignment horizontal="center"/>
    </xf>
    <xf numFmtId="0" fontId="7" fillId="7" borderId="3" xfId="2" applyFont="1" applyFill="1" applyBorder="1" applyAlignment="1">
      <alignment horizontal="center" vertical="center"/>
    </xf>
    <xf numFmtId="0" fontId="7" fillId="7" borderId="3" xfId="2" applyFont="1" applyFill="1" applyBorder="1" applyAlignment="1">
      <alignment horizontal="left" vertical="center"/>
    </xf>
    <xf numFmtId="0" fontId="10" fillId="7" borderId="3" xfId="2" applyFont="1" applyFill="1" applyBorder="1" applyAlignment="1">
      <alignment horizontal="center"/>
    </xf>
    <xf numFmtId="166" fontId="14" fillId="7" borderId="6" xfId="1" applyNumberFormat="1" applyFont="1" applyFill="1" applyBorder="1" applyAlignment="1">
      <alignment horizontal="center"/>
    </xf>
    <xf numFmtId="166" fontId="14" fillId="7" borderId="7" xfId="1" applyNumberFormat="1" applyFont="1" applyFill="1" applyBorder="1" applyAlignment="1">
      <alignment horizontal="center"/>
    </xf>
  </cellXfs>
  <cellStyles count="4">
    <cellStyle name="Comma" xfId="1" builtinId="3"/>
    <cellStyle name="Normal" xfId="0" builtinId="0"/>
    <cellStyle name="Normal_PDO CREW SALARY November-2008" xfId="2"/>
    <cellStyle name="常规_Temporary employees July  2008(02)"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haredStrings" Target="sharedStrings.xml"/><Relationship Id="rId5" Type="http://schemas.openxmlformats.org/officeDocument/2006/relationships/externalLink" Target="externalLinks/externalLink2.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5</xdr:col>
      <xdr:colOff>171449</xdr:colOff>
      <xdr:row>1</xdr:row>
      <xdr:rowOff>66675</xdr:rowOff>
    </xdr:from>
    <xdr:to>
      <xdr:col>5</xdr:col>
      <xdr:colOff>561974</xdr:colOff>
      <xdr:row>2</xdr:row>
      <xdr:rowOff>47625</xdr:rowOff>
    </xdr:to>
    <xdr:sp macro="" textlink="">
      <xdr:nvSpPr>
        <xdr:cNvPr id="2" name="Right Arrow 1"/>
        <xdr:cNvSpPr/>
      </xdr:nvSpPr>
      <xdr:spPr>
        <a:xfrm rot="10800000">
          <a:off x="5743574" y="371475"/>
          <a:ext cx="390525" cy="2190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PDO%20Crew%208622\Casual%20Payrol\Casual%20New%20Payrol\Casual%20July\Temporary%20Employees%20Payrol%20July%2020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Accounts%20%20D\PDO%20Crew%208622\Casual%20Payrol\Casual%20New%20Payrol\09%20-%20September\PDO%20Crew%20sEPTEMBER%20Casual%20Payrol%20%20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PDO%20Crew%208622\Workings\Casual%20Labour\0806%20%20Currunt%20Casual%20Payrol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Senior%20Camp%20Boss\Camp%20Boss%20File%202008\Casual%20Payroll\Casual%20contract%202008\Casual%20update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sajicopy\New%20Folder\PDO%20CREW%20SALARY%20November-20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July"/>
      <sheetName val="Time Sheet"/>
      <sheetName val="Bank (2)"/>
      <sheetName val="Sheet3"/>
    </sheetNames>
    <sheetDataSet>
      <sheetData sheetId="0" refreshError="1"/>
      <sheetData sheetId="1" refreshError="1">
        <row r="1">
          <cell r="B1">
            <v>1</v>
          </cell>
          <cell r="C1">
            <v>2</v>
          </cell>
          <cell r="D1">
            <v>3</v>
          </cell>
          <cell r="E1">
            <v>4</v>
          </cell>
          <cell r="F1">
            <v>5</v>
          </cell>
          <cell r="G1">
            <v>6</v>
          </cell>
          <cell r="H1">
            <v>7</v>
          </cell>
          <cell r="I1">
            <v>8</v>
          </cell>
          <cell r="J1">
            <v>9</v>
          </cell>
          <cell r="K1">
            <v>10</v>
          </cell>
          <cell r="L1">
            <v>11</v>
          </cell>
          <cell r="M1">
            <v>12</v>
          </cell>
          <cell r="N1">
            <v>13</v>
          </cell>
          <cell r="O1">
            <v>14</v>
          </cell>
          <cell r="P1">
            <v>15</v>
          </cell>
          <cell r="Q1">
            <v>16</v>
          </cell>
          <cell r="R1">
            <v>17</v>
          </cell>
          <cell r="S1">
            <v>18</v>
          </cell>
          <cell r="T1">
            <v>19</v>
          </cell>
          <cell r="U1">
            <v>20</v>
          </cell>
          <cell r="V1">
            <v>21</v>
          </cell>
          <cell r="W1">
            <v>22</v>
          </cell>
          <cell r="X1">
            <v>23</v>
          </cell>
          <cell r="Y1">
            <v>24</v>
          </cell>
          <cell r="Z1">
            <v>25</v>
          </cell>
          <cell r="AA1">
            <v>26</v>
          </cell>
          <cell r="AB1">
            <v>27</v>
          </cell>
          <cell r="AC1">
            <v>28</v>
          </cell>
          <cell r="AD1">
            <v>29</v>
          </cell>
          <cell r="AE1">
            <v>30</v>
          </cell>
          <cell r="AF1">
            <v>31</v>
          </cell>
          <cell r="AG1">
            <v>32</v>
          </cell>
          <cell r="AH1">
            <v>33</v>
          </cell>
          <cell r="AI1">
            <v>34</v>
          </cell>
          <cell r="AJ1">
            <v>35</v>
          </cell>
          <cell r="AK1">
            <v>36</v>
          </cell>
          <cell r="AL1">
            <v>37</v>
          </cell>
          <cell r="AM1">
            <v>38</v>
          </cell>
          <cell r="AN1">
            <v>39</v>
          </cell>
          <cell r="AO1">
            <v>40</v>
          </cell>
          <cell r="AP1">
            <v>41</v>
          </cell>
          <cell r="AQ1">
            <v>42</v>
          </cell>
          <cell r="AR1">
            <v>43</v>
          </cell>
          <cell r="AS1">
            <v>44</v>
          </cell>
          <cell r="AT1">
            <v>45</v>
          </cell>
        </row>
        <row r="2">
          <cell r="C2" t="str">
            <v>BGP OIL &amp; GAS SERVICES LLC.</v>
          </cell>
        </row>
        <row r="3">
          <cell r="B3" t="str">
            <v>PDO Crew A   Temporary Employees Payroll July 2008</v>
          </cell>
        </row>
        <row r="5">
          <cell r="F5" t="str">
            <v>Salary Rate</v>
          </cell>
          <cell r="Y5" t="str">
            <v>Adjustment</v>
          </cell>
          <cell r="AD5" t="str">
            <v>Deductions</v>
          </cell>
        </row>
        <row r="6">
          <cell r="B6" t="str">
            <v>Emp #</v>
          </cell>
          <cell r="C6" t="str">
            <v>Name</v>
          </cell>
          <cell r="D6" t="str">
            <v>Designation</v>
          </cell>
          <cell r="E6" t="str">
            <v>Joining Date</v>
          </cell>
          <cell r="F6" t="str">
            <v>Overtime 
Rate 125%</v>
          </cell>
          <cell r="G6" t="str">
            <v>Overtime 
Rate200% (Holidays)</v>
          </cell>
          <cell r="H6" t="str">
            <v>Basic Allowence</v>
          </cell>
          <cell r="I6" t="str">
            <v>Housing Allowence</v>
          </cell>
          <cell r="J6" t="str">
            <v>Transportaion Allowence</v>
          </cell>
          <cell r="K6" t="str">
            <v>Desert Allowence</v>
          </cell>
          <cell r="L6" t="str">
            <v>Overtime 125%</v>
          </cell>
          <cell r="M6" t="str">
            <v>Holidays Hours</v>
          </cell>
          <cell r="N6" t="str">
            <v>Work Days</v>
          </cell>
          <cell r="O6" t="str">
            <v>Leave</v>
          </cell>
          <cell r="P6" t="str">
            <v>Sick</v>
          </cell>
          <cell r="Q6" t="str">
            <v>Absent</v>
          </cell>
          <cell r="R6" t="str">
            <v>Total Days</v>
          </cell>
          <cell r="S6" t="str">
            <v>Basic Payable</v>
          </cell>
          <cell r="T6" t="str">
            <v>Housing Payable</v>
          </cell>
          <cell r="U6" t="str">
            <v>Transport. Payable</v>
          </cell>
          <cell r="V6" t="str">
            <v>Desert Payable</v>
          </cell>
          <cell r="W6" t="str">
            <v>Overtime Payable</v>
          </cell>
          <cell r="X6" t="str">
            <v>Holidays Payment</v>
          </cell>
          <cell r="Y6" t="str">
            <v>Adj Basic</v>
          </cell>
          <cell r="Z6" t="str">
            <v>Adj Housing</v>
          </cell>
          <cell r="AA6" t="str">
            <v>Adj Transport</v>
          </cell>
          <cell r="AB6" t="str">
            <v>Adj Others</v>
          </cell>
          <cell r="AC6" t="str">
            <v>Amount</v>
          </cell>
          <cell r="AD6" t="str">
            <v>GOSI</v>
          </cell>
          <cell r="AE6" t="str">
            <v>Others</v>
          </cell>
          <cell r="AF6" t="str">
            <v>Total Deducions</v>
          </cell>
          <cell r="AG6" t="str">
            <v>Net Payable</v>
          </cell>
          <cell r="AH6" t="str">
            <v>Remarks</v>
          </cell>
          <cell r="AK6" t="str">
            <v>Bank Name</v>
          </cell>
          <cell r="AL6" t="str">
            <v>Branch</v>
          </cell>
          <cell r="AM6" t="str">
            <v>Account No</v>
          </cell>
        </row>
        <row r="7">
          <cell r="B7">
            <v>1778</v>
          </cell>
          <cell r="C7" t="str">
            <v>Ali Sultan Mohammed Al Shibani</v>
          </cell>
          <cell r="D7" t="str">
            <v>Casual Light Duty Driver</v>
          </cell>
          <cell r="E7">
            <v>39606</v>
          </cell>
          <cell r="F7">
            <v>0.78125</v>
          </cell>
          <cell r="G7">
            <v>1.25</v>
          </cell>
          <cell r="H7">
            <v>150</v>
          </cell>
          <cell r="I7">
            <v>30</v>
          </cell>
          <cell r="J7">
            <v>25</v>
          </cell>
          <cell r="K7">
            <v>40</v>
          </cell>
          <cell r="L7">
            <v>84</v>
          </cell>
          <cell r="M7">
            <v>0</v>
          </cell>
          <cell r="N7">
            <v>18</v>
          </cell>
          <cell r="O7">
            <v>12</v>
          </cell>
          <cell r="P7">
            <v>0</v>
          </cell>
          <cell r="Q7">
            <v>1</v>
          </cell>
          <cell r="R7">
            <v>30</v>
          </cell>
          <cell r="S7">
            <v>150</v>
          </cell>
          <cell r="T7">
            <v>30</v>
          </cell>
          <cell r="U7">
            <v>25</v>
          </cell>
          <cell r="V7">
            <v>24</v>
          </cell>
          <cell r="W7">
            <v>65.625</v>
          </cell>
          <cell r="X7">
            <v>0</v>
          </cell>
          <cell r="AC7">
            <v>294.625</v>
          </cell>
          <cell r="AF7">
            <v>0</v>
          </cell>
          <cell r="AG7">
            <v>294.625</v>
          </cell>
          <cell r="AK7">
            <v>0</v>
          </cell>
          <cell r="AL7">
            <v>0</v>
          </cell>
          <cell r="AM7">
            <v>0</v>
          </cell>
        </row>
        <row r="8">
          <cell r="B8">
            <v>1785</v>
          </cell>
          <cell r="C8" t="str">
            <v>Saleh Musabah Ghanim Al Ghafri</v>
          </cell>
          <cell r="D8" t="str">
            <v>Casual Light Duty Driver</v>
          </cell>
          <cell r="E8">
            <v>39606</v>
          </cell>
          <cell r="F8">
            <v>0.78125</v>
          </cell>
          <cell r="G8">
            <v>1.25</v>
          </cell>
          <cell r="H8">
            <v>150</v>
          </cell>
          <cell r="I8">
            <v>30</v>
          </cell>
          <cell r="J8">
            <v>25</v>
          </cell>
          <cell r="K8">
            <v>40</v>
          </cell>
          <cell r="L8">
            <v>10</v>
          </cell>
          <cell r="M8">
            <v>0</v>
          </cell>
          <cell r="N8">
            <v>3</v>
          </cell>
          <cell r="O8">
            <v>0</v>
          </cell>
          <cell r="P8">
            <v>0</v>
          </cell>
          <cell r="Q8">
            <v>1</v>
          </cell>
          <cell r="R8">
            <v>3</v>
          </cell>
          <cell r="S8">
            <v>15</v>
          </cell>
          <cell r="T8">
            <v>3</v>
          </cell>
          <cell r="U8">
            <v>2.5</v>
          </cell>
          <cell r="V8">
            <v>4</v>
          </cell>
          <cell r="W8">
            <v>7.8125</v>
          </cell>
          <cell r="X8">
            <v>0</v>
          </cell>
          <cell r="AC8">
            <v>32.3125</v>
          </cell>
          <cell r="AF8">
            <v>0</v>
          </cell>
          <cell r="AG8">
            <v>32.3125</v>
          </cell>
          <cell r="AK8" t="str">
            <v>Bank Muscat</v>
          </cell>
          <cell r="AL8" t="str">
            <v>Al Dareez</v>
          </cell>
          <cell r="AM8" t="str">
            <v>119-114000084010</v>
          </cell>
        </row>
        <row r="9">
          <cell r="B9">
            <v>1787</v>
          </cell>
          <cell r="C9" t="str">
            <v>Salim Marzooq Abdulah Al Darai</v>
          </cell>
          <cell r="D9" t="str">
            <v>Casual Labour</v>
          </cell>
          <cell r="E9">
            <v>39609</v>
          </cell>
          <cell r="F9">
            <v>0.625</v>
          </cell>
          <cell r="G9">
            <v>1</v>
          </cell>
          <cell r="H9">
            <v>120</v>
          </cell>
          <cell r="I9">
            <v>25</v>
          </cell>
          <cell r="J9">
            <v>20</v>
          </cell>
          <cell r="K9">
            <v>30</v>
          </cell>
          <cell r="L9">
            <v>110</v>
          </cell>
          <cell r="M9">
            <v>24</v>
          </cell>
          <cell r="N9">
            <v>24</v>
          </cell>
          <cell r="O9">
            <v>6</v>
          </cell>
          <cell r="P9">
            <v>0</v>
          </cell>
          <cell r="Q9">
            <v>1</v>
          </cell>
          <cell r="R9">
            <v>30</v>
          </cell>
          <cell r="S9">
            <v>120</v>
          </cell>
          <cell r="T9">
            <v>25</v>
          </cell>
          <cell r="U9">
            <v>20</v>
          </cell>
          <cell r="V9">
            <v>24</v>
          </cell>
          <cell r="W9">
            <v>68.75</v>
          </cell>
          <cell r="X9">
            <v>24</v>
          </cell>
          <cell r="AC9">
            <v>281.75</v>
          </cell>
          <cell r="AF9">
            <v>0</v>
          </cell>
          <cell r="AG9">
            <v>281.75</v>
          </cell>
          <cell r="AK9" t="str">
            <v>Bank Dofar</v>
          </cell>
          <cell r="AL9" t="str">
            <v>Bahla</v>
          </cell>
          <cell r="AM9">
            <v>1330371982004500</v>
          </cell>
        </row>
        <row r="10">
          <cell r="B10">
            <v>1792</v>
          </cell>
          <cell r="C10" t="str">
            <v>Juma Ali Salim Al Ghafri</v>
          </cell>
          <cell r="D10" t="str">
            <v>Casual Labour</v>
          </cell>
          <cell r="E10">
            <v>39609</v>
          </cell>
          <cell r="F10">
            <v>0.625</v>
          </cell>
          <cell r="G10">
            <v>1</v>
          </cell>
          <cell r="H10">
            <v>120</v>
          </cell>
          <cell r="I10">
            <v>25</v>
          </cell>
          <cell r="J10">
            <v>20</v>
          </cell>
          <cell r="K10">
            <v>30</v>
          </cell>
          <cell r="L10">
            <v>78</v>
          </cell>
          <cell r="M10">
            <v>24</v>
          </cell>
          <cell r="N10">
            <v>31</v>
          </cell>
          <cell r="O10">
            <v>0</v>
          </cell>
          <cell r="P10">
            <v>0</v>
          </cell>
          <cell r="Q10">
            <v>0</v>
          </cell>
          <cell r="R10">
            <v>31</v>
          </cell>
          <cell r="S10">
            <v>124</v>
          </cell>
          <cell r="T10">
            <v>25.833333333333336</v>
          </cell>
          <cell r="U10">
            <v>20.666666666666664</v>
          </cell>
          <cell r="V10">
            <v>31</v>
          </cell>
          <cell r="W10">
            <v>48.75</v>
          </cell>
          <cell r="X10">
            <v>24</v>
          </cell>
          <cell r="AC10">
            <v>274.25</v>
          </cell>
          <cell r="AF10">
            <v>0</v>
          </cell>
          <cell r="AG10">
            <v>274.25</v>
          </cell>
          <cell r="AK10" t="str">
            <v>Oman Internation Bank</v>
          </cell>
          <cell r="AL10" t="str">
            <v>Dhenk</v>
          </cell>
          <cell r="AM10" t="str">
            <v>26-062182-20</v>
          </cell>
        </row>
        <row r="11">
          <cell r="B11">
            <v>1816</v>
          </cell>
          <cell r="C11" t="str">
            <v>Saif Hamed Saif Al Alawi</v>
          </cell>
          <cell r="D11" t="str">
            <v>Casual Labour</v>
          </cell>
          <cell r="E11">
            <v>39613</v>
          </cell>
          <cell r="F11">
            <v>0.625</v>
          </cell>
          <cell r="G11">
            <v>1</v>
          </cell>
          <cell r="H11">
            <v>120</v>
          </cell>
          <cell r="I11">
            <v>25</v>
          </cell>
          <cell r="J11">
            <v>20</v>
          </cell>
          <cell r="K11">
            <v>30</v>
          </cell>
          <cell r="L11">
            <v>112</v>
          </cell>
          <cell r="M11">
            <v>24</v>
          </cell>
          <cell r="N11">
            <v>24</v>
          </cell>
          <cell r="O11">
            <v>0</v>
          </cell>
          <cell r="P11">
            <v>0</v>
          </cell>
          <cell r="Q11">
            <v>7</v>
          </cell>
          <cell r="R11">
            <v>24</v>
          </cell>
          <cell r="S11">
            <v>96</v>
          </cell>
          <cell r="T11">
            <v>20</v>
          </cell>
          <cell r="U11">
            <v>16</v>
          </cell>
          <cell r="V11">
            <v>24</v>
          </cell>
          <cell r="W11">
            <v>70</v>
          </cell>
          <cell r="X11">
            <v>24</v>
          </cell>
          <cell r="AC11">
            <v>250</v>
          </cell>
          <cell r="AF11">
            <v>0</v>
          </cell>
          <cell r="AG11">
            <v>250</v>
          </cell>
          <cell r="AK11" t="str">
            <v>Bank Muscat</v>
          </cell>
          <cell r="AL11">
            <v>0</v>
          </cell>
          <cell r="AM11" t="str">
            <v>011-9128340084021</v>
          </cell>
        </row>
        <row r="12">
          <cell r="B12">
            <v>1821</v>
          </cell>
          <cell r="C12" t="str">
            <v>Ayoub Khalaf Salim Al Kalbani</v>
          </cell>
          <cell r="D12" t="str">
            <v>Casual Labour</v>
          </cell>
          <cell r="E12">
            <v>39614</v>
          </cell>
          <cell r="F12">
            <v>0.625</v>
          </cell>
          <cell r="G12">
            <v>1</v>
          </cell>
          <cell r="H12">
            <v>120</v>
          </cell>
          <cell r="I12">
            <v>25</v>
          </cell>
          <cell r="J12">
            <v>20</v>
          </cell>
          <cell r="K12">
            <v>30</v>
          </cell>
          <cell r="L12">
            <v>175</v>
          </cell>
          <cell r="M12">
            <v>24</v>
          </cell>
          <cell r="N12">
            <v>31</v>
          </cell>
          <cell r="O12">
            <v>0</v>
          </cell>
          <cell r="P12">
            <v>0</v>
          </cell>
          <cell r="Q12">
            <v>0</v>
          </cell>
          <cell r="R12">
            <v>31</v>
          </cell>
          <cell r="S12">
            <v>124</v>
          </cell>
          <cell r="T12">
            <v>25.833333333333336</v>
          </cell>
          <cell r="U12">
            <v>20.666666666666664</v>
          </cell>
          <cell r="V12">
            <v>31</v>
          </cell>
          <cell r="W12">
            <v>109.375</v>
          </cell>
          <cell r="X12">
            <v>24</v>
          </cell>
          <cell r="AC12">
            <v>334.875</v>
          </cell>
          <cell r="AF12">
            <v>0</v>
          </cell>
          <cell r="AG12">
            <v>334.875</v>
          </cell>
          <cell r="AK12" t="str">
            <v>Bank Muscat</v>
          </cell>
          <cell r="AL12">
            <v>0</v>
          </cell>
          <cell r="AM12" t="str">
            <v>0169-12073-0084-014</v>
          </cell>
        </row>
        <row r="13">
          <cell r="B13">
            <v>1822</v>
          </cell>
          <cell r="C13" t="str">
            <v>Abdullah Rashid Hassan Al Hinai</v>
          </cell>
          <cell r="D13" t="str">
            <v>Casual Light Duty Driver</v>
          </cell>
          <cell r="E13">
            <v>39615</v>
          </cell>
          <cell r="F13">
            <v>0.78125</v>
          </cell>
          <cell r="G13">
            <v>1.25</v>
          </cell>
          <cell r="H13">
            <v>150</v>
          </cell>
          <cell r="I13">
            <v>30</v>
          </cell>
          <cell r="J13">
            <v>25</v>
          </cell>
          <cell r="K13">
            <v>40</v>
          </cell>
          <cell r="L13">
            <v>106</v>
          </cell>
          <cell r="M13">
            <v>12</v>
          </cell>
          <cell r="N13">
            <v>24</v>
          </cell>
          <cell r="O13">
            <v>6</v>
          </cell>
          <cell r="P13">
            <v>0</v>
          </cell>
          <cell r="Q13">
            <v>1</v>
          </cell>
          <cell r="R13">
            <v>30</v>
          </cell>
          <cell r="S13">
            <v>150</v>
          </cell>
          <cell r="T13">
            <v>30</v>
          </cell>
          <cell r="U13">
            <v>25</v>
          </cell>
          <cell r="V13">
            <v>32</v>
          </cell>
          <cell r="W13">
            <v>82.8125</v>
          </cell>
          <cell r="X13">
            <v>15</v>
          </cell>
          <cell r="AC13">
            <v>334.8125</v>
          </cell>
          <cell r="AF13">
            <v>0</v>
          </cell>
          <cell r="AG13">
            <v>334.8125</v>
          </cell>
          <cell r="AK13" t="str">
            <v>Bank Muscat</v>
          </cell>
          <cell r="AL13">
            <v>0</v>
          </cell>
          <cell r="AM13">
            <v>8918354</v>
          </cell>
        </row>
        <row r="14">
          <cell r="B14">
            <v>1823</v>
          </cell>
          <cell r="C14" t="str">
            <v>Issa Rabiyah Rabi'a Al Sayabi</v>
          </cell>
          <cell r="D14" t="str">
            <v>Casual Labour</v>
          </cell>
          <cell r="E14">
            <v>39616</v>
          </cell>
          <cell r="F14">
            <v>0.625</v>
          </cell>
          <cell r="G14">
            <v>1</v>
          </cell>
          <cell r="H14">
            <v>120</v>
          </cell>
          <cell r="I14">
            <v>25</v>
          </cell>
          <cell r="J14">
            <v>20</v>
          </cell>
          <cell r="K14">
            <v>30</v>
          </cell>
          <cell r="L14">
            <v>70</v>
          </cell>
          <cell r="M14">
            <v>0</v>
          </cell>
          <cell r="N14">
            <v>17</v>
          </cell>
          <cell r="O14">
            <v>0</v>
          </cell>
          <cell r="P14">
            <v>0</v>
          </cell>
          <cell r="Q14">
            <v>1</v>
          </cell>
          <cell r="R14">
            <v>17</v>
          </cell>
          <cell r="S14">
            <v>68</v>
          </cell>
          <cell r="T14">
            <v>14.166666666666668</v>
          </cell>
          <cell r="U14">
            <v>11.333333333333332</v>
          </cell>
          <cell r="V14">
            <v>17</v>
          </cell>
          <cell r="W14">
            <v>43.75</v>
          </cell>
          <cell r="X14">
            <v>0</v>
          </cell>
          <cell r="AC14">
            <v>154.25</v>
          </cell>
          <cell r="AF14">
            <v>0</v>
          </cell>
          <cell r="AG14">
            <v>154.25</v>
          </cell>
          <cell r="AK14" t="str">
            <v>Bank Muscat</v>
          </cell>
          <cell r="AL14">
            <v>0</v>
          </cell>
          <cell r="AM14" t="str">
            <v>0133-17932-0084-013</v>
          </cell>
        </row>
        <row r="15">
          <cell r="B15">
            <v>1824</v>
          </cell>
          <cell r="C15" t="str">
            <v>Rashid Hamood Rashid Al Khatri</v>
          </cell>
          <cell r="D15" t="str">
            <v>Casual Labour</v>
          </cell>
          <cell r="E15">
            <v>39616</v>
          </cell>
          <cell r="F15">
            <v>0.625</v>
          </cell>
          <cell r="G15">
            <v>1</v>
          </cell>
          <cell r="H15">
            <v>120</v>
          </cell>
          <cell r="I15">
            <v>25</v>
          </cell>
          <cell r="J15">
            <v>20</v>
          </cell>
          <cell r="K15">
            <v>30</v>
          </cell>
          <cell r="L15">
            <v>89</v>
          </cell>
          <cell r="M15">
            <v>12</v>
          </cell>
          <cell r="N15">
            <v>23</v>
          </cell>
          <cell r="O15">
            <v>0</v>
          </cell>
          <cell r="P15">
            <v>0</v>
          </cell>
          <cell r="Q15">
            <v>1</v>
          </cell>
          <cell r="R15">
            <v>23</v>
          </cell>
          <cell r="S15">
            <v>92</v>
          </cell>
          <cell r="T15">
            <v>19.166666666666668</v>
          </cell>
          <cell r="U15">
            <v>15.333333333333332</v>
          </cell>
          <cell r="V15">
            <v>23</v>
          </cell>
          <cell r="W15">
            <v>55.625</v>
          </cell>
          <cell r="X15">
            <v>12</v>
          </cell>
          <cell r="AC15">
            <v>217.125</v>
          </cell>
          <cell r="AF15">
            <v>0</v>
          </cell>
          <cell r="AG15">
            <v>217.125</v>
          </cell>
          <cell r="AK15" t="str">
            <v>Bank Muscat</v>
          </cell>
          <cell r="AL15">
            <v>0</v>
          </cell>
          <cell r="AM15" t="str">
            <v>0169-12507-0084-019</v>
          </cell>
        </row>
        <row r="16">
          <cell r="B16">
            <v>1833</v>
          </cell>
          <cell r="C16" t="str">
            <v>Issa Said Salim Suleimani</v>
          </cell>
          <cell r="D16" t="str">
            <v>Casual Welder</v>
          </cell>
          <cell r="E16">
            <v>39617</v>
          </cell>
          <cell r="F16">
            <v>0.78125</v>
          </cell>
          <cell r="G16">
            <v>1.25</v>
          </cell>
          <cell r="H16">
            <v>150</v>
          </cell>
          <cell r="I16">
            <v>30</v>
          </cell>
          <cell r="J16">
            <v>25</v>
          </cell>
          <cell r="K16">
            <v>40</v>
          </cell>
          <cell r="L16">
            <v>104</v>
          </cell>
          <cell r="M16">
            <v>12</v>
          </cell>
          <cell r="N16">
            <v>13</v>
          </cell>
          <cell r="O16">
            <v>0</v>
          </cell>
          <cell r="P16">
            <v>0</v>
          </cell>
          <cell r="Q16">
            <v>1</v>
          </cell>
          <cell r="R16">
            <v>13</v>
          </cell>
          <cell r="S16">
            <v>65</v>
          </cell>
          <cell r="T16">
            <v>13</v>
          </cell>
          <cell r="U16">
            <v>10.833333333333334</v>
          </cell>
          <cell r="V16">
            <v>17.333333333333332</v>
          </cell>
          <cell r="W16">
            <v>81.25</v>
          </cell>
          <cell r="X16">
            <v>15</v>
          </cell>
          <cell r="AB16">
            <v>43.177</v>
          </cell>
          <cell r="AC16">
            <v>245.59366666666665</v>
          </cell>
          <cell r="AF16">
            <v>0</v>
          </cell>
          <cell r="AG16">
            <v>245.59366666666665</v>
          </cell>
          <cell r="AH16" t="str">
            <v xml:space="preserve">June pending </v>
          </cell>
          <cell r="AK16" t="str">
            <v>Bank Muscat</v>
          </cell>
          <cell r="AL16" t="str">
            <v>Nizwa/Firq</v>
          </cell>
          <cell r="AM16" t="str">
            <v>133144280084-010</v>
          </cell>
        </row>
        <row r="17">
          <cell r="B17">
            <v>1839</v>
          </cell>
          <cell r="C17" t="str">
            <v>Ibrahim Obaid Saleem Al Attabi</v>
          </cell>
          <cell r="D17" t="str">
            <v>Casual Labour</v>
          </cell>
          <cell r="E17">
            <v>39620</v>
          </cell>
          <cell r="F17">
            <v>0.625</v>
          </cell>
          <cell r="G17">
            <v>1</v>
          </cell>
          <cell r="H17">
            <v>120</v>
          </cell>
          <cell r="I17">
            <v>25</v>
          </cell>
          <cell r="J17">
            <v>20</v>
          </cell>
          <cell r="K17">
            <v>30</v>
          </cell>
          <cell r="L17">
            <v>84</v>
          </cell>
          <cell r="M17">
            <v>0</v>
          </cell>
          <cell r="N17">
            <v>16</v>
          </cell>
          <cell r="O17">
            <v>0</v>
          </cell>
          <cell r="P17">
            <v>0</v>
          </cell>
          <cell r="Q17">
            <v>1</v>
          </cell>
          <cell r="R17">
            <v>16</v>
          </cell>
          <cell r="S17">
            <v>64</v>
          </cell>
          <cell r="T17">
            <v>13.333333333333334</v>
          </cell>
          <cell r="U17">
            <v>10.666666666666666</v>
          </cell>
          <cell r="V17">
            <v>16</v>
          </cell>
          <cell r="W17">
            <v>52.5</v>
          </cell>
          <cell r="X17">
            <v>0</v>
          </cell>
          <cell r="AC17">
            <v>156.5</v>
          </cell>
          <cell r="AF17">
            <v>0</v>
          </cell>
          <cell r="AG17">
            <v>156.5</v>
          </cell>
          <cell r="AK17" t="str">
            <v>National bank of Oman</v>
          </cell>
          <cell r="AL17">
            <v>0</v>
          </cell>
          <cell r="AM17" t="str">
            <v>1019-567215-086</v>
          </cell>
        </row>
        <row r="18">
          <cell r="B18">
            <v>1844</v>
          </cell>
          <cell r="C18" t="str">
            <v>Abdul Aziz Khalfan Khamis Al Majarafi</v>
          </cell>
          <cell r="D18" t="str">
            <v>Casual Labour</v>
          </cell>
          <cell r="E18">
            <v>39620</v>
          </cell>
          <cell r="F18">
            <v>0.625</v>
          </cell>
          <cell r="G18">
            <v>1</v>
          </cell>
          <cell r="H18">
            <v>120</v>
          </cell>
          <cell r="I18">
            <v>25</v>
          </cell>
          <cell r="J18">
            <v>20</v>
          </cell>
          <cell r="K18">
            <v>30</v>
          </cell>
          <cell r="L18">
            <v>154</v>
          </cell>
          <cell r="M18">
            <v>24</v>
          </cell>
          <cell r="N18">
            <v>27</v>
          </cell>
          <cell r="O18">
            <v>0</v>
          </cell>
          <cell r="P18">
            <v>0</v>
          </cell>
          <cell r="Q18">
            <v>4</v>
          </cell>
          <cell r="R18">
            <v>27</v>
          </cell>
          <cell r="S18">
            <v>108</v>
          </cell>
          <cell r="T18">
            <v>22.5</v>
          </cell>
          <cell r="U18">
            <v>18</v>
          </cell>
          <cell r="V18">
            <v>27</v>
          </cell>
          <cell r="W18">
            <v>96.25</v>
          </cell>
          <cell r="X18">
            <v>24</v>
          </cell>
          <cell r="AC18">
            <v>295.75</v>
          </cell>
          <cell r="AF18">
            <v>0</v>
          </cell>
          <cell r="AG18">
            <v>295.75</v>
          </cell>
          <cell r="AK18" t="str">
            <v>Bank Muscat</v>
          </cell>
          <cell r="AL18">
            <v>0</v>
          </cell>
          <cell r="AM18" t="str">
            <v>0118-24728-0084-015</v>
          </cell>
        </row>
        <row r="19">
          <cell r="B19">
            <v>1847</v>
          </cell>
          <cell r="C19" t="str">
            <v>Said Hamed Rashid Al Shidhani</v>
          </cell>
          <cell r="D19" t="str">
            <v>Casual Labour</v>
          </cell>
          <cell r="E19">
            <v>39621</v>
          </cell>
          <cell r="F19">
            <v>0.625</v>
          </cell>
          <cell r="G19">
            <v>1</v>
          </cell>
          <cell r="H19">
            <v>120</v>
          </cell>
          <cell r="I19">
            <v>25</v>
          </cell>
          <cell r="J19">
            <v>20</v>
          </cell>
          <cell r="K19">
            <v>30</v>
          </cell>
          <cell r="L19">
            <v>144</v>
          </cell>
          <cell r="M19">
            <v>24</v>
          </cell>
          <cell r="N19">
            <v>30</v>
          </cell>
          <cell r="O19">
            <v>0</v>
          </cell>
          <cell r="P19">
            <v>0</v>
          </cell>
          <cell r="Q19">
            <v>1</v>
          </cell>
          <cell r="R19">
            <v>30</v>
          </cell>
          <cell r="S19">
            <v>120</v>
          </cell>
          <cell r="T19">
            <v>25</v>
          </cell>
          <cell r="U19">
            <v>20</v>
          </cell>
          <cell r="V19">
            <v>30</v>
          </cell>
          <cell r="W19">
            <v>90</v>
          </cell>
          <cell r="X19">
            <v>24</v>
          </cell>
          <cell r="AC19">
            <v>309</v>
          </cell>
          <cell r="AF19">
            <v>0</v>
          </cell>
          <cell r="AG19">
            <v>309</v>
          </cell>
          <cell r="AK19">
            <v>0</v>
          </cell>
          <cell r="AL19">
            <v>0</v>
          </cell>
          <cell r="AM19">
            <v>0</v>
          </cell>
        </row>
        <row r="20">
          <cell r="B20">
            <v>1849</v>
          </cell>
          <cell r="C20" t="str">
            <v>Yaqoub Ahmed Hamood Al Mahrouqi</v>
          </cell>
          <cell r="D20" t="str">
            <v>Casual Labour</v>
          </cell>
          <cell r="E20">
            <v>39626</v>
          </cell>
          <cell r="F20">
            <v>0.625</v>
          </cell>
          <cell r="G20">
            <v>1</v>
          </cell>
          <cell r="H20">
            <v>120</v>
          </cell>
          <cell r="I20">
            <v>25</v>
          </cell>
          <cell r="J20">
            <v>20</v>
          </cell>
          <cell r="K20">
            <v>30</v>
          </cell>
          <cell r="L20">
            <v>154</v>
          </cell>
          <cell r="M20">
            <v>24</v>
          </cell>
          <cell r="N20">
            <v>29</v>
          </cell>
          <cell r="O20">
            <v>1</v>
          </cell>
          <cell r="P20">
            <v>0</v>
          </cell>
          <cell r="Q20">
            <v>1</v>
          </cell>
          <cell r="R20">
            <v>30</v>
          </cell>
          <cell r="S20">
            <v>120</v>
          </cell>
          <cell r="T20">
            <v>25</v>
          </cell>
          <cell r="U20">
            <v>20</v>
          </cell>
          <cell r="V20">
            <v>29</v>
          </cell>
          <cell r="W20">
            <v>96.25</v>
          </cell>
          <cell r="X20">
            <v>24</v>
          </cell>
          <cell r="AC20">
            <v>314.25</v>
          </cell>
          <cell r="AF20">
            <v>0</v>
          </cell>
          <cell r="AG20">
            <v>314.25</v>
          </cell>
          <cell r="AK20" t="str">
            <v>Bank Muscat</v>
          </cell>
          <cell r="AL20">
            <v>0</v>
          </cell>
          <cell r="AM20" t="str">
            <v>012924264-0084-017</v>
          </cell>
        </row>
        <row r="21">
          <cell r="B21">
            <v>1850</v>
          </cell>
          <cell r="C21" t="str">
            <v>Sa'ud Saif Amur Al Ghafri</v>
          </cell>
          <cell r="D21" t="str">
            <v>Casual Labour</v>
          </cell>
          <cell r="E21">
            <v>39626</v>
          </cell>
          <cell r="F21">
            <v>0.625</v>
          </cell>
          <cell r="G21">
            <v>1</v>
          </cell>
          <cell r="H21">
            <v>120</v>
          </cell>
          <cell r="I21">
            <v>25</v>
          </cell>
          <cell r="J21">
            <v>20</v>
          </cell>
          <cell r="K21">
            <v>30</v>
          </cell>
          <cell r="L21">
            <v>30</v>
          </cell>
          <cell r="M21">
            <v>0</v>
          </cell>
          <cell r="N21">
            <v>5</v>
          </cell>
          <cell r="O21">
            <v>0</v>
          </cell>
          <cell r="P21">
            <v>0</v>
          </cell>
          <cell r="Q21">
            <v>0</v>
          </cell>
          <cell r="R21">
            <v>5</v>
          </cell>
          <cell r="S21">
            <v>20</v>
          </cell>
          <cell r="T21">
            <v>4.166666666666667</v>
          </cell>
          <cell r="U21">
            <v>3.333333333333333</v>
          </cell>
          <cell r="V21">
            <v>5</v>
          </cell>
          <cell r="W21">
            <v>18.75</v>
          </cell>
          <cell r="X21">
            <v>0</v>
          </cell>
          <cell r="AC21">
            <v>51.25</v>
          </cell>
          <cell r="AF21">
            <v>0</v>
          </cell>
          <cell r="AG21">
            <v>51.25</v>
          </cell>
          <cell r="AK21" t="str">
            <v>Bank Muscat</v>
          </cell>
          <cell r="AL21">
            <v>0</v>
          </cell>
          <cell r="AM21" t="str">
            <v>0118-2119-0084-010</v>
          </cell>
        </row>
        <row r="22">
          <cell r="B22">
            <v>1851</v>
          </cell>
          <cell r="C22" t="str">
            <v>Ahmed Hamood Saif Al Hina'i</v>
          </cell>
          <cell r="D22" t="str">
            <v>Casual Labour</v>
          </cell>
          <cell r="E22">
            <v>39626</v>
          </cell>
          <cell r="F22">
            <v>0.625</v>
          </cell>
          <cell r="G22">
            <v>1</v>
          </cell>
          <cell r="H22">
            <v>120</v>
          </cell>
          <cell r="I22">
            <v>25</v>
          </cell>
          <cell r="J22">
            <v>20</v>
          </cell>
          <cell r="K22">
            <v>30</v>
          </cell>
          <cell r="L22">
            <v>282.5</v>
          </cell>
          <cell r="M22">
            <v>24</v>
          </cell>
          <cell r="N22">
            <v>30</v>
          </cell>
          <cell r="O22">
            <v>0</v>
          </cell>
          <cell r="P22">
            <v>0</v>
          </cell>
          <cell r="Q22">
            <v>1</v>
          </cell>
          <cell r="R22">
            <v>30</v>
          </cell>
          <cell r="S22">
            <v>120</v>
          </cell>
          <cell r="T22">
            <v>25</v>
          </cell>
          <cell r="U22">
            <v>20</v>
          </cell>
          <cell r="V22">
            <v>30</v>
          </cell>
          <cell r="W22">
            <v>176.5625</v>
          </cell>
          <cell r="X22">
            <v>24</v>
          </cell>
          <cell r="AC22">
            <v>395.5625</v>
          </cell>
          <cell r="AF22">
            <v>0</v>
          </cell>
          <cell r="AG22">
            <v>395.5625</v>
          </cell>
          <cell r="AK22" t="str">
            <v>National bank of Oman</v>
          </cell>
          <cell r="AL22">
            <v>0</v>
          </cell>
          <cell r="AM22" t="str">
            <v>1019-551142</v>
          </cell>
        </row>
        <row r="23">
          <cell r="B23">
            <v>1855</v>
          </cell>
          <cell r="C23" t="str">
            <v>Abdul Rahman Sulaiyam Musabah Al Ghafri</v>
          </cell>
          <cell r="D23" t="str">
            <v>Casual Labour</v>
          </cell>
          <cell r="E23">
            <v>39630</v>
          </cell>
          <cell r="F23">
            <v>0.625</v>
          </cell>
          <cell r="G23">
            <v>1</v>
          </cell>
          <cell r="H23">
            <v>120</v>
          </cell>
          <cell r="I23">
            <v>25</v>
          </cell>
          <cell r="J23">
            <v>20</v>
          </cell>
          <cell r="K23">
            <v>30</v>
          </cell>
          <cell r="L23">
            <v>50</v>
          </cell>
          <cell r="M23">
            <v>0</v>
          </cell>
          <cell r="N23">
            <v>15</v>
          </cell>
          <cell r="O23">
            <v>0</v>
          </cell>
          <cell r="P23">
            <v>0</v>
          </cell>
          <cell r="Q23">
            <v>2</v>
          </cell>
          <cell r="R23">
            <v>15</v>
          </cell>
          <cell r="S23">
            <v>60</v>
          </cell>
          <cell r="T23">
            <v>12.5</v>
          </cell>
          <cell r="U23">
            <v>10</v>
          </cell>
          <cell r="V23">
            <v>15</v>
          </cell>
          <cell r="W23">
            <v>31.25</v>
          </cell>
          <cell r="X23">
            <v>0</v>
          </cell>
          <cell r="AC23">
            <v>128.75</v>
          </cell>
          <cell r="AF23">
            <v>0</v>
          </cell>
          <cell r="AG23">
            <v>128.75</v>
          </cell>
          <cell r="AK23" t="str">
            <v>Bank Muscat</v>
          </cell>
          <cell r="AL23" t="str">
            <v>Bahla Souq</v>
          </cell>
          <cell r="AM23" t="str">
            <v>191-10699-00084-010</v>
          </cell>
        </row>
        <row r="24">
          <cell r="B24">
            <v>1858</v>
          </cell>
          <cell r="C24" t="str">
            <v>Younis Said Ali Al Amri</v>
          </cell>
          <cell r="D24" t="str">
            <v>Casual Labour</v>
          </cell>
          <cell r="E24">
            <v>39631</v>
          </cell>
          <cell r="F24">
            <v>0.625</v>
          </cell>
          <cell r="G24">
            <v>1</v>
          </cell>
          <cell r="H24">
            <v>120</v>
          </cell>
          <cell r="I24">
            <v>25</v>
          </cell>
          <cell r="J24">
            <v>20</v>
          </cell>
          <cell r="K24">
            <v>30</v>
          </cell>
          <cell r="L24">
            <v>219</v>
          </cell>
          <cell r="M24">
            <v>24</v>
          </cell>
          <cell r="N24">
            <v>28</v>
          </cell>
          <cell r="O24">
            <v>0</v>
          </cell>
          <cell r="P24">
            <v>1</v>
          </cell>
          <cell r="Q24">
            <v>1</v>
          </cell>
          <cell r="R24">
            <v>29</v>
          </cell>
          <cell r="S24">
            <v>116</v>
          </cell>
          <cell r="T24">
            <v>24.166666666666668</v>
          </cell>
          <cell r="U24">
            <v>19.333333333333332</v>
          </cell>
          <cell r="V24">
            <v>28</v>
          </cell>
          <cell r="W24">
            <v>136.875</v>
          </cell>
          <cell r="X24">
            <v>24</v>
          </cell>
          <cell r="AC24">
            <v>348.375</v>
          </cell>
          <cell r="AF24">
            <v>0</v>
          </cell>
          <cell r="AG24">
            <v>348.375</v>
          </cell>
          <cell r="AK24" t="str">
            <v>Oman Arab Bank</v>
          </cell>
          <cell r="AL24" t="str">
            <v>Sanao</v>
          </cell>
          <cell r="AM24">
            <v>3112132756700</v>
          </cell>
        </row>
        <row r="25">
          <cell r="B25">
            <v>1864</v>
          </cell>
          <cell r="C25" t="str">
            <v>Fahad Hamed Khamis Hammad Al Hinai</v>
          </cell>
          <cell r="D25" t="str">
            <v>Casual Labour</v>
          </cell>
          <cell r="E25">
            <v>39632</v>
          </cell>
          <cell r="F25">
            <v>0.625</v>
          </cell>
          <cell r="G25">
            <v>1</v>
          </cell>
          <cell r="H25">
            <v>120</v>
          </cell>
          <cell r="I25">
            <v>25</v>
          </cell>
          <cell r="J25">
            <v>20</v>
          </cell>
          <cell r="K25">
            <v>30</v>
          </cell>
          <cell r="L25">
            <v>46</v>
          </cell>
          <cell r="M25">
            <v>0</v>
          </cell>
          <cell r="N25">
            <v>14</v>
          </cell>
          <cell r="O25">
            <v>0</v>
          </cell>
          <cell r="P25">
            <v>0</v>
          </cell>
          <cell r="Q25">
            <v>1</v>
          </cell>
          <cell r="R25">
            <v>14</v>
          </cell>
          <cell r="S25">
            <v>56</v>
          </cell>
          <cell r="T25">
            <v>11.666666666666668</v>
          </cell>
          <cell r="U25">
            <v>9.3333333333333321</v>
          </cell>
          <cell r="V25">
            <v>14</v>
          </cell>
          <cell r="W25">
            <v>28.75</v>
          </cell>
          <cell r="X25">
            <v>0</v>
          </cell>
          <cell r="AC25">
            <v>119.75</v>
          </cell>
          <cell r="AF25">
            <v>0</v>
          </cell>
          <cell r="AG25">
            <v>119.75</v>
          </cell>
          <cell r="AK25" t="str">
            <v>Oman International Bank</v>
          </cell>
          <cell r="AL25" t="str">
            <v>Firq</v>
          </cell>
          <cell r="AM25" t="str">
            <v>34-123844-29</v>
          </cell>
        </row>
        <row r="26">
          <cell r="B26">
            <v>1865</v>
          </cell>
          <cell r="C26" t="str">
            <v>Mahmood Mohammed Said Al Mahrouqi</v>
          </cell>
          <cell r="D26" t="str">
            <v>Casual Labour</v>
          </cell>
          <cell r="E26">
            <v>39632</v>
          </cell>
          <cell r="F26">
            <v>0.625</v>
          </cell>
          <cell r="G26">
            <v>1</v>
          </cell>
          <cell r="H26">
            <v>120</v>
          </cell>
          <cell r="I26">
            <v>25</v>
          </cell>
          <cell r="J26">
            <v>20</v>
          </cell>
          <cell r="K26">
            <v>30</v>
          </cell>
          <cell r="L26">
            <v>148</v>
          </cell>
          <cell r="M26">
            <v>24</v>
          </cell>
          <cell r="N26">
            <v>28</v>
          </cell>
          <cell r="O26">
            <v>0</v>
          </cell>
          <cell r="P26">
            <v>0</v>
          </cell>
          <cell r="Q26">
            <v>1</v>
          </cell>
          <cell r="R26">
            <v>28</v>
          </cell>
          <cell r="S26">
            <v>112</v>
          </cell>
          <cell r="T26">
            <v>23.333333333333336</v>
          </cell>
          <cell r="U26">
            <v>18.666666666666664</v>
          </cell>
          <cell r="V26">
            <v>28</v>
          </cell>
          <cell r="W26">
            <v>92.5</v>
          </cell>
          <cell r="X26">
            <v>24</v>
          </cell>
          <cell r="AC26">
            <v>298.5</v>
          </cell>
          <cell r="AF26">
            <v>0</v>
          </cell>
          <cell r="AG26">
            <v>298.5</v>
          </cell>
          <cell r="AK26" t="str">
            <v>Bank Muscat</v>
          </cell>
          <cell r="AL26">
            <v>0</v>
          </cell>
          <cell r="AM26" t="str">
            <v>121-15577-0084-017</v>
          </cell>
        </row>
        <row r="27">
          <cell r="B27">
            <v>1868</v>
          </cell>
          <cell r="C27" t="str">
            <v>Jalal Said Salim AL Khatri</v>
          </cell>
          <cell r="D27" t="str">
            <v>Casual Labour</v>
          </cell>
          <cell r="E27">
            <v>39632</v>
          </cell>
          <cell r="F27">
            <v>0.625</v>
          </cell>
          <cell r="G27">
            <v>1</v>
          </cell>
          <cell r="H27">
            <v>120</v>
          </cell>
          <cell r="I27">
            <v>25</v>
          </cell>
          <cell r="J27">
            <v>20</v>
          </cell>
          <cell r="K27">
            <v>30</v>
          </cell>
          <cell r="L27">
            <v>115</v>
          </cell>
          <cell r="M27">
            <v>12</v>
          </cell>
          <cell r="N27">
            <v>22</v>
          </cell>
          <cell r="O27">
            <v>0</v>
          </cell>
          <cell r="P27">
            <v>0</v>
          </cell>
          <cell r="Q27">
            <v>1</v>
          </cell>
          <cell r="R27">
            <v>22</v>
          </cell>
          <cell r="S27">
            <v>88</v>
          </cell>
          <cell r="T27">
            <v>18.333333333333336</v>
          </cell>
          <cell r="U27">
            <v>14.666666666666666</v>
          </cell>
          <cell r="V27">
            <v>22</v>
          </cell>
          <cell r="W27">
            <v>71.875</v>
          </cell>
          <cell r="X27">
            <v>12</v>
          </cell>
          <cell r="AC27">
            <v>226.875</v>
          </cell>
          <cell r="AF27">
            <v>0</v>
          </cell>
          <cell r="AG27">
            <v>226.875</v>
          </cell>
          <cell r="AK27" t="str">
            <v>Bank Muscat</v>
          </cell>
          <cell r="AL27">
            <v>0</v>
          </cell>
          <cell r="AM27" t="str">
            <v>191-10718-0084-018</v>
          </cell>
        </row>
        <row r="28">
          <cell r="B28">
            <v>1870</v>
          </cell>
          <cell r="C28" t="str">
            <v>Hossain Suwaidan Bakheit Al Shukaili</v>
          </cell>
          <cell r="D28" t="str">
            <v>Casual Labour</v>
          </cell>
          <cell r="E28">
            <v>39634</v>
          </cell>
          <cell r="F28">
            <v>0.625</v>
          </cell>
          <cell r="G28">
            <v>1</v>
          </cell>
          <cell r="H28">
            <v>120</v>
          </cell>
          <cell r="I28">
            <v>25</v>
          </cell>
          <cell r="J28">
            <v>20</v>
          </cell>
          <cell r="K28">
            <v>30</v>
          </cell>
          <cell r="L28">
            <v>150</v>
          </cell>
          <cell r="M28">
            <v>24</v>
          </cell>
          <cell r="N28">
            <v>27</v>
          </cell>
          <cell r="O28">
            <v>0</v>
          </cell>
          <cell r="P28">
            <v>0</v>
          </cell>
          <cell r="Q28">
            <v>0</v>
          </cell>
          <cell r="R28">
            <v>27</v>
          </cell>
          <cell r="S28">
            <v>108</v>
          </cell>
          <cell r="T28">
            <v>22.5</v>
          </cell>
          <cell r="U28">
            <v>18</v>
          </cell>
          <cell r="V28">
            <v>27</v>
          </cell>
          <cell r="W28">
            <v>93.75</v>
          </cell>
          <cell r="X28">
            <v>24</v>
          </cell>
          <cell r="AC28">
            <v>293.25</v>
          </cell>
          <cell r="AF28">
            <v>0</v>
          </cell>
          <cell r="AG28">
            <v>293.25</v>
          </cell>
          <cell r="AK28" t="str">
            <v>Bank Muscat</v>
          </cell>
          <cell r="AL28" t="str">
            <v>Bahla Souq</v>
          </cell>
          <cell r="AM28" t="str">
            <v>191-107620084013</v>
          </cell>
        </row>
        <row r="29">
          <cell r="B29">
            <v>1871</v>
          </cell>
          <cell r="C29" t="str">
            <v>Khamis Sulaiyam Salim Al Mamari</v>
          </cell>
          <cell r="D29" t="str">
            <v>Casual Heavy Duty Driver</v>
          </cell>
          <cell r="E29">
            <v>39634</v>
          </cell>
          <cell r="F29">
            <v>0.9375</v>
          </cell>
          <cell r="G29">
            <v>1.5</v>
          </cell>
          <cell r="H29">
            <v>180</v>
          </cell>
          <cell r="I29">
            <v>40</v>
          </cell>
          <cell r="J29">
            <v>30</v>
          </cell>
          <cell r="K29">
            <v>45</v>
          </cell>
          <cell r="L29">
            <v>154</v>
          </cell>
          <cell r="M29">
            <v>24</v>
          </cell>
          <cell r="N29">
            <v>27</v>
          </cell>
          <cell r="O29">
            <v>0</v>
          </cell>
          <cell r="P29">
            <v>0</v>
          </cell>
          <cell r="Q29">
            <v>0</v>
          </cell>
          <cell r="R29">
            <v>27</v>
          </cell>
          <cell r="S29">
            <v>162</v>
          </cell>
          <cell r="T29">
            <v>36</v>
          </cell>
          <cell r="U29">
            <v>27</v>
          </cell>
          <cell r="V29">
            <v>40.5</v>
          </cell>
          <cell r="W29">
            <v>144.375</v>
          </cell>
          <cell r="X29">
            <v>36</v>
          </cell>
          <cell r="AC29">
            <v>445.875</v>
          </cell>
          <cell r="AF29">
            <v>0</v>
          </cell>
          <cell r="AG29">
            <v>445.875</v>
          </cell>
          <cell r="AK29" t="str">
            <v>Bank Muscat</v>
          </cell>
          <cell r="AL29" t="str">
            <v>Ibri / Dreiz</v>
          </cell>
          <cell r="AM29">
            <v>119132540084012</v>
          </cell>
        </row>
        <row r="30">
          <cell r="B30">
            <v>1872</v>
          </cell>
          <cell r="C30" t="str">
            <v>Mohammed Rashid Bukhit Al Ghafri</v>
          </cell>
          <cell r="D30" t="str">
            <v>Casual Labour</v>
          </cell>
          <cell r="E30">
            <v>39634</v>
          </cell>
          <cell r="F30">
            <v>0.625</v>
          </cell>
          <cell r="G30">
            <v>1</v>
          </cell>
          <cell r="H30">
            <v>120</v>
          </cell>
          <cell r="I30">
            <v>25</v>
          </cell>
          <cell r="J30">
            <v>20</v>
          </cell>
          <cell r="K30">
            <v>30</v>
          </cell>
          <cell r="L30">
            <v>50</v>
          </cell>
          <cell r="M30">
            <v>0</v>
          </cell>
          <cell r="N30">
            <v>13</v>
          </cell>
          <cell r="O30">
            <v>0</v>
          </cell>
          <cell r="P30">
            <v>0</v>
          </cell>
          <cell r="Q30">
            <v>0</v>
          </cell>
          <cell r="R30">
            <v>13</v>
          </cell>
          <cell r="S30">
            <v>52</v>
          </cell>
          <cell r="T30">
            <v>10.833333333333334</v>
          </cell>
          <cell r="U30">
            <v>8.6666666666666661</v>
          </cell>
          <cell r="V30">
            <v>13</v>
          </cell>
          <cell r="W30">
            <v>31.25</v>
          </cell>
          <cell r="X30">
            <v>0</v>
          </cell>
          <cell r="AC30">
            <v>115.75</v>
          </cell>
          <cell r="AF30">
            <v>0</v>
          </cell>
          <cell r="AG30">
            <v>115.75</v>
          </cell>
          <cell r="AK30" t="str">
            <v>Bank Muscat</v>
          </cell>
          <cell r="AL30" t="str">
            <v xml:space="preserve">Ibri  </v>
          </cell>
          <cell r="AM30" t="str">
            <v>0119-15184-0084-012</v>
          </cell>
        </row>
        <row r="31">
          <cell r="B31">
            <v>1873</v>
          </cell>
          <cell r="C31" t="str">
            <v>Masoud Nasser Mohammed Al Busaidi</v>
          </cell>
          <cell r="D31" t="str">
            <v>Casual Labour</v>
          </cell>
          <cell r="E31">
            <v>39634</v>
          </cell>
          <cell r="F31">
            <v>0.625</v>
          </cell>
          <cell r="G31">
            <v>1</v>
          </cell>
          <cell r="H31">
            <v>120</v>
          </cell>
          <cell r="I31">
            <v>25</v>
          </cell>
          <cell r="J31">
            <v>20</v>
          </cell>
          <cell r="K31">
            <v>30</v>
          </cell>
          <cell r="L31">
            <v>146</v>
          </cell>
          <cell r="M31">
            <v>24</v>
          </cell>
          <cell r="N31">
            <v>27</v>
          </cell>
          <cell r="O31">
            <v>0</v>
          </cell>
          <cell r="P31">
            <v>0</v>
          </cell>
          <cell r="Q31">
            <v>0</v>
          </cell>
          <cell r="R31">
            <v>27</v>
          </cell>
          <cell r="S31">
            <v>108</v>
          </cell>
          <cell r="T31">
            <v>22.5</v>
          </cell>
          <cell r="U31">
            <v>18</v>
          </cell>
          <cell r="V31">
            <v>27</v>
          </cell>
          <cell r="W31">
            <v>91.25</v>
          </cell>
          <cell r="X31">
            <v>24</v>
          </cell>
          <cell r="AC31">
            <v>290.75</v>
          </cell>
          <cell r="AF31">
            <v>0</v>
          </cell>
          <cell r="AG31">
            <v>290.75</v>
          </cell>
          <cell r="AK31" t="str">
            <v>Bank Muscat</v>
          </cell>
          <cell r="AL31" t="str">
            <v>Ghala</v>
          </cell>
          <cell r="AM31" t="str">
            <v>0059-99800-0084-019</v>
          </cell>
        </row>
        <row r="32">
          <cell r="B32">
            <v>1874</v>
          </cell>
          <cell r="C32" t="str">
            <v>Said Nasser Mohammed Al Busaidi</v>
          </cell>
          <cell r="D32" t="str">
            <v>Casual Labour</v>
          </cell>
          <cell r="E32">
            <v>39634</v>
          </cell>
          <cell r="F32">
            <v>0.625</v>
          </cell>
          <cell r="G32">
            <v>1</v>
          </cell>
          <cell r="H32">
            <v>120</v>
          </cell>
          <cell r="I32">
            <v>25</v>
          </cell>
          <cell r="J32">
            <v>20</v>
          </cell>
          <cell r="K32">
            <v>30</v>
          </cell>
          <cell r="L32">
            <v>193</v>
          </cell>
          <cell r="M32">
            <v>24</v>
          </cell>
          <cell r="N32">
            <v>27</v>
          </cell>
          <cell r="O32">
            <v>0</v>
          </cell>
          <cell r="P32">
            <v>0</v>
          </cell>
          <cell r="Q32">
            <v>0</v>
          </cell>
          <cell r="R32">
            <v>27</v>
          </cell>
          <cell r="S32">
            <v>108</v>
          </cell>
          <cell r="T32">
            <v>22.5</v>
          </cell>
          <cell r="U32">
            <v>18</v>
          </cell>
          <cell r="V32">
            <v>27</v>
          </cell>
          <cell r="W32">
            <v>120.625</v>
          </cell>
          <cell r="X32">
            <v>24</v>
          </cell>
          <cell r="AC32">
            <v>320.125</v>
          </cell>
          <cell r="AF32">
            <v>0</v>
          </cell>
          <cell r="AG32">
            <v>320.125</v>
          </cell>
          <cell r="AK32" t="str">
            <v>Bank Muscat</v>
          </cell>
          <cell r="AL32" t="str">
            <v>Ghala</v>
          </cell>
          <cell r="AM32" t="str">
            <v>0059-72618-0084-018</v>
          </cell>
        </row>
        <row r="33">
          <cell r="B33">
            <v>1875</v>
          </cell>
          <cell r="C33" t="str">
            <v>Saif Nasser Mohammed Al Busaidi</v>
          </cell>
          <cell r="D33" t="str">
            <v>Casual Labour</v>
          </cell>
          <cell r="E33">
            <v>39634</v>
          </cell>
          <cell r="F33">
            <v>0.625</v>
          </cell>
          <cell r="G33">
            <v>1</v>
          </cell>
          <cell r="H33">
            <v>120</v>
          </cell>
          <cell r="I33">
            <v>25</v>
          </cell>
          <cell r="J33">
            <v>20</v>
          </cell>
          <cell r="K33">
            <v>30</v>
          </cell>
          <cell r="L33">
            <v>197</v>
          </cell>
          <cell r="M33">
            <v>24</v>
          </cell>
          <cell r="N33">
            <v>27</v>
          </cell>
          <cell r="O33">
            <v>0</v>
          </cell>
          <cell r="P33">
            <v>0</v>
          </cell>
          <cell r="Q33">
            <v>0</v>
          </cell>
          <cell r="R33">
            <v>27</v>
          </cell>
          <cell r="S33">
            <v>108</v>
          </cell>
          <cell r="T33">
            <v>22.5</v>
          </cell>
          <cell r="U33">
            <v>18</v>
          </cell>
          <cell r="V33">
            <v>27</v>
          </cell>
          <cell r="W33">
            <v>123.125</v>
          </cell>
          <cell r="X33">
            <v>24</v>
          </cell>
          <cell r="AC33">
            <v>322.625</v>
          </cell>
          <cell r="AF33">
            <v>0</v>
          </cell>
          <cell r="AG33">
            <v>322.625</v>
          </cell>
          <cell r="AK33" t="str">
            <v>Bank Muscat</v>
          </cell>
          <cell r="AL33" t="str">
            <v>Ghala</v>
          </cell>
          <cell r="AM33" t="str">
            <v>0059-72691-0084-017</v>
          </cell>
        </row>
        <row r="34">
          <cell r="B34">
            <v>1877</v>
          </cell>
          <cell r="C34" t="str">
            <v>Aadil Rashid Habib Al Daghari</v>
          </cell>
          <cell r="D34" t="str">
            <v>Casual Labour</v>
          </cell>
          <cell r="E34">
            <v>39634</v>
          </cell>
          <cell r="F34">
            <v>0.625</v>
          </cell>
          <cell r="G34">
            <v>1</v>
          </cell>
          <cell r="H34">
            <v>120</v>
          </cell>
          <cell r="I34">
            <v>25</v>
          </cell>
          <cell r="J34">
            <v>20</v>
          </cell>
          <cell r="K34">
            <v>30</v>
          </cell>
          <cell r="L34">
            <v>176</v>
          </cell>
          <cell r="M34">
            <v>24</v>
          </cell>
          <cell r="N34">
            <v>27</v>
          </cell>
          <cell r="O34">
            <v>0</v>
          </cell>
          <cell r="P34">
            <v>0</v>
          </cell>
          <cell r="Q34">
            <v>0</v>
          </cell>
          <cell r="R34">
            <v>27</v>
          </cell>
          <cell r="S34">
            <v>108</v>
          </cell>
          <cell r="T34">
            <v>22.5</v>
          </cell>
          <cell r="U34">
            <v>18</v>
          </cell>
          <cell r="V34">
            <v>27</v>
          </cell>
          <cell r="W34">
            <v>110</v>
          </cell>
          <cell r="X34">
            <v>24</v>
          </cell>
          <cell r="AC34">
            <v>309.5</v>
          </cell>
          <cell r="AF34">
            <v>0</v>
          </cell>
          <cell r="AG34">
            <v>309.5</v>
          </cell>
          <cell r="AK34" t="str">
            <v>Oman International Bank</v>
          </cell>
          <cell r="AL34" t="str">
            <v>Nizwa</v>
          </cell>
          <cell r="AM34" t="str">
            <v>35-017854-29-01</v>
          </cell>
        </row>
        <row r="35">
          <cell r="B35">
            <v>1879</v>
          </cell>
          <cell r="C35" t="str">
            <v>Ghanim Mubarak Hamed Al Daraai</v>
          </cell>
          <cell r="D35" t="str">
            <v>Casual Light Duty Driver</v>
          </cell>
          <cell r="E35">
            <v>39635</v>
          </cell>
          <cell r="F35">
            <v>0.78125</v>
          </cell>
          <cell r="G35">
            <v>1.25</v>
          </cell>
          <cell r="H35">
            <v>150</v>
          </cell>
          <cell r="I35">
            <v>30</v>
          </cell>
          <cell r="J35">
            <v>25</v>
          </cell>
          <cell r="K35">
            <v>40</v>
          </cell>
          <cell r="L35">
            <v>129</v>
          </cell>
          <cell r="M35">
            <v>24</v>
          </cell>
          <cell r="N35">
            <v>25</v>
          </cell>
          <cell r="O35">
            <v>0</v>
          </cell>
          <cell r="P35">
            <v>0</v>
          </cell>
          <cell r="Q35">
            <v>0</v>
          </cell>
          <cell r="R35">
            <v>25</v>
          </cell>
          <cell r="S35">
            <v>125</v>
          </cell>
          <cell r="T35">
            <v>25</v>
          </cell>
          <cell r="U35">
            <v>20.833333333333336</v>
          </cell>
          <cell r="V35">
            <v>33.333333333333329</v>
          </cell>
          <cell r="W35">
            <v>100.78125</v>
          </cell>
          <cell r="X35">
            <v>30</v>
          </cell>
          <cell r="AC35">
            <v>334.94791666666669</v>
          </cell>
          <cell r="AF35">
            <v>0</v>
          </cell>
          <cell r="AG35">
            <v>334.94791666666669</v>
          </cell>
          <cell r="AK35" t="str">
            <v>Bank Muscat</v>
          </cell>
          <cell r="AL35" t="str">
            <v xml:space="preserve">Bahla   </v>
          </cell>
          <cell r="AM35" t="str">
            <v>062-186280084-019</v>
          </cell>
        </row>
        <row r="36">
          <cell r="B36">
            <v>1880</v>
          </cell>
          <cell r="C36" t="str">
            <v>Adnan Khalfan Sulaiman Al Rahbi</v>
          </cell>
          <cell r="D36" t="str">
            <v>Casual Labour</v>
          </cell>
          <cell r="E36">
            <v>39636</v>
          </cell>
          <cell r="F36">
            <v>0.625</v>
          </cell>
          <cell r="G36">
            <v>1</v>
          </cell>
          <cell r="H36">
            <v>120</v>
          </cell>
          <cell r="I36">
            <v>25</v>
          </cell>
          <cell r="J36">
            <v>20</v>
          </cell>
          <cell r="K36">
            <v>30</v>
          </cell>
          <cell r="L36">
            <v>146</v>
          </cell>
          <cell r="M36">
            <v>24</v>
          </cell>
          <cell r="N36">
            <v>25</v>
          </cell>
          <cell r="O36">
            <v>0</v>
          </cell>
          <cell r="P36">
            <v>0</v>
          </cell>
          <cell r="Q36">
            <v>0</v>
          </cell>
          <cell r="R36">
            <v>25</v>
          </cell>
          <cell r="S36">
            <v>100</v>
          </cell>
          <cell r="T36">
            <v>20.833333333333336</v>
          </cell>
          <cell r="U36">
            <v>16.666666666666664</v>
          </cell>
          <cell r="V36">
            <v>25</v>
          </cell>
          <cell r="W36">
            <v>91.25</v>
          </cell>
          <cell r="X36">
            <v>24</v>
          </cell>
          <cell r="AC36">
            <v>277.75</v>
          </cell>
          <cell r="AF36">
            <v>0</v>
          </cell>
          <cell r="AG36">
            <v>277.75</v>
          </cell>
          <cell r="AK36">
            <v>0</v>
          </cell>
          <cell r="AL36">
            <v>0</v>
          </cell>
          <cell r="AM36">
            <v>0</v>
          </cell>
        </row>
        <row r="37">
          <cell r="B37">
            <v>1881</v>
          </cell>
          <cell r="C37" t="str">
            <v>Kharoos Zaher Mohammed Al Shidhani</v>
          </cell>
          <cell r="D37" t="str">
            <v>Casual Labour</v>
          </cell>
          <cell r="E37">
            <v>39636</v>
          </cell>
          <cell r="F37">
            <v>0.625</v>
          </cell>
          <cell r="G37">
            <v>1</v>
          </cell>
          <cell r="H37">
            <v>120</v>
          </cell>
          <cell r="I37">
            <v>25</v>
          </cell>
          <cell r="J37">
            <v>20</v>
          </cell>
          <cell r="K37">
            <v>30</v>
          </cell>
          <cell r="L37">
            <v>78</v>
          </cell>
          <cell r="M37">
            <v>0</v>
          </cell>
          <cell r="N37">
            <v>17</v>
          </cell>
          <cell r="O37">
            <v>0</v>
          </cell>
          <cell r="P37">
            <v>0</v>
          </cell>
          <cell r="Q37">
            <v>0</v>
          </cell>
          <cell r="R37">
            <v>17</v>
          </cell>
          <cell r="S37">
            <v>68</v>
          </cell>
          <cell r="T37">
            <v>14.166666666666668</v>
          </cell>
          <cell r="U37">
            <v>11.333333333333332</v>
          </cell>
          <cell r="V37">
            <v>17</v>
          </cell>
          <cell r="W37">
            <v>48.75</v>
          </cell>
          <cell r="X37">
            <v>0</v>
          </cell>
          <cell r="AC37">
            <v>159.25</v>
          </cell>
          <cell r="AF37">
            <v>0</v>
          </cell>
          <cell r="AG37">
            <v>159.25</v>
          </cell>
          <cell r="AK37" t="str">
            <v>Bank Muscat</v>
          </cell>
          <cell r="AL37">
            <v>0</v>
          </cell>
          <cell r="AM37" t="str">
            <v>0131-21532-0084-019</v>
          </cell>
        </row>
        <row r="38">
          <cell r="B38">
            <v>1882</v>
          </cell>
          <cell r="C38" t="str">
            <v>Talal Salim Ali Al Busaidi</v>
          </cell>
          <cell r="D38" t="str">
            <v>Casual Labour</v>
          </cell>
          <cell r="E38">
            <v>39636</v>
          </cell>
          <cell r="F38">
            <v>0.625</v>
          </cell>
          <cell r="G38">
            <v>1</v>
          </cell>
          <cell r="H38">
            <v>120</v>
          </cell>
          <cell r="I38">
            <v>25</v>
          </cell>
          <cell r="J38">
            <v>20</v>
          </cell>
          <cell r="K38">
            <v>30</v>
          </cell>
          <cell r="L38">
            <v>62</v>
          </cell>
          <cell r="M38">
            <v>0</v>
          </cell>
          <cell r="N38">
            <v>15</v>
          </cell>
          <cell r="O38">
            <v>0</v>
          </cell>
          <cell r="P38">
            <v>0</v>
          </cell>
          <cell r="Q38">
            <v>0</v>
          </cell>
          <cell r="R38">
            <v>15</v>
          </cell>
          <cell r="S38">
            <v>60</v>
          </cell>
          <cell r="T38">
            <v>12.5</v>
          </cell>
          <cell r="U38">
            <v>10</v>
          </cell>
          <cell r="V38">
            <v>15</v>
          </cell>
          <cell r="W38">
            <v>38.75</v>
          </cell>
          <cell r="X38">
            <v>0</v>
          </cell>
          <cell r="AC38">
            <v>136.25</v>
          </cell>
          <cell r="AF38">
            <v>0</v>
          </cell>
          <cell r="AG38">
            <v>136.25</v>
          </cell>
          <cell r="AK38" t="str">
            <v>Bank Muscat</v>
          </cell>
          <cell r="AL38" t="str">
            <v>Adam</v>
          </cell>
          <cell r="AM38">
            <v>3883667</v>
          </cell>
        </row>
        <row r="39">
          <cell r="B39">
            <v>1883</v>
          </cell>
          <cell r="C39" t="str">
            <v>Suod Ali Said Al Busaidi</v>
          </cell>
          <cell r="D39" t="str">
            <v>Casual Labour</v>
          </cell>
          <cell r="E39">
            <v>39637</v>
          </cell>
          <cell r="F39">
            <v>0.625</v>
          </cell>
          <cell r="G39">
            <v>1</v>
          </cell>
          <cell r="H39">
            <v>120</v>
          </cell>
          <cell r="I39">
            <v>25</v>
          </cell>
          <cell r="J39">
            <v>20</v>
          </cell>
          <cell r="K39">
            <v>30</v>
          </cell>
          <cell r="L39">
            <v>92</v>
          </cell>
          <cell r="M39">
            <v>24</v>
          </cell>
          <cell r="N39">
            <v>24</v>
          </cell>
          <cell r="O39">
            <v>0</v>
          </cell>
          <cell r="P39">
            <v>0</v>
          </cell>
          <cell r="Q39">
            <v>0</v>
          </cell>
          <cell r="R39">
            <v>24</v>
          </cell>
          <cell r="S39">
            <v>96</v>
          </cell>
          <cell r="T39">
            <v>20</v>
          </cell>
          <cell r="U39">
            <v>16</v>
          </cell>
          <cell r="V39">
            <v>24</v>
          </cell>
          <cell r="W39">
            <v>57.5</v>
          </cell>
          <cell r="X39">
            <v>24</v>
          </cell>
          <cell r="AC39">
            <v>237.5</v>
          </cell>
          <cell r="AF39">
            <v>0</v>
          </cell>
          <cell r="AG39">
            <v>237.5</v>
          </cell>
          <cell r="AK39" t="str">
            <v>Oman International Bank</v>
          </cell>
          <cell r="AL39" t="str">
            <v>Adam</v>
          </cell>
          <cell r="AM39" t="str">
            <v>28-113546-20</v>
          </cell>
        </row>
        <row r="40">
          <cell r="B40">
            <v>1884</v>
          </cell>
          <cell r="C40" t="str">
            <v>Ahmed Ziyad Sulaiman Al Khasaibi</v>
          </cell>
          <cell r="D40" t="str">
            <v>Casual Labour</v>
          </cell>
          <cell r="E40">
            <v>39637</v>
          </cell>
          <cell r="F40">
            <v>0.625</v>
          </cell>
          <cell r="G40">
            <v>1</v>
          </cell>
          <cell r="H40">
            <v>120</v>
          </cell>
          <cell r="I40">
            <v>25</v>
          </cell>
          <cell r="J40">
            <v>20</v>
          </cell>
          <cell r="K40">
            <v>30</v>
          </cell>
          <cell r="L40">
            <v>28</v>
          </cell>
          <cell r="M40">
            <v>0</v>
          </cell>
          <cell r="N40">
            <v>9</v>
          </cell>
          <cell r="O40">
            <v>0</v>
          </cell>
          <cell r="P40">
            <v>0</v>
          </cell>
          <cell r="Q40">
            <v>0</v>
          </cell>
          <cell r="R40">
            <v>9</v>
          </cell>
          <cell r="S40">
            <v>36</v>
          </cell>
          <cell r="T40">
            <v>7.5</v>
          </cell>
          <cell r="U40">
            <v>6</v>
          </cell>
          <cell r="V40">
            <v>9</v>
          </cell>
          <cell r="W40">
            <v>17.5</v>
          </cell>
          <cell r="X40">
            <v>0</v>
          </cell>
          <cell r="AC40">
            <v>76</v>
          </cell>
          <cell r="AF40">
            <v>0</v>
          </cell>
          <cell r="AG40">
            <v>76</v>
          </cell>
          <cell r="AK40" t="str">
            <v>Bank Muscat</v>
          </cell>
          <cell r="AL40" t="str">
            <v>Adam</v>
          </cell>
          <cell r="AM40">
            <v>12922227</v>
          </cell>
        </row>
        <row r="41">
          <cell r="B41">
            <v>1885</v>
          </cell>
          <cell r="C41" t="str">
            <v>Mohammed Sulaiman Saif Al Al Mahrouqi</v>
          </cell>
          <cell r="D41" t="str">
            <v>Casual Labour</v>
          </cell>
          <cell r="E41">
            <v>39637</v>
          </cell>
          <cell r="F41">
            <v>0.625</v>
          </cell>
          <cell r="G41">
            <v>1</v>
          </cell>
          <cell r="H41">
            <v>120</v>
          </cell>
          <cell r="I41">
            <v>25</v>
          </cell>
          <cell r="J41">
            <v>20</v>
          </cell>
          <cell r="K41">
            <v>30</v>
          </cell>
          <cell r="L41">
            <v>122</v>
          </cell>
          <cell r="M41">
            <v>12</v>
          </cell>
          <cell r="N41">
            <v>21</v>
          </cell>
          <cell r="O41">
            <v>0</v>
          </cell>
          <cell r="P41">
            <v>3</v>
          </cell>
          <cell r="Q41">
            <v>0</v>
          </cell>
          <cell r="R41">
            <v>24</v>
          </cell>
          <cell r="S41">
            <v>96</v>
          </cell>
          <cell r="T41">
            <v>20</v>
          </cell>
          <cell r="U41">
            <v>16</v>
          </cell>
          <cell r="V41">
            <v>21</v>
          </cell>
          <cell r="W41">
            <v>76.25</v>
          </cell>
          <cell r="X41">
            <v>12</v>
          </cell>
          <cell r="AC41">
            <v>241.25</v>
          </cell>
          <cell r="AF41">
            <v>0</v>
          </cell>
          <cell r="AG41">
            <v>241.25</v>
          </cell>
          <cell r="AK41" t="str">
            <v>Oman International Bank</v>
          </cell>
          <cell r="AL41" t="str">
            <v>Adam</v>
          </cell>
          <cell r="AM41" t="str">
            <v>28-113553-20</v>
          </cell>
        </row>
        <row r="42">
          <cell r="B42">
            <v>1886</v>
          </cell>
          <cell r="C42" t="str">
            <v>Younis Ali Said Al Mahrouqi</v>
          </cell>
          <cell r="D42" t="str">
            <v>Casual Labour</v>
          </cell>
          <cell r="E42">
            <v>39637</v>
          </cell>
          <cell r="F42">
            <v>0.625</v>
          </cell>
          <cell r="G42">
            <v>1</v>
          </cell>
          <cell r="H42">
            <v>120</v>
          </cell>
          <cell r="I42">
            <v>25</v>
          </cell>
          <cell r="J42">
            <v>20</v>
          </cell>
          <cell r="K42">
            <v>30</v>
          </cell>
          <cell r="L42">
            <v>128</v>
          </cell>
          <cell r="M42">
            <v>24</v>
          </cell>
          <cell r="N42">
            <v>24</v>
          </cell>
          <cell r="O42">
            <v>0</v>
          </cell>
          <cell r="P42">
            <v>0</v>
          </cell>
          <cell r="Q42">
            <v>0</v>
          </cell>
          <cell r="R42">
            <v>24</v>
          </cell>
          <cell r="S42">
            <v>96</v>
          </cell>
          <cell r="T42">
            <v>20</v>
          </cell>
          <cell r="U42">
            <v>16</v>
          </cell>
          <cell r="V42">
            <v>24</v>
          </cell>
          <cell r="W42">
            <v>80</v>
          </cell>
          <cell r="X42">
            <v>24</v>
          </cell>
          <cell r="AC42">
            <v>260</v>
          </cell>
          <cell r="AF42">
            <v>0</v>
          </cell>
          <cell r="AG42">
            <v>260</v>
          </cell>
          <cell r="AK42" t="str">
            <v>Bank Muscat</v>
          </cell>
          <cell r="AL42">
            <v>0</v>
          </cell>
          <cell r="AM42" t="str">
            <v>0121-15561-0084-015</v>
          </cell>
        </row>
        <row r="43">
          <cell r="B43">
            <v>1887</v>
          </cell>
          <cell r="C43" t="str">
            <v>Shihab Nasser Ahmed Al Sheibabi</v>
          </cell>
          <cell r="D43" t="str">
            <v>Casual Labour</v>
          </cell>
          <cell r="E43">
            <v>39637</v>
          </cell>
          <cell r="F43">
            <v>0.625</v>
          </cell>
          <cell r="G43">
            <v>1</v>
          </cell>
          <cell r="H43">
            <v>120</v>
          </cell>
          <cell r="I43">
            <v>25</v>
          </cell>
          <cell r="J43">
            <v>20</v>
          </cell>
          <cell r="K43">
            <v>30</v>
          </cell>
          <cell r="L43">
            <v>40</v>
          </cell>
          <cell r="M43">
            <v>0</v>
          </cell>
          <cell r="N43">
            <v>10</v>
          </cell>
          <cell r="O43">
            <v>0</v>
          </cell>
          <cell r="P43">
            <v>0</v>
          </cell>
          <cell r="Q43">
            <v>0</v>
          </cell>
          <cell r="R43">
            <v>10</v>
          </cell>
          <cell r="S43">
            <v>40</v>
          </cell>
          <cell r="T43">
            <v>8.3333333333333339</v>
          </cell>
          <cell r="U43">
            <v>6.6666666666666661</v>
          </cell>
          <cell r="V43">
            <v>10</v>
          </cell>
          <cell r="W43">
            <v>25</v>
          </cell>
          <cell r="X43">
            <v>0</v>
          </cell>
          <cell r="AC43">
            <v>90</v>
          </cell>
          <cell r="AF43">
            <v>0</v>
          </cell>
          <cell r="AG43">
            <v>90</v>
          </cell>
          <cell r="AK43" t="str">
            <v>Bank Muscat</v>
          </cell>
          <cell r="AL43">
            <v>0</v>
          </cell>
          <cell r="AM43" t="str">
            <v>0121-15873-0084-018</v>
          </cell>
        </row>
        <row r="44">
          <cell r="B44">
            <v>1888</v>
          </cell>
          <cell r="C44" t="str">
            <v>Sameer Saleem Muslem Rasheed Al Asmi</v>
          </cell>
          <cell r="D44" t="str">
            <v>Casual Labour</v>
          </cell>
          <cell r="E44">
            <v>39637</v>
          </cell>
          <cell r="F44">
            <v>0.625</v>
          </cell>
          <cell r="G44">
            <v>1</v>
          </cell>
          <cell r="H44">
            <v>120</v>
          </cell>
          <cell r="I44">
            <v>25</v>
          </cell>
          <cell r="J44">
            <v>20</v>
          </cell>
          <cell r="K44">
            <v>30</v>
          </cell>
          <cell r="L44">
            <v>64</v>
          </cell>
          <cell r="M44">
            <v>0</v>
          </cell>
          <cell r="N44">
            <v>12</v>
          </cell>
          <cell r="O44">
            <v>0</v>
          </cell>
          <cell r="P44">
            <v>0</v>
          </cell>
          <cell r="Q44">
            <v>0</v>
          </cell>
          <cell r="R44">
            <v>12</v>
          </cell>
          <cell r="S44">
            <v>48</v>
          </cell>
          <cell r="T44">
            <v>10</v>
          </cell>
          <cell r="U44">
            <v>8</v>
          </cell>
          <cell r="V44">
            <v>12</v>
          </cell>
          <cell r="W44">
            <v>40</v>
          </cell>
          <cell r="X44">
            <v>0</v>
          </cell>
          <cell r="AC44">
            <v>118</v>
          </cell>
          <cell r="AF44">
            <v>0</v>
          </cell>
          <cell r="AG44">
            <v>118</v>
          </cell>
          <cell r="AK44" t="str">
            <v>Bank Muscat</v>
          </cell>
          <cell r="AL44" t="str">
            <v>Adam</v>
          </cell>
          <cell r="AM44" t="str">
            <v>0129-248960084-011</v>
          </cell>
        </row>
        <row r="45">
          <cell r="B45">
            <v>1889</v>
          </cell>
          <cell r="C45" t="str">
            <v>Sami Ali Abdullah Al Hattali</v>
          </cell>
          <cell r="D45" t="str">
            <v>Casual Labour</v>
          </cell>
          <cell r="E45">
            <v>39637</v>
          </cell>
          <cell r="F45">
            <v>0.625</v>
          </cell>
          <cell r="G45">
            <v>1</v>
          </cell>
          <cell r="H45">
            <v>120</v>
          </cell>
          <cell r="I45">
            <v>25</v>
          </cell>
          <cell r="J45">
            <v>20</v>
          </cell>
          <cell r="K45">
            <v>30</v>
          </cell>
          <cell r="L45">
            <v>48</v>
          </cell>
          <cell r="M45">
            <v>24</v>
          </cell>
          <cell r="N45">
            <v>24</v>
          </cell>
          <cell r="O45">
            <v>0</v>
          </cell>
          <cell r="P45">
            <v>0</v>
          </cell>
          <cell r="Q45">
            <v>0</v>
          </cell>
          <cell r="R45">
            <v>24</v>
          </cell>
          <cell r="S45">
            <v>96</v>
          </cell>
          <cell r="T45">
            <v>20</v>
          </cell>
          <cell r="U45">
            <v>16</v>
          </cell>
          <cell r="V45">
            <v>24</v>
          </cell>
          <cell r="W45">
            <v>30</v>
          </cell>
          <cell r="X45">
            <v>24</v>
          </cell>
          <cell r="AC45">
            <v>210</v>
          </cell>
          <cell r="AF45">
            <v>0</v>
          </cell>
          <cell r="AG45">
            <v>210</v>
          </cell>
          <cell r="AK45" t="str">
            <v>Bank Muscat</v>
          </cell>
          <cell r="AL45">
            <v>0</v>
          </cell>
          <cell r="AM45" t="str">
            <v>0062-21961-0084-019</v>
          </cell>
        </row>
        <row r="46">
          <cell r="B46">
            <v>1890</v>
          </cell>
          <cell r="C46" t="str">
            <v>Yasir Said Mohammed Al Raqmi</v>
          </cell>
          <cell r="D46" t="str">
            <v>Casual Labour</v>
          </cell>
          <cell r="E46">
            <v>39637</v>
          </cell>
          <cell r="F46">
            <v>0.625</v>
          </cell>
          <cell r="G46">
            <v>1</v>
          </cell>
          <cell r="H46">
            <v>120</v>
          </cell>
          <cell r="I46">
            <v>25</v>
          </cell>
          <cell r="J46">
            <v>20</v>
          </cell>
          <cell r="K46">
            <v>30</v>
          </cell>
          <cell r="L46">
            <v>32</v>
          </cell>
          <cell r="M46">
            <v>0</v>
          </cell>
          <cell r="N46">
            <v>9</v>
          </cell>
          <cell r="O46">
            <v>0</v>
          </cell>
          <cell r="P46">
            <v>0</v>
          </cell>
          <cell r="Q46">
            <v>0</v>
          </cell>
          <cell r="R46">
            <v>9</v>
          </cell>
          <cell r="S46">
            <v>36</v>
          </cell>
          <cell r="T46">
            <v>7.5</v>
          </cell>
          <cell r="U46">
            <v>6</v>
          </cell>
          <cell r="V46">
            <v>9</v>
          </cell>
          <cell r="W46">
            <v>20</v>
          </cell>
          <cell r="X46">
            <v>0</v>
          </cell>
          <cell r="AC46">
            <v>78.5</v>
          </cell>
          <cell r="AF46">
            <v>0</v>
          </cell>
          <cell r="AG46">
            <v>78.5</v>
          </cell>
          <cell r="AK46" t="str">
            <v>Bank Muscat</v>
          </cell>
          <cell r="AL46">
            <v>0</v>
          </cell>
          <cell r="AM46">
            <v>4920128</v>
          </cell>
        </row>
        <row r="47">
          <cell r="B47">
            <v>1891</v>
          </cell>
          <cell r="C47" t="str">
            <v>Walid Salim Hamed Al Shukaili</v>
          </cell>
          <cell r="D47" t="str">
            <v>Casual Labour</v>
          </cell>
          <cell r="E47">
            <v>39637</v>
          </cell>
          <cell r="F47">
            <v>0.625</v>
          </cell>
          <cell r="G47">
            <v>1</v>
          </cell>
          <cell r="H47">
            <v>120</v>
          </cell>
          <cell r="I47">
            <v>25</v>
          </cell>
          <cell r="J47">
            <v>20</v>
          </cell>
          <cell r="K47">
            <v>30</v>
          </cell>
          <cell r="L47">
            <v>124</v>
          </cell>
          <cell r="M47">
            <v>24</v>
          </cell>
          <cell r="N47">
            <v>24</v>
          </cell>
          <cell r="O47">
            <v>0</v>
          </cell>
          <cell r="P47">
            <v>0</v>
          </cell>
          <cell r="Q47">
            <v>0</v>
          </cell>
          <cell r="R47">
            <v>24</v>
          </cell>
          <cell r="S47">
            <v>96</v>
          </cell>
          <cell r="T47">
            <v>20</v>
          </cell>
          <cell r="U47">
            <v>16</v>
          </cell>
          <cell r="V47">
            <v>24</v>
          </cell>
          <cell r="W47">
            <v>77.5</v>
          </cell>
          <cell r="X47">
            <v>24</v>
          </cell>
          <cell r="AC47">
            <v>257.5</v>
          </cell>
          <cell r="AF47">
            <v>0</v>
          </cell>
          <cell r="AG47">
            <v>257.5</v>
          </cell>
          <cell r="AK47" t="str">
            <v>Bank Muscat</v>
          </cell>
          <cell r="AL47">
            <v>0</v>
          </cell>
          <cell r="AM47" t="str">
            <v>0062-22047-0084-014</v>
          </cell>
        </row>
        <row r="48">
          <cell r="B48">
            <v>1893</v>
          </cell>
          <cell r="C48" t="str">
            <v>Majib Abdullah Masoud Al Qassabi</v>
          </cell>
          <cell r="D48" t="str">
            <v>Casual Labour</v>
          </cell>
          <cell r="E48">
            <v>39637</v>
          </cell>
          <cell r="F48">
            <v>0.625</v>
          </cell>
          <cell r="G48">
            <v>1</v>
          </cell>
          <cell r="H48">
            <v>120</v>
          </cell>
          <cell r="I48">
            <v>25</v>
          </cell>
          <cell r="J48">
            <v>20</v>
          </cell>
          <cell r="K48">
            <v>30</v>
          </cell>
          <cell r="L48">
            <v>128</v>
          </cell>
          <cell r="M48">
            <v>24</v>
          </cell>
          <cell r="N48">
            <v>24</v>
          </cell>
          <cell r="O48">
            <v>0</v>
          </cell>
          <cell r="P48">
            <v>0</v>
          </cell>
          <cell r="Q48">
            <v>0</v>
          </cell>
          <cell r="R48">
            <v>24</v>
          </cell>
          <cell r="S48">
            <v>96</v>
          </cell>
          <cell r="T48">
            <v>20</v>
          </cell>
          <cell r="U48">
            <v>16</v>
          </cell>
          <cell r="V48">
            <v>24</v>
          </cell>
          <cell r="W48">
            <v>80</v>
          </cell>
          <cell r="X48">
            <v>24</v>
          </cell>
          <cell r="AC48">
            <v>260</v>
          </cell>
          <cell r="AF48">
            <v>0</v>
          </cell>
          <cell r="AG48">
            <v>260</v>
          </cell>
          <cell r="AK48" t="str">
            <v>Bank Muscat</v>
          </cell>
          <cell r="AL48">
            <v>0</v>
          </cell>
          <cell r="AM48" t="str">
            <v>0062-21988-084-017</v>
          </cell>
        </row>
        <row r="49">
          <cell r="B49">
            <v>1894</v>
          </cell>
          <cell r="C49" t="str">
            <v>Jamal Abdullah Said Al Mahrouqi</v>
          </cell>
          <cell r="D49" t="str">
            <v>Casual Labour</v>
          </cell>
          <cell r="E49">
            <v>39637</v>
          </cell>
          <cell r="F49">
            <v>0.625</v>
          </cell>
          <cell r="G49">
            <v>1</v>
          </cell>
          <cell r="H49">
            <v>120</v>
          </cell>
          <cell r="I49">
            <v>25</v>
          </cell>
          <cell r="J49">
            <v>20</v>
          </cell>
          <cell r="K49">
            <v>30</v>
          </cell>
          <cell r="L49">
            <v>132</v>
          </cell>
          <cell r="M49">
            <v>24</v>
          </cell>
          <cell r="N49">
            <v>24</v>
          </cell>
          <cell r="O49">
            <v>0</v>
          </cell>
          <cell r="P49">
            <v>0</v>
          </cell>
          <cell r="Q49">
            <v>0</v>
          </cell>
          <cell r="R49">
            <v>24</v>
          </cell>
          <cell r="S49">
            <v>96</v>
          </cell>
          <cell r="T49">
            <v>20</v>
          </cell>
          <cell r="U49">
            <v>16</v>
          </cell>
          <cell r="V49">
            <v>24</v>
          </cell>
          <cell r="W49">
            <v>82.5</v>
          </cell>
          <cell r="X49">
            <v>24</v>
          </cell>
          <cell r="AC49">
            <v>262.5</v>
          </cell>
          <cell r="AF49">
            <v>0</v>
          </cell>
          <cell r="AG49">
            <v>262.5</v>
          </cell>
          <cell r="AK49" t="str">
            <v>Bank Muscat</v>
          </cell>
          <cell r="AL49">
            <v>0</v>
          </cell>
          <cell r="AM49" t="str">
            <v>0121-15649-0084-010</v>
          </cell>
        </row>
        <row r="50">
          <cell r="B50">
            <v>1895</v>
          </cell>
          <cell r="C50" t="str">
            <v>Sultan Khalifa Khalaf Al Riyami</v>
          </cell>
          <cell r="D50" t="str">
            <v>Casual Labour</v>
          </cell>
          <cell r="E50">
            <v>39637</v>
          </cell>
          <cell r="F50">
            <v>0.625</v>
          </cell>
          <cell r="G50">
            <v>1</v>
          </cell>
          <cell r="H50">
            <v>120</v>
          </cell>
          <cell r="I50">
            <v>25</v>
          </cell>
          <cell r="J50">
            <v>20</v>
          </cell>
          <cell r="K50">
            <v>30</v>
          </cell>
          <cell r="L50">
            <v>137</v>
          </cell>
          <cell r="M50">
            <v>24</v>
          </cell>
          <cell r="N50">
            <v>24</v>
          </cell>
          <cell r="O50">
            <v>0</v>
          </cell>
          <cell r="P50">
            <v>0</v>
          </cell>
          <cell r="Q50">
            <v>0</v>
          </cell>
          <cell r="R50">
            <v>24</v>
          </cell>
          <cell r="S50">
            <v>96</v>
          </cell>
          <cell r="T50">
            <v>20</v>
          </cell>
          <cell r="U50">
            <v>16</v>
          </cell>
          <cell r="V50">
            <v>24</v>
          </cell>
          <cell r="W50">
            <v>85.625</v>
          </cell>
          <cell r="X50">
            <v>24</v>
          </cell>
          <cell r="AC50">
            <v>265.625</v>
          </cell>
          <cell r="AF50">
            <v>0</v>
          </cell>
          <cell r="AG50">
            <v>265.625</v>
          </cell>
          <cell r="AK50" t="str">
            <v>Bank Muscat</v>
          </cell>
          <cell r="AL50">
            <v>0</v>
          </cell>
          <cell r="AM50" t="str">
            <v>0128-20255-0084-017</v>
          </cell>
        </row>
        <row r="51">
          <cell r="B51">
            <v>1897</v>
          </cell>
          <cell r="C51" t="str">
            <v>Walid Mubarak Fadhil Al Asmi</v>
          </cell>
          <cell r="D51" t="str">
            <v>Casual Labour</v>
          </cell>
          <cell r="E51">
            <v>39637</v>
          </cell>
          <cell r="F51">
            <v>0.625</v>
          </cell>
          <cell r="G51">
            <v>1</v>
          </cell>
          <cell r="H51">
            <v>120</v>
          </cell>
          <cell r="I51">
            <v>25</v>
          </cell>
          <cell r="J51">
            <v>20</v>
          </cell>
          <cell r="K51">
            <v>30</v>
          </cell>
          <cell r="L51">
            <v>124</v>
          </cell>
          <cell r="M51">
            <v>24</v>
          </cell>
          <cell r="N51">
            <v>24</v>
          </cell>
          <cell r="O51">
            <v>0</v>
          </cell>
          <cell r="P51">
            <v>0</v>
          </cell>
          <cell r="Q51">
            <v>0</v>
          </cell>
          <cell r="R51">
            <v>24</v>
          </cell>
          <cell r="S51">
            <v>96</v>
          </cell>
          <cell r="T51">
            <v>20</v>
          </cell>
          <cell r="U51">
            <v>16</v>
          </cell>
          <cell r="V51">
            <v>24</v>
          </cell>
          <cell r="W51">
            <v>77.5</v>
          </cell>
          <cell r="X51">
            <v>24</v>
          </cell>
          <cell r="AC51">
            <v>257.5</v>
          </cell>
          <cell r="AF51">
            <v>0</v>
          </cell>
          <cell r="AG51">
            <v>257.5</v>
          </cell>
          <cell r="AK51" t="str">
            <v>Bank Muscat</v>
          </cell>
          <cell r="AL51" t="str">
            <v>Adam</v>
          </cell>
          <cell r="AM51" t="str">
            <v>0129-249130084-011</v>
          </cell>
        </row>
        <row r="52">
          <cell r="B52">
            <v>1898</v>
          </cell>
          <cell r="C52" t="str">
            <v>Majib Hamed Said Al Harmali</v>
          </cell>
          <cell r="D52" t="str">
            <v>Casual Labour</v>
          </cell>
          <cell r="E52">
            <v>39637</v>
          </cell>
          <cell r="F52">
            <v>0.625</v>
          </cell>
          <cell r="G52">
            <v>1</v>
          </cell>
          <cell r="H52">
            <v>120</v>
          </cell>
          <cell r="I52">
            <v>25</v>
          </cell>
          <cell r="J52">
            <v>20</v>
          </cell>
          <cell r="K52">
            <v>30</v>
          </cell>
          <cell r="L52">
            <v>132</v>
          </cell>
          <cell r="M52">
            <v>24</v>
          </cell>
          <cell r="N52">
            <v>24</v>
          </cell>
          <cell r="O52">
            <v>0</v>
          </cell>
          <cell r="P52">
            <v>0</v>
          </cell>
          <cell r="Q52">
            <v>0</v>
          </cell>
          <cell r="R52">
            <v>24</v>
          </cell>
          <cell r="S52">
            <v>96</v>
          </cell>
          <cell r="T52">
            <v>20</v>
          </cell>
          <cell r="U52">
            <v>16</v>
          </cell>
          <cell r="V52">
            <v>24</v>
          </cell>
          <cell r="W52">
            <v>82.5</v>
          </cell>
          <cell r="X52">
            <v>24</v>
          </cell>
          <cell r="AC52">
            <v>262.5</v>
          </cell>
          <cell r="AF52">
            <v>0</v>
          </cell>
          <cell r="AG52">
            <v>262.5</v>
          </cell>
          <cell r="AK52" t="str">
            <v>Oman International Bank</v>
          </cell>
          <cell r="AL52">
            <v>0</v>
          </cell>
          <cell r="AM52" t="str">
            <v>30-282339-20-01</v>
          </cell>
        </row>
        <row r="53">
          <cell r="B53">
            <v>1899</v>
          </cell>
          <cell r="C53" t="str">
            <v>Hamed Hamed Bati Al Dara'I</v>
          </cell>
          <cell r="D53" t="str">
            <v>Casual Labour</v>
          </cell>
          <cell r="E53">
            <v>39637</v>
          </cell>
          <cell r="F53">
            <v>0.625</v>
          </cell>
          <cell r="G53">
            <v>1</v>
          </cell>
          <cell r="H53">
            <v>120</v>
          </cell>
          <cell r="I53">
            <v>25</v>
          </cell>
          <cell r="J53">
            <v>20</v>
          </cell>
          <cell r="K53">
            <v>30</v>
          </cell>
          <cell r="L53">
            <v>44</v>
          </cell>
          <cell r="M53">
            <v>0</v>
          </cell>
          <cell r="N53">
            <v>10</v>
          </cell>
          <cell r="O53">
            <v>0</v>
          </cell>
          <cell r="P53">
            <v>0</v>
          </cell>
          <cell r="Q53">
            <v>0</v>
          </cell>
          <cell r="R53">
            <v>10</v>
          </cell>
          <cell r="S53">
            <v>40</v>
          </cell>
          <cell r="T53">
            <v>8.3333333333333339</v>
          </cell>
          <cell r="U53">
            <v>6.6666666666666661</v>
          </cell>
          <cell r="V53">
            <v>10</v>
          </cell>
          <cell r="W53">
            <v>27.5</v>
          </cell>
          <cell r="X53">
            <v>0</v>
          </cell>
          <cell r="AC53">
            <v>92.5</v>
          </cell>
          <cell r="AF53">
            <v>0</v>
          </cell>
          <cell r="AG53">
            <v>92.5</v>
          </cell>
          <cell r="AK53" t="str">
            <v>Oman International Bank</v>
          </cell>
          <cell r="AL53" t="str">
            <v>Bisya</v>
          </cell>
          <cell r="AM53" t="str">
            <v>32-039315-20</v>
          </cell>
        </row>
        <row r="54">
          <cell r="B54">
            <v>1900</v>
          </cell>
          <cell r="C54" t="str">
            <v>Samir Abdullah Thani Humaid Al Mahrouqi</v>
          </cell>
          <cell r="D54" t="str">
            <v>Casual Labour</v>
          </cell>
          <cell r="E54">
            <v>39637</v>
          </cell>
          <cell r="F54">
            <v>0.625</v>
          </cell>
          <cell r="G54">
            <v>1</v>
          </cell>
          <cell r="H54">
            <v>120</v>
          </cell>
          <cell r="I54">
            <v>25</v>
          </cell>
          <cell r="J54">
            <v>20</v>
          </cell>
          <cell r="K54">
            <v>30</v>
          </cell>
          <cell r="L54">
            <v>132</v>
          </cell>
          <cell r="M54">
            <v>24</v>
          </cell>
          <cell r="N54">
            <v>24</v>
          </cell>
          <cell r="O54">
            <v>0</v>
          </cell>
          <cell r="P54">
            <v>0</v>
          </cell>
          <cell r="Q54">
            <v>0</v>
          </cell>
          <cell r="R54">
            <v>24</v>
          </cell>
          <cell r="S54">
            <v>96</v>
          </cell>
          <cell r="T54">
            <v>20</v>
          </cell>
          <cell r="U54">
            <v>16</v>
          </cell>
          <cell r="V54">
            <v>24</v>
          </cell>
          <cell r="W54">
            <v>82.5</v>
          </cell>
          <cell r="X54">
            <v>24</v>
          </cell>
          <cell r="AC54">
            <v>262.5</v>
          </cell>
          <cell r="AF54">
            <v>0</v>
          </cell>
          <cell r="AG54">
            <v>262.5</v>
          </cell>
          <cell r="AK54" t="str">
            <v>Bank Muscat</v>
          </cell>
          <cell r="AL54" t="str">
            <v>Adam</v>
          </cell>
          <cell r="AM54" t="str">
            <v>0129-248950084-012</v>
          </cell>
        </row>
        <row r="55">
          <cell r="B55">
            <v>1901</v>
          </cell>
          <cell r="C55" t="str">
            <v>Hamood Al Theib Saif Al Ma'ni</v>
          </cell>
          <cell r="D55" t="str">
            <v>Casual Labour</v>
          </cell>
          <cell r="E55">
            <v>39637</v>
          </cell>
          <cell r="F55">
            <v>0.625</v>
          </cell>
          <cell r="G55">
            <v>1</v>
          </cell>
          <cell r="H55">
            <v>120</v>
          </cell>
          <cell r="I55">
            <v>25</v>
          </cell>
          <cell r="J55">
            <v>20</v>
          </cell>
          <cell r="K55">
            <v>30</v>
          </cell>
          <cell r="L55">
            <v>128</v>
          </cell>
          <cell r="M55">
            <v>0</v>
          </cell>
          <cell r="N55">
            <v>14</v>
          </cell>
          <cell r="O55">
            <v>0</v>
          </cell>
          <cell r="P55">
            <v>0</v>
          </cell>
          <cell r="Q55">
            <v>0</v>
          </cell>
          <cell r="R55">
            <v>14</v>
          </cell>
          <cell r="S55">
            <v>56</v>
          </cell>
          <cell r="T55">
            <v>11.666666666666668</v>
          </cell>
          <cell r="U55">
            <v>9.3333333333333321</v>
          </cell>
          <cell r="V55">
            <v>14</v>
          </cell>
          <cell r="W55">
            <v>80</v>
          </cell>
          <cell r="X55">
            <v>0</v>
          </cell>
          <cell r="AC55">
            <v>171</v>
          </cell>
          <cell r="AF55">
            <v>0</v>
          </cell>
          <cell r="AG55">
            <v>171</v>
          </cell>
          <cell r="AK55" t="str">
            <v>Bank Muscat</v>
          </cell>
          <cell r="AL55">
            <v>0</v>
          </cell>
          <cell r="AM55" t="str">
            <v>0128-16627-0084-014</v>
          </cell>
        </row>
        <row r="56">
          <cell r="B56">
            <v>1902</v>
          </cell>
          <cell r="C56" t="str">
            <v>Said Ali Said Al Qamshuiee</v>
          </cell>
          <cell r="D56" t="str">
            <v>Casual Labour</v>
          </cell>
          <cell r="E56">
            <v>39637</v>
          </cell>
          <cell r="F56">
            <v>0.625</v>
          </cell>
          <cell r="G56">
            <v>1</v>
          </cell>
          <cell r="H56">
            <v>120</v>
          </cell>
          <cell r="I56">
            <v>25</v>
          </cell>
          <cell r="J56">
            <v>20</v>
          </cell>
          <cell r="K56">
            <v>30</v>
          </cell>
          <cell r="L56">
            <v>78</v>
          </cell>
          <cell r="M56">
            <v>12</v>
          </cell>
          <cell r="N56">
            <v>17</v>
          </cell>
          <cell r="O56">
            <v>0</v>
          </cell>
          <cell r="P56">
            <v>0</v>
          </cell>
          <cell r="Q56">
            <v>0</v>
          </cell>
          <cell r="R56">
            <v>17</v>
          </cell>
          <cell r="S56">
            <v>68</v>
          </cell>
          <cell r="T56">
            <v>14.166666666666668</v>
          </cell>
          <cell r="U56">
            <v>11.333333333333332</v>
          </cell>
          <cell r="V56">
            <v>17</v>
          </cell>
          <cell r="W56">
            <v>48.75</v>
          </cell>
          <cell r="X56">
            <v>12</v>
          </cell>
          <cell r="Y56">
            <v>28</v>
          </cell>
          <cell r="Z56">
            <v>5.8333333333333339</v>
          </cell>
          <cell r="AA56">
            <v>4.6666666666666661</v>
          </cell>
          <cell r="AB56">
            <v>7</v>
          </cell>
          <cell r="AC56">
            <v>216.75</v>
          </cell>
          <cell r="AE56">
            <v>20</v>
          </cell>
          <cell r="AF56">
            <v>20</v>
          </cell>
          <cell r="AG56">
            <v>196.75</v>
          </cell>
          <cell r="AH56" t="str">
            <v>07 days more to be paid as he was terminated without Notice(HRM Told)Deducted 20 Rials he took for Bus Fare Advace agains salary</v>
          </cell>
          <cell r="AK56" t="str">
            <v>Oman International Bank</v>
          </cell>
          <cell r="AL56" t="str">
            <v>Bahla</v>
          </cell>
          <cell r="AM56" t="str">
            <v>21-758354-20</v>
          </cell>
        </row>
        <row r="57">
          <cell r="B57">
            <v>1903</v>
          </cell>
          <cell r="C57" t="str">
            <v>Saif Hamed Fahdil Al Aasmi</v>
          </cell>
          <cell r="D57" t="str">
            <v>Casual Labour</v>
          </cell>
          <cell r="E57">
            <v>39637</v>
          </cell>
          <cell r="F57">
            <v>0.625</v>
          </cell>
          <cell r="G57">
            <v>1</v>
          </cell>
          <cell r="H57">
            <v>120</v>
          </cell>
          <cell r="I57">
            <v>25</v>
          </cell>
          <cell r="J57">
            <v>20</v>
          </cell>
          <cell r="K57">
            <v>30</v>
          </cell>
          <cell r="L57">
            <v>32</v>
          </cell>
          <cell r="M57">
            <v>0</v>
          </cell>
          <cell r="N57">
            <v>9</v>
          </cell>
          <cell r="O57">
            <v>0</v>
          </cell>
          <cell r="P57">
            <v>0</v>
          </cell>
          <cell r="Q57">
            <v>0</v>
          </cell>
          <cell r="R57">
            <v>9</v>
          </cell>
          <cell r="S57">
            <v>36</v>
          </cell>
          <cell r="T57">
            <v>7.5</v>
          </cell>
          <cell r="U57">
            <v>6</v>
          </cell>
          <cell r="V57">
            <v>9</v>
          </cell>
          <cell r="W57">
            <v>20</v>
          </cell>
          <cell r="X57">
            <v>0</v>
          </cell>
          <cell r="AC57">
            <v>78.5</v>
          </cell>
          <cell r="AF57">
            <v>0</v>
          </cell>
          <cell r="AG57">
            <v>78.5</v>
          </cell>
          <cell r="AK57" t="str">
            <v>Bank Muscat</v>
          </cell>
          <cell r="AL57" t="str">
            <v>Adam</v>
          </cell>
          <cell r="AM57" t="str">
            <v>0129-249110084-014</v>
          </cell>
        </row>
        <row r="58">
          <cell r="B58">
            <v>1905</v>
          </cell>
          <cell r="C58" t="str">
            <v>Shabib Saif Issa Al Jassasi</v>
          </cell>
          <cell r="D58" t="str">
            <v>Casual Labour</v>
          </cell>
          <cell r="E58">
            <v>39637</v>
          </cell>
          <cell r="F58">
            <v>0.625</v>
          </cell>
          <cell r="G58">
            <v>1</v>
          </cell>
          <cell r="H58">
            <v>120</v>
          </cell>
          <cell r="I58">
            <v>25</v>
          </cell>
          <cell r="J58">
            <v>20</v>
          </cell>
          <cell r="K58">
            <v>30</v>
          </cell>
          <cell r="L58">
            <v>108</v>
          </cell>
          <cell r="M58">
            <v>24</v>
          </cell>
          <cell r="N58">
            <v>24</v>
          </cell>
          <cell r="O58">
            <v>0</v>
          </cell>
          <cell r="P58">
            <v>0</v>
          </cell>
          <cell r="Q58">
            <v>0</v>
          </cell>
          <cell r="R58">
            <v>24</v>
          </cell>
          <cell r="S58">
            <v>96</v>
          </cell>
          <cell r="T58">
            <v>20</v>
          </cell>
          <cell r="U58">
            <v>16</v>
          </cell>
          <cell r="V58">
            <v>24</v>
          </cell>
          <cell r="W58">
            <v>67.5</v>
          </cell>
          <cell r="X58">
            <v>24</v>
          </cell>
          <cell r="AC58">
            <v>247.5</v>
          </cell>
          <cell r="AF58">
            <v>0</v>
          </cell>
          <cell r="AG58">
            <v>247.5</v>
          </cell>
          <cell r="AK58" t="str">
            <v>Bank Muscat</v>
          </cell>
          <cell r="AL58" t="str">
            <v>Yanqul</v>
          </cell>
          <cell r="AM58" t="str">
            <v>0073-172850084-015</v>
          </cell>
        </row>
        <row r="59">
          <cell r="B59">
            <v>1906</v>
          </cell>
          <cell r="C59" t="str">
            <v>Abdullah Muslem Mohammed Al Hinai</v>
          </cell>
          <cell r="D59" t="str">
            <v>Casual Labour</v>
          </cell>
          <cell r="E59">
            <v>39637</v>
          </cell>
          <cell r="F59">
            <v>0.625</v>
          </cell>
          <cell r="G59">
            <v>1</v>
          </cell>
          <cell r="H59">
            <v>120</v>
          </cell>
          <cell r="I59">
            <v>25</v>
          </cell>
          <cell r="J59">
            <v>20</v>
          </cell>
          <cell r="K59">
            <v>30</v>
          </cell>
          <cell r="L59">
            <v>126</v>
          </cell>
          <cell r="M59">
            <v>12</v>
          </cell>
          <cell r="N59">
            <v>23</v>
          </cell>
          <cell r="O59">
            <v>0</v>
          </cell>
          <cell r="P59">
            <v>0</v>
          </cell>
          <cell r="Q59">
            <v>0</v>
          </cell>
          <cell r="R59">
            <v>23</v>
          </cell>
          <cell r="S59">
            <v>92</v>
          </cell>
          <cell r="T59">
            <v>19.166666666666668</v>
          </cell>
          <cell r="U59">
            <v>15.333333333333332</v>
          </cell>
          <cell r="V59">
            <v>23</v>
          </cell>
          <cell r="W59">
            <v>78.75</v>
          </cell>
          <cell r="X59">
            <v>12</v>
          </cell>
          <cell r="AC59">
            <v>240.25</v>
          </cell>
          <cell r="AF59">
            <v>0</v>
          </cell>
          <cell r="AG59">
            <v>240.25</v>
          </cell>
          <cell r="AK59" t="str">
            <v>Bank Muscat</v>
          </cell>
          <cell r="AL59" t="str">
            <v>Ibri/Jubail</v>
          </cell>
          <cell r="AM59" t="str">
            <v>118-285280084-019</v>
          </cell>
        </row>
        <row r="60">
          <cell r="B60">
            <v>1907</v>
          </cell>
          <cell r="C60" t="str">
            <v>Ahmed Salim Mohammed Al Hina'i</v>
          </cell>
          <cell r="D60" t="str">
            <v>Casual Labour</v>
          </cell>
          <cell r="E60">
            <v>39637</v>
          </cell>
          <cell r="F60">
            <v>0.625</v>
          </cell>
          <cell r="G60">
            <v>1</v>
          </cell>
          <cell r="H60">
            <v>120</v>
          </cell>
          <cell r="I60">
            <v>25</v>
          </cell>
          <cell r="J60">
            <v>20</v>
          </cell>
          <cell r="K60">
            <v>30</v>
          </cell>
          <cell r="L60">
            <v>136</v>
          </cell>
          <cell r="M60">
            <v>24</v>
          </cell>
          <cell r="N60">
            <v>24</v>
          </cell>
          <cell r="O60">
            <v>0</v>
          </cell>
          <cell r="P60">
            <v>0</v>
          </cell>
          <cell r="Q60">
            <v>0</v>
          </cell>
          <cell r="R60">
            <v>24</v>
          </cell>
          <cell r="S60">
            <v>96</v>
          </cell>
          <cell r="T60">
            <v>20</v>
          </cell>
          <cell r="U60">
            <v>16</v>
          </cell>
          <cell r="V60">
            <v>24</v>
          </cell>
          <cell r="W60">
            <v>85</v>
          </cell>
          <cell r="X60">
            <v>24</v>
          </cell>
          <cell r="AC60">
            <v>265</v>
          </cell>
          <cell r="AF60">
            <v>0</v>
          </cell>
          <cell r="AG60">
            <v>265</v>
          </cell>
          <cell r="AK60" t="str">
            <v>Oman International Bank</v>
          </cell>
          <cell r="AL60">
            <v>0</v>
          </cell>
          <cell r="AM60" t="str">
            <v>27-189778-20-02</v>
          </cell>
        </row>
        <row r="61">
          <cell r="B61">
            <v>1908</v>
          </cell>
          <cell r="C61" t="str">
            <v>Khalifa Mas'oud Rashid Al Sa'idi</v>
          </cell>
          <cell r="D61" t="str">
            <v>Casual Labour</v>
          </cell>
          <cell r="E61">
            <v>39637</v>
          </cell>
          <cell r="F61">
            <v>0.625</v>
          </cell>
          <cell r="G61">
            <v>1</v>
          </cell>
          <cell r="H61">
            <v>120</v>
          </cell>
          <cell r="I61">
            <v>25</v>
          </cell>
          <cell r="J61">
            <v>20</v>
          </cell>
          <cell r="K61">
            <v>30</v>
          </cell>
          <cell r="L61">
            <v>124</v>
          </cell>
          <cell r="M61">
            <v>24</v>
          </cell>
          <cell r="N61">
            <v>24</v>
          </cell>
          <cell r="O61">
            <v>0</v>
          </cell>
          <cell r="P61">
            <v>0</v>
          </cell>
          <cell r="Q61">
            <v>0</v>
          </cell>
          <cell r="R61">
            <v>24</v>
          </cell>
          <cell r="S61">
            <v>96</v>
          </cell>
          <cell r="T61">
            <v>20</v>
          </cell>
          <cell r="U61">
            <v>16</v>
          </cell>
          <cell r="V61">
            <v>24</v>
          </cell>
          <cell r="W61">
            <v>77.5</v>
          </cell>
          <cell r="X61">
            <v>24</v>
          </cell>
          <cell r="AC61">
            <v>257.5</v>
          </cell>
          <cell r="AF61">
            <v>0</v>
          </cell>
          <cell r="AG61">
            <v>257.5</v>
          </cell>
          <cell r="AK61" t="str">
            <v>Bank Muscat</v>
          </cell>
          <cell r="AL61" t="str">
            <v>Yanqul</v>
          </cell>
          <cell r="AM61" t="str">
            <v>0073-172860084-014</v>
          </cell>
        </row>
        <row r="62">
          <cell r="B62">
            <v>1911</v>
          </cell>
          <cell r="C62" t="str">
            <v>Khalid Abdullah Masoud Al Mahrouqi</v>
          </cell>
          <cell r="D62" t="str">
            <v>Casual Labour</v>
          </cell>
          <cell r="E62">
            <v>39637</v>
          </cell>
          <cell r="F62">
            <v>0.625</v>
          </cell>
          <cell r="G62">
            <v>1</v>
          </cell>
          <cell r="H62">
            <v>120</v>
          </cell>
          <cell r="I62">
            <v>25</v>
          </cell>
          <cell r="J62">
            <v>20</v>
          </cell>
          <cell r="K62">
            <v>30</v>
          </cell>
          <cell r="L62">
            <v>32</v>
          </cell>
          <cell r="M62">
            <v>0</v>
          </cell>
          <cell r="N62">
            <v>9</v>
          </cell>
          <cell r="O62">
            <v>0</v>
          </cell>
          <cell r="P62">
            <v>0</v>
          </cell>
          <cell r="Q62">
            <v>0</v>
          </cell>
          <cell r="R62">
            <v>9</v>
          </cell>
          <cell r="S62">
            <v>36</v>
          </cell>
          <cell r="T62">
            <v>7.5</v>
          </cell>
          <cell r="U62">
            <v>6</v>
          </cell>
          <cell r="V62">
            <v>9</v>
          </cell>
          <cell r="W62">
            <v>20</v>
          </cell>
          <cell r="X62">
            <v>0</v>
          </cell>
          <cell r="AC62">
            <v>78.5</v>
          </cell>
          <cell r="AF62">
            <v>0</v>
          </cell>
          <cell r="AG62">
            <v>78.5</v>
          </cell>
          <cell r="AK62" t="str">
            <v>Bank Muscat</v>
          </cell>
          <cell r="AL62" t="str">
            <v>Adam</v>
          </cell>
          <cell r="AM62" t="str">
            <v>0129-249100084-015</v>
          </cell>
        </row>
        <row r="63">
          <cell r="B63">
            <v>1912</v>
          </cell>
          <cell r="C63" t="str">
            <v>Ahmed Nasser Said Al Shuhoumi</v>
          </cell>
          <cell r="D63" t="str">
            <v>Casual Labour</v>
          </cell>
          <cell r="E63">
            <v>39638</v>
          </cell>
          <cell r="F63">
            <v>0.625</v>
          </cell>
          <cell r="G63">
            <v>1</v>
          </cell>
          <cell r="H63">
            <v>120</v>
          </cell>
          <cell r="I63">
            <v>25</v>
          </cell>
          <cell r="J63">
            <v>20</v>
          </cell>
          <cell r="K63">
            <v>30</v>
          </cell>
          <cell r="L63">
            <v>110</v>
          </cell>
          <cell r="M63">
            <v>24</v>
          </cell>
          <cell r="N63">
            <v>23</v>
          </cell>
          <cell r="O63">
            <v>0</v>
          </cell>
          <cell r="P63">
            <v>0</v>
          </cell>
          <cell r="Q63">
            <v>0</v>
          </cell>
          <cell r="R63">
            <v>23</v>
          </cell>
          <cell r="S63">
            <v>92</v>
          </cell>
          <cell r="T63">
            <v>19.166666666666668</v>
          </cell>
          <cell r="U63">
            <v>15.333333333333332</v>
          </cell>
          <cell r="V63">
            <v>23</v>
          </cell>
          <cell r="W63">
            <v>68.75</v>
          </cell>
          <cell r="X63">
            <v>24</v>
          </cell>
          <cell r="AC63">
            <v>242.25</v>
          </cell>
          <cell r="AF63">
            <v>0</v>
          </cell>
          <cell r="AG63">
            <v>242.25</v>
          </cell>
          <cell r="AK63" t="str">
            <v>Bank Muscat</v>
          </cell>
          <cell r="AL63">
            <v>0</v>
          </cell>
          <cell r="AM63" t="str">
            <v>128-16603-0084-013</v>
          </cell>
        </row>
        <row r="64">
          <cell r="B64">
            <v>1913</v>
          </cell>
          <cell r="C64" t="str">
            <v>Khalid Ali Masoud Al Raqmidhi</v>
          </cell>
          <cell r="D64" t="str">
            <v>Casual Labour</v>
          </cell>
          <cell r="E64">
            <v>39638</v>
          </cell>
          <cell r="F64">
            <v>0.625</v>
          </cell>
          <cell r="G64">
            <v>1</v>
          </cell>
          <cell r="H64">
            <v>120</v>
          </cell>
          <cell r="I64">
            <v>25</v>
          </cell>
          <cell r="J64">
            <v>20</v>
          </cell>
          <cell r="K64">
            <v>30</v>
          </cell>
          <cell r="L64">
            <v>114</v>
          </cell>
          <cell r="M64">
            <v>24</v>
          </cell>
          <cell r="N64">
            <v>23</v>
          </cell>
          <cell r="O64">
            <v>0</v>
          </cell>
          <cell r="P64">
            <v>0</v>
          </cell>
          <cell r="Q64">
            <v>0</v>
          </cell>
          <cell r="R64">
            <v>23</v>
          </cell>
          <cell r="S64">
            <v>92</v>
          </cell>
          <cell r="T64">
            <v>19.166666666666668</v>
          </cell>
          <cell r="U64">
            <v>15.333333333333332</v>
          </cell>
          <cell r="V64">
            <v>23</v>
          </cell>
          <cell r="W64">
            <v>71.25</v>
          </cell>
          <cell r="X64">
            <v>24</v>
          </cell>
          <cell r="AC64">
            <v>244.75</v>
          </cell>
          <cell r="AF64">
            <v>0</v>
          </cell>
          <cell r="AG64">
            <v>244.75</v>
          </cell>
          <cell r="AK64" t="str">
            <v>Bank Muscat</v>
          </cell>
          <cell r="AL64">
            <v>0</v>
          </cell>
          <cell r="AM64" t="str">
            <v>0049-22324-0084-019</v>
          </cell>
        </row>
        <row r="65">
          <cell r="B65">
            <v>1915</v>
          </cell>
          <cell r="C65" t="str">
            <v>Abdullah Sultan Said Al Hashmi</v>
          </cell>
          <cell r="D65" t="str">
            <v>Casual Labour</v>
          </cell>
          <cell r="E65">
            <v>39638</v>
          </cell>
          <cell r="F65">
            <v>0.625</v>
          </cell>
          <cell r="G65">
            <v>1</v>
          </cell>
          <cell r="H65">
            <v>120</v>
          </cell>
          <cell r="I65">
            <v>25</v>
          </cell>
          <cell r="J65">
            <v>20</v>
          </cell>
          <cell r="K65">
            <v>30</v>
          </cell>
          <cell r="L65">
            <v>102</v>
          </cell>
          <cell r="M65">
            <v>24</v>
          </cell>
          <cell r="N65">
            <v>23</v>
          </cell>
          <cell r="O65">
            <v>0</v>
          </cell>
          <cell r="P65">
            <v>0</v>
          </cell>
          <cell r="Q65">
            <v>0</v>
          </cell>
          <cell r="R65">
            <v>23</v>
          </cell>
          <cell r="S65">
            <v>92</v>
          </cell>
          <cell r="T65">
            <v>19.166666666666668</v>
          </cell>
          <cell r="U65">
            <v>15.333333333333332</v>
          </cell>
          <cell r="V65">
            <v>23</v>
          </cell>
          <cell r="W65">
            <v>63.75</v>
          </cell>
          <cell r="X65">
            <v>24</v>
          </cell>
          <cell r="AC65">
            <v>237.25</v>
          </cell>
          <cell r="AF65">
            <v>0</v>
          </cell>
          <cell r="AG65">
            <v>237.25</v>
          </cell>
          <cell r="AK65" t="str">
            <v>Bank Muscat</v>
          </cell>
          <cell r="AL65">
            <v>0</v>
          </cell>
          <cell r="AM65" t="str">
            <v>0046-16410-0084-016</v>
          </cell>
        </row>
        <row r="66">
          <cell r="B66">
            <v>1916</v>
          </cell>
          <cell r="C66" t="str">
            <v>Hafed Said Amur Al Raqmi</v>
          </cell>
          <cell r="D66" t="str">
            <v>Casual Labour</v>
          </cell>
          <cell r="E66">
            <v>39638</v>
          </cell>
          <cell r="F66">
            <v>0.625</v>
          </cell>
          <cell r="G66">
            <v>1</v>
          </cell>
          <cell r="H66">
            <v>120</v>
          </cell>
          <cell r="I66">
            <v>25</v>
          </cell>
          <cell r="J66">
            <v>20</v>
          </cell>
          <cell r="K66">
            <v>30</v>
          </cell>
          <cell r="L66">
            <v>126</v>
          </cell>
          <cell r="M66">
            <v>24</v>
          </cell>
          <cell r="N66">
            <v>23</v>
          </cell>
          <cell r="O66">
            <v>0</v>
          </cell>
          <cell r="P66">
            <v>0</v>
          </cell>
          <cell r="Q66">
            <v>0</v>
          </cell>
          <cell r="R66">
            <v>23</v>
          </cell>
          <cell r="S66">
            <v>92</v>
          </cell>
          <cell r="T66">
            <v>19.166666666666668</v>
          </cell>
          <cell r="U66">
            <v>15.333333333333332</v>
          </cell>
          <cell r="V66">
            <v>23</v>
          </cell>
          <cell r="W66">
            <v>78.75</v>
          </cell>
          <cell r="X66">
            <v>24</v>
          </cell>
          <cell r="AC66">
            <v>252.25</v>
          </cell>
          <cell r="AF66">
            <v>0</v>
          </cell>
          <cell r="AG66">
            <v>252.25</v>
          </cell>
          <cell r="AK66" t="str">
            <v>Bank Muscat</v>
          </cell>
          <cell r="AL66" t="str">
            <v>Adam</v>
          </cell>
          <cell r="AM66" t="str">
            <v>129-216930084014</v>
          </cell>
        </row>
        <row r="67">
          <cell r="B67">
            <v>1917</v>
          </cell>
          <cell r="C67" t="str">
            <v>Mohammed Ali Mohammed Al-Raqmi</v>
          </cell>
          <cell r="D67" t="str">
            <v>Casual Labour</v>
          </cell>
          <cell r="E67">
            <v>39639</v>
          </cell>
          <cell r="F67">
            <v>0.625</v>
          </cell>
          <cell r="G67">
            <v>1</v>
          </cell>
          <cell r="H67">
            <v>120</v>
          </cell>
          <cell r="I67">
            <v>25</v>
          </cell>
          <cell r="J67">
            <v>20</v>
          </cell>
          <cell r="K67">
            <v>30</v>
          </cell>
          <cell r="L67">
            <v>44</v>
          </cell>
          <cell r="M67">
            <v>24</v>
          </cell>
          <cell r="N67">
            <v>22</v>
          </cell>
          <cell r="O67">
            <v>0</v>
          </cell>
          <cell r="P67">
            <v>0</v>
          </cell>
          <cell r="Q67">
            <v>0</v>
          </cell>
          <cell r="R67">
            <v>22</v>
          </cell>
          <cell r="S67">
            <v>88</v>
          </cell>
          <cell r="T67">
            <v>18.333333333333336</v>
          </cell>
          <cell r="U67">
            <v>14.666666666666666</v>
          </cell>
          <cell r="V67">
            <v>22</v>
          </cell>
          <cell r="W67">
            <v>27.5</v>
          </cell>
          <cell r="X67">
            <v>24</v>
          </cell>
          <cell r="AC67">
            <v>194.5</v>
          </cell>
          <cell r="AF67">
            <v>0</v>
          </cell>
          <cell r="AG67">
            <v>194.5</v>
          </cell>
          <cell r="AK67" t="str">
            <v>Bank Muscat</v>
          </cell>
          <cell r="AL67">
            <v>0</v>
          </cell>
          <cell r="AM67" t="str">
            <v>128-14638</v>
          </cell>
        </row>
        <row r="68">
          <cell r="B68">
            <v>1918</v>
          </cell>
          <cell r="C68" t="str">
            <v>Samir Said Aamir Al-Raqmi</v>
          </cell>
          <cell r="D68" t="str">
            <v>Casual Labour</v>
          </cell>
          <cell r="E68">
            <v>39639</v>
          </cell>
          <cell r="F68">
            <v>0.625</v>
          </cell>
          <cell r="G68">
            <v>1</v>
          </cell>
          <cell r="H68">
            <v>120</v>
          </cell>
          <cell r="I68">
            <v>25</v>
          </cell>
          <cell r="J68">
            <v>20</v>
          </cell>
          <cell r="K68">
            <v>30</v>
          </cell>
          <cell r="L68">
            <v>44</v>
          </cell>
          <cell r="M68">
            <v>24</v>
          </cell>
          <cell r="N68">
            <v>22</v>
          </cell>
          <cell r="O68">
            <v>0</v>
          </cell>
          <cell r="P68">
            <v>0</v>
          </cell>
          <cell r="Q68">
            <v>0</v>
          </cell>
          <cell r="R68">
            <v>22</v>
          </cell>
          <cell r="S68">
            <v>88</v>
          </cell>
          <cell r="T68">
            <v>18.333333333333336</v>
          </cell>
          <cell r="U68">
            <v>14.666666666666666</v>
          </cell>
          <cell r="V68">
            <v>22</v>
          </cell>
          <cell r="W68">
            <v>27.5</v>
          </cell>
          <cell r="X68">
            <v>24</v>
          </cell>
          <cell r="AC68">
            <v>194.5</v>
          </cell>
          <cell r="AF68">
            <v>0</v>
          </cell>
          <cell r="AG68">
            <v>194.5</v>
          </cell>
          <cell r="AK68" t="str">
            <v>Oman International bank</v>
          </cell>
          <cell r="AL68">
            <v>0</v>
          </cell>
          <cell r="AM68" t="str">
            <v>34-094649-29-01</v>
          </cell>
        </row>
        <row r="69">
          <cell r="B69">
            <v>1919</v>
          </cell>
          <cell r="C69" t="str">
            <v>Faisal Abdullah Mohammed Al-Raqmi</v>
          </cell>
          <cell r="D69" t="str">
            <v>Casual Labour</v>
          </cell>
          <cell r="E69">
            <v>39639</v>
          </cell>
          <cell r="F69">
            <v>0.625</v>
          </cell>
          <cell r="G69">
            <v>1</v>
          </cell>
          <cell r="H69">
            <v>120</v>
          </cell>
          <cell r="I69">
            <v>25</v>
          </cell>
          <cell r="J69">
            <v>20</v>
          </cell>
          <cell r="K69">
            <v>30</v>
          </cell>
          <cell r="L69">
            <v>44</v>
          </cell>
          <cell r="M69">
            <v>24</v>
          </cell>
          <cell r="N69">
            <v>22</v>
          </cell>
          <cell r="O69">
            <v>0</v>
          </cell>
          <cell r="P69">
            <v>0</v>
          </cell>
          <cell r="Q69">
            <v>0</v>
          </cell>
          <cell r="R69">
            <v>22</v>
          </cell>
          <cell r="S69">
            <v>88</v>
          </cell>
          <cell r="T69">
            <v>18.333333333333336</v>
          </cell>
          <cell r="U69">
            <v>14.666666666666666</v>
          </cell>
          <cell r="V69">
            <v>22</v>
          </cell>
          <cell r="W69">
            <v>27.5</v>
          </cell>
          <cell r="X69">
            <v>24</v>
          </cell>
          <cell r="AC69">
            <v>194.5</v>
          </cell>
          <cell r="AF69">
            <v>0</v>
          </cell>
          <cell r="AG69">
            <v>194.5</v>
          </cell>
          <cell r="AK69" t="str">
            <v>Oman International bank</v>
          </cell>
          <cell r="AL69">
            <v>0</v>
          </cell>
          <cell r="AM69" t="str">
            <v>20-373379-29-01</v>
          </cell>
        </row>
        <row r="70">
          <cell r="B70">
            <v>1920</v>
          </cell>
          <cell r="C70" t="str">
            <v>Dawood Mohammed Talib Al Mahrouqi</v>
          </cell>
          <cell r="D70" t="str">
            <v>Casual Labour</v>
          </cell>
          <cell r="E70">
            <v>39639</v>
          </cell>
          <cell r="F70">
            <v>0.625</v>
          </cell>
          <cell r="G70">
            <v>1</v>
          </cell>
          <cell r="H70">
            <v>120</v>
          </cell>
          <cell r="I70">
            <v>25</v>
          </cell>
          <cell r="J70">
            <v>20</v>
          </cell>
          <cell r="K70">
            <v>30</v>
          </cell>
          <cell r="L70">
            <v>44</v>
          </cell>
          <cell r="M70">
            <v>24</v>
          </cell>
          <cell r="N70">
            <v>22</v>
          </cell>
          <cell r="O70">
            <v>0</v>
          </cell>
          <cell r="P70">
            <v>0</v>
          </cell>
          <cell r="Q70">
            <v>0</v>
          </cell>
          <cell r="R70">
            <v>22</v>
          </cell>
          <cell r="S70">
            <v>88</v>
          </cell>
          <cell r="T70">
            <v>18.333333333333336</v>
          </cell>
          <cell r="U70">
            <v>14.666666666666666</v>
          </cell>
          <cell r="V70">
            <v>22</v>
          </cell>
          <cell r="W70">
            <v>27.5</v>
          </cell>
          <cell r="X70">
            <v>24</v>
          </cell>
          <cell r="AC70">
            <v>194.5</v>
          </cell>
          <cell r="AF70">
            <v>0</v>
          </cell>
          <cell r="AG70">
            <v>194.5</v>
          </cell>
          <cell r="AK70" t="str">
            <v>Bank Muscat</v>
          </cell>
          <cell r="AL70">
            <v>0</v>
          </cell>
          <cell r="AM70" t="str">
            <v>129-21610</v>
          </cell>
        </row>
        <row r="71">
          <cell r="B71">
            <v>1921</v>
          </cell>
          <cell r="C71" t="str">
            <v xml:space="preserve"> Ibrahim Aamur  Said Al Mahrooqi</v>
          </cell>
          <cell r="D71" t="str">
            <v>Casual Labour</v>
          </cell>
          <cell r="E71">
            <v>39639</v>
          </cell>
          <cell r="F71">
            <v>0.625</v>
          </cell>
          <cell r="G71">
            <v>1</v>
          </cell>
          <cell r="H71">
            <v>120</v>
          </cell>
          <cell r="I71">
            <v>25</v>
          </cell>
          <cell r="J71">
            <v>20</v>
          </cell>
          <cell r="K71">
            <v>30</v>
          </cell>
          <cell r="L71">
            <v>20</v>
          </cell>
          <cell r="M71">
            <v>0</v>
          </cell>
          <cell r="N71">
            <v>7</v>
          </cell>
          <cell r="O71">
            <v>0</v>
          </cell>
          <cell r="P71">
            <v>0</v>
          </cell>
          <cell r="Q71">
            <v>0</v>
          </cell>
          <cell r="R71">
            <v>7</v>
          </cell>
          <cell r="S71">
            <v>28</v>
          </cell>
          <cell r="T71">
            <v>5.8333333333333339</v>
          </cell>
          <cell r="U71">
            <v>4.6666666666666661</v>
          </cell>
          <cell r="V71">
            <v>7</v>
          </cell>
          <cell r="W71">
            <v>12.5</v>
          </cell>
          <cell r="X71">
            <v>0</v>
          </cell>
          <cell r="AC71">
            <v>58</v>
          </cell>
          <cell r="AF71">
            <v>0</v>
          </cell>
          <cell r="AG71">
            <v>58</v>
          </cell>
          <cell r="AK71" t="str">
            <v>Bank Muscat</v>
          </cell>
          <cell r="AL71" t="str">
            <v>Adam</v>
          </cell>
          <cell r="AM71">
            <v>121156450084015</v>
          </cell>
        </row>
        <row r="72">
          <cell r="B72">
            <v>1922</v>
          </cell>
          <cell r="C72" t="str">
            <v>Said Sulaiman Said Al Hattali</v>
          </cell>
          <cell r="D72" t="str">
            <v>Casual Labour</v>
          </cell>
          <cell r="E72">
            <v>39639</v>
          </cell>
          <cell r="F72">
            <v>0.625</v>
          </cell>
          <cell r="G72">
            <v>1</v>
          </cell>
          <cell r="H72">
            <v>120</v>
          </cell>
          <cell r="I72">
            <v>25</v>
          </cell>
          <cell r="J72">
            <v>20</v>
          </cell>
          <cell r="K72">
            <v>30</v>
          </cell>
          <cell r="L72">
            <v>128</v>
          </cell>
          <cell r="M72">
            <v>24</v>
          </cell>
          <cell r="N72">
            <v>22</v>
          </cell>
          <cell r="O72">
            <v>0</v>
          </cell>
          <cell r="P72">
            <v>0</v>
          </cell>
          <cell r="Q72">
            <v>0</v>
          </cell>
          <cell r="R72">
            <v>22</v>
          </cell>
          <cell r="S72">
            <v>88</v>
          </cell>
          <cell r="T72">
            <v>18.333333333333336</v>
          </cell>
          <cell r="U72">
            <v>14.666666666666666</v>
          </cell>
          <cell r="V72">
            <v>22</v>
          </cell>
          <cell r="W72">
            <v>80</v>
          </cell>
          <cell r="X72">
            <v>24</v>
          </cell>
          <cell r="AC72">
            <v>247</v>
          </cell>
          <cell r="AF72">
            <v>0</v>
          </cell>
          <cell r="AG72">
            <v>247</v>
          </cell>
          <cell r="AK72" t="str">
            <v>Bank Muscat</v>
          </cell>
          <cell r="AL72">
            <v>0</v>
          </cell>
          <cell r="AM72" t="str">
            <v>128-20684-0084-017</v>
          </cell>
        </row>
        <row r="73">
          <cell r="B73">
            <v>1923</v>
          </cell>
          <cell r="C73" t="str">
            <v>Ali Hamed Ahmed Al Waaili</v>
          </cell>
          <cell r="D73" t="str">
            <v>Casual Labour</v>
          </cell>
          <cell r="E73">
            <v>39639</v>
          </cell>
          <cell r="F73">
            <v>0.625</v>
          </cell>
          <cell r="G73">
            <v>1</v>
          </cell>
          <cell r="H73">
            <v>120</v>
          </cell>
          <cell r="I73">
            <v>25</v>
          </cell>
          <cell r="J73">
            <v>20</v>
          </cell>
          <cell r="K73">
            <v>30</v>
          </cell>
          <cell r="L73">
            <v>45</v>
          </cell>
          <cell r="M73">
            <v>0</v>
          </cell>
          <cell r="N73">
            <v>10</v>
          </cell>
          <cell r="O73">
            <v>0</v>
          </cell>
          <cell r="P73">
            <v>0</v>
          </cell>
          <cell r="Q73">
            <v>0</v>
          </cell>
          <cell r="R73">
            <v>10</v>
          </cell>
          <cell r="S73">
            <v>40</v>
          </cell>
          <cell r="T73">
            <v>8.3333333333333339</v>
          </cell>
          <cell r="U73">
            <v>6.6666666666666661</v>
          </cell>
          <cell r="V73">
            <v>10</v>
          </cell>
          <cell r="W73">
            <v>28.125</v>
          </cell>
          <cell r="X73">
            <v>0</v>
          </cell>
          <cell r="AC73">
            <v>93.125</v>
          </cell>
          <cell r="AF73">
            <v>0</v>
          </cell>
          <cell r="AG73">
            <v>93.125</v>
          </cell>
          <cell r="AK73" t="str">
            <v>Bank Muscat</v>
          </cell>
          <cell r="AL73" t="str">
            <v>Adam</v>
          </cell>
          <cell r="AM73" t="str">
            <v>129-24918-0084-016</v>
          </cell>
        </row>
        <row r="74">
          <cell r="B74">
            <v>1924</v>
          </cell>
          <cell r="C74" t="str">
            <v>Said Issa Salim Al-Omairi</v>
          </cell>
          <cell r="D74" t="str">
            <v>Casual Labour</v>
          </cell>
          <cell r="E74">
            <v>39639</v>
          </cell>
          <cell r="F74">
            <v>0.625</v>
          </cell>
          <cell r="G74">
            <v>1</v>
          </cell>
          <cell r="H74">
            <v>120</v>
          </cell>
          <cell r="I74">
            <v>25</v>
          </cell>
          <cell r="J74">
            <v>20</v>
          </cell>
          <cell r="K74">
            <v>30</v>
          </cell>
          <cell r="L74">
            <v>128</v>
          </cell>
          <cell r="M74">
            <v>24</v>
          </cell>
          <cell r="N74">
            <v>22</v>
          </cell>
          <cell r="O74">
            <v>0</v>
          </cell>
          <cell r="P74">
            <v>0</v>
          </cell>
          <cell r="Q74">
            <v>0</v>
          </cell>
          <cell r="R74">
            <v>22</v>
          </cell>
          <cell r="S74">
            <v>88</v>
          </cell>
          <cell r="T74">
            <v>18.333333333333336</v>
          </cell>
          <cell r="U74">
            <v>14.666666666666666</v>
          </cell>
          <cell r="V74">
            <v>22</v>
          </cell>
          <cell r="W74">
            <v>80</v>
          </cell>
          <cell r="X74">
            <v>24</v>
          </cell>
          <cell r="AC74">
            <v>247</v>
          </cell>
          <cell r="AF74">
            <v>0</v>
          </cell>
          <cell r="AG74">
            <v>247</v>
          </cell>
          <cell r="AK74" t="str">
            <v>Bank Muscat</v>
          </cell>
          <cell r="AL74">
            <v>0</v>
          </cell>
          <cell r="AM74" t="str">
            <v>129-28256-0084-018</v>
          </cell>
        </row>
        <row r="75">
          <cell r="B75">
            <v>1925</v>
          </cell>
          <cell r="C75" t="str">
            <v>Hamdoon Mahmood Rashid  Al Dari</v>
          </cell>
          <cell r="D75" t="str">
            <v>Casual Labour</v>
          </cell>
          <cell r="E75">
            <v>39639</v>
          </cell>
          <cell r="F75">
            <v>0.625</v>
          </cell>
          <cell r="G75">
            <v>1</v>
          </cell>
          <cell r="H75">
            <v>120</v>
          </cell>
          <cell r="I75">
            <v>25</v>
          </cell>
          <cell r="J75">
            <v>20</v>
          </cell>
          <cell r="K75">
            <v>30</v>
          </cell>
          <cell r="L75">
            <v>70</v>
          </cell>
          <cell r="M75">
            <v>24</v>
          </cell>
          <cell r="N75">
            <v>13</v>
          </cell>
          <cell r="O75">
            <v>0</v>
          </cell>
          <cell r="P75">
            <v>0</v>
          </cell>
          <cell r="Q75">
            <v>0</v>
          </cell>
          <cell r="R75">
            <v>13</v>
          </cell>
          <cell r="S75">
            <v>52</v>
          </cell>
          <cell r="T75">
            <v>10.833333333333334</v>
          </cell>
          <cell r="U75">
            <v>8.6666666666666661</v>
          </cell>
          <cell r="V75">
            <v>13</v>
          </cell>
          <cell r="W75">
            <v>43.75</v>
          </cell>
          <cell r="X75">
            <v>24</v>
          </cell>
          <cell r="AC75">
            <v>152.25</v>
          </cell>
          <cell r="AF75">
            <v>0</v>
          </cell>
          <cell r="AG75">
            <v>152.25</v>
          </cell>
          <cell r="AK75" t="str">
            <v>Oman International Bank</v>
          </cell>
          <cell r="AL75" t="str">
            <v>Adam</v>
          </cell>
          <cell r="AM75" t="str">
            <v>28-113587-20</v>
          </cell>
        </row>
        <row r="76">
          <cell r="B76">
            <v>1926</v>
          </cell>
          <cell r="C76" t="str">
            <v>Thuwaini Dhahi Al Abd Al Darai</v>
          </cell>
          <cell r="D76" t="str">
            <v>Casual Labour</v>
          </cell>
          <cell r="E76">
            <v>39639</v>
          </cell>
          <cell r="F76">
            <v>0.625</v>
          </cell>
          <cell r="G76">
            <v>1</v>
          </cell>
          <cell r="H76">
            <v>120</v>
          </cell>
          <cell r="I76">
            <v>25</v>
          </cell>
          <cell r="J76">
            <v>20</v>
          </cell>
          <cell r="K76">
            <v>30</v>
          </cell>
          <cell r="L76">
            <v>107</v>
          </cell>
          <cell r="M76">
            <v>12</v>
          </cell>
          <cell r="N76">
            <v>20</v>
          </cell>
          <cell r="O76">
            <v>0</v>
          </cell>
          <cell r="P76">
            <v>0</v>
          </cell>
          <cell r="Q76">
            <v>0</v>
          </cell>
          <cell r="R76">
            <v>20</v>
          </cell>
          <cell r="S76">
            <v>80</v>
          </cell>
          <cell r="T76">
            <v>16.666666666666668</v>
          </cell>
          <cell r="U76">
            <v>13.333333333333332</v>
          </cell>
          <cell r="V76">
            <v>20</v>
          </cell>
          <cell r="W76">
            <v>66.875</v>
          </cell>
          <cell r="X76">
            <v>12</v>
          </cell>
          <cell r="AC76">
            <v>208.875</v>
          </cell>
          <cell r="AF76">
            <v>0</v>
          </cell>
          <cell r="AG76">
            <v>208.875</v>
          </cell>
          <cell r="AK76" t="str">
            <v>Oman International Bank</v>
          </cell>
          <cell r="AL76" t="str">
            <v>Adam</v>
          </cell>
          <cell r="AM76" t="str">
            <v>28-113579-20</v>
          </cell>
        </row>
        <row r="77">
          <cell r="B77">
            <v>1929</v>
          </cell>
          <cell r="C77" t="str">
            <v>Waleed Nasser Khalaf Al Nasser</v>
          </cell>
          <cell r="D77" t="str">
            <v>Casual Labour</v>
          </cell>
          <cell r="E77">
            <v>39639</v>
          </cell>
          <cell r="F77">
            <v>0.625</v>
          </cell>
          <cell r="G77">
            <v>1</v>
          </cell>
          <cell r="H77">
            <v>120</v>
          </cell>
          <cell r="I77">
            <v>25</v>
          </cell>
          <cell r="J77">
            <v>20</v>
          </cell>
          <cell r="K77">
            <v>30</v>
          </cell>
          <cell r="L77">
            <v>68</v>
          </cell>
          <cell r="M77">
            <v>24</v>
          </cell>
          <cell r="N77">
            <v>22</v>
          </cell>
          <cell r="O77">
            <v>0</v>
          </cell>
          <cell r="P77">
            <v>0</v>
          </cell>
          <cell r="Q77">
            <v>0</v>
          </cell>
          <cell r="R77">
            <v>22</v>
          </cell>
          <cell r="S77">
            <v>88</v>
          </cell>
          <cell r="T77">
            <v>18.333333333333336</v>
          </cell>
          <cell r="U77">
            <v>14.666666666666666</v>
          </cell>
          <cell r="V77">
            <v>22</v>
          </cell>
          <cell r="W77">
            <v>42.5</v>
          </cell>
          <cell r="X77">
            <v>24</v>
          </cell>
          <cell r="AC77">
            <v>209.5</v>
          </cell>
          <cell r="AF77">
            <v>0</v>
          </cell>
          <cell r="AG77">
            <v>209.5</v>
          </cell>
          <cell r="AK77" t="str">
            <v>Oman Arab Bank</v>
          </cell>
          <cell r="AL77">
            <v>0</v>
          </cell>
          <cell r="AM77" t="str">
            <v>3123-035662-700</v>
          </cell>
        </row>
        <row r="78">
          <cell r="B78">
            <v>1930</v>
          </cell>
          <cell r="C78" t="str">
            <v>Manaa Hamed Sulaiyam Al Nasseri</v>
          </cell>
          <cell r="D78" t="str">
            <v>Casual Labour</v>
          </cell>
          <cell r="E78">
            <v>39639</v>
          </cell>
          <cell r="F78">
            <v>0.625</v>
          </cell>
          <cell r="G78">
            <v>1</v>
          </cell>
          <cell r="H78">
            <v>120</v>
          </cell>
          <cell r="I78">
            <v>25</v>
          </cell>
          <cell r="J78">
            <v>20</v>
          </cell>
          <cell r="K78">
            <v>30</v>
          </cell>
          <cell r="L78">
            <v>120</v>
          </cell>
          <cell r="M78">
            <v>24</v>
          </cell>
          <cell r="N78">
            <v>22</v>
          </cell>
          <cell r="O78">
            <v>0</v>
          </cell>
          <cell r="P78">
            <v>0</v>
          </cell>
          <cell r="Q78">
            <v>0</v>
          </cell>
          <cell r="R78">
            <v>22</v>
          </cell>
          <cell r="S78">
            <v>88</v>
          </cell>
          <cell r="T78">
            <v>18.333333333333336</v>
          </cell>
          <cell r="U78">
            <v>14.666666666666666</v>
          </cell>
          <cell r="V78">
            <v>22</v>
          </cell>
          <cell r="W78">
            <v>75</v>
          </cell>
          <cell r="X78">
            <v>24</v>
          </cell>
          <cell r="AC78">
            <v>242</v>
          </cell>
          <cell r="AF78">
            <v>0</v>
          </cell>
          <cell r="AG78">
            <v>242</v>
          </cell>
          <cell r="AK78" t="str">
            <v>Bank Muscat</v>
          </cell>
          <cell r="AL78">
            <v>0</v>
          </cell>
          <cell r="AM78">
            <v>14221498</v>
          </cell>
        </row>
        <row r="79">
          <cell r="B79">
            <v>1931</v>
          </cell>
          <cell r="C79" t="str">
            <v>Abdullah Nasser Rashid Al Nasseri</v>
          </cell>
          <cell r="D79" t="str">
            <v>Casual Labour</v>
          </cell>
          <cell r="E79">
            <v>39639</v>
          </cell>
          <cell r="F79">
            <v>0.625</v>
          </cell>
          <cell r="G79">
            <v>1</v>
          </cell>
          <cell r="H79">
            <v>120</v>
          </cell>
          <cell r="I79">
            <v>25</v>
          </cell>
          <cell r="J79">
            <v>20</v>
          </cell>
          <cell r="K79">
            <v>30</v>
          </cell>
          <cell r="L79">
            <v>44</v>
          </cell>
          <cell r="M79">
            <v>24</v>
          </cell>
          <cell r="N79">
            <v>22</v>
          </cell>
          <cell r="O79">
            <v>0</v>
          </cell>
          <cell r="P79">
            <v>0</v>
          </cell>
          <cell r="Q79">
            <v>0</v>
          </cell>
          <cell r="R79">
            <v>22</v>
          </cell>
          <cell r="S79">
            <v>88</v>
          </cell>
          <cell r="T79">
            <v>18.333333333333336</v>
          </cell>
          <cell r="U79">
            <v>14.666666666666666</v>
          </cell>
          <cell r="V79">
            <v>22</v>
          </cell>
          <cell r="W79">
            <v>27.5</v>
          </cell>
          <cell r="X79">
            <v>24</v>
          </cell>
          <cell r="AC79">
            <v>194.5</v>
          </cell>
          <cell r="AF79">
            <v>0</v>
          </cell>
          <cell r="AG79">
            <v>194.5</v>
          </cell>
          <cell r="AK79" t="str">
            <v>Bank Muscat</v>
          </cell>
          <cell r="AL79">
            <v>0</v>
          </cell>
          <cell r="AM79" t="str">
            <v>169-12026-0084-011</v>
          </cell>
        </row>
        <row r="80">
          <cell r="B80">
            <v>1932</v>
          </cell>
          <cell r="C80" t="str">
            <v>Fahad Ali Masaaod Al Khatri</v>
          </cell>
          <cell r="D80" t="str">
            <v>Casual Labour</v>
          </cell>
          <cell r="E80">
            <v>39639</v>
          </cell>
          <cell r="F80">
            <v>0.625</v>
          </cell>
          <cell r="G80">
            <v>1</v>
          </cell>
          <cell r="H80">
            <v>120</v>
          </cell>
          <cell r="I80">
            <v>25</v>
          </cell>
          <cell r="J80">
            <v>20</v>
          </cell>
          <cell r="K80">
            <v>30</v>
          </cell>
          <cell r="L80">
            <v>44</v>
          </cell>
          <cell r="M80">
            <v>0</v>
          </cell>
          <cell r="N80">
            <v>8</v>
          </cell>
          <cell r="O80">
            <v>0</v>
          </cell>
          <cell r="P80">
            <v>0</v>
          </cell>
          <cell r="Q80">
            <v>0</v>
          </cell>
          <cell r="R80">
            <v>8</v>
          </cell>
          <cell r="S80">
            <v>32</v>
          </cell>
          <cell r="T80">
            <v>6.666666666666667</v>
          </cell>
          <cell r="U80">
            <v>5.333333333333333</v>
          </cell>
          <cell r="V80">
            <v>8</v>
          </cell>
          <cell r="W80">
            <v>27.5</v>
          </cell>
          <cell r="X80">
            <v>0</v>
          </cell>
          <cell r="AC80">
            <v>79.5</v>
          </cell>
          <cell r="AF80">
            <v>0</v>
          </cell>
          <cell r="AG80">
            <v>79.5</v>
          </cell>
          <cell r="AK80">
            <v>0</v>
          </cell>
          <cell r="AL80">
            <v>0</v>
          </cell>
          <cell r="AM80">
            <v>0</v>
          </cell>
        </row>
        <row r="81">
          <cell r="B81">
            <v>1933</v>
          </cell>
          <cell r="C81" t="str">
            <v>Saif Salim Al Abd Al Mabsali</v>
          </cell>
          <cell r="D81" t="str">
            <v>Casual Labour</v>
          </cell>
          <cell r="E81">
            <v>39639</v>
          </cell>
          <cell r="F81">
            <v>0.625</v>
          </cell>
          <cell r="G81">
            <v>1</v>
          </cell>
          <cell r="H81">
            <v>120</v>
          </cell>
          <cell r="I81">
            <v>25</v>
          </cell>
          <cell r="J81">
            <v>20</v>
          </cell>
          <cell r="K81">
            <v>30</v>
          </cell>
          <cell r="L81">
            <v>68</v>
          </cell>
          <cell r="M81">
            <v>0</v>
          </cell>
          <cell r="N81">
            <v>14</v>
          </cell>
          <cell r="O81">
            <v>0</v>
          </cell>
          <cell r="P81">
            <v>0</v>
          </cell>
          <cell r="Q81">
            <v>0</v>
          </cell>
          <cell r="R81">
            <v>14</v>
          </cell>
          <cell r="S81">
            <v>56</v>
          </cell>
          <cell r="T81">
            <v>11.666666666666668</v>
          </cell>
          <cell r="U81">
            <v>9.3333333333333321</v>
          </cell>
          <cell r="V81">
            <v>14</v>
          </cell>
          <cell r="W81">
            <v>42.5</v>
          </cell>
          <cell r="X81">
            <v>0</v>
          </cell>
          <cell r="AC81">
            <v>133.5</v>
          </cell>
          <cell r="AF81">
            <v>0</v>
          </cell>
          <cell r="AG81">
            <v>133.5</v>
          </cell>
          <cell r="AK81" t="str">
            <v>Bank Muscat</v>
          </cell>
          <cell r="AL81">
            <v>0</v>
          </cell>
          <cell r="AM81" t="str">
            <v>131-21679-0084-011</v>
          </cell>
        </row>
        <row r="82">
          <cell r="B82">
            <v>1934</v>
          </cell>
          <cell r="C82" t="str">
            <v>Nasser Ali Bar Ghoush AL Amri</v>
          </cell>
          <cell r="D82" t="str">
            <v>Casual Labour</v>
          </cell>
          <cell r="E82">
            <v>39639</v>
          </cell>
          <cell r="F82">
            <v>0.625</v>
          </cell>
          <cell r="G82">
            <v>1</v>
          </cell>
          <cell r="H82">
            <v>120</v>
          </cell>
          <cell r="I82">
            <v>25</v>
          </cell>
          <cell r="J82">
            <v>20</v>
          </cell>
          <cell r="K82">
            <v>30</v>
          </cell>
          <cell r="L82">
            <v>0</v>
          </cell>
          <cell r="M82">
            <v>0</v>
          </cell>
          <cell r="N82">
            <v>1</v>
          </cell>
          <cell r="O82">
            <v>0</v>
          </cell>
          <cell r="P82">
            <v>0</v>
          </cell>
          <cell r="Q82">
            <v>0</v>
          </cell>
          <cell r="R82">
            <v>1</v>
          </cell>
          <cell r="S82">
            <v>4</v>
          </cell>
          <cell r="T82">
            <v>0.83333333333333337</v>
          </cell>
          <cell r="U82">
            <v>0.66666666666666663</v>
          </cell>
          <cell r="V82">
            <v>1</v>
          </cell>
          <cell r="W82">
            <v>0</v>
          </cell>
          <cell r="X82">
            <v>0</v>
          </cell>
          <cell r="AC82">
            <v>6.5</v>
          </cell>
          <cell r="AF82">
            <v>0</v>
          </cell>
          <cell r="AG82">
            <v>6.5</v>
          </cell>
          <cell r="AK82" t="str">
            <v>Bank Muscat</v>
          </cell>
          <cell r="AL82">
            <v>0</v>
          </cell>
          <cell r="AM82" t="str">
            <v>0056-26442-0084-017</v>
          </cell>
        </row>
        <row r="83">
          <cell r="B83">
            <v>1937</v>
          </cell>
          <cell r="C83" t="str">
            <v>Abdul  Aziz  Saud  Ali Al Mahrooqi</v>
          </cell>
          <cell r="D83" t="str">
            <v>Casual Labour</v>
          </cell>
          <cell r="E83">
            <v>39640</v>
          </cell>
          <cell r="F83">
            <v>0.625</v>
          </cell>
          <cell r="G83">
            <v>1</v>
          </cell>
          <cell r="H83">
            <v>120</v>
          </cell>
          <cell r="I83">
            <v>25</v>
          </cell>
          <cell r="J83">
            <v>20</v>
          </cell>
          <cell r="K83">
            <v>30</v>
          </cell>
          <cell r="L83">
            <v>118</v>
          </cell>
          <cell r="M83">
            <v>24</v>
          </cell>
          <cell r="N83">
            <v>21</v>
          </cell>
          <cell r="O83">
            <v>0</v>
          </cell>
          <cell r="P83">
            <v>0</v>
          </cell>
          <cell r="Q83">
            <v>0</v>
          </cell>
          <cell r="R83">
            <v>21</v>
          </cell>
          <cell r="S83">
            <v>84</v>
          </cell>
          <cell r="T83">
            <v>17.5</v>
          </cell>
          <cell r="U83">
            <v>14</v>
          </cell>
          <cell r="V83">
            <v>21</v>
          </cell>
          <cell r="W83">
            <v>73.75</v>
          </cell>
          <cell r="X83">
            <v>24</v>
          </cell>
          <cell r="AC83">
            <v>234.25</v>
          </cell>
          <cell r="AF83">
            <v>0</v>
          </cell>
          <cell r="AG83">
            <v>234.25</v>
          </cell>
          <cell r="AK83" t="str">
            <v>Bank Muscat</v>
          </cell>
          <cell r="AL83" t="str">
            <v>Adam</v>
          </cell>
          <cell r="AM83">
            <v>142817490084010</v>
          </cell>
        </row>
        <row r="84">
          <cell r="B84">
            <v>1938</v>
          </cell>
          <cell r="C84" t="str">
            <v>Malik Ali Mohameed Al Nassri</v>
          </cell>
          <cell r="D84" t="str">
            <v>Casual Labour</v>
          </cell>
          <cell r="E84">
            <v>39640</v>
          </cell>
          <cell r="F84">
            <v>0.625</v>
          </cell>
          <cell r="G84">
            <v>1</v>
          </cell>
          <cell r="H84">
            <v>120</v>
          </cell>
          <cell r="I84">
            <v>25</v>
          </cell>
          <cell r="J84">
            <v>20</v>
          </cell>
          <cell r="K84">
            <v>30</v>
          </cell>
          <cell r="L84">
            <v>78</v>
          </cell>
          <cell r="M84">
            <v>24</v>
          </cell>
          <cell r="N84">
            <v>21</v>
          </cell>
          <cell r="O84">
            <v>0</v>
          </cell>
          <cell r="P84">
            <v>0</v>
          </cell>
          <cell r="Q84">
            <v>0</v>
          </cell>
          <cell r="R84">
            <v>21</v>
          </cell>
          <cell r="S84">
            <v>84</v>
          </cell>
          <cell r="T84">
            <v>17.5</v>
          </cell>
          <cell r="U84">
            <v>14</v>
          </cell>
          <cell r="V84">
            <v>21</v>
          </cell>
          <cell r="W84">
            <v>48.75</v>
          </cell>
          <cell r="X84">
            <v>24</v>
          </cell>
          <cell r="AC84">
            <v>209.25</v>
          </cell>
          <cell r="AF84">
            <v>0</v>
          </cell>
          <cell r="AG84">
            <v>209.25</v>
          </cell>
          <cell r="AK84" t="str">
            <v>Bank Muscat</v>
          </cell>
          <cell r="AL84" t="str">
            <v>Al Khawer</v>
          </cell>
          <cell r="AM84">
            <v>142243990091015</v>
          </cell>
        </row>
        <row r="85">
          <cell r="B85">
            <v>1939</v>
          </cell>
          <cell r="C85" t="str">
            <v>Ahamed Mohameed Said Al Nasri</v>
          </cell>
          <cell r="D85" t="str">
            <v>Casual Labour</v>
          </cell>
          <cell r="E85">
            <v>39640</v>
          </cell>
          <cell r="F85">
            <v>0.625</v>
          </cell>
          <cell r="G85">
            <v>1</v>
          </cell>
          <cell r="H85">
            <v>120</v>
          </cell>
          <cell r="I85">
            <v>25</v>
          </cell>
          <cell r="J85">
            <v>20</v>
          </cell>
          <cell r="K85">
            <v>30</v>
          </cell>
          <cell r="L85">
            <v>82</v>
          </cell>
          <cell r="M85">
            <v>12</v>
          </cell>
          <cell r="N85">
            <v>16</v>
          </cell>
          <cell r="O85">
            <v>0</v>
          </cell>
          <cell r="P85">
            <v>0</v>
          </cell>
          <cell r="Q85">
            <v>0</v>
          </cell>
          <cell r="R85">
            <v>16</v>
          </cell>
          <cell r="S85">
            <v>64</v>
          </cell>
          <cell r="T85">
            <v>13.333333333333334</v>
          </cell>
          <cell r="U85">
            <v>10.666666666666666</v>
          </cell>
          <cell r="V85">
            <v>16</v>
          </cell>
          <cell r="W85">
            <v>51.25</v>
          </cell>
          <cell r="X85">
            <v>12</v>
          </cell>
          <cell r="AC85">
            <v>167.25</v>
          </cell>
          <cell r="AF85">
            <v>0</v>
          </cell>
          <cell r="AG85">
            <v>167.25</v>
          </cell>
          <cell r="AK85" t="str">
            <v>Bank Muscat</v>
          </cell>
          <cell r="AL85" t="str">
            <v>Adam</v>
          </cell>
          <cell r="AM85">
            <v>11912699</v>
          </cell>
        </row>
        <row r="86">
          <cell r="B86">
            <v>1940</v>
          </cell>
          <cell r="C86" t="str">
            <v>Ahamed Nasser Ahamed  Al Shaibani</v>
          </cell>
          <cell r="D86" t="str">
            <v>Casual Labour</v>
          </cell>
          <cell r="E86">
            <v>39640</v>
          </cell>
          <cell r="F86">
            <v>0.625</v>
          </cell>
          <cell r="G86">
            <v>1</v>
          </cell>
          <cell r="H86">
            <v>120</v>
          </cell>
          <cell r="I86">
            <v>25</v>
          </cell>
          <cell r="J86">
            <v>20</v>
          </cell>
          <cell r="K86">
            <v>30</v>
          </cell>
          <cell r="L86">
            <v>69</v>
          </cell>
          <cell r="M86">
            <v>12</v>
          </cell>
          <cell r="N86">
            <v>14</v>
          </cell>
          <cell r="O86">
            <v>0</v>
          </cell>
          <cell r="P86">
            <v>0</v>
          </cell>
          <cell r="Q86">
            <v>0</v>
          </cell>
          <cell r="R86">
            <v>14</v>
          </cell>
          <cell r="S86">
            <v>56</v>
          </cell>
          <cell r="T86">
            <v>11.666666666666668</v>
          </cell>
          <cell r="U86">
            <v>9.3333333333333321</v>
          </cell>
          <cell r="V86">
            <v>14</v>
          </cell>
          <cell r="W86">
            <v>43.125</v>
          </cell>
          <cell r="X86">
            <v>12</v>
          </cell>
          <cell r="AC86">
            <v>146.125</v>
          </cell>
          <cell r="AF86">
            <v>0</v>
          </cell>
          <cell r="AG86">
            <v>146.125</v>
          </cell>
          <cell r="AK86" t="str">
            <v>Bank Muscat</v>
          </cell>
          <cell r="AL86" t="str">
            <v>Adam</v>
          </cell>
          <cell r="AM86">
            <v>129249250084016</v>
          </cell>
        </row>
        <row r="87">
          <cell r="B87">
            <v>1944</v>
          </cell>
          <cell r="C87" t="str">
            <v xml:space="preserve">Ali Abdullah Khalfan  Al Shazani </v>
          </cell>
          <cell r="D87" t="str">
            <v>Casual Labour</v>
          </cell>
          <cell r="E87">
            <v>39641</v>
          </cell>
          <cell r="F87">
            <v>0.625</v>
          </cell>
          <cell r="G87">
            <v>1</v>
          </cell>
          <cell r="H87">
            <v>120</v>
          </cell>
          <cell r="I87">
            <v>25</v>
          </cell>
          <cell r="J87">
            <v>20</v>
          </cell>
          <cell r="K87">
            <v>30</v>
          </cell>
          <cell r="L87">
            <v>32</v>
          </cell>
          <cell r="M87">
            <v>0</v>
          </cell>
          <cell r="N87">
            <v>8</v>
          </cell>
          <cell r="O87">
            <v>0</v>
          </cell>
          <cell r="P87">
            <v>0</v>
          </cell>
          <cell r="Q87">
            <v>0</v>
          </cell>
          <cell r="R87">
            <v>8</v>
          </cell>
          <cell r="S87">
            <v>32</v>
          </cell>
          <cell r="T87">
            <v>6.666666666666667</v>
          </cell>
          <cell r="U87">
            <v>5.333333333333333</v>
          </cell>
          <cell r="V87">
            <v>8</v>
          </cell>
          <cell r="W87">
            <v>20</v>
          </cell>
          <cell r="X87">
            <v>0</v>
          </cell>
          <cell r="AC87">
            <v>72</v>
          </cell>
          <cell r="AF87">
            <v>0</v>
          </cell>
          <cell r="AG87">
            <v>72</v>
          </cell>
          <cell r="AK87" t="str">
            <v>Bank Muscat</v>
          </cell>
          <cell r="AL87" t="str">
            <v>Sinaw</v>
          </cell>
          <cell r="AM87">
            <v>131173810084018</v>
          </cell>
        </row>
        <row r="88">
          <cell r="B88">
            <v>1945</v>
          </cell>
          <cell r="C88" t="str">
            <v xml:space="preserve"> Musalam Suliman Said Al Hinai</v>
          </cell>
          <cell r="D88" t="str">
            <v>Casual Light Duty Driver</v>
          </cell>
          <cell r="E88">
            <v>39641</v>
          </cell>
          <cell r="F88">
            <v>0.78125</v>
          </cell>
          <cell r="G88">
            <v>1.25</v>
          </cell>
          <cell r="H88">
            <v>150</v>
          </cell>
          <cell r="I88">
            <v>30</v>
          </cell>
          <cell r="J88">
            <v>25</v>
          </cell>
          <cell r="K88">
            <v>40</v>
          </cell>
          <cell r="L88">
            <v>112</v>
          </cell>
          <cell r="M88">
            <v>24</v>
          </cell>
          <cell r="N88">
            <v>20</v>
          </cell>
          <cell r="O88">
            <v>0</v>
          </cell>
          <cell r="P88">
            <v>0</v>
          </cell>
          <cell r="Q88">
            <v>0</v>
          </cell>
          <cell r="R88">
            <v>20</v>
          </cell>
          <cell r="S88">
            <v>100</v>
          </cell>
          <cell r="T88">
            <v>20</v>
          </cell>
          <cell r="U88">
            <v>16.666666666666668</v>
          </cell>
          <cell r="V88">
            <v>26.666666666666664</v>
          </cell>
          <cell r="W88">
            <v>87.5</v>
          </cell>
          <cell r="X88">
            <v>30</v>
          </cell>
          <cell r="AC88">
            <v>280.83333333333331</v>
          </cell>
          <cell r="AF88">
            <v>0</v>
          </cell>
          <cell r="AG88">
            <v>280.83333333333331</v>
          </cell>
          <cell r="AK88" t="str">
            <v>Oman International bank</v>
          </cell>
          <cell r="AL88">
            <v>0</v>
          </cell>
          <cell r="AM88" t="str">
            <v>27-190313-20-01</v>
          </cell>
        </row>
        <row r="89">
          <cell r="B89">
            <v>1946</v>
          </cell>
          <cell r="C89" t="str">
            <v>Fahad hamed Said Al Hadrami</v>
          </cell>
          <cell r="D89" t="str">
            <v>Casual Labour</v>
          </cell>
          <cell r="E89">
            <v>39642</v>
          </cell>
          <cell r="F89">
            <v>0.625</v>
          </cell>
          <cell r="G89">
            <v>1</v>
          </cell>
          <cell r="H89">
            <v>120</v>
          </cell>
          <cell r="I89">
            <v>25</v>
          </cell>
          <cell r="J89">
            <v>20</v>
          </cell>
          <cell r="K89">
            <v>30</v>
          </cell>
          <cell r="L89">
            <v>60</v>
          </cell>
          <cell r="M89">
            <v>12</v>
          </cell>
          <cell r="N89">
            <v>12</v>
          </cell>
          <cell r="O89">
            <v>0</v>
          </cell>
          <cell r="P89">
            <v>0</v>
          </cell>
          <cell r="Q89">
            <v>0</v>
          </cell>
          <cell r="R89">
            <v>12</v>
          </cell>
          <cell r="S89">
            <v>48</v>
          </cell>
          <cell r="T89">
            <v>10</v>
          </cell>
          <cell r="U89">
            <v>8</v>
          </cell>
          <cell r="V89">
            <v>12</v>
          </cell>
          <cell r="W89">
            <v>37.5</v>
          </cell>
          <cell r="X89">
            <v>12</v>
          </cell>
          <cell r="AC89">
            <v>127.5</v>
          </cell>
          <cell r="AF89">
            <v>0</v>
          </cell>
          <cell r="AG89">
            <v>127.5</v>
          </cell>
          <cell r="AK89" t="str">
            <v>Bank Sohar</v>
          </cell>
          <cell r="AL89" t="str">
            <v>Muscat</v>
          </cell>
          <cell r="AM89">
            <v>6049040000621620</v>
          </cell>
        </row>
        <row r="90">
          <cell r="B90">
            <v>1947</v>
          </cell>
          <cell r="C90" t="str">
            <v>Yones Salim Mohameed Al Darei</v>
          </cell>
          <cell r="D90" t="str">
            <v>Casual Labour</v>
          </cell>
          <cell r="E90">
            <v>39642</v>
          </cell>
          <cell r="F90">
            <v>0.625</v>
          </cell>
          <cell r="G90">
            <v>1</v>
          </cell>
          <cell r="H90">
            <v>120</v>
          </cell>
          <cell r="I90">
            <v>25</v>
          </cell>
          <cell r="J90">
            <v>20</v>
          </cell>
          <cell r="K90">
            <v>30</v>
          </cell>
          <cell r="L90">
            <v>8</v>
          </cell>
          <cell r="M90">
            <v>0</v>
          </cell>
          <cell r="N90">
            <v>4</v>
          </cell>
          <cell r="O90">
            <v>0</v>
          </cell>
          <cell r="P90">
            <v>0</v>
          </cell>
          <cell r="Q90">
            <v>0</v>
          </cell>
          <cell r="R90">
            <v>4</v>
          </cell>
          <cell r="S90">
            <v>16</v>
          </cell>
          <cell r="T90">
            <v>3.3333333333333335</v>
          </cell>
          <cell r="U90">
            <v>2.6666666666666665</v>
          </cell>
          <cell r="V90">
            <v>4</v>
          </cell>
          <cell r="W90">
            <v>5</v>
          </cell>
          <cell r="X90">
            <v>0</v>
          </cell>
          <cell r="AC90">
            <v>31</v>
          </cell>
          <cell r="AF90">
            <v>0</v>
          </cell>
          <cell r="AG90">
            <v>31</v>
          </cell>
          <cell r="AK90" t="str">
            <v>Bank Muscat</v>
          </cell>
          <cell r="AL90" t="str">
            <v>Adam</v>
          </cell>
          <cell r="AM90" t="str">
            <v>129-23160089015</v>
          </cell>
        </row>
        <row r="91">
          <cell r="B91">
            <v>1948</v>
          </cell>
          <cell r="C91" t="str">
            <v>Mahfood Hameid  Mohameed Al Darei</v>
          </cell>
          <cell r="D91" t="str">
            <v>Casual Labour</v>
          </cell>
          <cell r="E91">
            <v>39642</v>
          </cell>
          <cell r="F91">
            <v>0.625</v>
          </cell>
          <cell r="G91">
            <v>1</v>
          </cell>
          <cell r="H91">
            <v>120</v>
          </cell>
          <cell r="I91">
            <v>25</v>
          </cell>
          <cell r="J91">
            <v>20</v>
          </cell>
          <cell r="K91">
            <v>30</v>
          </cell>
          <cell r="L91">
            <v>10</v>
          </cell>
          <cell r="M91">
            <v>0</v>
          </cell>
          <cell r="N91">
            <v>4</v>
          </cell>
          <cell r="O91">
            <v>0</v>
          </cell>
          <cell r="P91">
            <v>0</v>
          </cell>
          <cell r="Q91">
            <v>0</v>
          </cell>
          <cell r="R91">
            <v>4</v>
          </cell>
          <cell r="S91">
            <v>16</v>
          </cell>
          <cell r="T91">
            <v>3.3333333333333335</v>
          </cell>
          <cell r="U91">
            <v>2.6666666666666665</v>
          </cell>
          <cell r="V91">
            <v>4</v>
          </cell>
          <cell r="W91">
            <v>6.25</v>
          </cell>
          <cell r="X91">
            <v>0</v>
          </cell>
          <cell r="AC91">
            <v>32.25</v>
          </cell>
          <cell r="AF91">
            <v>0</v>
          </cell>
          <cell r="AG91">
            <v>32.25</v>
          </cell>
          <cell r="AK91" t="str">
            <v>Oman International bank</v>
          </cell>
          <cell r="AL91" t="str">
            <v>Adam</v>
          </cell>
          <cell r="AM91">
            <v>281052372001</v>
          </cell>
        </row>
        <row r="92">
          <cell r="B92">
            <v>1951</v>
          </cell>
          <cell r="C92" t="str">
            <v>Saif Harib Mohameed Al Kalbani</v>
          </cell>
          <cell r="D92" t="str">
            <v>Casual Labour</v>
          </cell>
          <cell r="E92">
            <v>39645</v>
          </cell>
          <cell r="F92">
            <v>0.625</v>
          </cell>
          <cell r="G92">
            <v>1</v>
          </cell>
          <cell r="H92">
            <v>120</v>
          </cell>
          <cell r="I92">
            <v>25</v>
          </cell>
          <cell r="J92">
            <v>20</v>
          </cell>
          <cell r="K92">
            <v>30</v>
          </cell>
          <cell r="L92">
            <v>66</v>
          </cell>
          <cell r="M92">
            <v>12</v>
          </cell>
          <cell r="N92">
            <v>13</v>
          </cell>
          <cell r="O92">
            <v>0</v>
          </cell>
          <cell r="P92">
            <v>0</v>
          </cell>
          <cell r="Q92">
            <v>0</v>
          </cell>
          <cell r="R92">
            <v>13</v>
          </cell>
          <cell r="S92">
            <v>52</v>
          </cell>
          <cell r="T92">
            <v>10.833333333333334</v>
          </cell>
          <cell r="U92">
            <v>8.6666666666666661</v>
          </cell>
          <cell r="V92">
            <v>13</v>
          </cell>
          <cell r="W92">
            <v>41.25</v>
          </cell>
          <cell r="X92">
            <v>12</v>
          </cell>
          <cell r="AC92">
            <v>137.75</v>
          </cell>
          <cell r="AF92">
            <v>0</v>
          </cell>
          <cell r="AG92">
            <v>137.75</v>
          </cell>
          <cell r="AK92" t="str">
            <v>Bank Muscat</v>
          </cell>
          <cell r="AL92" t="str">
            <v>Ibri</v>
          </cell>
          <cell r="AM92">
            <v>28825190084017</v>
          </cell>
        </row>
        <row r="93">
          <cell r="B93">
            <v>1952</v>
          </cell>
          <cell r="C93" t="str">
            <v>Nasser Ambar Dabi Al Zeidi</v>
          </cell>
          <cell r="D93" t="str">
            <v>Casual Labour</v>
          </cell>
          <cell r="E93">
            <v>39645</v>
          </cell>
          <cell r="F93">
            <v>0.625</v>
          </cell>
          <cell r="G93">
            <v>1</v>
          </cell>
          <cell r="H93">
            <v>120</v>
          </cell>
          <cell r="I93">
            <v>25</v>
          </cell>
          <cell r="J93">
            <v>20</v>
          </cell>
          <cell r="K93">
            <v>30</v>
          </cell>
          <cell r="L93">
            <v>80</v>
          </cell>
          <cell r="M93">
            <v>24</v>
          </cell>
          <cell r="N93">
            <v>16</v>
          </cell>
          <cell r="O93">
            <v>0</v>
          </cell>
          <cell r="P93">
            <v>0</v>
          </cell>
          <cell r="Q93">
            <v>0</v>
          </cell>
          <cell r="R93">
            <v>16</v>
          </cell>
          <cell r="S93">
            <v>64</v>
          </cell>
          <cell r="T93">
            <v>13.333333333333334</v>
          </cell>
          <cell r="U93">
            <v>10.666666666666666</v>
          </cell>
          <cell r="V93">
            <v>16</v>
          </cell>
          <cell r="W93">
            <v>50</v>
          </cell>
          <cell r="X93">
            <v>24</v>
          </cell>
          <cell r="AC93">
            <v>178</v>
          </cell>
          <cell r="AF93">
            <v>0</v>
          </cell>
          <cell r="AG93">
            <v>178</v>
          </cell>
          <cell r="AK93" t="str">
            <v>Oman International bank</v>
          </cell>
          <cell r="AL93" t="str">
            <v>Dhank</v>
          </cell>
          <cell r="AM93" t="str">
            <v>26-063685-20</v>
          </cell>
        </row>
        <row r="94">
          <cell r="B94">
            <v>1953</v>
          </cell>
          <cell r="C94" t="str">
            <v xml:space="preserve">Abdullah Ambar Dabi Al Zeidi </v>
          </cell>
          <cell r="D94" t="str">
            <v>Casual Labour</v>
          </cell>
          <cell r="E94">
            <v>39645</v>
          </cell>
          <cell r="F94">
            <v>0.625</v>
          </cell>
          <cell r="G94">
            <v>1</v>
          </cell>
          <cell r="H94">
            <v>120</v>
          </cell>
          <cell r="I94">
            <v>25</v>
          </cell>
          <cell r="J94">
            <v>20</v>
          </cell>
          <cell r="K94">
            <v>30</v>
          </cell>
          <cell r="L94">
            <v>92</v>
          </cell>
          <cell r="M94">
            <v>24</v>
          </cell>
          <cell r="N94">
            <v>16</v>
          </cell>
          <cell r="O94">
            <v>0</v>
          </cell>
          <cell r="P94">
            <v>0</v>
          </cell>
          <cell r="Q94">
            <v>0</v>
          </cell>
          <cell r="R94">
            <v>16</v>
          </cell>
          <cell r="S94">
            <v>64</v>
          </cell>
          <cell r="T94">
            <v>13.333333333333334</v>
          </cell>
          <cell r="U94">
            <v>10.666666666666666</v>
          </cell>
          <cell r="V94">
            <v>16</v>
          </cell>
          <cell r="W94">
            <v>57.5</v>
          </cell>
          <cell r="X94">
            <v>24</v>
          </cell>
          <cell r="AC94">
            <v>185.5</v>
          </cell>
          <cell r="AF94">
            <v>0</v>
          </cell>
          <cell r="AG94">
            <v>185.5</v>
          </cell>
          <cell r="AK94" t="str">
            <v>Oman International bank</v>
          </cell>
          <cell r="AL94" t="str">
            <v>Dhank</v>
          </cell>
          <cell r="AM94" t="str">
            <v>263669-20</v>
          </cell>
        </row>
        <row r="95">
          <cell r="B95">
            <v>1954</v>
          </cell>
          <cell r="C95" t="str">
            <v>Yaqoob Nasser Mohamed Alrawahi</v>
          </cell>
          <cell r="D95" t="str">
            <v>Casual Labour</v>
          </cell>
          <cell r="E95">
            <v>39647</v>
          </cell>
          <cell r="F95">
            <v>0.625</v>
          </cell>
          <cell r="G95">
            <v>1</v>
          </cell>
          <cell r="H95">
            <v>120</v>
          </cell>
          <cell r="I95">
            <v>25</v>
          </cell>
          <cell r="J95">
            <v>20</v>
          </cell>
          <cell r="K95">
            <v>30</v>
          </cell>
          <cell r="L95">
            <v>80</v>
          </cell>
          <cell r="M95">
            <v>24</v>
          </cell>
          <cell r="N95">
            <v>14</v>
          </cell>
          <cell r="O95">
            <v>0</v>
          </cell>
          <cell r="P95">
            <v>0</v>
          </cell>
          <cell r="Q95">
            <v>0</v>
          </cell>
          <cell r="R95">
            <v>14</v>
          </cell>
          <cell r="S95">
            <v>56</v>
          </cell>
          <cell r="T95">
            <v>11.666666666666668</v>
          </cell>
          <cell r="U95">
            <v>9.3333333333333321</v>
          </cell>
          <cell r="V95">
            <v>14</v>
          </cell>
          <cell r="W95">
            <v>50</v>
          </cell>
          <cell r="X95">
            <v>24</v>
          </cell>
          <cell r="AC95">
            <v>165</v>
          </cell>
          <cell r="AF95">
            <v>0</v>
          </cell>
          <cell r="AG95">
            <v>165</v>
          </cell>
          <cell r="AK95" t="str">
            <v>Bank Muscat</v>
          </cell>
          <cell r="AL95" t="str">
            <v>Samayel</v>
          </cell>
          <cell r="AM95">
            <v>122155350084018</v>
          </cell>
        </row>
        <row r="96">
          <cell r="B96">
            <v>1955</v>
          </cell>
          <cell r="C96" t="str">
            <v>Ahamed Salim Ahamed Al Shabani</v>
          </cell>
          <cell r="D96" t="str">
            <v>Casual Labour</v>
          </cell>
          <cell r="E96">
            <v>39647</v>
          </cell>
          <cell r="F96">
            <v>0.625</v>
          </cell>
          <cell r="G96">
            <v>1</v>
          </cell>
          <cell r="H96">
            <v>120</v>
          </cell>
          <cell r="I96">
            <v>25</v>
          </cell>
          <cell r="J96">
            <v>20</v>
          </cell>
          <cell r="K96">
            <v>30</v>
          </cell>
          <cell r="L96">
            <v>76</v>
          </cell>
          <cell r="M96">
            <v>24</v>
          </cell>
          <cell r="N96">
            <v>14</v>
          </cell>
          <cell r="O96">
            <v>0</v>
          </cell>
          <cell r="P96">
            <v>0</v>
          </cell>
          <cell r="Q96">
            <v>0</v>
          </cell>
          <cell r="R96">
            <v>14</v>
          </cell>
          <cell r="S96">
            <v>56</v>
          </cell>
          <cell r="T96">
            <v>11.666666666666668</v>
          </cell>
          <cell r="U96">
            <v>9.3333333333333321</v>
          </cell>
          <cell r="V96">
            <v>14</v>
          </cell>
          <cell r="W96">
            <v>47.5</v>
          </cell>
          <cell r="X96">
            <v>24</v>
          </cell>
          <cell r="AC96">
            <v>162.5</v>
          </cell>
          <cell r="AF96">
            <v>0</v>
          </cell>
          <cell r="AG96">
            <v>162.5</v>
          </cell>
          <cell r="AK96" t="str">
            <v>Bank Muscat</v>
          </cell>
          <cell r="AL96" t="str">
            <v>Adam</v>
          </cell>
          <cell r="AM96">
            <v>129280250084018</v>
          </cell>
        </row>
        <row r="97">
          <cell r="B97">
            <v>1956</v>
          </cell>
          <cell r="C97" t="str">
            <v>Ahamed Mohamed Nasser Al Shaibani</v>
          </cell>
          <cell r="D97" t="str">
            <v>Casual Labour</v>
          </cell>
          <cell r="E97">
            <v>39647</v>
          </cell>
          <cell r="F97">
            <v>0.625</v>
          </cell>
          <cell r="G97">
            <v>1</v>
          </cell>
          <cell r="H97">
            <v>120</v>
          </cell>
          <cell r="I97">
            <v>25</v>
          </cell>
          <cell r="J97">
            <v>20</v>
          </cell>
          <cell r="K97">
            <v>30</v>
          </cell>
          <cell r="L97">
            <v>64</v>
          </cell>
          <cell r="M97">
            <v>24</v>
          </cell>
          <cell r="N97">
            <v>14</v>
          </cell>
          <cell r="O97">
            <v>0</v>
          </cell>
          <cell r="P97">
            <v>0</v>
          </cell>
          <cell r="Q97">
            <v>0</v>
          </cell>
          <cell r="R97">
            <v>14</v>
          </cell>
          <cell r="S97">
            <v>56</v>
          </cell>
          <cell r="T97">
            <v>11.666666666666668</v>
          </cell>
          <cell r="U97">
            <v>9.3333333333333321</v>
          </cell>
          <cell r="V97">
            <v>14</v>
          </cell>
          <cell r="W97">
            <v>40</v>
          </cell>
          <cell r="X97">
            <v>24</v>
          </cell>
          <cell r="AC97">
            <v>155</v>
          </cell>
          <cell r="AF97">
            <v>0</v>
          </cell>
          <cell r="AG97">
            <v>155</v>
          </cell>
          <cell r="AK97" t="str">
            <v>Bank Muscat</v>
          </cell>
          <cell r="AL97" t="str">
            <v>Adam</v>
          </cell>
          <cell r="AM97">
            <v>128177970084015</v>
          </cell>
        </row>
        <row r="98">
          <cell r="B98">
            <v>1957</v>
          </cell>
          <cell r="C98" t="str">
            <v>Mohamed Jaber Mohamed Al Shabani</v>
          </cell>
          <cell r="D98" t="str">
            <v>Casual Labour</v>
          </cell>
          <cell r="E98">
            <v>39647</v>
          </cell>
          <cell r="F98">
            <v>0.625</v>
          </cell>
          <cell r="G98">
            <v>1</v>
          </cell>
          <cell r="H98">
            <v>120</v>
          </cell>
          <cell r="I98">
            <v>25</v>
          </cell>
          <cell r="J98">
            <v>20</v>
          </cell>
          <cell r="K98">
            <v>30</v>
          </cell>
          <cell r="L98">
            <v>80</v>
          </cell>
          <cell r="M98">
            <v>24</v>
          </cell>
          <cell r="N98">
            <v>14</v>
          </cell>
          <cell r="O98">
            <v>0</v>
          </cell>
          <cell r="P98">
            <v>0</v>
          </cell>
          <cell r="Q98">
            <v>0</v>
          </cell>
          <cell r="R98">
            <v>14</v>
          </cell>
          <cell r="S98">
            <v>56</v>
          </cell>
          <cell r="T98">
            <v>11.666666666666668</v>
          </cell>
          <cell r="U98">
            <v>9.3333333333333321</v>
          </cell>
          <cell r="V98">
            <v>14</v>
          </cell>
          <cell r="W98">
            <v>50</v>
          </cell>
          <cell r="X98">
            <v>24</v>
          </cell>
          <cell r="AC98">
            <v>165</v>
          </cell>
          <cell r="AF98">
            <v>0</v>
          </cell>
          <cell r="AG98">
            <v>165</v>
          </cell>
          <cell r="AK98" t="str">
            <v>Bank Muscat</v>
          </cell>
          <cell r="AL98" t="str">
            <v>Adam</v>
          </cell>
          <cell r="AM98">
            <v>2829583</v>
          </cell>
        </row>
        <row r="99">
          <cell r="B99">
            <v>1958</v>
          </cell>
          <cell r="C99" t="str">
            <v>Bader Bati Suliman Al Hadhrmi</v>
          </cell>
          <cell r="D99" t="str">
            <v>Casual Labour</v>
          </cell>
          <cell r="E99">
            <v>39647</v>
          </cell>
          <cell r="F99">
            <v>0.625</v>
          </cell>
          <cell r="G99">
            <v>1</v>
          </cell>
          <cell r="H99">
            <v>120</v>
          </cell>
          <cell r="I99">
            <v>25</v>
          </cell>
          <cell r="J99">
            <v>20</v>
          </cell>
          <cell r="K99">
            <v>30</v>
          </cell>
          <cell r="L99">
            <v>76</v>
          </cell>
          <cell r="M99">
            <v>24</v>
          </cell>
          <cell r="N99">
            <v>14</v>
          </cell>
          <cell r="O99">
            <v>0</v>
          </cell>
          <cell r="P99">
            <v>0</v>
          </cell>
          <cell r="Q99">
            <v>0</v>
          </cell>
          <cell r="R99">
            <v>14</v>
          </cell>
          <cell r="S99">
            <v>56</v>
          </cell>
          <cell r="T99">
            <v>11.666666666666668</v>
          </cell>
          <cell r="U99">
            <v>9.3333333333333321</v>
          </cell>
          <cell r="V99">
            <v>14</v>
          </cell>
          <cell r="W99">
            <v>47.5</v>
          </cell>
          <cell r="X99">
            <v>24</v>
          </cell>
          <cell r="AC99">
            <v>162.5</v>
          </cell>
          <cell r="AF99">
            <v>0</v>
          </cell>
          <cell r="AG99">
            <v>162.5</v>
          </cell>
          <cell r="AK99" t="str">
            <v>Bank Muscat</v>
          </cell>
          <cell r="AL99" t="str">
            <v>Manah</v>
          </cell>
          <cell r="AM99">
            <v>16106130084015</v>
          </cell>
        </row>
        <row r="100">
          <cell r="B100">
            <v>1959</v>
          </cell>
          <cell r="C100" t="str">
            <v>Anas Moosa  Jaziah  Al Ballushi</v>
          </cell>
          <cell r="D100" t="str">
            <v>Casual Labour</v>
          </cell>
          <cell r="E100">
            <v>39647</v>
          </cell>
          <cell r="F100">
            <v>0.625</v>
          </cell>
          <cell r="G100">
            <v>1</v>
          </cell>
          <cell r="H100">
            <v>120</v>
          </cell>
          <cell r="I100">
            <v>25</v>
          </cell>
          <cell r="J100">
            <v>20</v>
          </cell>
          <cell r="K100">
            <v>30</v>
          </cell>
          <cell r="L100">
            <v>60</v>
          </cell>
          <cell r="M100">
            <v>24</v>
          </cell>
          <cell r="N100">
            <v>14</v>
          </cell>
          <cell r="O100">
            <v>0</v>
          </cell>
          <cell r="P100">
            <v>0</v>
          </cell>
          <cell r="Q100">
            <v>0</v>
          </cell>
          <cell r="R100">
            <v>14</v>
          </cell>
          <cell r="S100">
            <v>56</v>
          </cell>
          <cell r="T100">
            <v>11.666666666666668</v>
          </cell>
          <cell r="U100">
            <v>9.3333333333333321</v>
          </cell>
          <cell r="V100">
            <v>14</v>
          </cell>
          <cell r="W100">
            <v>37.5</v>
          </cell>
          <cell r="X100">
            <v>24</v>
          </cell>
          <cell r="AC100">
            <v>152.5</v>
          </cell>
          <cell r="AF100">
            <v>0</v>
          </cell>
          <cell r="AG100">
            <v>152.5</v>
          </cell>
          <cell r="AK100" t="str">
            <v>Bank Muscat</v>
          </cell>
          <cell r="AL100" t="str">
            <v>Saeeb</v>
          </cell>
          <cell r="AM100">
            <v>34869700084010</v>
          </cell>
        </row>
        <row r="101">
          <cell r="B101">
            <v>1960</v>
          </cell>
          <cell r="C101" t="str">
            <v>Essa  Moosa  Jaziyah Al Ballushi</v>
          </cell>
          <cell r="D101" t="str">
            <v>Casual Labour</v>
          </cell>
          <cell r="E101">
            <v>39647</v>
          </cell>
          <cell r="F101">
            <v>0.625</v>
          </cell>
          <cell r="G101">
            <v>1</v>
          </cell>
          <cell r="H101">
            <v>120</v>
          </cell>
          <cell r="I101">
            <v>25</v>
          </cell>
          <cell r="J101">
            <v>20</v>
          </cell>
          <cell r="K101">
            <v>30</v>
          </cell>
          <cell r="L101">
            <v>52</v>
          </cell>
          <cell r="M101">
            <v>24</v>
          </cell>
          <cell r="N101">
            <v>14</v>
          </cell>
          <cell r="O101">
            <v>0</v>
          </cell>
          <cell r="P101">
            <v>0</v>
          </cell>
          <cell r="Q101">
            <v>0</v>
          </cell>
          <cell r="R101">
            <v>14</v>
          </cell>
          <cell r="S101">
            <v>56</v>
          </cell>
          <cell r="T101">
            <v>11.666666666666668</v>
          </cell>
          <cell r="U101">
            <v>9.3333333333333321</v>
          </cell>
          <cell r="V101">
            <v>14</v>
          </cell>
          <cell r="W101">
            <v>32.5</v>
          </cell>
          <cell r="X101">
            <v>24</v>
          </cell>
          <cell r="AC101">
            <v>147.5</v>
          </cell>
          <cell r="AF101">
            <v>0</v>
          </cell>
          <cell r="AG101">
            <v>147.5</v>
          </cell>
          <cell r="AK101" t="str">
            <v>Oman International bank</v>
          </cell>
          <cell r="AL101" t="str">
            <v>Ruwi</v>
          </cell>
          <cell r="AM101">
            <v>122431020</v>
          </cell>
        </row>
        <row r="102">
          <cell r="B102">
            <v>1961</v>
          </cell>
          <cell r="C102" t="str">
            <v>Abdul Rahim  Saif Alsaba   Al Hinai</v>
          </cell>
          <cell r="D102" t="str">
            <v>Casual Labour</v>
          </cell>
          <cell r="E102">
            <v>39648</v>
          </cell>
          <cell r="F102">
            <v>0.625</v>
          </cell>
          <cell r="G102">
            <v>1</v>
          </cell>
          <cell r="H102">
            <v>120</v>
          </cell>
          <cell r="I102">
            <v>25</v>
          </cell>
          <cell r="J102">
            <v>20</v>
          </cell>
          <cell r="K102">
            <v>30</v>
          </cell>
          <cell r="L102">
            <v>62</v>
          </cell>
          <cell r="M102">
            <v>24</v>
          </cell>
          <cell r="N102">
            <v>13</v>
          </cell>
          <cell r="O102">
            <v>0</v>
          </cell>
          <cell r="P102">
            <v>0</v>
          </cell>
          <cell r="Q102">
            <v>0</v>
          </cell>
          <cell r="R102">
            <v>13</v>
          </cell>
          <cell r="S102">
            <v>52</v>
          </cell>
          <cell r="T102">
            <v>10.833333333333334</v>
          </cell>
          <cell r="U102">
            <v>8.6666666666666661</v>
          </cell>
          <cell r="V102">
            <v>13</v>
          </cell>
          <cell r="W102">
            <v>38.75</v>
          </cell>
          <cell r="X102">
            <v>24</v>
          </cell>
          <cell r="AC102">
            <v>147.25</v>
          </cell>
          <cell r="AF102">
            <v>0</v>
          </cell>
          <cell r="AG102">
            <v>147.25</v>
          </cell>
          <cell r="AK102" t="str">
            <v>Bank Muscat</v>
          </cell>
          <cell r="AL102" t="str">
            <v>Bahla</v>
          </cell>
          <cell r="AM102">
            <v>62220540084015</v>
          </cell>
        </row>
        <row r="103">
          <cell r="B103">
            <v>1962</v>
          </cell>
          <cell r="C103" t="str">
            <v>Ibrahim  Mohamed Alsaba  Al Hinai</v>
          </cell>
          <cell r="D103" t="str">
            <v>Casual Labour</v>
          </cell>
          <cell r="E103">
            <v>39648</v>
          </cell>
          <cell r="F103">
            <v>0.625</v>
          </cell>
          <cell r="G103">
            <v>1</v>
          </cell>
          <cell r="H103">
            <v>120</v>
          </cell>
          <cell r="I103">
            <v>25</v>
          </cell>
          <cell r="J103">
            <v>20</v>
          </cell>
          <cell r="K103">
            <v>30</v>
          </cell>
          <cell r="L103">
            <v>58</v>
          </cell>
          <cell r="M103">
            <v>24</v>
          </cell>
          <cell r="N103">
            <v>13</v>
          </cell>
          <cell r="O103">
            <v>0</v>
          </cell>
          <cell r="P103">
            <v>0</v>
          </cell>
          <cell r="Q103">
            <v>0</v>
          </cell>
          <cell r="R103">
            <v>13</v>
          </cell>
          <cell r="S103">
            <v>52</v>
          </cell>
          <cell r="T103">
            <v>10.833333333333334</v>
          </cell>
          <cell r="U103">
            <v>8.6666666666666661</v>
          </cell>
          <cell r="V103">
            <v>13</v>
          </cell>
          <cell r="W103">
            <v>36.25</v>
          </cell>
          <cell r="X103">
            <v>24</v>
          </cell>
          <cell r="AC103">
            <v>144.75</v>
          </cell>
          <cell r="AF103">
            <v>0</v>
          </cell>
          <cell r="AG103">
            <v>144.75</v>
          </cell>
          <cell r="AK103" t="str">
            <v>Bank Muscat</v>
          </cell>
          <cell r="AL103" t="str">
            <v>Bahla</v>
          </cell>
          <cell r="AM103">
            <v>118284170084014</v>
          </cell>
        </row>
        <row r="104">
          <cell r="B104">
            <v>1963</v>
          </cell>
          <cell r="C104" t="str">
            <v>Farid  Suliyam Said  Al Hashmi</v>
          </cell>
          <cell r="D104" t="str">
            <v>Casual Labour</v>
          </cell>
          <cell r="E104">
            <v>39648</v>
          </cell>
          <cell r="F104">
            <v>0.625</v>
          </cell>
          <cell r="G104">
            <v>1</v>
          </cell>
          <cell r="H104">
            <v>120</v>
          </cell>
          <cell r="I104">
            <v>25</v>
          </cell>
          <cell r="J104">
            <v>20</v>
          </cell>
          <cell r="K104">
            <v>30</v>
          </cell>
          <cell r="L104">
            <v>70</v>
          </cell>
          <cell r="M104">
            <v>24</v>
          </cell>
          <cell r="N104">
            <v>13</v>
          </cell>
          <cell r="O104">
            <v>0</v>
          </cell>
          <cell r="P104">
            <v>0</v>
          </cell>
          <cell r="Q104">
            <v>0</v>
          </cell>
          <cell r="R104">
            <v>13</v>
          </cell>
          <cell r="S104">
            <v>52</v>
          </cell>
          <cell r="T104">
            <v>10.833333333333334</v>
          </cell>
          <cell r="U104">
            <v>8.6666666666666661</v>
          </cell>
          <cell r="V104">
            <v>13</v>
          </cell>
          <cell r="W104">
            <v>43.75</v>
          </cell>
          <cell r="X104">
            <v>24</v>
          </cell>
          <cell r="AC104">
            <v>152.25</v>
          </cell>
          <cell r="AF104">
            <v>0</v>
          </cell>
          <cell r="AG104">
            <v>152.25</v>
          </cell>
          <cell r="AK104" t="str">
            <v>Bank Muscat</v>
          </cell>
          <cell r="AL104" t="str">
            <v>Adam</v>
          </cell>
          <cell r="AM104">
            <v>129249300084010</v>
          </cell>
        </row>
        <row r="105">
          <cell r="B105">
            <v>1964</v>
          </cell>
          <cell r="C105" t="str">
            <v>Maher Hamed Obaid Al Asmi</v>
          </cell>
          <cell r="D105" t="str">
            <v>Casual Labour</v>
          </cell>
          <cell r="E105">
            <v>39648</v>
          </cell>
          <cell r="F105">
            <v>0.625</v>
          </cell>
          <cell r="G105">
            <v>1</v>
          </cell>
          <cell r="H105">
            <v>120</v>
          </cell>
          <cell r="I105">
            <v>25</v>
          </cell>
          <cell r="J105">
            <v>20</v>
          </cell>
          <cell r="K105">
            <v>30</v>
          </cell>
          <cell r="L105">
            <v>14</v>
          </cell>
          <cell r="M105">
            <v>0</v>
          </cell>
          <cell r="N105">
            <v>7</v>
          </cell>
          <cell r="O105">
            <v>0</v>
          </cell>
          <cell r="P105">
            <v>0</v>
          </cell>
          <cell r="Q105">
            <v>0</v>
          </cell>
          <cell r="R105">
            <v>7</v>
          </cell>
          <cell r="S105">
            <v>28</v>
          </cell>
          <cell r="T105">
            <v>5.8333333333333339</v>
          </cell>
          <cell r="U105">
            <v>4.6666666666666661</v>
          </cell>
          <cell r="V105">
            <v>7</v>
          </cell>
          <cell r="W105">
            <v>8.75</v>
          </cell>
          <cell r="X105">
            <v>0</v>
          </cell>
          <cell r="AC105">
            <v>54.25</v>
          </cell>
          <cell r="AF105">
            <v>0</v>
          </cell>
          <cell r="AG105">
            <v>54.25</v>
          </cell>
          <cell r="AK105" t="str">
            <v>Bank Muscat</v>
          </cell>
          <cell r="AL105" t="str">
            <v>Adam</v>
          </cell>
          <cell r="AM105">
            <v>133195370084017</v>
          </cell>
        </row>
        <row r="106">
          <cell r="B106">
            <v>1965</v>
          </cell>
          <cell r="C106" t="str">
            <v>Imad Mohamed Said Al Shikali</v>
          </cell>
          <cell r="D106" t="str">
            <v>Casual Labour</v>
          </cell>
          <cell r="E106">
            <v>39648</v>
          </cell>
          <cell r="F106">
            <v>0.625</v>
          </cell>
          <cell r="G106">
            <v>1</v>
          </cell>
          <cell r="H106">
            <v>120</v>
          </cell>
          <cell r="I106">
            <v>25</v>
          </cell>
          <cell r="J106">
            <v>20</v>
          </cell>
          <cell r="K106">
            <v>30</v>
          </cell>
          <cell r="L106">
            <v>70</v>
          </cell>
          <cell r="M106">
            <v>24</v>
          </cell>
          <cell r="N106">
            <v>13</v>
          </cell>
          <cell r="O106">
            <v>0</v>
          </cell>
          <cell r="P106">
            <v>0</v>
          </cell>
          <cell r="Q106">
            <v>0</v>
          </cell>
          <cell r="R106">
            <v>13</v>
          </cell>
          <cell r="S106">
            <v>52</v>
          </cell>
          <cell r="T106">
            <v>10.833333333333334</v>
          </cell>
          <cell r="U106">
            <v>8.6666666666666661</v>
          </cell>
          <cell r="V106">
            <v>13</v>
          </cell>
          <cell r="W106">
            <v>43.75</v>
          </cell>
          <cell r="X106">
            <v>24</v>
          </cell>
          <cell r="AC106">
            <v>152.25</v>
          </cell>
          <cell r="AF106">
            <v>0</v>
          </cell>
          <cell r="AG106">
            <v>152.25</v>
          </cell>
          <cell r="AK106" t="str">
            <v>Bank Muscat</v>
          </cell>
          <cell r="AL106" t="str">
            <v>Adam</v>
          </cell>
          <cell r="AM106">
            <v>129249460084011</v>
          </cell>
        </row>
        <row r="107">
          <cell r="B107">
            <v>1967</v>
          </cell>
          <cell r="C107" t="str">
            <v>Fahad  Hamed  Ali  Al Sultani</v>
          </cell>
          <cell r="D107" t="str">
            <v>Casual Labour</v>
          </cell>
          <cell r="E107">
            <v>39648</v>
          </cell>
          <cell r="F107">
            <v>0.625</v>
          </cell>
          <cell r="G107">
            <v>1</v>
          </cell>
          <cell r="H107">
            <v>120</v>
          </cell>
          <cell r="I107">
            <v>25</v>
          </cell>
          <cell r="J107">
            <v>20</v>
          </cell>
          <cell r="K107">
            <v>30</v>
          </cell>
          <cell r="L107">
            <v>43</v>
          </cell>
          <cell r="M107">
            <v>12</v>
          </cell>
          <cell r="N107">
            <v>11</v>
          </cell>
          <cell r="O107">
            <v>0</v>
          </cell>
          <cell r="P107">
            <v>0</v>
          </cell>
          <cell r="Q107">
            <v>2</v>
          </cell>
          <cell r="R107">
            <v>11</v>
          </cell>
          <cell r="S107">
            <v>44</v>
          </cell>
          <cell r="T107">
            <v>9.1666666666666679</v>
          </cell>
          <cell r="U107">
            <v>7.333333333333333</v>
          </cell>
          <cell r="V107">
            <v>11</v>
          </cell>
          <cell r="W107">
            <v>26.875</v>
          </cell>
          <cell r="X107">
            <v>12</v>
          </cell>
          <cell r="AC107">
            <v>110.375</v>
          </cell>
          <cell r="AF107">
            <v>0</v>
          </cell>
          <cell r="AG107">
            <v>110.375</v>
          </cell>
          <cell r="AK107" t="str">
            <v>Bank Muscat</v>
          </cell>
          <cell r="AL107" t="str">
            <v>Adam</v>
          </cell>
          <cell r="AM107">
            <v>129249470084010</v>
          </cell>
        </row>
        <row r="108">
          <cell r="B108">
            <v>1968</v>
          </cell>
          <cell r="C108" t="str">
            <v>Khalid  Mohameed Ali  Al Saidi</v>
          </cell>
          <cell r="D108" t="str">
            <v>Casual Labour</v>
          </cell>
          <cell r="E108">
            <v>39648</v>
          </cell>
          <cell r="F108">
            <v>0.625</v>
          </cell>
          <cell r="G108">
            <v>1</v>
          </cell>
          <cell r="H108">
            <v>120</v>
          </cell>
          <cell r="I108">
            <v>25</v>
          </cell>
          <cell r="J108">
            <v>20</v>
          </cell>
          <cell r="K108">
            <v>30</v>
          </cell>
          <cell r="L108">
            <v>66</v>
          </cell>
          <cell r="M108">
            <v>24</v>
          </cell>
          <cell r="N108">
            <v>13</v>
          </cell>
          <cell r="O108">
            <v>0</v>
          </cell>
          <cell r="P108">
            <v>0</v>
          </cell>
          <cell r="Q108">
            <v>0</v>
          </cell>
          <cell r="R108">
            <v>13</v>
          </cell>
          <cell r="S108">
            <v>52</v>
          </cell>
          <cell r="T108">
            <v>10.833333333333334</v>
          </cell>
          <cell r="U108">
            <v>8.6666666666666661</v>
          </cell>
          <cell r="V108">
            <v>13</v>
          </cell>
          <cell r="W108">
            <v>41.25</v>
          </cell>
          <cell r="X108">
            <v>24</v>
          </cell>
          <cell r="AC108">
            <v>149.75</v>
          </cell>
          <cell r="AF108">
            <v>0</v>
          </cell>
          <cell r="AG108">
            <v>149.75</v>
          </cell>
          <cell r="AK108" t="str">
            <v>Bank Muscat</v>
          </cell>
          <cell r="AL108" t="str">
            <v>Ibri</v>
          </cell>
          <cell r="AM108">
            <v>169120530084018</v>
          </cell>
        </row>
        <row r="109">
          <cell r="B109">
            <v>1969</v>
          </cell>
          <cell r="C109" t="str">
            <v>Abdulah Rashid Sultan Al Sultani</v>
          </cell>
          <cell r="D109" t="str">
            <v>Casual Labour</v>
          </cell>
          <cell r="E109">
            <v>39648</v>
          </cell>
          <cell r="F109">
            <v>0.625</v>
          </cell>
          <cell r="G109">
            <v>1</v>
          </cell>
          <cell r="H109">
            <v>120</v>
          </cell>
          <cell r="I109">
            <v>25</v>
          </cell>
          <cell r="J109">
            <v>20</v>
          </cell>
          <cell r="K109">
            <v>30</v>
          </cell>
          <cell r="L109">
            <v>42</v>
          </cell>
          <cell r="M109">
            <v>12</v>
          </cell>
          <cell r="N109">
            <v>11</v>
          </cell>
          <cell r="O109">
            <v>0</v>
          </cell>
          <cell r="P109">
            <v>0</v>
          </cell>
          <cell r="Q109">
            <v>2</v>
          </cell>
          <cell r="R109">
            <v>11</v>
          </cell>
          <cell r="S109">
            <v>44</v>
          </cell>
          <cell r="T109">
            <v>9.1666666666666679</v>
          </cell>
          <cell r="U109">
            <v>7.333333333333333</v>
          </cell>
          <cell r="V109">
            <v>11</v>
          </cell>
          <cell r="W109">
            <v>26.25</v>
          </cell>
          <cell r="X109">
            <v>12</v>
          </cell>
          <cell r="AC109">
            <v>109.75</v>
          </cell>
          <cell r="AF109">
            <v>0</v>
          </cell>
          <cell r="AG109">
            <v>109.75</v>
          </cell>
          <cell r="AK109" t="str">
            <v>Bank Muscat</v>
          </cell>
          <cell r="AL109" t="str">
            <v>Adam</v>
          </cell>
          <cell r="AM109">
            <v>129249460084011</v>
          </cell>
        </row>
        <row r="110">
          <cell r="B110">
            <v>1970</v>
          </cell>
          <cell r="C110" t="str">
            <v>Nasser Sulaiman Al Shibani</v>
          </cell>
          <cell r="D110" t="str">
            <v>Casual Labour</v>
          </cell>
          <cell r="E110">
            <v>39648</v>
          </cell>
          <cell r="F110">
            <v>0.625</v>
          </cell>
          <cell r="G110">
            <v>1</v>
          </cell>
          <cell r="H110">
            <v>120</v>
          </cell>
          <cell r="I110">
            <v>25</v>
          </cell>
          <cell r="J110">
            <v>20</v>
          </cell>
          <cell r="K110">
            <v>30</v>
          </cell>
          <cell r="L110">
            <v>49</v>
          </cell>
          <cell r="M110">
            <v>24</v>
          </cell>
          <cell r="N110">
            <v>13</v>
          </cell>
          <cell r="O110">
            <v>0</v>
          </cell>
          <cell r="P110">
            <v>0</v>
          </cell>
          <cell r="Q110">
            <v>0</v>
          </cell>
          <cell r="R110">
            <v>13</v>
          </cell>
          <cell r="S110">
            <v>52</v>
          </cell>
          <cell r="T110">
            <v>10.833333333333334</v>
          </cell>
          <cell r="U110">
            <v>8.6666666666666661</v>
          </cell>
          <cell r="V110">
            <v>13</v>
          </cell>
          <cell r="W110">
            <v>30.625</v>
          </cell>
          <cell r="X110">
            <v>24</v>
          </cell>
          <cell r="AC110">
            <v>139.125</v>
          </cell>
          <cell r="AF110">
            <v>0</v>
          </cell>
          <cell r="AG110">
            <v>139.125</v>
          </cell>
          <cell r="AK110" t="str">
            <v>Bank Muscat</v>
          </cell>
          <cell r="AL110" t="str">
            <v>Adam</v>
          </cell>
          <cell r="AM110">
            <v>118131070084011</v>
          </cell>
        </row>
        <row r="111">
          <cell r="B111">
            <v>1971</v>
          </cell>
          <cell r="C111" t="str">
            <v>Suhail Salim Said Al Hinai</v>
          </cell>
          <cell r="D111" t="str">
            <v>Casual Labour</v>
          </cell>
          <cell r="E111">
            <v>39653</v>
          </cell>
          <cell r="F111">
            <v>0.625</v>
          </cell>
          <cell r="G111">
            <v>1</v>
          </cell>
          <cell r="H111">
            <v>120</v>
          </cell>
          <cell r="I111">
            <v>25</v>
          </cell>
          <cell r="J111">
            <v>20</v>
          </cell>
          <cell r="K111">
            <v>30</v>
          </cell>
          <cell r="L111">
            <v>48</v>
          </cell>
          <cell r="M111">
            <v>24</v>
          </cell>
          <cell r="N111">
            <v>8</v>
          </cell>
          <cell r="O111">
            <v>0</v>
          </cell>
          <cell r="P111">
            <v>0</v>
          </cell>
          <cell r="Q111">
            <v>0</v>
          </cell>
          <cell r="R111">
            <v>8</v>
          </cell>
          <cell r="S111">
            <v>32</v>
          </cell>
          <cell r="T111">
            <v>6.666666666666667</v>
          </cell>
          <cell r="U111">
            <v>5.333333333333333</v>
          </cell>
          <cell r="V111">
            <v>8</v>
          </cell>
          <cell r="W111">
            <v>30</v>
          </cell>
          <cell r="X111">
            <v>24</v>
          </cell>
          <cell r="AC111">
            <v>106</v>
          </cell>
          <cell r="AF111">
            <v>0</v>
          </cell>
          <cell r="AG111">
            <v>106</v>
          </cell>
          <cell r="AK111" t="str">
            <v>Bank Muscat</v>
          </cell>
          <cell r="AL111" t="str">
            <v>Bahla</v>
          </cell>
          <cell r="AM111" t="str">
            <v>0062-22493-0084-013</v>
          </cell>
        </row>
        <row r="112">
          <cell r="B112">
            <v>1972</v>
          </cell>
          <cell r="C112" t="str">
            <v>Salim Said Salim Al Kindi</v>
          </cell>
          <cell r="D112" t="str">
            <v>Casual Labour</v>
          </cell>
          <cell r="E112">
            <v>39653</v>
          </cell>
          <cell r="F112">
            <v>0.625</v>
          </cell>
          <cell r="G112">
            <v>1</v>
          </cell>
          <cell r="H112">
            <v>120</v>
          </cell>
          <cell r="I112">
            <v>25</v>
          </cell>
          <cell r="J112">
            <v>20</v>
          </cell>
          <cell r="K112">
            <v>30</v>
          </cell>
          <cell r="L112">
            <v>32</v>
          </cell>
          <cell r="M112">
            <v>24</v>
          </cell>
          <cell r="N112">
            <v>8</v>
          </cell>
          <cell r="O112">
            <v>0</v>
          </cell>
          <cell r="P112">
            <v>0</v>
          </cell>
          <cell r="Q112">
            <v>0</v>
          </cell>
          <cell r="R112">
            <v>8</v>
          </cell>
          <cell r="S112">
            <v>32</v>
          </cell>
          <cell r="T112">
            <v>6.666666666666667</v>
          </cell>
          <cell r="U112">
            <v>5.333333333333333</v>
          </cell>
          <cell r="V112">
            <v>8</v>
          </cell>
          <cell r="W112">
            <v>20</v>
          </cell>
          <cell r="X112">
            <v>24</v>
          </cell>
          <cell r="AC112">
            <v>96</v>
          </cell>
          <cell r="AF112">
            <v>0</v>
          </cell>
          <cell r="AG112">
            <v>96</v>
          </cell>
          <cell r="AK112" t="str">
            <v>Oman International bank</v>
          </cell>
          <cell r="AL112" t="str">
            <v>Nizwa</v>
          </cell>
          <cell r="AM112" t="str">
            <v>20-402095-29-01</v>
          </cell>
        </row>
        <row r="113">
          <cell r="B113">
            <v>1973</v>
          </cell>
          <cell r="C113" t="str">
            <v>Mohammed Awadh Mubarak Al Ghafri</v>
          </cell>
          <cell r="D113" t="str">
            <v>Casual Labour</v>
          </cell>
          <cell r="E113">
            <v>39653</v>
          </cell>
          <cell r="F113">
            <v>0.625</v>
          </cell>
          <cell r="G113">
            <v>1</v>
          </cell>
          <cell r="H113">
            <v>120</v>
          </cell>
          <cell r="I113">
            <v>25</v>
          </cell>
          <cell r="J113">
            <v>20</v>
          </cell>
          <cell r="K113">
            <v>30</v>
          </cell>
          <cell r="L113">
            <v>40</v>
          </cell>
          <cell r="M113">
            <v>24</v>
          </cell>
          <cell r="N113">
            <v>8</v>
          </cell>
          <cell r="O113">
            <v>0</v>
          </cell>
          <cell r="P113">
            <v>0</v>
          </cell>
          <cell r="Q113">
            <v>0</v>
          </cell>
          <cell r="R113">
            <v>8</v>
          </cell>
          <cell r="S113">
            <v>32</v>
          </cell>
          <cell r="T113">
            <v>6.666666666666667</v>
          </cell>
          <cell r="U113">
            <v>5.333333333333333</v>
          </cell>
          <cell r="V113">
            <v>8</v>
          </cell>
          <cell r="W113">
            <v>25</v>
          </cell>
          <cell r="X113">
            <v>24</v>
          </cell>
          <cell r="AC113">
            <v>101</v>
          </cell>
          <cell r="AF113">
            <v>0</v>
          </cell>
          <cell r="AG113">
            <v>101</v>
          </cell>
          <cell r="AK113" t="str">
            <v>Bank Muscat</v>
          </cell>
          <cell r="AL113" t="str">
            <v>Ibri/Jubail</v>
          </cell>
          <cell r="AM113">
            <v>11821753</v>
          </cell>
        </row>
        <row r="114">
          <cell r="B114">
            <v>1974</v>
          </cell>
          <cell r="C114" t="str">
            <v>Ahmed Harith Mohammed Al Hadidi</v>
          </cell>
          <cell r="D114" t="str">
            <v>Casual Labour</v>
          </cell>
          <cell r="E114">
            <v>39653</v>
          </cell>
          <cell r="F114">
            <v>0.625</v>
          </cell>
          <cell r="G114">
            <v>1</v>
          </cell>
          <cell r="H114">
            <v>120</v>
          </cell>
          <cell r="I114">
            <v>25</v>
          </cell>
          <cell r="J114">
            <v>20</v>
          </cell>
          <cell r="K114">
            <v>30</v>
          </cell>
          <cell r="L114">
            <v>40</v>
          </cell>
          <cell r="M114">
            <v>24</v>
          </cell>
          <cell r="N114">
            <v>8</v>
          </cell>
          <cell r="O114">
            <v>0</v>
          </cell>
          <cell r="P114">
            <v>0</v>
          </cell>
          <cell r="Q114">
            <v>0</v>
          </cell>
          <cell r="R114">
            <v>8</v>
          </cell>
          <cell r="S114">
            <v>32</v>
          </cell>
          <cell r="T114">
            <v>6.666666666666667</v>
          </cell>
          <cell r="U114">
            <v>5.333333333333333</v>
          </cell>
          <cell r="V114">
            <v>8</v>
          </cell>
          <cell r="W114">
            <v>25</v>
          </cell>
          <cell r="X114">
            <v>24</v>
          </cell>
          <cell r="AC114">
            <v>101</v>
          </cell>
          <cell r="AF114">
            <v>0</v>
          </cell>
          <cell r="AG114">
            <v>101</v>
          </cell>
          <cell r="AK114" t="str">
            <v>Bank Muscat</v>
          </cell>
          <cell r="AL114" t="str">
            <v>Nizwa/Farq</v>
          </cell>
          <cell r="AM114" t="str">
            <v>133-161070084-014</v>
          </cell>
        </row>
        <row r="115">
          <cell r="B115">
            <v>1975</v>
          </cell>
          <cell r="C115" t="str">
            <v>Mohammed Khamis Obaid Al Abri</v>
          </cell>
          <cell r="D115" t="str">
            <v>Casual Labour</v>
          </cell>
          <cell r="E115">
            <v>39653</v>
          </cell>
          <cell r="F115">
            <v>0.625</v>
          </cell>
          <cell r="G115">
            <v>1</v>
          </cell>
          <cell r="H115">
            <v>120</v>
          </cell>
          <cell r="I115">
            <v>25</v>
          </cell>
          <cell r="J115">
            <v>20</v>
          </cell>
          <cell r="K115">
            <v>30</v>
          </cell>
          <cell r="L115">
            <v>36</v>
          </cell>
          <cell r="M115">
            <v>24</v>
          </cell>
          <cell r="N115">
            <v>8</v>
          </cell>
          <cell r="O115">
            <v>0</v>
          </cell>
          <cell r="P115">
            <v>0</v>
          </cell>
          <cell r="Q115">
            <v>0</v>
          </cell>
          <cell r="R115">
            <v>8</v>
          </cell>
          <cell r="S115">
            <v>32</v>
          </cell>
          <cell r="T115">
            <v>6.666666666666667</v>
          </cell>
          <cell r="U115">
            <v>5.333333333333333</v>
          </cell>
          <cell r="V115">
            <v>8</v>
          </cell>
          <cell r="W115">
            <v>22.5</v>
          </cell>
          <cell r="X115">
            <v>24</v>
          </cell>
          <cell r="AC115">
            <v>98.5</v>
          </cell>
          <cell r="AF115">
            <v>0</v>
          </cell>
          <cell r="AG115">
            <v>98.5</v>
          </cell>
          <cell r="AK115" t="str">
            <v>Bank Muscat</v>
          </cell>
          <cell r="AL115" t="str">
            <v>Ibri/Murtafah</v>
          </cell>
          <cell r="AM115" t="str">
            <v>0169-10733-0084-015</v>
          </cell>
        </row>
        <row r="116">
          <cell r="B116">
            <v>1976</v>
          </cell>
          <cell r="C116" t="str">
            <v>Talal Salim Manin Al Rashdi</v>
          </cell>
          <cell r="D116" t="str">
            <v>Casual Labour</v>
          </cell>
          <cell r="E116">
            <v>39653</v>
          </cell>
          <cell r="F116">
            <v>0.625</v>
          </cell>
          <cell r="G116">
            <v>1</v>
          </cell>
          <cell r="H116">
            <v>120</v>
          </cell>
          <cell r="I116">
            <v>25</v>
          </cell>
          <cell r="J116">
            <v>20</v>
          </cell>
          <cell r="K116">
            <v>30</v>
          </cell>
          <cell r="L116">
            <v>44</v>
          </cell>
          <cell r="M116">
            <v>24</v>
          </cell>
          <cell r="N116">
            <v>8</v>
          </cell>
          <cell r="O116">
            <v>0</v>
          </cell>
          <cell r="P116">
            <v>0</v>
          </cell>
          <cell r="Q116">
            <v>0</v>
          </cell>
          <cell r="R116">
            <v>8</v>
          </cell>
          <cell r="S116">
            <v>32</v>
          </cell>
          <cell r="T116">
            <v>6.666666666666667</v>
          </cell>
          <cell r="U116">
            <v>5.333333333333333</v>
          </cell>
          <cell r="V116">
            <v>8</v>
          </cell>
          <cell r="W116">
            <v>27.5</v>
          </cell>
          <cell r="X116">
            <v>24</v>
          </cell>
          <cell r="AC116">
            <v>103.5</v>
          </cell>
          <cell r="AF116">
            <v>0</v>
          </cell>
          <cell r="AG116">
            <v>103.5</v>
          </cell>
          <cell r="AK116" t="str">
            <v>Bank Muscat</v>
          </cell>
          <cell r="AL116" t="str">
            <v>Nizwa/Farq</v>
          </cell>
          <cell r="AM116">
            <v>4918671</v>
          </cell>
        </row>
        <row r="117">
          <cell r="B117">
            <v>1977</v>
          </cell>
          <cell r="C117" t="str">
            <v>Fahad Salim Mas'oud Al Jabri</v>
          </cell>
          <cell r="D117" t="str">
            <v>Casual Labour</v>
          </cell>
          <cell r="E117">
            <v>39648</v>
          </cell>
          <cell r="F117">
            <v>0.625</v>
          </cell>
          <cell r="G117">
            <v>1</v>
          </cell>
          <cell r="H117">
            <v>120</v>
          </cell>
          <cell r="I117">
            <v>25</v>
          </cell>
          <cell r="J117">
            <v>20</v>
          </cell>
          <cell r="K117">
            <v>30</v>
          </cell>
          <cell r="L117">
            <v>42</v>
          </cell>
          <cell r="M117">
            <v>12</v>
          </cell>
          <cell r="N117">
            <v>9</v>
          </cell>
          <cell r="O117">
            <v>4</v>
          </cell>
          <cell r="P117">
            <v>0</v>
          </cell>
          <cell r="Q117">
            <v>0</v>
          </cell>
          <cell r="R117">
            <v>13</v>
          </cell>
          <cell r="S117">
            <v>52</v>
          </cell>
          <cell r="T117">
            <v>10.833333333333334</v>
          </cell>
          <cell r="U117">
            <v>8.6666666666666661</v>
          </cell>
          <cell r="V117">
            <v>9</v>
          </cell>
          <cell r="W117">
            <v>26.25</v>
          </cell>
          <cell r="X117">
            <v>12</v>
          </cell>
          <cell r="AC117">
            <v>118.75</v>
          </cell>
          <cell r="AF117">
            <v>0</v>
          </cell>
          <cell r="AG117">
            <v>118.75</v>
          </cell>
          <cell r="AK117" t="str">
            <v>Bank Muscat</v>
          </cell>
          <cell r="AL117" t="str">
            <v>Ghala 59</v>
          </cell>
          <cell r="AM117">
            <v>5973373008401</v>
          </cell>
        </row>
        <row r="118">
          <cell r="B118">
            <v>1978</v>
          </cell>
          <cell r="C118" t="str">
            <v>Hamed Humaid Hamed Al Shaibani</v>
          </cell>
          <cell r="D118" t="str">
            <v>Casual Labour</v>
          </cell>
          <cell r="E118">
            <v>39654</v>
          </cell>
          <cell r="F118">
            <v>0.625</v>
          </cell>
          <cell r="G118">
            <v>1</v>
          </cell>
          <cell r="H118">
            <v>120</v>
          </cell>
          <cell r="I118">
            <v>25</v>
          </cell>
          <cell r="J118">
            <v>20</v>
          </cell>
          <cell r="K118">
            <v>30</v>
          </cell>
          <cell r="L118">
            <v>24</v>
          </cell>
          <cell r="M118">
            <v>12</v>
          </cell>
          <cell r="N118">
            <v>7</v>
          </cell>
          <cell r="O118">
            <v>0</v>
          </cell>
          <cell r="P118">
            <v>0</v>
          </cell>
          <cell r="Q118">
            <v>0</v>
          </cell>
          <cell r="R118">
            <v>7</v>
          </cell>
          <cell r="S118">
            <v>28</v>
          </cell>
          <cell r="T118">
            <v>5.8333333333333339</v>
          </cell>
          <cell r="U118">
            <v>4.6666666666666661</v>
          </cell>
          <cell r="V118">
            <v>7</v>
          </cell>
          <cell r="W118">
            <v>15</v>
          </cell>
          <cell r="X118">
            <v>12</v>
          </cell>
          <cell r="AC118">
            <v>72.5</v>
          </cell>
          <cell r="AF118">
            <v>0</v>
          </cell>
          <cell r="AG118">
            <v>72.5</v>
          </cell>
          <cell r="AK118" t="str">
            <v>Bank Muscat</v>
          </cell>
          <cell r="AL118" t="str">
            <v>Adam</v>
          </cell>
          <cell r="AM118" t="str">
            <v>129-249480084-019</v>
          </cell>
        </row>
        <row r="119">
          <cell r="B119">
            <v>1979</v>
          </cell>
          <cell r="C119" t="str">
            <v>Hamed Mubark Salam Al Yaqoobi</v>
          </cell>
          <cell r="D119" t="str">
            <v>Casual Labour</v>
          </cell>
          <cell r="E119">
            <v>39655</v>
          </cell>
          <cell r="F119">
            <v>0.625</v>
          </cell>
          <cell r="G119">
            <v>1</v>
          </cell>
          <cell r="H119">
            <v>120</v>
          </cell>
          <cell r="I119">
            <v>25</v>
          </cell>
          <cell r="J119">
            <v>20</v>
          </cell>
          <cell r="K119">
            <v>30</v>
          </cell>
          <cell r="L119">
            <v>28</v>
          </cell>
          <cell r="M119">
            <v>12</v>
          </cell>
          <cell r="N119">
            <v>6</v>
          </cell>
          <cell r="O119">
            <v>0</v>
          </cell>
          <cell r="P119">
            <v>0</v>
          </cell>
          <cell r="Q119">
            <v>0</v>
          </cell>
          <cell r="R119">
            <v>6</v>
          </cell>
          <cell r="S119">
            <v>24</v>
          </cell>
          <cell r="T119">
            <v>5</v>
          </cell>
          <cell r="U119">
            <v>4</v>
          </cell>
          <cell r="V119">
            <v>6</v>
          </cell>
          <cell r="W119">
            <v>17.5</v>
          </cell>
          <cell r="X119">
            <v>12</v>
          </cell>
          <cell r="AC119">
            <v>68.5</v>
          </cell>
          <cell r="AF119">
            <v>0</v>
          </cell>
          <cell r="AG119">
            <v>68.5</v>
          </cell>
          <cell r="AK119" t="str">
            <v>Bank Muscat</v>
          </cell>
          <cell r="AL119" t="str">
            <v>Ibri/Jubail</v>
          </cell>
          <cell r="AM119">
            <v>118286090084011</v>
          </cell>
        </row>
        <row r="120">
          <cell r="B120">
            <v>1980</v>
          </cell>
          <cell r="C120" t="str">
            <v>Ali Shoon Musallam Al Khaldi</v>
          </cell>
          <cell r="D120" t="str">
            <v>Casual Heavy Duty Driver</v>
          </cell>
          <cell r="E120">
            <v>39657</v>
          </cell>
          <cell r="F120">
            <v>0.9375</v>
          </cell>
          <cell r="G120">
            <v>1.5</v>
          </cell>
          <cell r="H120">
            <v>180</v>
          </cell>
          <cell r="I120">
            <v>40</v>
          </cell>
          <cell r="J120">
            <v>30</v>
          </cell>
          <cell r="K120">
            <v>45</v>
          </cell>
          <cell r="L120">
            <v>20</v>
          </cell>
          <cell r="M120">
            <v>12</v>
          </cell>
          <cell r="N120">
            <v>4</v>
          </cell>
          <cell r="O120">
            <v>0</v>
          </cell>
          <cell r="P120">
            <v>0</v>
          </cell>
          <cell r="Q120">
            <v>0</v>
          </cell>
          <cell r="R120">
            <v>4</v>
          </cell>
          <cell r="S120">
            <v>24</v>
          </cell>
          <cell r="T120">
            <v>5.333333333333333</v>
          </cell>
          <cell r="U120">
            <v>4</v>
          </cell>
          <cell r="V120">
            <v>6</v>
          </cell>
          <cell r="W120">
            <v>18.75</v>
          </cell>
          <cell r="X120">
            <v>18</v>
          </cell>
          <cell r="AC120">
            <v>76.083333333333329</v>
          </cell>
          <cell r="AF120">
            <v>0</v>
          </cell>
          <cell r="AG120">
            <v>76.083333333333329</v>
          </cell>
          <cell r="AK120" t="str">
            <v xml:space="preserve">No </v>
          </cell>
          <cell r="AL120" t="str">
            <v>No</v>
          </cell>
          <cell r="AM120" t="str">
            <v>No</v>
          </cell>
        </row>
        <row r="121">
          <cell r="B121">
            <v>1981</v>
          </cell>
          <cell r="C121" t="str">
            <v>Khalid Juma Khalfan Al Mahhrezi</v>
          </cell>
          <cell r="D121" t="str">
            <v>Casual Labour</v>
          </cell>
          <cell r="E121">
            <v>39657</v>
          </cell>
          <cell r="F121">
            <v>0.625</v>
          </cell>
          <cell r="G121">
            <v>1</v>
          </cell>
          <cell r="H121">
            <v>120</v>
          </cell>
          <cell r="I121">
            <v>25</v>
          </cell>
          <cell r="J121">
            <v>20</v>
          </cell>
          <cell r="K121">
            <v>30</v>
          </cell>
          <cell r="L121">
            <v>24</v>
          </cell>
          <cell r="M121">
            <v>12</v>
          </cell>
          <cell r="N121">
            <v>4</v>
          </cell>
          <cell r="O121">
            <v>0</v>
          </cell>
          <cell r="P121">
            <v>0</v>
          </cell>
          <cell r="Q121">
            <v>0</v>
          </cell>
          <cell r="R121">
            <v>4</v>
          </cell>
          <cell r="S121">
            <v>16</v>
          </cell>
          <cell r="T121">
            <v>3.3333333333333335</v>
          </cell>
          <cell r="U121">
            <v>2.6666666666666665</v>
          </cell>
          <cell r="V121">
            <v>4</v>
          </cell>
          <cell r="W121">
            <v>15</v>
          </cell>
          <cell r="X121">
            <v>12</v>
          </cell>
          <cell r="AC121">
            <v>53</v>
          </cell>
          <cell r="AF121">
            <v>0</v>
          </cell>
          <cell r="AG121">
            <v>53</v>
          </cell>
          <cell r="AK121" t="str">
            <v xml:space="preserve">No </v>
          </cell>
          <cell r="AL121" t="str">
            <v>No</v>
          </cell>
          <cell r="AM121" t="str">
            <v>No</v>
          </cell>
        </row>
        <row r="122">
          <cell r="B122">
            <v>1982</v>
          </cell>
          <cell r="C122" t="str">
            <v>Ali Rashid Ali Al Harrasi</v>
          </cell>
          <cell r="D122" t="str">
            <v>Casual Labour</v>
          </cell>
          <cell r="E122">
            <v>39658</v>
          </cell>
          <cell r="F122">
            <v>0.625</v>
          </cell>
          <cell r="G122">
            <v>1</v>
          </cell>
          <cell r="H122">
            <v>120</v>
          </cell>
          <cell r="I122">
            <v>25</v>
          </cell>
          <cell r="J122">
            <v>20</v>
          </cell>
          <cell r="K122">
            <v>30</v>
          </cell>
          <cell r="L122">
            <v>12</v>
          </cell>
          <cell r="M122">
            <v>12</v>
          </cell>
          <cell r="N122">
            <v>2</v>
          </cell>
          <cell r="O122">
            <v>0</v>
          </cell>
          <cell r="P122">
            <v>0</v>
          </cell>
          <cell r="Q122">
            <v>0</v>
          </cell>
          <cell r="R122">
            <v>2</v>
          </cell>
          <cell r="S122">
            <v>8</v>
          </cell>
          <cell r="T122">
            <v>1.6666666666666667</v>
          </cell>
          <cell r="U122">
            <v>1.3333333333333333</v>
          </cell>
          <cell r="V122">
            <v>2</v>
          </cell>
          <cell r="W122">
            <v>7.5</v>
          </cell>
          <cell r="X122">
            <v>12</v>
          </cell>
          <cell r="AC122">
            <v>32.5</v>
          </cell>
          <cell r="AF122">
            <v>0</v>
          </cell>
          <cell r="AG122">
            <v>32.5</v>
          </cell>
          <cell r="AK122" t="str">
            <v>Bank Muscat</v>
          </cell>
          <cell r="AL122" t="str">
            <v>Nizwa/Souq</v>
          </cell>
          <cell r="AM122" t="str">
            <v>128-162150084-013</v>
          </cell>
        </row>
        <row r="123">
          <cell r="B123">
            <v>1983</v>
          </cell>
          <cell r="C123" t="str">
            <v>Khalid Adim Salim Al Suleimani</v>
          </cell>
          <cell r="D123" t="str">
            <v>Casual Labour</v>
          </cell>
          <cell r="E123">
            <v>39658</v>
          </cell>
          <cell r="F123">
            <v>0.625</v>
          </cell>
          <cell r="G123">
            <v>1</v>
          </cell>
          <cell r="H123">
            <v>120</v>
          </cell>
          <cell r="I123">
            <v>25</v>
          </cell>
          <cell r="J123">
            <v>20</v>
          </cell>
          <cell r="K123">
            <v>30</v>
          </cell>
          <cell r="L123">
            <v>8</v>
          </cell>
          <cell r="M123">
            <v>12</v>
          </cell>
          <cell r="N123">
            <v>2</v>
          </cell>
          <cell r="O123">
            <v>0</v>
          </cell>
          <cell r="P123">
            <v>0</v>
          </cell>
          <cell r="Q123">
            <v>0</v>
          </cell>
          <cell r="R123">
            <v>2</v>
          </cell>
          <cell r="S123">
            <v>8</v>
          </cell>
          <cell r="T123">
            <v>1.6666666666666667</v>
          </cell>
          <cell r="U123">
            <v>1.3333333333333333</v>
          </cell>
          <cell r="V123">
            <v>2</v>
          </cell>
          <cell r="W123">
            <v>5</v>
          </cell>
          <cell r="X123">
            <v>12</v>
          </cell>
          <cell r="AC123">
            <v>30</v>
          </cell>
          <cell r="AF123">
            <v>0</v>
          </cell>
          <cell r="AG123">
            <v>30</v>
          </cell>
          <cell r="AK123" t="str">
            <v>Bank Muscat</v>
          </cell>
          <cell r="AL123" t="str">
            <v>Ibri/Souq</v>
          </cell>
          <cell r="AM123" t="str">
            <v>0121-15884-0084-015</v>
          </cell>
        </row>
        <row r="124">
          <cell r="B124">
            <v>1984</v>
          </cell>
          <cell r="C124" t="str">
            <v>Ali Said Ali Al Khaldi</v>
          </cell>
          <cell r="D124" t="str">
            <v>Casual Labour</v>
          </cell>
          <cell r="E124">
            <v>39658</v>
          </cell>
          <cell r="F124">
            <v>0.625</v>
          </cell>
          <cell r="G124">
            <v>1</v>
          </cell>
          <cell r="H124">
            <v>120</v>
          </cell>
          <cell r="I124">
            <v>25</v>
          </cell>
          <cell r="J124">
            <v>20</v>
          </cell>
          <cell r="K124">
            <v>30</v>
          </cell>
          <cell r="L124">
            <v>12</v>
          </cell>
          <cell r="M124">
            <v>12</v>
          </cell>
          <cell r="N124">
            <v>2</v>
          </cell>
          <cell r="O124">
            <v>0</v>
          </cell>
          <cell r="P124">
            <v>0</v>
          </cell>
          <cell r="Q124">
            <v>0</v>
          </cell>
          <cell r="R124">
            <v>2</v>
          </cell>
          <cell r="S124">
            <v>8</v>
          </cell>
          <cell r="T124">
            <v>1.6666666666666667</v>
          </cell>
          <cell r="U124">
            <v>1.3333333333333333</v>
          </cell>
          <cell r="V124">
            <v>2</v>
          </cell>
          <cell r="W124">
            <v>7.5</v>
          </cell>
          <cell r="X124">
            <v>12</v>
          </cell>
          <cell r="AC124">
            <v>32.5</v>
          </cell>
          <cell r="AF124">
            <v>0</v>
          </cell>
          <cell r="AG124">
            <v>32.5</v>
          </cell>
          <cell r="AK124" t="str">
            <v>Bank Muscat</v>
          </cell>
          <cell r="AL124" t="str">
            <v>Al Muwaleh</v>
          </cell>
          <cell r="AM124" t="str">
            <v>0145-15848-0084-019</v>
          </cell>
        </row>
        <row r="125">
          <cell r="B125">
            <v>1985</v>
          </cell>
          <cell r="C125" t="str">
            <v>Mohammed Ali Amur Al Sawafi</v>
          </cell>
          <cell r="D125" t="str">
            <v>Casual Labour</v>
          </cell>
          <cell r="E125">
            <v>39658</v>
          </cell>
          <cell r="F125">
            <v>0.625</v>
          </cell>
          <cell r="G125">
            <v>1</v>
          </cell>
          <cell r="H125">
            <v>120</v>
          </cell>
          <cell r="I125">
            <v>25</v>
          </cell>
          <cell r="J125">
            <v>20</v>
          </cell>
          <cell r="K125">
            <v>30</v>
          </cell>
          <cell r="L125">
            <v>12</v>
          </cell>
          <cell r="M125">
            <v>12</v>
          </cell>
          <cell r="N125">
            <v>2</v>
          </cell>
          <cell r="O125">
            <v>0</v>
          </cell>
          <cell r="P125">
            <v>0</v>
          </cell>
          <cell r="Q125">
            <v>0</v>
          </cell>
          <cell r="R125">
            <v>2</v>
          </cell>
          <cell r="S125">
            <v>8</v>
          </cell>
          <cell r="T125">
            <v>1.6666666666666667</v>
          </cell>
          <cell r="U125">
            <v>1.3333333333333333</v>
          </cell>
          <cell r="V125">
            <v>2</v>
          </cell>
          <cell r="W125">
            <v>7.5</v>
          </cell>
          <cell r="X125">
            <v>12</v>
          </cell>
          <cell r="AC125">
            <v>32.5</v>
          </cell>
          <cell r="AF125">
            <v>0</v>
          </cell>
          <cell r="AG125">
            <v>32.5</v>
          </cell>
          <cell r="AK125" t="str">
            <v>Bank Muscat</v>
          </cell>
          <cell r="AL125" t="str">
            <v>Set Santer</v>
          </cell>
          <cell r="AM125" t="str">
            <v>0151-18588-0084-016</v>
          </cell>
        </row>
        <row r="127">
          <cell r="S127">
            <v>8247</v>
          </cell>
          <cell r="T127">
            <v>1715.6666666666665</v>
          </cell>
          <cell r="U127">
            <v>1374.4999999999995</v>
          </cell>
          <cell r="V127">
            <v>2032.8333333333335</v>
          </cell>
          <cell r="W127">
            <v>6250.46875</v>
          </cell>
          <cell r="X127">
            <v>1968</v>
          </cell>
          <cell r="Y127">
            <v>28</v>
          </cell>
          <cell r="Z127">
            <v>5.8333333333333339</v>
          </cell>
          <cell r="AA127">
            <v>4.6666666666666661</v>
          </cell>
          <cell r="AB127">
            <v>50.177</v>
          </cell>
          <cell r="AC127">
            <v>21677.145749999996</v>
          </cell>
          <cell r="AD127">
            <v>0</v>
          </cell>
          <cell r="AE127">
            <v>20</v>
          </cell>
          <cell r="AF127">
            <v>20</v>
          </cell>
          <cell r="AG127">
            <v>21657.145749999996</v>
          </cell>
        </row>
        <row r="682">
          <cell r="B682" t="str">
            <v>Do Not Insert any row after this Row # 735</v>
          </cell>
        </row>
      </sheetData>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slip"/>
      <sheetName val="sEPTEMBER"/>
      <sheetName val="Time Sheet"/>
      <sheetName val="Bank (2)"/>
      <sheetName val="Bank Trs"/>
    </sheetNames>
    <sheetDataSet>
      <sheetData sheetId="0"/>
      <sheetData sheetId="1"/>
      <sheetData sheetId="2">
        <row r="5">
          <cell r="B5">
            <v>1787</v>
          </cell>
          <cell r="C5" t="str">
            <v>Salim Marzooq Abdulah Al Darai</v>
          </cell>
          <cell r="D5">
            <v>39609</v>
          </cell>
          <cell r="E5">
            <v>39694</v>
          </cell>
          <cell r="F5">
            <v>2</v>
          </cell>
          <cell r="G5">
            <v>0</v>
          </cell>
          <cell r="H5">
            <v>0</v>
          </cell>
          <cell r="I5">
            <v>0</v>
          </cell>
          <cell r="J5" t="str">
            <v>x</v>
          </cell>
          <cell r="K5" t="str">
            <v>x</v>
          </cell>
          <cell r="L5" t="str">
            <v>x</v>
          </cell>
          <cell r="M5" t="str">
            <v>x</v>
          </cell>
          <cell r="N5" t="str">
            <v>x</v>
          </cell>
          <cell r="O5" t="str">
            <v>x</v>
          </cell>
          <cell r="P5" t="str">
            <v>x</v>
          </cell>
          <cell r="Q5" t="str">
            <v>x</v>
          </cell>
          <cell r="R5" t="str">
            <v>x</v>
          </cell>
          <cell r="S5" t="str">
            <v>x</v>
          </cell>
          <cell r="T5" t="str">
            <v>x</v>
          </cell>
          <cell r="U5" t="str">
            <v>x</v>
          </cell>
          <cell r="V5" t="str">
            <v>x</v>
          </cell>
          <cell r="W5" t="str">
            <v>x</v>
          </cell>
          <cell r="X5" t="str">
            <v>x</v>
          </cell>
          <cell r="Y5" t="str">
            <v>x</v>
          </cell>
          <cell r="Z5" t="str">
            <v>x</v>
          </cell>
          <cell r="AA5" t="str">
            <v>x</v>
          </cell>
          <cell r="AB5" t="str">
            <v>x</v>
          </cell>
          <cell r="AC5" t="str">
            <v>x</v>
          </cell>
          <cell r="AD5" t="str">
            <v>x</v>
          </cell>
          <cell r="AE5" t="str">
            <v>x</v>
          </cell>
          <cell r="AF5" t="str">
            <v>x</v>
          </cell>
          <cell r="AG5" t="str">
            <v>x</v>
          </cell>
          <cell r="AH5" t="str">
            <v>x</v>
          </cell>
          <cell r="AI5" t="str">
            <v>x</v>
          </cell>
          <cell r="AJ5" t="str">
            <v>x</v>
          </cell>
          <cell r="AK5">
            <v>7</v>
          </cell>
          <cell r="AL5">
            <v>4</v>
          </cell>
          <cell r="AM5">
            <v>0</v>
          </cell>
          <cell r="AN5">
            <v>0</v>
          </cell>
          <cell r="AO5">
            <v>2</v>
          </cell>
          <cell r="AP5">
            <v>0</v>
          </cell>
          <cell r="AQ5">
            <v>0</v>
          </cell>
          <cell r="AR5">
            <v>4</v>
          </cell>
          <cell r="AS5" t="str">
            <v>Casual Labour</v>
          </cell>
          <cell r="AV5">
            <v>120</v>
          </cell>
          <cell r="AW5">
            <v>25</v>
          </cell>
          <cell r="AX5">
            <v>30</v>
          </cell>
          <cell r="AY5">
            <v>20</v>
          </cell>
          <cell r="AZ5">
            <v>0.625</v>
          </cell>
        </row>
        <row r="6">
          <cell r="B6">
            <v>1792</v>
          </cell>
          <cell r="C6" t="str">
            <v>Juma Ali Salim Al Ghafri</v>
          </cell>
          <cell r="D6">
            <v>39609</v>
          </cell>
          <cell r="E6">
            <v>39694</v>
          </cell>
          <cell r="F6">
            <v>2</v>
          </cell>
          <cell r="G6">
            <v>0</v>
          </cell>
          <cell r="H6">
            <v>0</v>
          </cell>
          <cell r="I6">
            <v>0</v>
          </cell>
          <cell r="J6">
            <v>0</v>
          </cell>
          <cell r="K6">
            <v>0</v>
          </cell>
          <cell r="L6">
            <v>0</v>
          </cell>
          <cell r="M6" t="str">
            <v>x</v>
          </cell>
          <cell r="N6" t="str">
            <v>x</v>
          </cell>
          <cell r="O6" t="str">
            <v>x</v>
          </cell>
          <cell r="P6" t="str">
            <v>x</v>
          </cell>
          <cell r="Q6" t="str">
            <v>x</v>
          </cell>
          <cell r="R6" t="str">
            <v>x</v>
          </cell>
          <cell r="S6" t="str">
            <v>x</v>
          </cell>
          <cell r="T6" t="str">
            <v>x</v>
          </cell>
          <cell r="U6" t="str">
            <v>x</v>
          </cell>
          <cell r="V6" t="str">
            <v>x</v>
          </cell>
          <cell r="W6" t="str">
            <v>x</v>
          </cell>
          <cell r="X6" t="str">
            <v>x</v>
          </cell>
          <cell r="Y6" t="str">
            <v>x</v>
          </cell>
          <cell r="Z6" t="str">
            <v>x</v>
          </cell>
          <cell r="AA6" t="str">
            <v>x</v>
          </cell>
          <cell r="AB6" t="str">
            <v>x</v>
          </cell>
          <cell r="AC6" t="str">
            <v>x</v>
          </cell>
          <cell r="AD6" t="str">
            <v>x</v>
          </cell>
          <cell r="AE6" t="str">
            <v>x</v>
          </cell>
          <cell r="AF6" t="str">
            <v>x</v>
          </cell>
          <cell r="AG6" t="str">
            <v>x</v>
          </cell>
          <cell r="AH6" t="str">
            <v>x</v>
          </cell>
          <cell r="AI6" t="str">
            <v>x</v>
          </cell>
          <cell r="AJ6" t="str">
            <v>x</v>
          </cell>
          <cell r="AK6">
            <v>7</v>
          </cell>
          <cell r="AL6">
            <v>7</v>
          </cell>
          <cell r="AM6">
            <v>0</v>
          </cell>
          <cell r="AN6">
            <v>0</v>
          </cell>
          <cell r="AO6">
            <v>2</v>
          </cell>
          <cell r="AP6">
            <v>0</v>
          </cell>
          <cell r="AQ6">
            <v>0</v>
          </cell>
          <cell r="AR6">
            <v>7</v>
          </cell>
          <cell r="AS6" t="str">
            <v>Casual Labour</v>
          </cell>
          <cell r="AV6">
            <v>120</v>
          </cell>
          <cell r="AW6">
            <v>25</v>
          </cell>
          <cell r="AX6">
            <v>30</v>
          </cell>
          <cell r="AY6">
            <v>20</v>
          </cell>
          <cell r="AZ6">
            <v>0.625</v>
          </cell>
        </row>
        <row r="7">
          <cell r="B7">
            <v>1822</v>
          </cell>
          <cell r="C7" t="str">
            <v>Abdullah Rashid Hassan Al Hinai</v>
          </cell>
          <cell r="D7">
            <v>39615</v>
          </cell>
          <cell r="E7">
            <v>39700</v>
          </cell>
          <cell r="F7" t="str">
            <v>L</v>
          </cell>
          <cell r="G7" t="str">
            <v>L</v>
          </cell>
          <cell r="H7" t="str">
            <v>L</v>
          </cell>
          <cell r="I7" t="str">
            <v>L</v>
          </cell>
          <cell r="J7" t="str">
            <v>L</v>
          </cell>
          <cell r="K7">
            <v>0</v>
          </cell>
          <cell r="L7">
            <v>0</v>
          </cell>
          <cell r="M7">
            <v>0</v>
          </cell>
          <cell r="N7">
            <v>0</v>
          </cell>
          <cell r="O7">
            <v>0</v>
          </cell>
          <cell r="P7">
            <v>0</v>
          </cell>
          <cell r="Q7" t="str">
            <v>A</v>
          </cell>
          <cell r="R7" t="str">
            <v>A</v>
          </cell>
          <cell r="S7" t="str">
            <v>A</v>
          </cell>
          <cell r="T7" t="str">
            <v>A</v>
          </cell>
          <cell r="U7" t="str">
            <v>A</v>
          </cell>
          <cell r="V7" t="str">
            <v>A</v>
          </cell>
          <cell r="W7" t="str">
            <v>A</v>
          </cell>
          <cell r="X7" t="str">
            <v>A</v>
          </cell>
          <cell r="Y7">
            <v>0</v>
          </cell>
          <cell r="Z7">
            <v>0</v>
          </cell>
          <cell r="AA7">
            <v>0</v>
          </cell>
          <cell r="AB7">
            <v>0</v>
          </cell>
          <cell r="AC7">
            <v>0</v>
          </cell>
          <cell r="AD7">
            <v>0</v>
          </cell>
          <cell r="AE7">
            <v>0</v>
          </cell>
          <cell r="AF7">
            <v>0</v>
          </cell>
          <cell r="AG7">
            <v>0</v>
          </cell>
          <cell r="AH7">
            <v>0</v>
          </cell>
          <cell r="AI7" t="str">
            <v>L</v>
          </cell>
          <cell r="AJ7" t="str">
            <v>x</v>
          </cell>
          <cell r="AK7" t="str">
            <v>x</v>
          </cell>
          <cell r="AL7">
            <v>16</v>
          </cell>
          <cell r="AM7">
            <v>0</v>
          </cell>
          <cell r="AN7">
            <v>6</v>
          </cell>
          <cell r="AO7">
            <v>0</v>
          </cell>
          <cell r="AP7">
            <v>0</v>
          </cell>
          <cell r="AQ7">
            <v>0</v>
          </cell>
          <cell r="AR7">
            <v>16</v>
          </cell>
          <cell r="AS7" t="str">
            <v>Casual Light Duty Driver</v>
          </cell>
          <cell r="AV7">
            <v>150</v>
          </cell>
          <cell r="AW7">
            <v>30</v>
          </cell>
          <cell r="AX7">
            <v>40</v>
          </cell>
          <cell r="AY7">
            <v>25</v>
          </cell>
          <cell r="AZ7">
            <v>0.78125</v>
          </cell>
        </row>
        <row r="8">
          <cell r="B8">
            <v>1847</v>
          </cell>
          <cell r="C8" t="str">
            <v>Said Hamed Rashid Al Shidhani</v>
          </cell>
          <cell r="D8">
            <v>39621</v>
          </cell>
          <cell r="E8">
            <v>39706</v>
          </cell>
          <cell r="F8">
            <v>0</v>
          </cell>
          <cell r="G8" t="str">
            <v>A</v>
          </cell>
          <cell r="H8">
            <v>0</v>
          </cell>
          <cell r="I8">
            <v>0</v>
          </cell>
          <cell r="J8" t="str">
            <v>L</v>
          </cell>
          <cell r="K8" t="str">
            <v>L</v>
          </cell>
          <cell r="L8" t="str">
            <v>L</v>
          </cell>
          <cell r="M8" t="str">
            <v>L</v>
          </cell>
          <cell r="N8" t="str">
            <v>L</v>
          </cell>
          <cell r="O8" t="str">
            <v>L</v>
          </cell>
          <cell r="P8" t="str">
            <v>L</v>
          </cell>
          <cell r="Q8" t="str">
            <v>A</v>
          </cell>
          <cell r="R8">
            <v>0</v>
          </cell>
          <cell r="S8">
            <v>0</v>
          </cell>
          <cell r="T8">
            <v>0</v>
          </cell>
          <cell r="U8">
            <v>0</v>
          </cell>
          <cell r="V8" t="str">
            <v>A</v>
          </cell>
          <cell r="W8">
            <v>0</v>
          </cell>
          <cell r="X8">
            <v>0</v>
          </cell>
          <cell r="Y8">
            <v>0</v>
          </cell>
          <cell r="Z8">
            <v>0</v>
          </cell>
          <cell r="AA8">
            <v>0</v>
          </cell>
          <cell r="AB8" t="str">
            <v>x</v>
          </cell>
          <cell r="AC8" t="str">
            <v>x</v>
          </cell>
          <cell r="AD8" t="str">
            <v>x</v>
          </cell>
          <cell r="AE8" t="str">
            <v>x</v>
          </cell>
          <cell r="AF8" t="str">
            <v>x</v>
          </cell>
          <cell r="AG8" t="str">
            <v>x</v>
          </cell>
          <cell r="AH8" t="str">
            <v>x</v>
          </cell>
          <cell r="AI8" t="str">
            <v>x</v>
          </cell>
          <cell r="AJ8" t="str">
            <v>x</v>
          </cell>
          <cell r="AK8" t="str">
            <v>x</v>
          </cell>
          <cell r="AL8">
            <v>12</v>
          </cell>
          <cell r="AM8">
            <v>0</v>
          </cell>
          <cell r="AN8">
            <v>7</v>
          </cell>
          <cell r="AO8">
            <v>0</v>
          </cell>
          <cell r="AP8">
            <v>0</v>
          </cell>
          <cell r="AQ8">
            <v>0</v>
          </cell>
          <cell r="AR8">
            <v>12</v>
          </cell>
          <cell r="AS8" t="str">
            <v>Casual Labour</v>
          </cell>
          <cell r="AU8" t="str">
            <v>June salary not paid</v>
          </cell>
          <cell r="AV8">
            <v>120</v>
          </cell>
          <cell r="AW8">
            <v>25</v>
          </cell>
          <cell r="AX8">
            <v>30</v>
          </cell>
          <cell r="AY8">
            <v>20</v>
          </cell>
          <cell r="AZ8">
            <v>0.625</v>
          </cell>
        </row>
        <row r="9">
          <cell r="B9">
            <v>1849</v>
          </cell>
          <cell r="C9" t="str">
            <v>Yaqoub Ahmed Hamood Al Mahrouqi</v>
          </cell>
          <cell r="D9">
            <v>39626</v>
          </cell>
          <cell r="E9">
            <v>39711</v>
          </cell>
          <cell r="F9">
            <v>5</v>
          </cell>
          <cell r="G9">
            <v>0</v>
          </cell>
          <cell r="H9">
            <v>0</v>
          </cell>
          <cell r="I9">
            <v>0</v>
          </cell>
          <cell r="J9">
            <v>0</v>
          </cell>
          <cell r="K9">
            <v>0</v>
          </cell>
          <cell r="L9">
            <v>0</v>
          </cell>
          <cell r="M9">
            <v>0</v>
          </cell>
          <cell r="N9">
            <v>0</v>
          </cell>
          <cell r="O9">
            <v>2</v>
          </cell>
          <cell r="P9">
            <v>0</v>
          </cell>
          <cell r="Q9">
            <v>0</v>
          </cell>
          <cell r="R9">
            <v>0</v>
          </cell>
          <cell r="S9">
            <v>0</v>
          </cell>
          <cell r="T9">
            <v>0</v>
          </cell>
          <cell r="U9">
            <v>0</v>
          </cell>
          <cell r="V9">
            <v>0</v>
          </cell>
          <cell r="W9">
            <v>0</v>
          </cell>
          <cell r="X9">
            <v>0</v>
          </cell>
          <cell r="Y9">
            <v>0</v>
          </cell>
          <cell r="Z9">
            <v>0</v>
          </cell>
          <cell r="AA9" t="str">
            <v>x</v>
          </cell>
          <cell r="AB9" t="str">
            <v>x</v>
          </cell>
          <cell r="AC9" t="str">
            <v>x</v>
          </cell>
          <cell r="AD9" t="str">
            <v>x</v>
          </cell>
          <cell r="AE9" t="str">
            <v>x</v>
          </cell>
          <cell r="AF9" t="str">
            <v>x</v>
          </cell>
          <cell r="AG9" t="str">
            <v>x</v>
          </cell>
          <cell r="AH9" t="str">
            <v>x</v>
          </cell>
          <cell r="AI9" t="str">
            <v>x</v>
          </cell>
          <cell r="AJ9" t="str">
            <v>x</v>
          </cell>
          <cell r="AK9" t="str">
            <v>x</v>
          </cell>
          <cell r="AL9">
            <v>21</v>
          </cell>
          <cell r="AM9">
            <v>0</v>
          </cell>
          <cell r="AN9">
            <v>0</v>
          </cell>
          <cell r="AO9">
            <v>7</v>
          </cell>
          <cell r="AP9">
            <v>0</v>
          </cell>
          <cell r="AQ9">
            <v>0</v>
          </cell>
          <cell r="AR9">
            <v>21</v>
          </cell>
          <cell r="AS9" t="str">
            <v>Casual Labour</v>
          </cell>
          <cell r="AV9">
            <v>120</v>
          </cell>
          <cell r="AW9">
            <v>25</v>
          </cell>
          <cell r="AX9">
            <v>30</v>
          </cell>
          <cell r="AY9">
            <v>20</v>
          </cell>
          <cell r="AZ9">
            <v>0.625</v>
          </cell>
        </row>
        <row r="10">
          <cell r="B10">
            <v>1851</v>
          </cell>
          <cell r="C10" t="str">
            <v>Ahmed Hamood Saif Al Hina'i</v>
          </cell>
          <cell r="D10">
            <v>39626</v>
          </cell>
          <cell r="E10">
            <v>39711</v>
          </cell>
          <cell r="F10">
            <v>13.5</v>
          </cell>
          <cell r="G10">
            <v>16</v>
          </cell>
          <cell r="H10">
            <v>1.5</v>
          </cell>
          <cell r="I10">
            <v>3</v>
          </cell>
          <cell r="J10">
            <v>4</v>
          </cell>
          <cell r="K10">
            <v>11</v>
          </cell>
          <cell r="L10">
            <v>5</v>
          </cell>
          <cell r="M10">
            <v>3</v>
          </cell>
          <cell r="N10">
            <v>5</v>
          </cell>
          <cell r="O10">
            <v>3</v>
          </cell>
          <cell r="P10">
            <v>3</v>
          </cell>
          <cell r="Q10">
            <v>0</v>
          </cell>
          <cell r="R10" t="str">
            <v>L</v>
          </cell>
          <cell r="S10" t="str">
            <v>L</v>
          </cell>
          <cell r="T10" t="str">
            <v>L</v>
          </cell>
          <cell r="U10" t="str">
            <v>L</v>
          </cell>
          <cell r="V10" t="str">
            <v>L</v>
          </cell>
          <cell r="W10" t="str">
            <v>L</v>
          </cell>
          <cell r="X10" t="str">
            <v>L</v>
          </cell>
          <cell r="Y10">
            <v>0</v>
          </cell>
          <cell r="Z10">
            <v>0</v>
          </cell>
          <cell r="AA10" t="str">
            <v>x</v>
          </cell>
          <cell r="AB10" t="str">
            <v>x</v>
          </cell>
          <cell r="AC10" t="str">
            <v>x</v>
          </cell>
          <cell r="AD10" t="str">
            <v>x</v>
          </cell>
          <cell r="AE10" t="str">
            <v>x</v>
          </cell>
          <cell r="AF10" t="str">
            <v>x</v>
          </cell>
          <cell r="AG10" t="str">
            <v>x</v>
          </cell>
          <cell r="AH10" t="str">
            <v>x</v>
          </cell>
          <cell r="AI10" t="str">
            <v>x</v>
          </cell>
          <cell r="AJ10" t="str">
            <v>x</v>
          </cell>
          <cell r="AK10" t="str">
            <v>x</v>
          </cell>
          <cell r="AL10">
            <v>14</v>
          </cell>
          <cell r="AM10">
            <v>0</v>
          </cell>
          <cell r="AN10">
            <v>7</v>
          </cell>
          <cell r="AO10">
            <v>68</v>
          </cell>
          <cell r="AP10">
            <v>0</v>
          </cell>
          <cell r="AQ10">
            <v>0</v>
          </cell>
          <cell r="AR10">
            <v>14</v>
          </cell>
          <cell r="AS10" t="str">
            <v>Casual Labour</v>
          </cell>
          <cell r="AU10" t="str">
            <v>He come back from normal shift before one day on 8th August'2008</v>
          </cell>
          <cell r="AV10">
            <v>120</v>
          </cell>
          <cell r="AW10">
            <v>25</v>
          </cell>
          <cell r="AX10">
            <v>30</v>
          </cell>
          <cell r="AY10">
            <v>20</v>
          </cell>
          <cell r="AZ10">
            <v>0.625</v>
          </cell>
        </row>
        <row r="11">
          <cell r="B11">
            <v>1858</v>
          </cell>
          <cell r="C11" t="str">
            <v>Younis Said Ali Al Amri</v>
          </cell>
          <cell r="D11">
            <v>39631</v>
          </cell>
          <cell r="E11">
            <v>39716</v>
          </cell>
          <cell r="F11">
            <v>5</v>
          </cell>
          <cell r="G11">
            <v>4</v>
          </cell>
          <cell r="H11">
            <v>0</v>
          </cell>
          <cell r="I11">
            <v>2</v>
          </cell>
          <cell r="J11">
            <v>0</v>
          </cell>
          <cell r="K11">
            <v>4</v>
          </cell>
          <cell r="L11">
            <v>0</v>
          </cell>
          <cell r="M11">
            <v>0</v>
          </cell>
          <cell r="N11">
            <v>0</v>
          </cell>
          <cell r="O11">
            <v>0</v>
          </cell>
          <cell r="P11">
            <v>2</v>
          </cell>
          <cell r="Q11">
            <v>5</v>
          </cell>
          <cell r="R11">
            <v>4</v>
          </cell>
          <cell r="S11">
            <v>4</v>
          </cell>
          <cell r="T11">
            <v>5</v>
          </cell>
          <cell r="U11">
            <v>5</v>
          </cell>
          <cell r="V11">
            <v>5</v>
          </cell>
          <cell r="W11">
            <v>0</v>
          </cell>
          <cell r="X11">
            <v>0</v>
          </cell>
          <cell r="Y11">
            <v>7</v>
          </cell>
          <cell r="Z11">
            <v>9</v>
          </cell>
          <cell r="AA11">
            <v>7</v>
          </cell>
          <cell r="AB11">
            <v>7</v>
          </cell>
          <cell r="AC11">
            <v>7</v>
          </cell>
          <cell r="AD11">
            <v>7</v>
          </cell>
          <cell r="AE11">
            <v>7</v>
          </cell>
          <cell r="AF11">
            <v>7</v>
          </cell>
          <cell r="AG11" t="str">
            <v>x</v>
          </cell>
          <cell r="AH11" t="str">
            <v>x</v>
          </cell>
          <cell r="AI11" t="str">
            <v>x</v>
          </cell>
          <cell r="AJ11" t="str">
            <v>x</v>
          </cell>
          <cell r="AK11" t="str">
            <v>x</v>
          </cell>
          <cell r="AL11">
            <v>27</v>
          </cell>
          <cell r="AM11">
            <v>0</v>
          </cell>
          <cell r="AN11">
            <v>0</v>
          </cell>
          <cell r="AO11">
            <v>103</v>
          </cell>
          <cell r="AP11">
            <v>0</v>
          </cell>
          <cell r="AQ11">
            <v>0</v>
          </cell>
          <cell r="AR11">
            <v>27</v>
          </cell>
          <cell r="AS11" t="str">
            <v>Casual Labour</v>
          </cell>
          <cell r="AV11">
            <v>120</v>
          </cell>
          <cell r="AW11">
            <v>25</v>
          </cell>
          <cell r="AX11">
            <v>30</v>
          </cell>
          <cell r="AY11">
            <v>20</v>
          </cell>
          <cell r="AZ11">
            <v>0.625</v>
          </cell>
        </row>
        <row r="12">
          <cell r="B12">
            <v>1870</v>
          </cell>
          <cell r="C12" t="str">
            <v>Hossain Suwaidan Bakheit Al Shukaili</v>
          </cell>
          <cell r="D12">
            <v>39634</v>
          </cell>
          <cell r="E12">
            <v>5</v>
          </cell>
          <cell r="F12">
            <v>5</v>
          </cell>
          <cell r="G12">
            <v>0</v>
          </cell>
          <cell r="H12" t="str">
            <v>A</v>
          </cell>
          <cell r="I12">
            <v>0</v>
          </cell>
          <cell r="J12">
            <v>0</v>
          </cell>
          <cell r="K12" t="str">
            <v>L</v>
          </cell>
          <cell r="L12" t="str">
            <v>L</v>
          </cell>
          <cell r="M12" t="str">
            <v>L</v>
          </cell>
          <cell r="N12" t="str">
            <v>L</v>
          </cell>
          <cell r="O12" t="str">
            <v>L</v>
          </cell>
          <cell r="P12" t="str">
            <v>L</v>
          </cell>
          <cell r="Q12" t="str">
            <v>L</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t="str">
            <v>X</v>
          </cell>
          <cell r="AJ12" t="str">
            <v>x</v>
          </cell>
          <cell r="AK12" t="str">
            <v>x</v>
          </cell>
          <cell r="AL12">
            <v>21</v>
          </cell>
          <cell r="AM12">
            <v>0</v>
          </cell>
          <cell r="AN12">
            <v>7</v>
          </cell>
          <cell r="AO12">
            <v>5</v>
          </cell>
          <cell r="AP12">
            <v>0</v>
          </cell>
          <cell r="AQ12">
            <v>0</v>
          </cell>
          <cell r="AR12">
            <v>21</v>
          </cell>
          <cell r="AS12" t="str">
            <v>Casual Labour</v>
          </cell>
          <cell r="AV12">
            <v>120</v>
          </cell>
          <cell r="AW12">
            <v>25</v>
          </cell>
          <cell r="AX12">
            <v>30</v>
          </cell>
          <cell r="AY12">
            <v>20</v>
          </cell>
          <cell r="AZ12">
            <v>0.625</v>
          </cell>
        </row>
        <row r="13">
          <cell r="B13">
            <v>1871</v>
          </cell>
          <cell r="C13" t="str">
            <v>Khamis Sulaiyam Salim Al Mamari</v>
          </cell>
          <cell r="D13">
            <v>39634</v>
          </cell>
          <cell r="E13">
            <v>39719</v>
          </cell>
          <cell r="F13">
            <v>2</v>
          </cell>
          <cell r="G13">
            <v>0</v>
          </cell>
          <cell r="H13">
            <v>0</v>
          </cell>
          <cell r="I13">
            <v>0</v>
          </cell>
          <cell r="J13">
            <v>0</v>
          </cell>
          <cell r="K13">
            <v>0</v>
          </cell>
          <cell r="L13">
            <v>0</v>
          </cell>
          <cell r="M13">
            <v>0</v>
          </cell>
          <cell r="N13">
            <v>0</v>
          </cell>
          <cell r="O13">
            <v>0</v>
          </cell>
          <cell r="P13">
            <v>0</v>
          </cell>
          <cell r="Q13">
            <v>0</v>
          </cell>
          <cell r="R13">
            <v>0</v>
          </cell>
          <cell r="S13" t="str">
            <v>L</v>
          </cell>
          <cell r="T13" t="str">
            <v>L</v>
          </cell>
          <cell r="U13" t="str">
            <v>L</v>
          </cell>
          <cell r="V13" t="str">
            <v>L</v>
          </cell>
          <cell r="W13" t="str">
            <v>L</v>
          </cell>
          <cell r="X13" t="str">
            <v>L</v>
          </cell>
          <cell r="Y13" t="str">
            <v>L</v>
          </cell>
          <cell r="Z13" t="str">
            <v>A</v>
          </cell>
          <cell r="AA13" t="str">
            <v>A</v>
          </cell>
          <cell r="AB13" t="str">
            <v>A</v>
          </cell>
          <cell r="AC13" t="str">
            <v>A</v>
          </cell>
          <cell r="AD13" t="str">
            <v>A</v>
          </cell>
          <cell r="AE13" t="str">
            <v>A</v>
          </cell>
          <cell r="AF13">
            <v>0</v>
          </cell>
          <cell r="AG13">
            <v>0</v>
          </cell>
          <cell r="AH13">
            <v>0</v>
          </cell>
          <cell r="AI13" t="str">
            <v>X</v>
          </cell>
          <cell r="AJ13" t="str">
            <v>x</v>
          </cell>
          <cell r="AK13" t="str">
            <v>x</v>
          </cell>
          <cell r="AL13">
            <v>16</v>
          </cell>
          <cell r="AM13">
            <v>0</v>
          </cell>
          <cell r="AN13">
            <v>7</v>
          </cell>
          <cell r="AO13">
            <v>2</v>
          </cell>
          <cell r="AP13">
            <v>0</v>
          </cell>
          <cell r="AQ13">
            <v>0</v>
          </cell>
          <cell r="AR13">
            <v>16</v>
          </cell>
          <cell r="AS13" t="str">
            <v>Casual Heavy Duty Driver</v>
          </cell>
          <cell r="AU13" t="str">
            <v>In time sheet he is as light duty driver he sing heave duty driver need to owed last month salary.</v>
          </cell>
          <cell r="AV13">
            <v>180</v>
          </cell>
          <cell r="AW13">
            <v>40</v>
          </cell>
          <cell r="AX13">
            <v>45</v>
          </cell>
          <cell r="AY13">
            <v>30</v>
          </cell>
          <cell r="AZ13">
            <v>0.9375</v>
          </cell>
        </row>
        <row r="14">
          <cell r="B14">
            <v>1873</v>
          </cell>
          <cell r="C14" t="str">
            <v>Masoud Nasser Mohammed Al Busaidi</v>
          </cell>
          <cell r="D14">
            <v>39634</v>
          </cell>
          <cell r="E14">
            <v>39719</v>
          </cell>
          <cell r="F14">
            <v>2</v>
          </cell>
          <cell r="G14">
            <v>0</v>
          </cell>
          <cell r="H14">
            <v>0</v>
          </cell>
          <cell r="I14">
            <v>4</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t="str">
            <v>L</v>
          </cell>
          <cell r="AJ14" t="str">
            <v>x</v>
          </cell>
          <cell r="AK14" t="str">
            <v>x</v>
          </cell>
          <cell r="AL14">
            <v>29</v>
          </cell>
          <cell r="AM14">
            <v>0</v>
          </cell>
          <cell r="AN14">
            <v>1</v>
          </cell>
          <cell r="AO14">
            <v>6</v>
          </cell>
          <cell r="AP14">
            <v>0</v>
          </cell>
          <cell r="AQ14">
            <v>0</v>
          </cell>
          <cell r="AR14">
            <v>29</v>
          </cell>
          <cell r="AS14" t="str">
            <v>Casual Labour</v>
          </cell>
          <cell r="AV14">
            <v>120</v>
          </cell>
          <cell r="AW14">
            <v>25</v>
          </cell>
          <cell r="AX14">
            <v>30</v>
          </cell>
          <cell r="AY14">
            <v>20</v>
          </cell>
          <cell r="AZ14">
            <v>0.625</v>
          </cell>
        </row>
        <row r="15">
          <cell r="B15">
            <v>1874</v>
          </cell>
          <cell r="C15" t="str">
            <v>Said Nasser Mohammed Al Busaidi</v>
          </cell>
          <cell r="D15">
            <v>39634</v>
          </cell>
          <cell r="E15">
            <v>39719</v>
          </cell>
          <cell r="F15">
            <v>2</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t="str">
            <v>L</v>
          </cell>
          <cell r="AJ15" t="str">
            <v>x</v>
          </cell>
          <cell r="AK15" t="str">
            <v>x</v>
          </cell>
          <cell r="AL15">
            <v>29</v>
          </cell>
          <cell r="AM15">
            <v>0</v>
          </cell>
          <cell r="AN15">
            <v>1</v>
          </cell>
          <cell r="AO15">
            <v>2</v>
          </cell>
          <cell r="AP15">
            <v>0</v>
          </cell>
          <cell r="AQ15">
            <v>0</v>
          </cell>
          <cell r="AR15">
            <v>29</v>
          </cell>
          <cell r="AS15" t="str">
            <v>Casual Labour</v>
          </cell>
          <cell r="AV15">
            <v>120</v>
          </cell>
          <cell r="AW15">
            <v>25</v>
          </cell>
          <cell r="AX15">
            <v>30</v>
          </cell>
          <cell r="AY15">
            <v>20</v>
          </cell>
          <cell r="AZ15">
            <v>0.625</v>
          </cell>
        </row>
        <row r="16">
          <cell r="B16">
            <v>1875</v>
          </cell>
          <cell r="C16" t="str">
            <v>Saif Nasser Mohammed Al Busaidi</v>
          </cell>
          <cell r="D16">
            <v>39634</v>
          </cell>
          <cell r="E16">
            <v>39719</v>
          </cell>
          <cell r="F16">
            <v>2</v>
          </cell>
          <cell r="G16" t="str">
            <v>A</v>
          </cell>
          <cell r="H16" t="str">
            <v>A</v>
          </cell>
          <cell r="I16" t="str">
            <v>A</v>
          </cell>
          <cell r="J16" t="str">
            <v>A</v>
          </cell>
          <cell r="K16">
            <v>0</v>
          </cell>
          <cell r="L16">
            <v>0</v>
          </cell>
          <cell r="M16">
            <v>0</v>
          </cell>
          <cell r="N16">
            <v>0</v>
          </cell>
          <cell r="O16">
            <v>0</v>
          </cell>
          <cell r="P16">
            <v>0</v>
          </cell>
          <cell r="Q16">
            <v>0</v>
          </cell>
          <cell r="R16">
            <v>0</v>
          </cell>
          <cell r="S16">
            <v>0</v>
          </cell>
          <cell r="T16">
            <v>0</v>
          </cell>
          <cell r="U16">
            <v>0</v>
          </cell>
          <cell r="V16">
            <v>0</v>
          </cell>
          <cell r="W16">
            <v>0</v>
          </cell>
          <cell r="X16" t="str">
            <v>x</v>
          </cell>
          <cell r="Y16" t="str">
            <v>x</v>
          </cell>
          <cell r="Z16" t="str">
            <v>x</v>
          </cell>
          <cell r="AA16" t="str">
            <v>x</v>
          </cell>
          <cell r="AB16" t="str">
            <v>x</v>
          </cell>
          <cell r="AC16" t="str">
            <v>x</v>
          </cell>
          <cell r="AD16" t="str">
            <v>x</v>
          </cell>
          <cell r="AE16" t="str">
            <v>x</v>
          </cell>
          <cell r="AF16" t="str">
            <v>x</v>
          </cell>
          <cell r="AG16" t="str">
            <v>x</v>
          </cell>
          <cell r="AH16" t="str">
            <v>x</v>
          </cell>
          <cell r="AI16" t="str">
            <v>x</v>
          </cell>
          <cell r="AJ16" t="str">
            <v>x</v>
          </cell>
          <cell r="AK16" t="str">
            <v>x</v>
          </cell>
          <cell r="AL16">
            <v>14</v>
          </cell>
          <cell r="AM16">
            <v>0</v>
          </cell>
          <cell r="AN16">
            <v>0</v>
          </cell>
          <cell r="AO16">
            <v>2</v>
          </cell>
          <cell r="AP16">
            <v>0</v>
          </cell>
          <cell r="AQ16">
            <v>0</v>
          </cell>
          <cell r="AR16">
            <v>14</v>
          </cell>
          <cell r="AS16" t="str">
            <v>Casual Labour</v>
          </cell>
          <cell r="AV16">
            <v>120</v>
          </cell>
          <cell r="AW16">
            <v>25</v>
          </cell>
          <cell r="AX16">
            <v>30</v>
          </cell>
          <cell r="AY16">
            <v>20</v>
          </cell>
          <cell r="AZ16">
            <v>0.625</v>
          </cell>
        </row>
        <row r="17">
          <cell r="B17">
            <v>1877</v>
          </cell>
          <cell r="C17" t="str">
            <v>Aadil Rashid Habib Al Daghari</v>
          </cell>
          <cell r="D17">
            <v>39634</v>
          </cell>
          <cell r="E17">
            <v>39719</v>
          </cell>
          <cell r="F17">
            <v>5</v>
          </cell>
          <cell r="G17">
            <v>0</v>
          </cell>
          <cell r="H17">
            <v>0</v>
          </cell>
          <cell r="I17">
            <v>0</v>
          </cell>
          <cell r="J17">
            <v>0</v>
          </cell>
          <cell r="K17">
            <v>0</v>
          </cell>
          <cell r="L17">
            <v>0</v>
          </cell>
          <cell r="M17">
            <v>0</v>
          </cell>
          <cell r="N17">
            <v>0</v>
          </cell>
          <cell r="O17">
            <v>0</v>
          </cell>
          <cell r="P17">
            <v>0</v>
          </cell>
          <cell r="Q17">
            <v>0</v>
          </cell>
          <cell r="R17" t="str">
            <v>L</v>
          </cell>
          <cell r="S17" t="str">
            <v>L</v>
          </cell>
          <cell r="T17" t="str">
            <v>L</v>
          </cell>
          <cell r="U17" t="str">
            <v>L</v>
          </cell>
          <cell r="V17" t="str">
            <v>L</v>
          </cell>
          <cell r="W17" t="str">
            <v>L</v>
          </cell>
          <cell r="X17" t="str">
            <v>L</v>
          </cell>
          <cell r="Y17">
            <v>0</v>
          </cell>
          <cell r="Z17">
            <v>0</v>
          </cell>
          <cell r="AA17">
            <v>0</v>
          </cell>
          <cell r="AB17">
            <v>0</v>
          </cell>
          <cell r="AC17">
            <v>0</v>
          </cell>
          <cell r="AD17">
            <v>0</v>
          </cell>
          <cell r="AE17">
            <v>0</v>
          </cell>
          <cell r="AF17">
            <v>0</v>
          </cell>
          <cell r="AG17">
            <v>0</v>
          </cell>
          <cell r="AH17">
            <v>0</v>
          </cell>
          <cell r="AI17" t="str">
            <v>X</v>
          </cell>
          <cell r="AJ17" t="str">
            <v>x</v>
          </cell>
          <cell r="AK17" t="str">
            <v>x</v>
          </cell>
          <cell r="AL17">
            <v>22</v>
          </cell>
          <cell r="AM17">
            <v>0</v>
          </cell>
          <cell r="AN17">
            <v>7</v>
          </cell>
          <cell r="AO17">
            <v>5</v>
          </cell>
          <cell r="AP17">
            <v>0</v>
          </cell>
          <cell r="AQ17">
            <v>0</v>
          </cell>
          <cell r="AR17">
            <v>22</v>
          </cell>
          <cell r="AS17" t="str">
            <v>Casual Labour</v>
          </cell>
          <cell r="AV17">
            <v>120</v>
          </cell>
          <cell r="AW17">
            <v>25</v>
          </cell>
          <cell r="AX17">
            <v>30</v>
          </cell>
          <cell r="AY17">
            <v>20</v>
          </cell>
          <cell r="AZ17">
            <v>0.625</v>
          </cell>
        </row>
        <row r="18">
          <cell r="B18">
            <v>1895</v>
          </cell>
          <cell r="C18" t="str">
            <v>Sultan Khalifa Khalaf Al Riyami</v>
          </cell>
          <cell r="D18">
            <v>39637</v>
          </cell>
          <cell r="E18">
            <v>39722</v>
          </cell>
          <cell r="F18">
            <v>6</v>
          </cell>
          <cell r="G18">
            <v>0</v>
          </cell>
          <cell r="H18">
            <v>0</v>
          </cell>
          <cell r="I18">
            <v>0</v>
          </cell>
          <cell r="J18">
            <v>0</v>
          </cell>
          <cell r="K18">
            <v>0</v>
          </cell>
          <cell r="L18">
            <v>0</v>
          </cell>
          <cell r="M18">
            <v>0</v>
          </cell>
          <cell r="N18">
            <v>0</v>
          </cell>
          <cell r="O18">
            <v>0</v>
          </cell>
          <cell r="P18">
            <v>0</v>
          </cell>
          <cell r="Q18">
            <v>0</v>
          </cell>
          <cell r="R18" t="str">
            <v>L</v>
          </cell>
          <cell r="S18" t="str">
            <v>L</v>
          </cell>
          <cell r="T18" t="str">
            <v>L</v>
          </cell>
          <cell r="U18" t="str">
            <v>L</v>
          </cell>
          <cell r="V18" t="str">
            <v>L</v>
          </cell>
          <cell r="W18" t="str">
            <v>L</v>
          </cell>
          <cell r="X18" t="str">
            <v>L</v>
          </cell>
          <cell r="Y18" t="str">
            <v>A</v>
          </cell>
          <cell r="Z18" t="str">
            <v>A</v>
          </cell>
          <cell r="AA18" t="str">
            <v>A</v>
          </cell>
          <cell r="AB18" t="str">
            <v>A</v>
          </cell>
          <cell r="AC18" t="str">
            <v>A</v>
          </cell>
          <cell r="AD18" t="str">
            <v>A</v>
          </cell>
          <cell r="AE18" t="str">
            <v>A</v>
          </cell>
          <cell r="AF18" t="str">
            <v>A</v>
          </cell>
          <cell r="AG18" t="str">
            <v>A</v>
          </cell>
          <cell r="AH18" t="str">
            <v>A</v>
          </cell>
          <cell r="AI18" t="str">
            <v>A</v>
          </cell>
          <cell r="AJ18" t="str">
            <v>x</v>
          </cell>
          <cell r="AK18" t="str">
            <v>x</v>
          </cell>
          <cell r="AL18">
            <v>12</v>
          </cell>
          <cell r="AM18">
            <v>0</v>
          </cell>
          <cell r="AN18">
            <v>7</v>
          </cell>
          <cell r="AO18">
            <v>6</v>
          </cell>
          <cell r="AP18">
            <v>0</v>
          </cell>
          <cell r="AQ18">
            <v>0</v>
          </cell>
          <cell r="AR18">
            <v>12</v>
          </cell>
          <cell r="AS18" t="str">
            <v>Casual Labour</v>
          </cell>
          <cell r="AV18">
            <v>120</v>
          </cell>
          <cell r="AW18">
            <v>25</v>
          </cell>
          <cell r="AX18">
            <v>30</v>
          </cell>
          <cell r="AY18">
            <v>20</v>
          </cell>
          <cell r="AZ18">
            <v>0.625</v>
          </cell>
        </row>
        <row r="19">
          <cell r="B19">
            <v>1900</v>
          </cell>
          <cell r="C19" t="str">
            <v>Samir Abdullah Thani Humaid Al Mahrouqi</v>
          </cell>
          <cell r="D19">
            <v>39637</v>
          </cell>
          <cell r="E19">
            <v>39722</v>
          </cell>
          <cell r="F19">
            <v>8</v>
          </cell>
          <cell r="G19">
            <v>0</v>
          </cell>
          <cell r="H19">
            <v>0</v>
          </cell>
          <cell r="I19">
            <v>4</v>
          </cell>
          <cell r="J19">
            <v>0</v>
          </cell>
          <cell r="K19">
            <v>0</v>
          </cell>
          <cell r="L19">
            <v>0</v>
          </cell>
          <cell r="M19">
            <v>0</v>
          </cell>
          <cell r="N19">
            <v>0</v>
          </cell>
          <cell r="O19">
            <v>0</v>
          </cell>
          <cell r="P19">
            <v>0</v>
          </cell>
          <cell r="Q19">
            <v>0</v>
          </cell>
          <cell r="R19" t="str">
            <v>L</v>
          </cell>
          <cell r="S19" t="str">
            <v>L</v>
          </cell>
          <cell r="T19" t="str">
            <v>L</v>
          </cell>
          <cell r="U19" t="str">
            <v>L</v>
          </cell>
          <cell r="V19" t="str">
            <v>L</v>
          </cell>
          <cell r="W19" t="str">
            <v>L</v>
          </cell>
          <cell r="X19" t="str">
            <v>L</v>
          </cell>
          <cell r="Y19">
            <v>0</v>
          </cell>
          <cell r="Z19">
            <v>0</v>
          </cell>
          <cell r="AA19">
            <v>0</v>
          </cell>
          <cell r="AB19">
            <v>0</v>
          </cell>
          <cell r="AC19">
            <v>0</v>
          </cell>
          <cell r="AD19">
            <v>0</v>
          </cell>
          <cell r="AE19">
            <v>0</v>
          </cell>
          <cell r="AF19">
            <v>7.5</v>
          </cell>
          <cell r="AG19">
            <v>7</v>
          </cell>
          <cell r="AH19">
            <v>0</v>
          </cell>
          <cell r="AI19" t="str">
            <v>L</v>
          </cell>
          <cell r="AJ19" t="str">
            <v>x</v>
          </cell>
          <cell r="AK19" t="str">
            <v>x</v>
          </cell>
          <cell r="AL19">
            <v>22</v>
          </cell>
          <cell r="AM19">
            <v>0</v>
          </cell>
          <cell r="AN19">
            <v>8</v>
          </cell>
          <cell r="AO19">
            <v>26.5</v>
          </cell>
          <cell r="AP19">
            <v>0</v>
          </cell>
          <cell r="AQ19">
            <v>0</v>
          </cell>
          <cell r="AR19">
            <v>22</v>
          </cell>
          <cell r="AS19" t="str">
            <v>Casual Labour</v>
          </cell>
          <cell r="AV19">
            <v>120</v>
          </cell>
          <cell r="AW19">
            <v>25</v>
          </cell>
          <cell r="AX19">
            <v>30</v>
          </cell>
          <cell r="AY19">
            <v>20</v>
          </cell>
          <cell r="AZ19">
            <v>0.625</v>
          </cell>
        </row>
        <row r="20">
          <cell r="B20">
            <v>1905</v>
          </cell>
          <cell r="C20" t="str">
            <v>Shabib Saif Issa Al Jassasi</v>
          </cell>
          <cell r="D20">
            <v>39637</v>
          </cell>
          <cell r="E20">
            <v>39722</v>
          </cell>
          <cell r="F20">
            <v>2</v>
          </cell>
          <cell r="G20">
            <v>0</v>
          </cell>
          <cell r="H20">
            <v>0</v>
          </cell>
          <cell r="I20">
            <v>4</v>
          </cell>
          <cell r="J20">
            <v>0</v>
          </cell>
          <cell r="K20" t="str">
            <v>L</v>
          </cell>
          <cell r="L20" t="str">
            <v>L</v>
          </cell>
          <cell r="M20" t="str">
            <v>L</v>
          </cell>
          <cell r="N20" t="str">
            <v>L</v>
          </cell>
          <cell r="O20" t="str">
            <v>L</v>
          </cell>
          <cell r="P20" t="str">
            <v>L</v>
          </cell>
          <cell r="Q20" t="str">
            <v>L</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t="str">
            <v>L</v>
          </cell>
          <cell r="AJ20" t="str">
            <v>x</v>
          </cell>
          <cell r="AK20" t="str">
            <v>x</v>
          </cell>
          <cell r="AL20">
            <v>22</v>
          </cell>
          <cell r="AM20">
            <v>0</v>
          </cell>
          <cell r="AN20">
            <v>8</v>
          </cell>
          <cell r="AO20">
            <v>6</v>
          </cell>
          <cell r="AP20">
            <v>0</v>
          </cell>
          <cell r="AQ20">
            <v>0</v>
          </cell>
          <cell r="AR20">
            <v>22</v>
          </cell>
          <cell r="AS20" t="str">
            <v>Casual Labour</v>
          </cell>
          <cell r="AV20">
            <v>120</v>
          </cell>
          <cell r="AW20">
            <v>25</v>
          </cell>
          <cell r="AX20">
            <v>30</v>
          </cell>
          <cell r="AY20">
            <v>20</v>
          </cell>
          <cell r="AZ20">
            <v>0.625</v>
          </cell>
        </row>
        <row r="21">
          <cell r="B21">
            <v>1907</v>
          </cell>
          <cell r="C21" t="str">
            <v>Ahmed Salim Mohammed Al Hina'i</v>
          </cell>
          <cell r="D21">
            <v>39637</v>
          </cell>
          <cell r="E21">
            <v>39722</v>
          </cell>
          <cell r="F21">
            <v>2</v>
          </cell>
          <cell r="G21">
            <v>0</v>
          </cell>
          <cell r="H21">
            <v>0</v>
          </cell>
          <cell r="I21">
            <v>0</v>
          </cell>
          <cell r="J21">
            <v>0</v>
          </cell>
          <cell r="K21">
            <v>0</v>
          </cell>
          <cell r="L21">
            <v>0</v>
          </cell>
          <cell r="M21" t="str">
            <v>x</v>
          </cell>
          <cell r="N21" t="str">
            <v>x</v>
          </cell>
          <cell r="O21" t="str">
            <v>x</v>
          </cell>
          <cell r="P21" t="str">
            <v>x</v>
          </cell>
          <cell r="Q21" t="str">
            <v>x</v>
          </cell>
          <cell r="R21" t="str">
            <v>x</v>
          </cell>
          <cell r="S21" t="str">
            <v>x</v>
          </cell>
          <cell r="T21" t="str">
            <v>x</v>
          </cell>
          <cell r="U21" t="str">
            <v>x</v>
          </cell>
          <cell r="V21" t="str">
            <v>x</v>
          </cell>
          <cell r="W21" t="str">
            <v>x</v>
          </cell>
          <cell r="X21" t="str">
            <v>x</v>
          </cell>
          <cell r="Y21" t="str">
            <v>x</v>
          </cell>
          <cell r="Z21" t="str">
            <v>x</v>
          </cell>
          <cell r="AA21" t="str">
            <v>x</v>
          </cell>
          <cell r="AB21" t="str">
            <v>x</v>
          </cell>
          <cell r="AC21" t="str">
            <v>x</v>
          </cell>
          <cell r="AD21" t="str">
            <v>x</v>
          </cell>
          <cell r="AE21" t="str">
            <v>x</v>
          </cell>
          <cell r="AF21" t="str">
            <v>x</v>
          </cell>
          <cell r="AG21" t="str">
            <v>x</v>
          </cell>
          <cell r="AH21" t="str">
            <v>x</v>
          </cell>
          <cell r="AI21" t="str">
            <v>x</v>
          </cell>
          <cell r="AJ21" t="str">
            <v>x</v>
          </cell>
          <cell r="AK21" t="str">
            <v>x</v>
          </cell>
          <cell r="AL21">
            <v>7</v>
          </cell>
          <cell r="AM21">
            <v>0</v>
          </cell>
          <cell r="AN21">
            <v>0</v>
          </cell>
          <cell r="AO21">
            <v>2</v>
          </cell>
          <cell r="AP21">
            <v>0</v>
          </cell>
          <cell r="AQ21">
            <v>0</v>
          </cell>
          <cell r="AR21">
            <v>7</v>
          </cell>
          <cell r="AS21" t="str">
            <v>Casual Labour</v>
          </cell>
          <cell r="AV21">
            <v>120</v>
          </cell>
          <cell r="AW21">
            <v>25</v>
          </cell>
          <cell r="AX21">
            <v>30</v>
          </cell>
          <cell r="AY21">
            <v>20</v>
          </cell>
          <cell r="AZ21">
            <v>0.625</v>
          </cell>
        </row>
        <row r="22">
          <cell r="B22">
            <v>1908</v>
          </cell>
          <cell r="C22" t="str">
            <v>Khalifa Mas'oud Rashid Al Sa'idi</v>
          </cell>
          <cell r="D22">
            <v>39637</v>
          </cell>
          <cell r="E22">
            <v>39722</v>
          </cell>
          <cell r="F22" t="str">
            <v>L</v>
          </cell>
          <cell r="G22" t="str">
            <v>L</v>
          </cell>
          <cell r="H22" t="str">
            <v>L</v>
          </cell>
          <cell r="I22" t="str">
            <v>L</v>
          </cell>
          <cell r="J22" t="str">
            <v>L</v>
          </cell>
          <cell r="K22">
            <v>0</v>
          </cell>
          <cell r="L22">
            <v>0</v>
          </cell>
          <cell r="M22">
            <v>0</v>
          </cell>
          <cell r="N22">
            <v>0</v>
          </cell>
          <cell r="O22">
            <v>0</v>
          </cell>
          <cell r="P22" t="str">
            <v>x</v>
          </cell>
          <cell r="Q22" t="str">
            <v>x</v>
          </cell>
          <cell r="R22" t="str">
            <v>x</v>
          </cell>
          <cell r="S22" t="str">
            <v>x</v>
          </cell>
          <cell r="T22" t="str">
            <v>x</v>
          </cell>
          <cell r="U22" t="str">
            <v>x</v>
          </cell>
          <cell r="V22" t="str">
            <v>x</v>
          </cell>
          <cell r="W22" t="str">
            <v>x</v>
          </cell>
          <cell r="X22" t="str">
            <v>x</v>
          </cell>
          <cell r="Y22" t="str">
            <v>x</v>
          </cell>
          <cell r="Z22" t="str">
            <v>x</v>
          </cell>
          <cell r="AA22" t="str">
            <v>x</v>
          </cell>
          <cell r="AB22" t="str">
            <v>x</v>
          </cell>
          <cell r="AC22" t="str">
            <v>x</v>
          </cell>
          <cell r="AD22" t="str">
            <v>x</v>
          </cell>
          <cell r="AE22" t="str">
            <v>x</v>
          </cell>
          <cell r="AF22" t="str">
            <v>x</v>
          </cell>
          <cell r="AG22" t="str">
            <v>x</v>
          </cell>
          <cell r="AH22" t="str">
            <v>x</v>
          </cell>
          <cell r="AI22" t="str">
            <v>x</v>
          </cell>
          <cell r="AJ22" t="str">
            <v>x</v>
          </cell>
          <cell r="AK22" t="str">
            <v>x</v>
          </cell>
          <cell r="AL22">
            <v>5</v>
          </cell>
          <cell r="AM22">
            <v>0</v>
          </cell>
          <cell r="AN22">
            <v>5</v>
          </cell>
          <cell r="AO22">
            <v>0</v>
          </cell>
          <cell r="AP22">
            <v>0</v>
          </cell>
          <cell r="AQ22">
            <v>0</v>
          </cell>
          <cell r="AR22">
            <v>5</v>
          </cell>
          <cell r="AS22" t="str">
            <v>Casual Labour</v>
          </cell>
          <cell r="AV22">
            <v>120</v>
          </cell>
          <cell r="AW22">
            <v>25</v>
          </cell>
          <cell r="AX22">
            <v>30</v>
          </cell>
          <cell r="AY22">
            <v>20</v>
          </cell>
          <cell r="AZ22">
            <v>0.625</v>
          </cell>
        </row>
        <row r="23">
          <cell r="B23">
            <v>1913</v>
          </cell>
          <cell r="C23" t="str">
            <v>Khalid Ali Masoud Al Raqmidhi</v>
          </cell>
          <cell r="D23">
            <v>39638</v>
          </cell>
          <cell r="E23">
            <v>39723</v>
          </cell>
          <cell r="F23">
            <v>7</v>
          </cell>
          <cell r="G23">
            <v>4</v>
          </cell>
          <cell r="H23">
            <v>0</v>
          </cell>
          <cell r="I23">
            <v>2</v>
          </cell>
          <cell r="J23">
            <v>4</v>
          </cell>
          <cell r="K23">
            <v>0</v>
          </cell>
          <cell r="L23">
            <v>0</v>
          </cell>
          <cell r="M23">
            <v>0</v>
          </cell>
          <cell r="N23">
            <v>0</v>
          </cell>
          <cell r="O23">
            <v>0</v>
          </cell>
          <cell r="P23">
            <v>2</v>
          </cell>
          <cell r="Q23">
            <v>5</v>
          </cell>
          <cell r="R23">
            <v>4</v>
          </cell>
          <cell r="S23">
            <v>4</v>
          </cell>
          <cell r="T23">
            <v>5</v>
          </cell>
          <cell r="U23">
            <v>5</v>
          </cell>
          <cell r="V23">
            <v>5</v>
          </cell>
          <cell r="W23">
            <v>0</v>
          </cell>
          <cell r="X23">
            <v>0</v>
          </cell>
          <cell r="Y23" t="str">
            <v>L</v>
          </cell>
          <cell r="Z23" t="str">
            <v>L</v>
          </cell>
          <cell r="AA23" t="str">
            <v>L</v>
          </cell>
          <cell r="AB23" t="str">
            <v>L</v>
          </cell>
          <cell r="AC23" t="str">
            <v>L</v>
          </cell>
          <cell r="AD23" t="str">
            <v>L</v>
          </cell>
          <cell r="AE23" t="str">
            <v>L</v>
          </cell>
          <cell r="AF23">
            <v>8</v>
          </cell>
          <cell r="AG23">
            <v>0</v>
          </cell>
          <cell r="AH23">
            <v>0</v>
          </cell>
          <cell r="AI23" t="str">
            <v>L</v>
          </cell>
          <cell r="AJ23" t="str">
            <v>x</v>
          </cell>
          <cell r="AK23" t="str">
            <v>x</v>
          </cell>
          <cell r="AL23">
            <v>22</v>
          </cell>
          <cell r="AM23">
            <v>0</v>
          </cell>
          <cell r="AN23">
            <v>8</v>
          </cell>
          <cell r="AO23">
            <v>55</v>
          </cell>
          <cell r="AP23">
            <v>0</v>
          </cell>
          <cell r="AQ23">
            <v>0</v>
          </cell>
          <cell r="AR23">
            <v>22</v>
          </cell>
          <cell r="AS23" t="str">
            <v>Casual Labour</v>
          </cell>
          <cell r="AV23">
            <v>120</v>
          </cell>
          <cell r="AW23">
            <v>25</v>
          </cell>
          <cell r="AX23">
            <v>30</v>
          </cell>
          <cell r="AY23">
            <v>20</v>
          </cell>
          <cell r="AZ23">
            <v>0.625</v>
          </cell>
        </row>
        <row r="24">
          <cell r="B24">
            <v>1915</v>
          </cell>
          <cell r="C24" t="str">
            <v>Abdullah Sultan Said Al Hashmi</v>
          </cell>
          <cell r="D24">
            <v>39638</v>
          </cell>
          <cell r="E24">
            <v>39723</v>
          </cell>
          <cell r="F24">
            <v>2</v>
          </cell>
          <cell r="G24">
            <v>0</v>
          </cell>
          <cell r="H24">
            <v>0</v>
          </cell>
          <cell r="I24">
            <v>0</v>
          </cell>
          <cell r="J24">
            <v>0</v>
          </cell>
          <cell r="K24">
            <v>0</v>
          </cell>
          <cell r="L24">
            <v>0</v>
          </cell>
          <cell r="M24">
            <v>0</v>
          </cell>
          <cell r="N24">
            <v>0</v>
          </cell>
          <cell r="O24">
            <v>0</v>
          </cell>
          <cell r="P24">
            <v>0</v>
          </cell>
          <cell r="Q24">
            <v>0</v>
          </cell>
          <cell r="R24" t="str">
            <v>L</v>
          </cell>
          <cell r="S24" t="str">
            <v>L</v>
          </cell>
          <cell r="T24" t="str">
            <v>L</v>
          </cell>
          <cell r="U24" t="str">
            <v>L</v>
          </cell>
          <cell r="V24" t="str">
            <v>L</v>
          </cell>
          <cell r="W24" t="str">
            <v>L</v>
          </cell>
          <cell r="X24" t="str">
            <v>L</v>
          </cell>
          <cell r="Y24">
            <v>0</v>
          </cell>
          <cell r="Z24">
            <v>0</v>
          </cell>
          <cell r="AA24">
            <v>0</v>
          </cell>
          <cell r="AB24">
            <v>0</v>
          </cell>
          <cell r="AC24">
            <v>0</v>
          </cell>
          <cell r="AD24">
            <v>0</v>
          </cell>
          <cell r="AE24">
            <v>0</v>
          </cell>
          <cell r="AF24">
            <v>0</v>
          </cell>
          <cell r="AG24">
            <v>0</v>
          </cell>
          <cell r="AH24">
            <v>0</v>
          </cell>
          <cell r="AI24" t="str">
            <v>L</v>
          </cell>
          <cell r="AJ24" t="str">
            <v>x</v>
          </cell>
          <cell r="AK24" t="str">
            <v>x</v>
          </cell>
          <cell r="AL24">
            <v>22</v>
          </cell>
          <cell r="AM24">
            <v>0</v>
          </cell>
          <cell r="AN24">
            <v>8</v>
          </cell>
          <cell r="AO24">
            <v>2</v>
          </cell>
          <cell r="AP24">
            <v>0</v>
          </cell>
          <cell r="AQ24">
            <v>0</v>
          </cell>
          <cell r="AR24">
            <v>22</v>
          </cell>
          <cell r="AS24" t="str">
            <v>Casual Labour</v>
          </cell>
          <cell r="AV24">
            <v>120</v>
          </cell>
          <cell r="AW24">
            <v>25</v>
          </cell>
          <cell r="AX24">
            <v>30</v>
          </cell>
          <cell r="AY24">
            <v>20</v>
          </cell>
          <cell r="AZ24">
            <v>0.625</v>
          </cell>
        </row>
        <row r="25">
          <cell r="B25">
            <v>1945</v>
          </cell>
          <cell r="C25" t="str">
            <v xml:space="preserve"> Musalam Suliman Said Al Hinai</v>
          </cell>
          <cell r="D25">
            <v>39641</v>
          </cell>
          <cell r="E25">
            <v>39726</v>
          </cell>
          <cell r="F25">
            <v>2</v>
          </cell>
          <cell r="G25">
            <v>0</v>
          </cell>
          <cell r="H25">
            <v>0</v>
          </cell>
          <cell r="I25">
            <v>0</v>
          </cell>
          <cell r="J25">
            <v>0</v>
          </cell>
          <cell r="K25" t="str">
            <v>x</v>
          </cell>
          <cell r="L25" t="str">
            <v>x</v>
          </cell>
          <cell r="M25" t="str">
            <v>x</v>
          </cell>
          <cell r="N25" t="str">
            <v>x</v>
          </cell>
          <cell r="O25" t="str">
            <v>x</v>
          </cell>
          <cell r="P25" t="str">
            <v>x</v>
          </cell>
          <cell r="Q25" t="str">
            <v>x</v>
          </cell>
          <cell r="R25" t="str">
            <v>x</v>
          </cell>
          <cell r="S25" t="str">
            <v>x</v>
          </cell>
          <cell r="T25" t="str">
            <v>x</v>
          </cell>
          <cell r="U25" t="str">
            <v>x</v>
          </cell>
          <cell r="V25" t="str">
            <v>x</v>
          </cell>
          <cell r="W25" t="str">
            <v>x</v>
          </cell>
          <cell r="X25" t="str">
            <v>x</v>
          </cell>
          <cell r="Y25" t="str">
            <v>x</v>
          </cell>
          <cell r="Z25" t="str">
            <v>x</v>
          </cell>
          <cell r="AA25" t="str">
            <v>x</v>
          </cell>
          <cell r="AB25" t="str">
            <v>x</v>
          </cell>
          <cell r="AC25" t="str">
            <v>x</v>
          </cell>
          <cell r="AD25" t="str">
            <v>x</v>
          </cell>
          <cell r="AE25" t="str">
            <v>x</v>
          </cell>
          <cell r="AF25" t="str">
            <v>x</v>
          </cell>
          <cell r="AG25" t="str">
            <v>x</v>
          </cell>
          <cell r="AH25" t="str">
            <v>x</v>
          </cell>
          <cell r="AI25" t="str">
            <v>x</v>
          </cell>
          <cell r="AJ25" t="str">
            <v>x</v>
          </cell>
          <cell r="AK25" t="str">
            <v>x</v>
          </cell>
          <cell r="AL25">
            <v>5</v>
          </cell>
          <cell r="AM25">
            <v>0</v>
          </cell>
          <cell r="AN25">
            <v>0</v>
          </cell>
          <cell r="AO25">
            <v>2</v>
          </cell>
          <cell r="AP25">
            <v>0</v>
          </cell>
          <cell r="AQ25">
            <v>0</v>
          </cell>
          <cell r="AR25">
            <v>5</v>
          </cell>
          <cell r="AS25" t="str">
            <v>Casual Light Duty Driver</v>
          </cell>
          <cell r="AV25">
            <v>150</v>
          </cell>
          <cell r="AW25">
            <v>30</v>
          </cell>
          <cell r="AX25">
            <v>40</v>
          </cell>
          <cell r="AY25">
            <v>25</v>
          </cell>
          <cell r="AZ25">
            <v>0.78125</v>
          </cell>
        </row>
        <row r="26">
          <cell r="B26">
            <v>1952</v>
          </cell>
          <cell r="C26" t="str">
            <v>Nasser Ambar Dabi Al Zeidi</v>
          </cell>
          <cell r="D26">
            <v>39645</v>
          </cell>
          <cell r="E26">
            <v>39730</v>
          </cell>
          <cell r="F26">
            <v>2</v>
          </cell>
          <cell r="G26">
            <v>0</v>
          </cell>
          <cell r="H26">
            <v>0</v>
          </cell>
          <cell r="I26">
            <v>4</v>
          </cell>
          <cell r="J26">
            <v>0</v>
          </cell>
          <cell r="K26">
            <v>0</v>
          </cell>
          <cell r="L26">
            <v>0</v>
          </cell>
          <cell r="M26">
            <v>0</v>
          </cell>
          <cell r="N26">
            <v>0</v>
          </cell>
          <cell r="O26" t="str">
            <v>A</v>
          </cell>
          <cell r="P26" t="str">
            <v>A</v>
          </cell>
          <cell r="Q26" t="str">
            <v>A</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t="str">
            <v>L</v>
          </cell>
          <cell r="AG26" t="str">
            <v>L</v>
          </cell>
          <cell r="AH26" t="str">
            <v>L</v>
          </cell>
          <cell r="AI26" t="str">
            <v>L</v>
          </cell>
          <cell r="AJ26" t="str">
            <v>x</v>
          </cell>
          <cell r="AK26" t="str">
            <v>x</v>
          </cell>
          <cell r="AL26">
            <v>23</v>
          </cell>
          <cell r="AM26">
            <v>0</v>
          </cell>
          <cell r="AN26">
            <v>4</v>
          </cell>
          <cell r="AO26">
            <v>6</v>
          </cell>
          <cell r="AP26">
            <v>0</v>
          </cell>
          <cell r="AQ26">
            <v>0</v>
          </cell>
          <cell r="AR26">
            <v>23</v>
          </cell>
          <cell r="AS26" t="str">
            <v>Casual Labour</v>
          </cell>
          <cell r="AV26">
            <v>120</v>
          </cell>
          <cell r="AW26">
            <v>25</v>
          </cell>
          <cell r="AX26">
            <v>30</v>
          </cell>
          <cell r="AY26">
            <v>20</v>
          </cell>
          <cell r="AZ26">
            <v>0.625</v>
          </cell>
        </row>
        <row r="27">
          <cell r="B27">
            <v>1953</v>
          </cell>
          <cell r="C27" t="str">
            <v xml:space="preserve">Abdullah Ambar Dabi Al Zeidi </v>
          </cell>
          <cell r="D27">
            <v>39645</v>
          </cell>
          <cell r="E27">
            <v>39730</v>
          </cell>
          <cell r="F27">
            <v>8</v>
          </cell>
          <cell r="G27">
            <v>0</v>
          </cell>
          <cell r="H27">
            <v>0</v>
          </cell>
          <cell r="I27">
            <v>4</v>
          </cell>
          <cell r="J27">
            <v>0</v>
          </cell>
          <cell r="K27">
            <v>0</v>
          </cell>
          <cell r="L27">
            <v>0</v>
          </cell>
          <cell r="M27">
            <v>0</v>
          </cell>
          <cell r="N27">
            <v>0</v>
          </cell>
          <cell r="O27" t="str">
            <v>A</v>
          </cell>
          <cell r="P27" t="str">
            <v>A</v>
          </cell>
          <cell r="Q27" t="str">
            <v>A</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t="str">
            <v>L</v>
          </cell>
          <cell r="AG27" t="str">
            <v>L</v>
          </cell>
          <cell r="AH27" t="str">
            <v>L</v>
          </cell>
          <cell r="AI27" t="str">
            <v>L</v>
          </cell>
          <cell r="AJ27" t="str">
            <v>x</v>
          </cell>
          <cell r="AK27" t="str">
            <v>x</v>
          </cell>
          <cell r="AL27">
            <v>23</v>
          </cell>
          <cell r="AM27">
            <v>0</v>
          </cell>
          <cell r="AN27">
            <v>4</v>
          </cell>
          <cell r="AO27">
            <v>12</v>
          </cell>
          <cell r="AP27">
            <v>0</v>
          </cell>
          <cell r="AQ27">
            <v>0</v>
          </cell>
          <cell r="AR27">
            <v>23</v>
          </cell>
          <cell r="AS27" t="str">
            <v>Casual Labour</v>
          </cell>
          <cell r="AV27">
            <v>120</v>
          </cell>
          <cell r="AW27">
            <v>25</v>
          </cell>
          <cell r="AX27">
            <v>30</v>
          </cell>
          <cell r="AY27">
            <v>20</v>
          </cell>
          <cell r="AZ27">
            <v>0.625</v>
          </cell>
        </row>
        <row r="28">
          <cell r="B28">
            <v>1954</v>
          </cell>
          <cell r="C28" t="str">
            <v>Yaqoob Nasser Mohamed Alrawahi</v>
          </cell>
          <cell r="D28">
            <v>39647</v>
          </cell>
          <cell r="E28">
            <v>39732</v>
          </cell>
          <cell r="F28">
            <v>8</v>
          </cell>
          <cell r="G28">
            <v>0</v>
          </cell>
          <cell r="H28">
            <v>0</v>
          </cell>
          <cell r="I28">
            <v>4</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t="str">
            <v>L</v>
          </cell>
          <cell r="Z28" t="str">
            <v>L</v>
          </cell>
          <cell r="AA28" t="str">
            <v>L</v>
          </cell>
          <cell r="AB28" t="str">
            <v>L</v>
          </cell>
          <cell r="AC28" t="str">
            <v>L</v>
          </cell>
          <cell r="AD28" t="str">
            <v>L</v>
          </cell>
          <cell r="AE28" t="str">
            <v>L</v>
          </cell>
          <cell r="AF28" t="str">
            <v>A</v>
          </cell>
          <cell r="AG28" t="str">
            <v>A</v>
          </cell>
          <cell r="AH28" t="str">
            <v>A</v>
          </cell>
          <cell r="AI28" t="str">
            <v>A</v>
          </cell>
          <cell r="AJ28" t="str">
            <v>x</v>
          </cell>
          <cell r="AK28" t="str">
            <v>x</v>
          </cell>
          <cell r="AL28">
            <v>19</v>
          </cell>
          <cell r="AM28">
            <v>0</v>
          </cell>
          <cell r="AN28">
            <v>7</v>
          </cell>
          <cell r="AO28">
            <v>12</v>
          </cell>
          <cell r="AP28">
            <v>0</v>
          </cell>
          <cell r="AQ28">
            <v>0</v>
          </cell>
          <cell r="AR28">
            <v>19</v>
          </cell>
          <cell r="AS28" t="str">
            <v>Casual Labour</v>
          </cell>
          <cell r="AV28">
            <v>120</v>
          </cell>
          <cell r="AW28">
            <v>25</v>
          </cell>
          <cell r="AX28">
            <v>30</v>
          </cell>
          <cell r="AY28">
            <v>20</v>
          </cell>
          <cell r="AZ28">
            <v>0.625</v>
          </cell>
        </row>
        <row r="29">
          <cell r="B29">
            <v>1958</v>
          </cell>
          <cell r="C29" t="str">
            <v>Bader Bati Suliman Al Hadhrmi</v>
          </cell>
          <cell r="D29">
            <v>39647</v>
          </cell>
          <cell r="E29">
            <v>39732</v>
          </cell>
          <cell r="F29">
            <v>2</v>
          </cell>
          <cell r="G29">
            <v>0</v>
          </cell>
          <cell r="H29">
            <v>0</v>
          </cell>
          <cell r="I29">
            <v>0</v>
          </cell>
          <cell r="J29" t="str">
            <v>x</v>
          </cell>
          <cell r="K29" t="str">
            <v>x</v>
          </cell>
          <cell r="L29" t="str">
            <v>x</v>
          </cell>
          <cell r="M29" t="str">
            <v>x</v>
          </cell>
          <cell r="N29" t="str">
            <v>x</v>
          </cell>
          <cell r="O29" t="str">
            <v>x</v>
          </cell>
          <cell r="P29" t="str">
            <v>x</v>
          </cell>
          <cell r="Q29" t="str">
            <v>x</v>
          </cell>
          <cell r="R29" t="str">
            <v>x</v>
          </cell>
          <cell r="S29" t="str">
            <v>x</v>
          </cell>
          <cell r="T29" t="str">
            <v>x</v>
          </cell>
          <cell r="U29" t="str">
            <v>x</v>
          </cell>
          <cell r="V29" t="str">
            <v>x</v>
          </cell>
          <cell r="W29" t="str">
            <v>x</v>
          </cell>
          <cell r="X29" t="str">
            <v>x</v>
          </cell>
          <cell r="Y29" t="str">
            <v>x</v>
          </cell>
          <cell r="Z29" t="str">
            <v>x</v>
          </cell>
          <cell r="AA29" t="str">
            <v>x</v>
          </cell>
          <cell r="AB29" t="str">
            <v>x</v>
          </cell>
          <cell r="AC29" t="str">
            <v>x</v>
          </cell>
          <cell r="AD29" t="str">
            <v>x</v>
          </cell>
          <cell r="AE29" t="str">
            <v>x</v>
          </cell>
          <cell r="AF29" t="str">
            <v>x</v>
          </cell>
          <cell r="AG29" t="str">
            <v>x</v>
          </cell>
          <cell r="AH29" t="str">
            <v>x</v>
          </cell>
          <cell r="AI29" t="str">
            <v>x</v>
          </cell>
          <cell r="AJ29" t="str">
            <v>x</v>
          </cell>
          <cell r="AK29" t="str">
            <v>x</v>
          </cell>
          <cell r="AL29">
            <v>4</v>
          </cell>
          <cell r="AM29">
            <v>0</v>
          </cell>
          <cell r="AN29">
            <v>0</v>
          </cell>
          <cell r="AO29">
            <v>2</v>
          </cell>
          <cell r="AP29">
            <v>0</v>
          </cell>
          <cell r="AQ29">
            <v>0</v>
          </cell>
          <cell r="AR29">
            <v>4</v>
          </cell>
          <cell r="AS29" t="str">
            <v>Casual Labour</v>
          </cell>
          <cell r="AV29">
            <v>120</v>
          </cell>
          <cell r="AW29">
            <v>25</v>
          </cell>
          <cell r="AX29">
            <v>30</v>
          </cell>
          <cell r="AY29">
            <v>20</v>
          </cell>
          <cell r="AZ29">
            <v>0.625</v>
          </cell>
        </row>
        <row r="30">
          <cell r="B30">
            <v>1963</v>
          </cell>
          <cell r="C30" t="str">
            <v>Farid  Suliyam Said  Al Hashmi</v>
          </cell>
          <cell r="D30">
            <v>39648</v>
          </cell>
          <cell r="E30">
            <v>39733</v>
          </cell>
          <cell r="F30">
            <v>2</v>
          </cell>
          <cell r="G30">
            <v>7</v>
          </cell>
          <cell r="H30">
            <v>6</v>
          </cell>
          <cell r="I30">
            <v>7</v>
          </cell>
          <cell r="J30">
            <v>0</v>
          </cell>
          <cell r="K30">
            <v>0</v>
          </cell>
          <cell r="L30">
            <v>0</v>
          </cell>
          <cell r="M30">
            <v>0</v>
          </cell>
          <cell r="N30">
            <v>0</v>
          </cell>
          <cell r="O30">
            <v>7</v>
          </cell>
          <cell r="P30">
            <v>7</v>
          </cell>
          <cell r="Q30">
            <v>7</v>
          </cell>
          <cell r="R30">
            <v>7</v>
          </cell>
          <cell r="S30">
            <v>7</v>
          </cell>
          <cell r="T30">
            <v>0</v>
          </cell>
          <cell r="U30">
            <v>0</v>
          </cell>
          <cell r="V30">
            <v>0</v>
          </cell>
          <cell r="W30">
            <v>0</v>
          </cell>
          <cell r="X30">
            <v>7</v>
          </cell>
          <cell r="Y30">
            <v>0</v>
          </cell>
          <cell r="Z30">
            <v>0</v>
          </cell>
          <cell r="AA30">
            <v>0</v>
          </cell>
          <cell r="AB30">
            <v>0</v>
          </cell>
          <cell r="AC30">
            <v>0</v>
          </cell>
          <cell r="AD30">
            <v>0</v>
          </cell>
          <cell r="AE30">
            <v>0</v>
          </cell>
          <cell r="AF30" t="str">
            <v>L</v>
          </cell>
          <cell r="AG30" t="str">
            <v>L</v>
          </cell>
          <cell r="AH30" t="str">
            <v>L</v>
          </cell>
          <cell r="AI30" t="str">
            <v>L</v>
          </cell>
          <cell r="AJ30" t="str">
            <v>x</v>
          </cell>
          <cell r="AK30" t="str">
            <v>x</v>
          </cell>
          <cell r="AL30">
            <v>26</v>
          </cell>
          <cell r="AM30">
            <v>0</v>
          </cell>
          <cell r="AN30">
            <v>4</v>
          </cell>
          <cell r="AO30">
            <v>64</v>
          </cell>
          <cell r="AP30">
            <v>0</v>
          </cell>
          <cell r="AQ30">
            <v>0</v>
          </cell>
          <cell r="AR30">
            <v>26</v>
          </cell>
          <cell r="AS30" t="str">
            <v>Casual Labour</v>
          </cell>
          <cell r="AV30">
            <v>120</v>
          </cell>
          <cell r="AW30">
            <v>25</v>
          </cell>
          <cell r="AX30">
            <v>30</v>
          </cell>
          <cell r="AY30">
            <v>20</v>
          </cell>
          <cell r="AZ30">
            <v>0.625</v>
          </cell>
        </row>
        <row r="31">
          <cell r="B31">
            <v>1965</v>
          </cell>
          <cell r="C31" t="str">
            <v>Imad Mohamed Said Al Shikali</v>
          </cell>
          <cell r="D31">
            <v>39648</v>
          </cell>
          <cell r="E31">
            <v>39733</v>
          </cell>
          <cell r="F31">
            <v>2</v>
          </cell>
          <cell r="G31">
            <v>0</v>
          </cell>
          <cell r="H31">
            <v>6</v>
          </cell>
          <cell r="I31">
            <v>6</v>
          </cell>
          <cell r="J31">
            <v>0</v>
          </cell>
          <cell r="K31">
            <v>0</v>
          </cell>
          <cell r="L31">
            <v>0</v>
          </cell>
          <cell r="M31">
            <v>0</v>
          </cell>
          <cell r="N31">
            <v>0</v>
          </cell>
          <cell r="O31">
            <v>0</v>
          </cell>
          <cell r="P31">
            <v>7</v>
          </cell>
          <cell r="Q31">
            <v>0</v>
          </cell>
          <cell r="R31">
            <v>7</v>
          </cell>
          <cell r="S31">
            <v>7</v>
          </cell>
          <cell r="T31">
            <v>7</v>
          </cell>
          <cell r="U31">
            <v>7</v>
          </cell>
          <cell r="V31">
            <v>0</v>
          </cell>
          <cell r="W31">
            <v>7</v>
          </cell>
          <cell r="X31">
            <v>0</v>
          </cell>
          <cell r="Y31">
            <v>7</v>
          </cell>
          <cell r="Z31">
            <v>0</v>
          </cell>
          <cell r="AA31">
            <v>7</v>
          </cell>
          <cell r="AB31">
            <v>7</v>
          </cell>
          <cell r="AC31">
            <v>0</v>
          </cell>
          <cell r="AD31">
            <v>0</v>
          </cell>
          <cell r="AE31">
            <v>0</v>
          </cell>
          <cell r="AF31">
            <v>7.5</v>
          </cell>
          <cell r="AG31">
            <v>7</v>
          </cell>
          <cell r="AH31">
            <v>0</v>
          </cell>
          <cell r="AI31" t="str">
            <v>L</v>
          </cell>
          <cell r="AJ31" t="str">
            <v>x</v>
          </cell>
          <cell r="AK31" t="str">
            <v>x</v>
          </cell>
          <cell r="AL31">
            <v>29</v>
          </cell>
          <cell r="AM31">
            <v>0</v>
          </cell>
          <cell r="AN31">
            <v>1</v>
          </cell>
          <cell r="AO31">
            <v>91.5</v>
          </cell>
          <cell r="AP31">
            <v>0</v>
          </cell>
          <cell r="AQ31">
            <v>0</v>
          </cell>
          <cell r="AR31">
            <v>29</v>
          </cell>
          <cell r="AS31" t="str">
            <v>Casual Labour</v>
          </cell>
          <cell r="AV31">
            <v>120</v>
          </cell>
          <cell r="AW31">
            <v>25</v>
          </cell>
          <cell r="AX31">
            <v>30</v>
          </cell>
          <cell r="AY31">
            <v>20</v>
          </cell>
          <cell r="AZ31">
            <v>0.625</v>
          </cell>
        </row>
        <row r="32">
          <cell r="B32">
            <v>1968</v>
          </cell>
          <cell r="C32" t="str">
            <v>Khalid  Mohameed Ali  Al Saidi</v>
          </cell>
          <cell r="D32">
            <v>39648</v>
          </cell>
          <cell r="E32">
            <v>39733</v>
          </cell>
          <cell r="F32" t="str">
            <v>L</v>
          </cell>
          <cell r="G32" t="str">
            <v>L</v>
          </cell>
          <cell r="H32" t="str">
            <v>L</v>
          </cell>
          <cell r="I32" t="str">
            <v>L</v>
          </cell>
          <cell r="J32" t="str">
            <v>L</v>
          </cell>
          <cell r="K32">
            <v>0</v>
          </cell>
          <cell r="L32">
            <v>0</v>
          </cell>
          <cell r="M32">
            <v>0</v>
          </cell>
          <cell r="N32">
            <v>0</v>
          </cell>
          <cell r="O32">
            <v>0</v>
          </cell>
          <cell r="P32" t="str">
            <v>x</v>
          </cell>
          <cell r="Q32" t="str">
            <v>x</v>
          </cell>
          <cell r="R32" t="str">
            <v>x</v>
          </cell>
          <cell r="S32" t="str">
            <v>x</v>
          </cell>
          <cell r="T32" t="str">
            <v>x</v>
          </cell>
          <cell r="U32" t="str">
            <v>x</v>
          </cell>
          <cell r="V32" t="str">
            <v>x</v>
          </cell>
          <cell r="W32" t="str">
            <v>x</v>
          </cell>
          <cell r="X32" t="str">
            <v>x</v>
          </cell>
          <cell r="Y32" t="str">
            <v>x</v>
          </cell>
          <cell r="Z32" t="str">
            <v>x</v>
          </cell>
          <cell r="AA32" t="str">
            <v>x</v>
          </cell>
          <cell r="AB32" t="str">
            <v>x</v>
          </cell>
          <cell r="AC32" t="str">
            <v>x</v>
          </cell>
          <cell r="AD32" t="str">
            <v>x</v>
          </cell>
          <cell r="AE32" t="str">
            <v>x</v>
          </cell>
          <cell r="AF32" t="str">
            <v>x</v>
          </cell>
          <cell r="AG32" t="str">
            <v>x</v>
          </cell>
          <cell r="AH32" t="str">
            <v>x</v>
          </cell>
          <cell r="AI32" t="str">
            <v>x</v>
          </cell>
          <cell r="AJ32" t="str">
            <v>x</v>
          </cell>
          <cell r="AK32" t="str">
            <v>x</v>
          </cell>
          <cell r="AL32">
            <v>5</v>
          </cell>
          <cell r="AM32">
            <v>0</v>
          </cell>
          <cell r="AN32">
            <v>5</v>
          </cell>
          <cell r="AO32">
            <v>0</v>
          </cell>
          <cell r="AP32">
            <v>0</v>
          </cell>
          <cell r="AQ32">
            <v>0</v>
          </cell>
          <cell r="AR32">
            <v>5</v>
          </cell>
          <cell r="AS32" t="str">
            <v>Casual Labour</v>
          </cell>
          <cell r="AV32">
            <v>120</v>
          </cell>
          <cell r="AW32">
            <v>25</v>
          </cell>
          <cell r="AX32">
            <v>30</v>
          </cell>
          <cell r="AY32">
            <v>20</v>
          </cell>
          <cell r="AZ32">
            <v>0.625</v>
          </cell>
        </row>
        <row r="33">
          <cell r="B33">
            <v>1970</v>
          </cell>
          <cell r="C33" t="str">
            <v>Nasser Sulaiman Al Shibani</v>
          </cell>
          <cell r="D33">
            <v>39648</v>
          </cell>
          <cell r="E33">
            <v>39733</v>
          </cell>
          <cell r="F33">
            <v>2</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t="str">
            <v>L</v>
          </cell>
          <cell r="X33" t="str">
            <v>L</v>
          </cell>
          <cell r="Y33" t="str">
            <v>L</v>
          </cell>
          <cell r="Z33" t="str">
            <v>L</v>
          </cell>
          <cell r="AA33" t="str">
            <v>L</v>
          </cell>
          <cell r="AB33" t="str">
            <v>L</v>
          </cell>
          <cell r="AC33" t="str">
            <v>L</v>
          </cell>
          <cell r="AD33" t="str">
            <v>A</v>
          </cell>
          <cell r="AE33" t="str">
            <v>A</v>
          </cell>
          <cell r="AF33" t="str">
            <v>A</v>
          </cell>
          <cell r="AG33" t="str">
            <v>A</v>
          </cell>
          <cell r="AH33" t="str">
            <v>A</v>
          </cell>
          <cell r="AI33" t="str">
            <v>A</v>
          </cell>
          <cell r="AJ33" t="str">
            <v>x</v>
          </cell>
          <cell r="AK33" t="str">
            <v>x</v>
          </cell>
          <cell r="AL33">
            <v>17</v>
          </cell>
          <cell r="AM33">
            <v>0</v>
          </cell>
          <cell r="AN33">
            <v>7</v>
          </cell>
          <cell r="AO33">
            <v>2</v>
          </cell>
          <cell r="AP33">
            <v>0</v>
          </cell>
          <cell r="AQ33">
            <v>0</v>
          </cell>
          <cell r="AR33">
            <v>17</v>
          </cell>
          <cell r="AS33" t="str">
            <v>Casual Labour</v>
          </cell>
          <cell r="AU33" t="str">
            <v>Pay 4 days on June'08</v>
          </cell>
          <cell r="AV33">
            <v>120</v>
          </cell>
          <cell r="AW33">
            <v>25</v>
          </cell>
          <cell r="AX33">
            <v>30</v>
          </cell>
          <cell r="AY33">
            <v>20</v>
          </cell>
          <cell r="AZ33">
            <v>0.625</v>
          </cell>
        </row>
        <row r="34">
          <cell r="B34">
            <v>1971</v>
          </cell>
          <cell r="C34" t="str">
            <v>Suhail Salim Said Al Hinai</v>
          </cell>
          <cell r="D34">
            <v>39653</v>
          </cell>
          <cell r="E34">
            <v>39738</v>
          </cell>
          <cell r="F34">
            <v>7</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t="str">
            <v>L</v>
          </cell>
          <cell r="AJ34" t="str">
            <v>x</v>
          </cell>
          <cell r="AK34" t="str">
            <v>x</v>
          </cell>
          <cell r="AL34">
            <v>29</v>
          </cell>
          <cell r="AM34">
            <v>0</v>
          </cell>
          <cell r="AN34">
            <v>1</v>
          </cell>
          <cell r="AO34">
            <v>7</v>
          </cell>
          <cell r="AP34">
            <v>0</v>
          </cell>
          <cell r="AQ34">
            <v>0</v>
          </cell>
          <cell r="AR34">
            <v>29</v>
          </cell>
          <cell r="AS34" t="str">
            <v>Casual Labour</v>
          </cell>
          <cell r="AV34">
            <v>120</v>
          </cell>
          <cell r="AW34">
            <v>25</v>
          </cell>
          <cell r="AX34">
            <v>30</v>
          </cell>
          <cell r="AY34">
            <v>20</v>
          </cell>
          <cell r="AZ34">
            <v>0.625</v>
          </cell>
        </row>
        <row r="35">
          <cell r="B35">
            <v>1973</v>
          </cell>
          <cell r="C35" t="str">
            <v>Mohammed Awad Mubarak Al Ghafri</v>
          </cell>
          <cell r="D35">
            <v>39653</v>
          </cell>
          <cell r="E35">
            <v>39738</v>
          </cell>
          <cell r="F35">
            <v>6</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t="str">
            <v>x</v>
          </cell>
          <cell r="AG35" t="str">
            <v>x</v>
          </cell>
          <cell r="AH35" t="str">
            <v>x</v>
          </cell>
          <cell r="AI35" t="str">
            <v>x</v>
          </cell>
          <cell r="AJ35" t="str">
            <v>x</v>
          </cell>
          <cell r="AK35" t="str">
            <v>x</v>
          </cell>
          <cell r="AL35">
            <v>26</v>
          </cell>
          <cell r="AM35">
            <v>0</v>
          </cell>
          <cell r="AN35">
            <v>0</v>
          </cell>
          <cell r="AO35">
            <v>6</v>
          </cell>
          <cell r="AP35">
            <v>0</v>
          </cell>
          <cell r="AQ35">
            <v>0</v>
          </cell>
          <cell r="AR35">
            <v>26</v>
          </cell>
          <cell r="AS35" t="str">
            <v>Casual Labour</v>
          </cell>
          <cell r="AV35">
            <v>120</v>
          </cell>
          <cell r="AW35">
            <v>25</v>
          </cell>
          <cell r="AX35">
            <v>30</v>
          </cell>
          <cell r="AY35">
            <v>20</v>
          </cell>
          <cell r="AZ35">
            <v>0.625</v>
          </cell>
        </row>
        <row r="36">
          <cell r="B36">
            <v>1975</v>
          </cell>
          <cell r="C36" t="str">
            <v>Mohammed Khamis Obaid Al Abri</v>
          </cell>
          <cell r="D36">
            <v>39653</v>
          </cell>
          <cell r="E36">
            <v>39738</v>
          </cell>
          <cell r="F36" t="str">
            <v>L</v>
          </cell>
          <cell r="G36" t="str">
            <v>L</v>
          </cell>
          <cell r="H36" t="str">
            <v>L</v>
          </cell>
          <cell r="I36" t="str">
            <v>L</v>
          </cell>
          <cell r="J36" t="str">
            <v>L</v>
          </cell>
          <cell r="K36" t="str">
            <v>A</v>
          </cell>
          <cell r="L36" t="str">
            <v>A</v>
          </cell>
          <cell r="M36" t="str">
            <v>A</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t="str">
            <v>x</v>
          </cell>
          <cell r="AG36" t="str">
            <v>x</v>
          </cell>
          <cell r="AH36" t="str">
            <v>x</v>
          </cell>
          <cell r="AI36" t="str">
            <v>x</v>
          </cell>
          <cell r="AJ36" t="str">
            <v>x</v>
          </cell>
          <cell r="AK36" t="str">
            <v>x</v>
          </cell>
          <cell r="AL36">
            <v>18</v>
          </cell>
          <cell r="AM36">
            <v>0</v>
          </cell>
          <cell r="AN36">
            <v>5</v>
          </cell>
          <cell r="AO36">
            <v>0</v>
          </cell>
          <cell r="AP36">
            <v>0</v>
          </cell>
          <cell r="AQ36">
            <v>0</v>
          </cell>
          <cell r="AR36">
            <v>18</v>
          </cell>
          <cell r="AS36" t="str">
            <v>Casual Labour</v>
          </cell>
          <cell r="AV36">
            <v>120</v>
          </cell>
          <cell r="AW36">
            <v>25</v>
          </cell>
          <cell r="AX36">
            <v>30</v>
          </cell>
          <cell r="AY36">
            <v>20</v>
          </cell>
          <cell r="AZ36">
            <v>0.625</v>
          </cell>
        </row>
        <row r="37">
          <cell r="B37">
            <v>1977</v>
          </cell>
          <cell r="C37" t="str">
            <v>Fahad Salim Mas'oud Al Jabri</v>
          </cell>
          <cell r="D37">
            <v>39648</v>
          </cell>
          <cell r="E37">
            <v>39733</v>
          </cell>
          <cell r="F37">
            <v>6</v>
          </cell>
          <cell r="G37">
            <v>0</v>
          </cell>
          <cell r="H37">
            <v>0</v>
          </cell>
          <cell r="I37">
            <v>0</v>
          </cell>
          <cell r="J37">
            <v>0</v>
          </cell>
          <cell r="K37">
            <v>0</v>
          </cell>
          <cell r="L37" t="str">
            <v>A</v>
          </cell>
          <cell r="M37" t="str">
            <v>A</v>
          </cell>
          <cell r="N37" t="str">
            <v>A</v>
          </cell>
          <cell r="O37" t="str">
            <v>A</v>
          </cell>
          <cell r="P37" t="str">
            <v>A</v>
          </cell>
          <cell r="Q37" t="str">
            <v>A</v>
          </cell>
          <cell r="R37" t="str">
            <v>A</v>
          </cell>
          <cell r="S37" t="str">
            <v>A</v>
          </cell>
          <cell r="T37" t="str">
            <v>A</v>
          </cell>
          <cell r="U37" t="str">
            <v>A</v>
          </cell>
          <cell r="V37" t="str">
            <v>A</v>
          </cell>
          <cell r="W37" t="str">
            <v>A</v>
          </cell>
          <cell r="X37" t="str">
            <v>A</v>
          </cell>
          <cell r="Y37">
            <v>0</v>
          </cell>
          <cell r="Z37">
            <v>0</v>
          </cell>
          <cell r="AA37">
            <v>0</v>
          </cell>
          <cell r="AB37">
            <v>0</v>
          </cell>
          <cell r="AC37">
            <v>0</v>
          </cell>
          <cell r="AD37">
            <v>0</v>
          </cell>
          <cell r="AE37">
            <v>0</v>
          </cell>
          <cell r="AF37">
            <v>0</v>
          </cell>
          <cell r="AG37">
            <v>0</v>
          </cell>
          <cell r="AH37">
            <v>0</v>
          </cell>
          <cell r="AI37" t="str">
            <v>A</v>
          </cell>
          <cell r="AJ37" t="str">
            <v>x</v>
          </cell>
          <cell r="AK37" t="str">
            <v>x</v>
          </cell>
          <cell r="AL37">
            <v>16</v>
          </cell>
          <cell r="AM37">
            <v>0</v>
          </cell>
          <cell r="AN37">
            <v>0</v>
          </cell>
          <cell r="AO37">
            <v>6</v>
          </cell>
          <cell r="AP37">
            <v>0</v>
          </cell>
          <cell r="AQ37">
            <v>0</v>
          </cell>
          <cell r="AR37">
            <v>16</v>
          </cell>
          <cell r="AS37" t="str">
            <v>Casual Labour</v>
          </cell>
          <cell r="AV37">
            <v>120</v>
          </cell>
          <cell r="AW37">
            <v>25</v>
          </cell>
          <cell r="AX37">
            <v>30</v>
          </cell>
          <cell r="AY37">
            <v>20</v>
          </cell>
          <cell r="AZ37">
            <v>0.625</v>
          </cell>
        </row>
        <row r="38">
          <cell r="B38">
            <v>1979</v>
          </cell>
          <cell r="C38" t="str">
            <v>Hamed Mubark Salam Al Yaqoobi</v>
          </cell>
          <cell r="D38">
            <v>39655</v>
          </cell>
          <cell r="E38">
            <v>39740</v>
          </cell>
          <cell r="F38" t="str">
            <v>L</v>
          </cell>
          <cell r="G38" t="str">
            <v>L</v>
          </cell>
          <cell r="H38" t="str">
            <v>L</v>
          </cell>
          <cell r="I38" t="str">
            <v>L</v>
          </cell>
          <cell r="J38" t="str">
            <v>L</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7</v>
          </cell>
          <cell r="Z38">
            <v>0</v>
          </cell>
          <cell r="AA38">
            <v>0</v>
          </cell>
          <cell r="AB38">
            <v>0</v>
          </cell>
          <cell r="AC38">
            <v>0</v>
          </cell>
          <cell r="AD38">
            <v>0</v>
          </cell>
          <cell r="AE38">
            <v>0</v>
          </cell>
          <cell r="AF38">
            <v>0</v>
          </cell>
          <cell r="AG38">
            <v>0</v>
          </cell>
          <cell r="AH38">
            <v>0</v>
          </cell>
          <cell r="AI38" t="str">
            <v>L</v>
          </cell>
          <cell r="AJ38" t="str">
            <v>x</v>
          </cell>
          <cell r="AK38" t="str">
            <v>x</v>
          </cell>
          <cell r="AL38">
            <v>24</v>
          </cell>
          <cell r="AM38">
            <v>0</v>
          </cell>
          <cell r="AN38">
            <v>6</v>
          </cell>
          <cell r="AO38">
            <v>7</v>
          </cell>
          <cell r="AP38">
            <v>0</v>
          </cell>
          <cell r="AQ38">
            <v>0</v>
          </cell>
          <cell r="AR38">
            <v>24</v>
          </cell>
          <cell r="AS38" t="str">
            <v>Casual Labour</v>
          </cell>
          <cell r="AV38">
            <v>120</v>
          </cell>
          <cell r="AW38">
            <v>25</v>
          </cell>
          <cell r="AX38">
            <v>30</v>
          </cell>
          <cell r="AY38">
            <v>20</v>
          </cell>
          <cell r="AZ38">
            <v>0.625</v>
          </cell>
        </row>
        <row r="39">
          <cell r="B39">
            <v>1980</v>
          </cell>
          <cell r="C39" t="str">
            <v>Ali Shoon Musallam Al Khaldi</v>
          </cell>
          <cell r="D39">
            <v>39657</v>
          </cell>
          <cell r="E39">
            <v>39742</v>
          </cell>
          <cell r="F39">
            <v>7</v>
          </cell>
          <cell r="G39">
            <v>0</v>
          </cell>
          <cell r="H39">
            <v>0</v>
          </cell>
          <cell r="I39">
            <v>2</v>
          </cell>
          <cell r="J39">
            <v>4</v>
          </cell>
          <cell r="K39">
            <v>0</v>
          </cell>
          <cell r="L39">
            <v>0</v>
          </cell>
          <cell r="M39">
            <v>0</v>
          </cell>
          <cell r="N39">
            <v>0</v>
          </cell>
          <cell r="O39">
            <v>2</v>
          </cell>
          <cell r="P39">
            <v>2</v>
          </cell>
          <cell r="Q39">
            <v>5</v>
          </cell>
          <cell r="R39">
            <v>4</v>
          </cell>
          <cell r="S39">
            <v>4</v>
          </cell>
          <cell r="T39">
            <v>5</v>
          </cell>
          <cell r="U39">
            <v>5</v>
          </cell>
          <cell r="V39">
            <v>5</v>
          </cell>
          <cell r="W39">
            <v>0</v>
          </cell>
          <cell r="X39">
            <v>0</v>
          </cell>
          <cell r="Y39" t="str">
            <v>L</v>
          </cell>
          <cell r="Z39" t="str">
            <v>L</v>
          </cell>
          <cell r="AA39" t="str">
            <v>L</v>
          </cell>
          <cell r="AB39" t="str">
            <v>L</v>
          </cell>
          <cell r="AC39" t="str">
            <v>L</v>
          </cell>
          <cell r="AD39" t="str">
            <v>L</v>
          </cell>
          <cell r="AE39" t="str">
            <v>L</v>
          </cell>
          <cell r="AF39">
            <v>8</v>
          </cell>
          <cell r="AG39">
            <v>0</v>
          </cell>
          <cell r="AH39">
            <v>0</v>
          </cell>
          <cell r="AI39" t="str">
            <v>L</v>
          </cell>
          <cell r="AJ39" t="str">
            <v>x</v>
          </cell>
          <cell r="AK39" t="str">
            <v>x</v>
          </cell>
          <cell r="AL39">
            <v>22</v>
          </cell>
          <cell r="AM39">
            <v>0</v>
          </cell>
          <cell r="AN39">
            <v>8</v>
          </cell>
          <cell r="AO39">
            <v>53</v>
          </cell>
          <cell r="AP39">
            <v>0</v>
          </cell>
          <cell r="AQ39">
            <v>0</v>
          </cell>
          <cell r="AR39">
            <v>22</v>
          </cell>
          <cell r="AS39" t="str">
            <v>Casual Heavy Duty Driver</v>
          </cell>
          <cell r="AV39">
            <v>180</v>
          </cell>
          <cell r="AW39">
            <v>40</v>
          </cell>
          <cell r="AX39">
            <v>45</v>
          </cell>
          <cell r="AY39">
            <v>30</v>
          </cell>
          <cell r="AZ39">
            <v>0.9375</v>
          </cell>
        </row>
        <row r="40">
          <cell r="B40">
            <v>1981</v>
          </cell>
          <cell r="C40" t="str">
            <v>Khalid Juma Khalfan Al Mahhrezi</v>
          </cell>
          <cell r="D40">
            <v>39657</v>
          </cell>
          <cell r="E40">
            <v>39742</v>
          </cell>
          <cell r="F40">
            <v>2</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t="str">
            <v>L</v>
          </cell>
          <cell r="Z40" t="str">
            <v>L</v>
          </cell>
          <cell r="AA40" t="str">
            <v>L</v>
          </cell>
          <cell r="AB40" t="str">
            <v>L</v>
          </cell>
          <cell r="AC40" t="str">
            <v>L</v>
          </cell>
          <cell r="AD40" t="str">
            <v>L</v>
          </cell>
          <cell r="AE40" t="str">
            <v>L</v>
          </cell>
          <cell r="AF40" t="str">
            <v>A</v>
          </cell>
          <cell r="AG40" t="str">
            <v>A</v>
          </cell>
          <cell r="AH40" t="str">
            <v>A</v>
          </cell>
          <cell r="AI40" t="str">
            <v>A</v>
          </cell>
          <cell r="AJ40" t="str">
            <v>x</v>
          </cell>
          <cell r="AK40" t="str">
            <v>x</v>
          </cell>
          <cell r="AL40">
            <v>19</v>
          </cell>
          <cell r="AM40">
            <v>0</v>
          </cell>
          <cell r="AN40">
            <v>7</v>
          </cell>
          <cell r="AO40">
            <v>2</v>
          </cell>
          <cell r="AP40">
            <v>0</v>
          </cell>
          <cell r="AQ40">
            <v>0</v>
          </cell>
          <cell r="AR40">
            <v>19</v>
          </cell>
          <cell r="AS40" t="str">
            <v>Casual Labour</v>
          </cell>
          <cell r="AV40">
            <v>120</v>
          </cell>
          <cell r="AW40">
            <v>25</v>
          </cell>
          <cell r="AX40">
            <v>30</v>
          </cell>
          <cell r="AY40">
            <v>20</v>
          </cell>
          <cell r="AZ40">
            <v>0.625</v>
          </cell>
        </row>
        <row r="41">
          <cell r="B41">
            <v>1984</v>
          </cell>
          <cell r="C41" t="str">
            <v>Ali Said Ali Al Khaldi</v>
          </cell>
          <cell r="D41">
            <v>39658</v>
          </cell>
          <cell r="E41">
            <v>39743</v>
          </cell>
          <cell r="F41">
            <v>2</v>
          </cell>
          <cell r="G41">
            <v>0</v>
          </cell>
          <cell r="H41">
            <v>0</v>
          </cell>
          <cell r="I41" t="str">
            <v>L</v>
          </cell>
          <cell r="J41" t="str">
            <v>L</v>
          </cell>
          <cell r="K41" t="str">
            <v>L</v>
          </cell>
          <cell r="L41" t="str">
            <v>L</v>
          </cell>
          <cell r="M41" t="str">
            <v>L</v>
          </cell>
          <cell r="N41" t="str">
            <v>L</v>
          </cell>
          <cell r="O41" t="str">
            <v>L</v>
          </cell>
          <cell r="P41" t="str">
            <v>A</v>
          </cell>
          <cell r="Q41" t="str">
            <v>A</v>
          </cell>
          <cell r="R41">
            <v>0</v>
          </cell>
          <cell r="S41">
            <v>0</v>
          </cell>
          <cell r="T41">
            <v>0</v>
          </cell>
          <cell r="U41">
            <v>0</v>
          </cell>
          <cell r="V41">
            <v>0</v>
          </cell>
          <cell r="W41">
            <v>0</v>
          </cell>
          <cell r="X41">
            <v>0</v>
          </cell>
          <cell r="Y41">
            <v>0</v>
          </cell>
          <cell r="Z41" t="str">
            <v>A</v>
          </cell>
          <cell r="AA41" t="str">
            <v>A</v>
          </cell>
          <cell r="AB41">
            <v>0</v>
          </cell>
          <cell r="AC41">
            <v>0</v>
          </cell>
          <cell r="AD41">
            <v>0</v>
          </cell>
          <cell r="AE41">
            <v>0</v>
          </cell>
          <cell r="AF41">
            <v>0</v>
          </cell>
          <cell r="AG41">
            <v>0</v>
          </cell>
          <cell r="AH41">
            <v>0</v>
          </cell>
          <cell r="AI41" t="str">
            <v>L</v>
          </cell>
          <cell r="AJ41" t="str">
            <v>x</v>
          </cell>
          <cell r="AK41" t="str">
            <v>x</v>
          </cell>
          <cell r="AL41">
            <v>18</v>
          </cell>
          <cell r="AM41">
            <v>0</v>
          </cell>
          <cell r="AN41">
            <v>8</v>
          </cell>
          <cell r="AO41">
            <v>2</v>
          </cell>
          <cell r="AP41">
            <v>0</v>
          </cell>
          <cell r="AQ41">
            <v>0</v>
          </cell>
          <cell r="AR41">
            <v>18</v>
          </cell>
          <cell r="AS41" t="str">
            <v>Casual Labour</v>
          </cell>
          <cell r="AV41">
            <v>120</v>
          </cell>
          <cell r="AW41">
            <v>25</v>
          </cell>
          <cell r="AX41">
            <v>30</v>
          </cell>
          <cell r="AY41">
            <v>20</v>
          </cell>
          <cell r="AZ41">
            <v>0.625</v>
          </cell>
        </row>
        <row r="42">
          <cell r="B42">
            <v>1996</v>
          </cell>
          <cell r="C42" t="str">
            <v>Yahya Musabah Ghanim Al Ghafri</v>
          </cell>
          <cell r="D42">
            <v>39662</v>
          </cell>
          <cell r="E42">
            <v>39747</v>
          </cell>
          <cell r="F42">
            <v>2</v>
          </cell>
          <cell r="G42">
            <v>0</v>
          </cell>
          <cell r="H42">
            <v>0</v>
          </cell>
          <cell r="I42">
            <v>0</v>
          </cell>
          <cell r="J42">
            <v>0</v>
          </cell>
          <cell r="K42">
            <v>0</v>
          </cell>
          <cell r="L42">
            <v>0</v>
          </cell>
          <cell r="M42">
            <v>0</v>
          </cell>
          <cell r="N42">
            <v>0</v>
          </cell>
          <cell r="O42">
            <v>0</v>
          </cell>
          <cell r="P42">
            <v>0</v>
          </cell>
          <cell r="Q42">
            <v>0</v>
          </cell>
          <cell r="R42" t="str">
            <v>x</v>
          </cell>
          <cell r="S42" t="str">
            <v>x</v>
          </cell>
          <cell r="T42" t="str">
            <v>x</v>
          </cell>
          <cell r="U42" t="str">
            <v>x</v>
          </cell>
          <cell r="V42" t="str">
            <v>x</v>
          </cell>
          <cell r="W42" t="str">
            <v>x</v>
          </cell>
          <cell r="X42" t="str">
            <v>x</v>
          </cell>
          <cell r="Y42" t="str">
            <v>x</v>
          </cell>
          <cell r="Z42" t="str">
            <v>x</v>
          </cell>
          <cell r="AA42" t="str">
            <v>x</v>
          </cell>
          <cell r="AB42" t="str">
            <v>x</v>
          </cell>
          <cell r="AC42" t="str">
            <v>x</v>
          </cell>
          <cell r="AD42" t="str">
            <v>x</v>
          </cell>
          <cell r="AE42" t="str">
            <v>x</v>
          </cell>
          <cell r="AF42" t="str">
            <v>x</v>
          </cell>
          <cell r="AG42" t="str">
            <v>x</v>
          </cell>
          <cell r="AH42" t="str">
            <v>x</v>
          </cell>
          <cell r="AI42" t="str">
            <v>x</v>
          </cell>
          <cell r="AJ42" t="str">
            <v>x</v>
          </cell>
          <cell r="AK42" t="str">
            <v>x</v>
          </cell>
          <cell r="AL42">
            <v>12</v>
          </cell>
          <cell r="AM42">
            <v>0</v>
          </cell>
          <cell r="AN42">
            <v>0</v>
          </cell>
          <cell r="AO42">
            <v>2</v>
          </cell>
          <cell r="AP42">
            <v>0</v>
          </cell>
          <cell r="AQ42">
            <v>0</v>
          </cell>
          <cell r="AR42">
            <v>12</v>
          </cell>
          <cell r="AS42" t="str">
            <v>Casual Labour</v>
          </cell>
          <cell r="AV42">
            <v>120</v>
          </cell>
          <cell r="AW42">
            <v>25</v>
          </cell>
          <cell r="AX42">
            <v>30</v>
          </cell>
          <cell r="AY42">
            <v>20</v>
          </cell>
          <cell r="AZ42">
            <v>0.625</v>
          </cell>
        </row>
        <row r="43">
          <cell r="B43">
            <v>1997</v>
          </cell>
          <cell r="C43" t="str">
            <v>Ali Jamil Salim Al Yaqoubi</v>
          </cell>
          <cell r="D43">
            <v>39662</v>
          </cell>
          <cell r="E43">
            <v>39747</v>
          </cell>
          <cell r="F43" t="str">
            <v>L</v>
          </cell>
          <cell r="G43" t="str">
            <v>L</v>
          </cell>
          <cell r="H43" t="str">
            <v>L</v>
          </cell>
          <cell r="I43" t="str">
            <v>L</v>
          </cell>
          <cell r="J43" t="str">
            <v>L</v>
          </cell>
          <cell r="K43" t="str">
            <v>A</v>
          </cell>
          <cell r="L43" t="str">
            <v>A</v>
          </cell>
          <cell r="M43" t="str">
            <v>A</v>
          </cell>
          <cell r="N43" t="str">
            <v>A</v>
          </cell>
          <cell r="O43" t="str">
            <v>A</v>
          </cell>
          <cell r="P43" t="str">
            <v>A</v>
          </cell>
          <cell r="Q43" t="str">
            <v>A</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t="str">
            <v>x</v>
          </cell>
          <cell r="AG43" t="str">
            <v>x</v>
          </cell>
          <cell r="AH43" t="str">
            <v>x</v>
          </cell>
          <cell r="AI43" t="str">
            <v>x</v>
          </cell>
          <cell r="AJ43" t="str">
            <v>x</v>
          </cell>
          <cell r="AK43" t="str">
            <v>x</v>
          </cell>
          <cell r="AL43">
            <v>14</v>
          </cell>
          <cell r="AM43">
            <v>0</v>
          </cell>
          <cell r="AN43">
            <v>5</v>
          </cell>
          <cell r="AO43">
            <v>0</v>
          </cell>
          <cell r="AP43">
            <v>0</v>
          </cell>
          <cell r="AQ43">
            <v>0</v>
          </cell>
          <cell r="AR43">
            <v>14</v>
          </cell>
          <cell r="AS43" t="str">
            <v>Casual Labour</v>
          </cell>
          <cell r="AV43">
            <v>120</v>
          </cell>
          <cell r="AW43">
            <v>25</v>
          </cell>
          <cell r="AX43">
            <v>30</v>
          </cell>
          <cell r="AY43">
            <v>20</v>
          </cell>
          <cell r="AZ43">
            <v>0.625</v>
          </cell>
        </row>
        <row r="44">
          <cell r="B44">
            <v>2000</v>
          </cell>
          <cell r="C44" t="str">
            <v>Khalid Saloom Said Al Ghafri</v>
          </cell>
          <cell r="D44">
            <v>39662</v>
          </cell>
          <cell r="E44">
            <v>39747</v>
          </cell>
          <cell r="F44" t="str">
            <v>L</v>
          </cell>
          <cell r="G44" t="str">
            <v>L</v>
          </cell>
          <cell r="H44" t="str">
            <v>L</v>
          </cell>
          <cell r="I44" t="str">
            <v>L</v>
          </cell>
          <cell r="J44" t="str">
            <v>L</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t="str">
            <v>L</v>
          </cell>
          <cell r="AJ44" t="str">
            <v>x</v>
          </cell>
          <cell r="AK44" t="str">
            <v>x</v>
          </cell>
          <cell r="AL44">
            <v>24</v>
          </cell>
          <cell r="AM44">
            <v>0</v>
          </cell>
          <cell r="AN44">
            <v>6</v>
          </cell>
          <cell r="AO44">
            <v>0</v>
          </cell>
          <cell r="AP44">
            <v>0</v>
          </cell>
          <cell r="AQ44">
            <v>0</v>
          </cell>
          <cell r="AR44">
            <v>24</v>
          </cell>
          <cell r="AS44" t="str">
            <v>Casual Labour</v>
          </cell>
          <cell r="AV44">
            <v>120</v>
          </cell>
          <cell r="AW44">
            <v>25</v>
          </cell>
          <cell r="AX44">
            <v>30</v>
          </cell>
          <cell r="AY44">
            <v>20</v>
          </cell>
          <cell r="AZ44">
            <v>0.625</v>
          </cell>
        </row>
        <row r="45">
          <cell r="B45">
            <v>2001</v>
          </cell>
          <cell r="C45" t="str">
            <v>Hamed Nasser Mohammed Al Ghafri</v>
          </cell>
          <cell r="D45">
            <v>39662</v>
          </cell>
          <cell r="E45">
            <v>39747</v>
          </cell>
          <cell r="F45" t="str">
            <v>L</v>
          </cell>
          <cell r="G45" t="str">
            <v>L</v>
          </cell>
          <cell r="H45" t="str">
            <v>L</v>
          </cell>
          <cell r="I45" t="str">
            <v>L</v>
          </cell>
          <cell r="J45" t="str">
            <v>L</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t="str">
            <v>L</v>
          </cell>
          <cell r="AJ45" t="str">
            <v>x</v>
          </cell>
          <cell r="AK45" t="str">
            <v>x</v>
          </cell>
          <cell r="AL45">
            <v>24</v>
          </cell>
          <cell r="AM45">
            <v>0</v>
          </cell>
          <cell r="AN45">
            <v>6</v>
          </cell>
          <cell r="AO45">
            <v>0</v>
          </cell>
          <cell r="AP45">
            <v>0</v>
          </cell>
          <cell r="AQ45">
            <v>0</v>
          </cell>
          <cell r="AR45">
            <v>24</v>
          </cell>
          <cell r="AS45" t="str">
            <v>Casual Labour</v>
          </cell>
          <cell r="AV45">
            <v>120</v>
          </cell>
          <cell r="AW45">
            <v>25</v>
          </cell>
          <cell r="AX45">
            <v>30</v>
          </cell>
          <cell r="AY45">
            <v>20</v>
          </cell>
          <cell r="AZ45">
            <v>0.625</v>
          </cell>
        </row>
        <row r="46">
          <cell r="B46">
            <v>2002</v>
          </cell>
          <cell r="C46" t="str">
            <v>Mustafah Dhuhai Ruwaid Al Busaidi</v>
          </cell>
          <cell r="D46">
            <v>39662</v>
          </cell>
          <cell r="E46">
            <v>39747</v>
          </cell>
          <cell r="F46">
            <v>2</v>
          </cell>
          <cell r="G46">
            <v>0</v>
          </cell>
          <cell r="H46">
            <v>0</v>
          </cell>
          <cell r="I46">
            <v>0</v>
          </cell>
          <cell r="J46">
            <v>0</v>
          </cell>
          <cell r="K46" t="str">
            <v>L</v>
          </cell>
          <cell r="L46" t="str">
            <v>L</v>
          </cell>
          <cell r="M46" t="str">
            <v>L</v>
          </cell>
          <cell r="N46" t="str">
            <v>L</v>
          </cell>
          <cell r="O46" t="str">
            <v>L</v>
          </cell>
          <cell r="P46" t="str">
            <v>L</v>
          </cell>
          <cell r="Q46" t="str">
            <v>L</v>
          </cell>
          <cell r="R46">
            <v>0</v>
          </cell>
          <cell r="S46">
            <v>7</v>
          </cell>
          <cell r="T46">
            <v>7</v>
          </cell>
          <cell r="U46">
            <v>0</v>
          </cell>
          <cell r="V46">
            <v>0</v>
          </cell>
          <cell r="W46">
            <v>6</v>
          </cell>
          <cell r="X46">
            <v>7</v>
          </cell>
          <cell r="Y46">
            <v>7</v>
          </cell>
          <cell r="Z46">
            <v>9</v>
          </cell>
          <cell r="AA46">
            <v>7</v>
          </cell>
          <cell r="AB46">
            <v>7</v>
          </cell>
          <cell r="AC46">
            <v>7</v>
          </cell>
          <cell r="AD46">
            <v>7</v>
          </cell>
          <cell r="AE46">
            <v>7</v>
          </cell>
          <cell r="AF46">
            <v>7.5</v>
          </cell>
          <cell r="AG46">
            <v>0</v>
          </cell>
          <cell r="AH46">
            <v>0</v>
          </cell>
          <cell r="AI46" t="str">
            <v>L</v>
          </cell>
          <cell r="AJ46" t="str">
            <v>x</v>
          </cell>
          <cell r="AK46" t="str">
            <v>x</v>
          </cell>
          <cell r="AL46">
            <v>22</v>
          </cell>
          <cell r="AM46">
            <v>0</v>
          </cell>
          <cell r="AN46">
            <v>8</v>
          </cell>
          <cell r="AO46">
            <v>87.5</v>
          </cell>
          <cell r="AP46">
            <v>0</v>
          </cell>
          <cell r="AQ46">
            <v>0</v>
          </cell>
          <cell r="AR46">
            <v>22</v>
          </cell>
          <cell r="AS46" t="str">
            <v>Casual Labour</v>
          </cell>
          <cell r="AV46">
            <v>120</v>
          </cell>
          <cell r="AW46">
            <v>25</v>
          </cell>
          <cell r="AX46">
            <v>30</v>
          </cell>
          <cell r="AY46">
            <v>20</v>
          </cell>
          <cell r="AZ46">
            <v>0.625</v>
          </cell>
        </row>
        <row r="47">
          <cell r="B47">
            <v>2004</v>
          </cell>
          <cell r="C47" t="str">
            <v>AbdulMalik Abdullah Said Al Ghassani</v>
          </cell>
          <cell r="D47">
            <v>39664</v>
          </cell>
          <cell r="E47">
            <v>39749</v>
          </cell>
          <cell r="F47">
            <v>6</v>
          </cell>
          <cell r="G47">
            <v>4</v>
          </cell>
          <cell r="H47">
            <v>0</v>
          </cell>
          <cell r="I47">
            <v>2</v>
          </cell>
          <cell r="J47">
            <v>0</v>
          </cell>
          <cell r="K47" t="str">
            <v>L</v>
          </cell>
          <cell r="L47" t="str">
            <v>L</v>
          </cell>
          <cell r="M47" t="str">
            <v>L</v>
          </cell>
          <cell r="N47" t="str">
            <v>L</v>
          </cell>
          <cell r="O47" t="str">
            <v>L</v>
          </cell>
          <cell r="P47" t="str">
            <v>L</v>
          </cell>
          <cell r="Q47" t="str">
            <v>L</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t="str">
            <v>L</v>
          </cell>
          <cell r="AJ47" t="str">
            <v>x</v>
          </cell>
          <cell r="AK47" t="str">
            <v>x</v>
          </cell>
          <cell r="AL47">
            <v>22</v>
          </cell>
          <cell r="AM47">
            <v>0</v>
          </cell>
          <cell r="AN47">
            <v>8</v>
          </cell>
          <cell r="AO47">
            <v>12</v>
          </cell>
          <cell r="AP47">
            <v>0</v>
          </cell>
          <cell r="AQ47">
            <v>0</v>
          </cell>
          <cell r="AR47">
            <v>22</v>
          </cell>
          <cell r="AS47" t="str">
            <v>Casual Labour</v>
          </cell>
          <cell r="AV47">
            <v>120</v>
          </cell>
          <cell r="AW47">
            <v>25</v>
          </cell>
          <cell r="AX47">
            <v>30</v>
          </cell>
          <cell r="AY47">
            <v>20</v>
          </cell>
          <cell r="AZ47">
            <v>0.625</v>
          </cell>
        </row>
        <row r="48">
          <cell r="B48">
            <v>2005</v>
          </cell>
          <cell r="C48" t="str">
            <v>Hussein  Ali Salim Al Kalbani</v>
          </cell>
          <cell r="D48">
            <v>39666</v>
          </cell>
          <cell r="E48">
            <v>39751</v>
          </cell>
          <cell r="F48">
            <v>6</v>
          </cell>
          <cell r="G48">
            <v>4</v>
          </cell>
          <cell r="H48">
            <v>0</v>
          </cell>
          <cell r="I48">
            <v>2</v>
          </cell>
          <cell r="J48">
            <v>0</v>
          </cell>
          <cell r="K48">
            <v>0</v>
          </cell>
          <cell r="L48">
            <v>0</v>
          </cell>
          <cell r="M48">
            <v>0</v>
          </cell>
          <cell r="N48">
            <v>0</v>
          </cell>
          <cell r="O48">
            <v>0</v>
          </cell>
          <cell r="P48">
            <v>0</v>
          </cell>
          <cell r="Q48">
            <v>0</v>
          </cell>
          <cell r="R48">
            <v>7</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t="str">
            <v>L</v>
          </cell>
          <cell r="AJ48" t="str">
            <v>x</v>
          </cell>
          <cell r="AK48" t="str">
            <v>x</v>
          </cell>
          <cell r="AL48">
            <v>29</v>
          </cell>
          <cell r="AM48">
            <v>0</v>
          </cell>
          <cell r="AN48">
            <v>1</v>
          </cell>
          <cell r="AO48">
            <v>19</v>
          </cell>
          <cell r="AP48">
            <v>0</v>
          </cell>
          <cell r="AQ48">
            <v>0</v>
          </cell>
          <cell r="AR48">
            <v>29</v>
          </cell>
          <cell r="AS48" t="str">
            <v>Casual Labour</v>
          </cell>
          <cell r="AV48">
            <v>120</v>
          </cell>
          <cell r="AW48">
            <v>25</v>
          </cell>
          <cell r="AX48">
            <v>30</v>
          </cell>
          <cell r="AY48">
            <v>20</v>
          </cell>
          <cell r="AZ48">
            <v>0.625</v>
          </cell>
        </row>
        <row r="49">
          <cell r="B49">
            <v>2006</v>
          </cell>
          <cell r="C49" t="str">
            <v>Khamis Saif Khamis Al Hinai</v>
          </cell>
          <cell r="D49">
            <v>39666</v>
          </cell>
          <cell r="E49">
            <v>39751</v>
          </cell>
          <cell r="F49">
            <v>2</v>
          </cell>
          <cell r="G49">
            <v>0</v>
          </cell>
          <cell r="H49">
            <v>0</v>
          </cell>
          <cell r="I49">
            <v>0</v>
          </cell>
          <cell r="J49">
            <v>0</v>
          </cell>
          <cell r="K49">
            <v>0</v>
          </cell>
          <cell r="L49" t="str">
            <v>L</v>
          </cell>
          <cell r="M49" t="str">
            <v>L</v>
          </cell>
          <cell r="N49" t="str">
            <v>L</v>
          </cell>
          <cell r="O49" t="str">
            <v>L</v>
          </cell>
          <cell r="P49" t="str">
            <v>L</v>
          </cell>
          <cell r="Q49" t="str">
            <v>L</v>
          </cell>
          <cell r="R49" t="str">
            <v>L</v>
          </cell>
          <cell r="S49" t="str">
            <v>A</v>
          </cell>
          <cell r="T49" t="str">
            <v>A</v>
          </cell>
          <cell r="U49" t="str">
            <v>A</v>
          </cell>
          <cell r="V49" t="str">
            <v>A</v>
          </cell>
          <cell r="W49" t="str">
            <v>A</v>
          </cell>
          <cell r="X49" t="str">
            <v>A</v>
          </cell>
          <cell r="Y49">
            <v>0</v>
          </cell>
          <cell r="Z49">
            <v>0</v>
          </cell>
          <cell r="AA49">
            <v>0</v>
          </cell>
          <cell r="AB49">
            <v>0</v>
          </cell>
          <cell r="AC49">
            <v>0</v>
          </cell>
          <cell r="AD49">
            <v>0</v>
          </cell>
          <cell r="AE49">
            <v>0</v>
          </cell>
          <cell r="AF49">
            <v>0</v>
          </cell>
          <cell r="AG49">
            <v>0</v>
          </cell>
          <cell r="AH49">
            <v>0</v>
          </cell>
          <cell r="AI49" t="str">
            <v>L</v>
          </cell>
          <cell r="AJ49" t="str">
            <v>x</v>
          </cell>
          <cell r="AK49" t="str">
            <v>x</v>
          </cell>
          <cell r="AL49">
            <v>16</v>
          </cell>
          <cell r="AM49">
            <v>0</v>
          </cell>
          <cell r="AN49">
            <v>8</v>
          </cell>
          <cell r="AO49">
            <v>2</v>
          </cell>
          <cell r="AP49">
            <v>0</v>
          </cell>
          <cell r="AQ49">
            <v>0</v>
          </cell>
          <cell r="AR49">
            <v>16</v>
          </cell>
          <cell r="AS49" t="str">
            <v>Casual Light Duty Driver</v>
          </cell>
          <cell r="AV49">
            <v>150</v>
          </cell>
          <cell r="AW49">
            <v>30</v>
          </cell>
          <cell r="AX49">
            <v>40</v>
          </cell>
          <cell r="AY49">
            <v>25</v>
          </cell>
          <cell r="AZ49">
            <v>0.78125</v>
          </cell>
        </row>
        <row r="50">
          <cell r="B50">
            <v>2007</v>
          </cell>
          <cell r="C50" t="str">
            <v>Ghaddeer Said Salim Al Kalbani</v>
          </cell>
          <cell r="D50">
            <v>39666</v>
          </cell>
          <cell r="E50">
            <v>39751</v>
          </cell>
          <cell r="F50">
            <v>2</v>
          </cell>
          <cell r="G50">
            <v>0</v>
          </cell>
          <cell r="H50">
            <v>0</v>
          </cell>
          <cell r="I50">
            <v>4</v>
          </cell>
          <cell r="J50">
            <v>0</v>
          </cell>
          <cell r="K50">
            <v>0</v>
          </cell>
          <cell r="L50" t="str">
            <v>L</v>
          </cell>
          <cell r="M50" t="str">
            <v>L</v>
          </cell>
          <cell r="N50" t="str">
            <v>L</v>
          </cell>
          <cell r="O50" t="str">
            <v>L</v>
          </cell>
          <cell r="P50" t="str">
            <v>L</v>
          </cell>
          <cell r="Q50" t="str">
            <v>L</v>
          </cell>
          <cell r="R50" t="str">
            <v>L</v>
          </cell>
          <cell r="S50">
            <v>0</v>
          </cell>
          <cell r="T50">
            <v>0</v>
          </cell>
          <cell r="U50">
            <v>0</v>
          </cell>
          <cell r="V50">
            <v>0</v>
          </cell>
          <cell r="W50">
            <v>0</v>
          </cell>
          <cell r="X50">
            <v>0</v>
          </cell>
          <cell r="Y50">
            <v>0</v>
          </cell>
          <cell r="Z50">
            <v>0</v>
          </cell>
          <cell r="AA50">
            <v>0</v>
          </cell>
          <cell r="AB50">
            <v>0</v>
          </cell>
          <cell r="AC50">
            <v>0</v>
          </cell>
          <cell r="AD50">
            <v>0</v>
          </cell>
          <cell r="AE50" t="str">
            <v>S</v>
          </cell>
          <cell r="AF50" t="str">
            <v>A</v>
          </cell>
          <cell r="AG50" t="str">
            <v>A</v>
          </cell>
          <cell r="AH50" t="str">
            <v>A</v>
          </cell>
          <cell r="AI50" t="str">
            <v>A</v>
          </cell>
          <cell r="AJ50" t="str">
            <v>x</v>
          </cell>
          <cell r="AK50" t="str">
            <v>x</v>
          </cell>
          <cell r="AL50">
            <v>18</v>
          </cell>
          <cell r="AM50">
            <v>0</v>
          </cell>
          <cell r="AN50">
            <v>7</v>
          </cell>
          <cell r="AO50">
            <v>6</v>
          </cell>
          <cell r="AP50">
            <v>0</v>
          </cell>
          <cell r="AQ50">
            <v>0</v>
          </cell>
          <cell r="AR50">
            <v>18</v>
          </cell>
          <cell r="AS50" t="str">
            <v>Casual Labour</v>
          </cell>
          <cell r="AV50">
            <v>120</v>
          </cell>
          <cell r="AW50">
            <v>25</v>
          </cell>
          <cell r="AX50">
            <v>30</v>
          </cell>
          <cell r="AY50">
            <v>20</v>
          </cell>
          <cell r="AZ50">
            <v>0.625</v>
          </cell>
        </row>
        <row r="51">
          <cell r="B51">
            <v>2008</v>
          </cell>
          <cell r="C51" t="str">
            <v>Nasser Rashid Hassan Al Hinai</v>
          </cell>
          <cell r="D51">
            <v>39667</v>
          </cell>
          <cell r="E51">
            <v>39752</v>
          </cell>
          <cell r="F51">
            <v>2</v>
          </cell>
          <cell r="G51">
            <v>0</v>
          </cell>
          <cell r="H51">
            <v>0</v>
          </cell>
          <cell r="I51">
            <v>0</v>
          </cell>
          <cell r="J51">
            <v>0</v>
          </cell>
          <cell r="K51" t="str">
            <v>L</v>
          </cell>
          <cell r="L51" t="str">
            <v>L</v>
          </cell>
          <cell r="M51" t="str">
            <v>L</v>
          </cell>
          <cell r="N51" t="str">
            <v>L</v>
          </cell>
          <cell r="O51" t="str">
            <v>L</v>
          </cell>
          <cell r="P51" t="str">
            <v>L</v>
          </cell>
          <cell r="Q51" t="str">
            <v>L</v>
          </cell>
          <cell r="R51" t="str">
            <v>A</v>
          </cell>
          <cell r="S51" t="str">
            <v>A</v>
          </cell>
          <cell r="T51" t="str">
            <v>A</v>
          </cell>
          <cell r="U51" t="str">
            <v>A</v>
          </cell>
          <cell r="V51" t="str">
            <v>A</v>
          </cell>
          <cell r="W51" t="str">
            <v>A</v>
          </cell>
          <cell r="X51" t="str">
            <v>A</v>
          </cell>
          <cell r="Y51">
            <v>0</v>
          </cell>
          <cell r="Z51">
            <v>0</v>
          </cell>
          <cell r="AA51">
            <v>0</v>
          </cell>
          <cell r="AB51">
            <v>0</v>
          </cell>
          <cell r="AC51">
            <v>0</v>
          </cell>
          <cell r="AD51">
            <v>0</v>
          </cell>
          <cell r="AE51">
            <v>0</v>
          </cell>
          <cell r="AF51">
            <v>0</v>
          </cell>
          <cell r="AG51">
            <v>0</v>
          </cell>
          <cell r="AH51">
            <v>0</v>
          </cell>
          <cell r="AI51" t="str">
            <v>L</v>
          </cell>
          <cell r="AJ51" t="str">
            <v>x</v>
          </cell>
          <cell r="AK51" t="str">
            <v>x</v>
          </cell>
          <cell r="AL51">
            <v>15</v>
          </cell>
          <cell r="AM51">
            <v>0</v>
          </cell>
          <cell r="AN51">
            <v>8</v>
          </cell>
          <cell r="AO51">
            <v>2</v>
          </cell>
          <cell r="AP51">
            <v>0</v>
          </cell>
          <cell r="AQ51">
            <v>0</v>
          </cell>
          <cell r="AR51">
            <v>15</v>
          </cell>
          <cell r="AS51" t="str">
            <v>Casual Labour</v>
          </cell>
          <cell r="AV51">
            <v>120</v>
          </cell>
          <cell r="AW51">
            <v>25</v>
          </cell>
          <cell r="AX51">
            <v>30</v>
          </cell>
          <cell r="AY51">
            <v>20</v>
          </cell>
          <cell r="AZ51">
            <v>0.625</v>
          </cell>
        </row>
        <row r="52">
          <cell r="B52">
            <v>2015</v>
          </cell>
          <cell r="C52" t="str">
            <v>Abdulah Hamed Khalfan Al Rabaani</v>
          </cell>
          <cell r="D52">
            <v>39668</v>
          </cell>
          <cell r="E52">
            <v>39758</v>
          </cell>
          <cell r="F52">
            <v>2</v>
          </cell>
          <cell r="G52">
            <v>0</v>
          </cell>
          <cell r="H52">
            <v>0</v>
          </cell>
          <cell r="I52">
            <v>0</v>
          </cell>
          <cell r="J52">
            <v>0</v>
          </cell>
          <cell r="K52" t="str">
            <v>A</v>
          </cell>
          <cell r="L52" t="str">
            <v>L</v>
          </cell>
          <cell r="M52" t="str">
            <v>L</v>
          </cell>
          <cell r="N52" t="str">
            <v>L</v>
          </cell>
          <cell r="O52" t="str">
            <v>L</v>
          </cell>
          <cell r="P52" t="str">
            <v>L</v>
          </cell>
          <cell r="Q52" t="str">
            <v>L</v>
          </cell>
          <cell r="R52" t="str">
            <v>L</v>
          </cell>
          <cell r="S52">
            <v>0</v>
          </cell>
          <cell r="T52">
            <v>0</v>
          </cell>
          <cell r="U52">
            <v>0</v>
          </cell>
          <cell r="V52">
            <v>0</v>
          </cell>
          <cell r="W52">
            <v>0</v>
          </cell>
          <cell r="X52">
            <v>0</v>
          </cell>
          <cell r="Y52">
            <v>0</v>
          </cell>
          <cell r="Z52">
            <v>0</v>
          </cell>
          <cell r="AA52" t="str">
            <v>A</v>
          </cell>
          <cell r="AB52" t="str">
            <v>A</v>
          </cell>
          <cell r="AC52" t="str">
            <v>A</v>
          </cell>
          <cell r="AD52" t="str">
            <v>A</v>
          </cell>
          <cell r="AE52">
            <v>6</v>
          </cell>
          <cell r="AF52">
            <v>8</v>
          </cell>
          <cell r="AG52">
            <v>5</v>
          </cell>
          <cell r="AH52">
            <v>0</v>
          </cell>
          <cell r="AI52" t="str">
            <v>L</v>
          </cell>
          <cell r="AJ52" t="str">
            <v>x</v>
          </cell>
          <cell r="AK52" t="str">
            <v>x</v>
          </cell>
          <cell r="AL52">
            <v>17</v>
          </cell>
          <cell r="AM52">
            <v>0</v>
          </cell>
          <cell r="AN52">
            <v>8</v>
          </cell>
          <cell r="AO52">
            <v>21</v>
          </cell>
          <cell r="AP52">
            <v>0</v>
          </cell>
          <cell r="AQ52">
            <v>0</v>
          </cell>
          <cell r="AR52">
            <v>17</v>
          </cell>
          <cell r="AS52" t="str">
            <v>Casual Heavy Duty Driver</v>
          </cell>
          <cell r="AV52">
            <v>180</v>
          </cell>
          <cell r="AW52">
            <v>40</v>
          </cell>
          <cell r="AX52">
            <v>45</v>
          </cell>
          <cell r="AY52">
            <v>30</v>
          </cell>
          <cell r="AZ52">
            <v>0.9375</v>
          </cell>
        </row>
        <row r="53">
          <cell r="B53">
            <v>2016</v>
          </cell>
          <cell r="C53" t="str">
            <v>Musalam Salim Dhawi Al Ghafri</v>
          </cell>
          <cell r="D53">
            <v>39669</v>
          </cell>
          <cell r="E53">
            <v>39759</v>
          </cell>
          <cell r="F53">
            <v>2</v>
          </cell>
          <cell r="G53">
            <v>0</v>
          </cell>
          <cell r="H53">
            <v>0</v>
          </cell>
          <cell r="I53">
            <v>0</v>
          </cell>
          <cell r="J53">
            <v>0</v>
          </cell>
          <cell r="K53" t="str">
            <v>A</v>
          </cell>
          <cell r="L53" t="str">
            <v>L</v>
          </cell>
          <cell r="M53" t="str">
            <v>L</v>
          </cell>
          <cell r="N53" t="str">
            <v>L</v>
          </cell>
          <cell r="O53" t="str">
            <v>L</v>
          </cell>
          <cell r="P53" t="str">
            <v>L</v>
          </cell>
          <cell r="Q53" t="str">
            <v>L</v>
          </cell>
          <cell r="R53" t="str">
            <v>L</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t="str">
            <v>L</v>
          </cell>
          <cell r="AJ53" t="str">
            <v>x</v>
          </cell>
          <cell r="AK53" t="str">
            <v>x</v>
          </cell>
          <cell r="AL53">
            <v>21</v>
          </cell>
          <cell r="AM53">
            <v>0</v>
          </cell>
          <cell r="AN53">
            <v>8</v>
          </cell>
          <cell r="AO53">
            <v>2</v>
          </cell>
          <cell r="AP53">
            <v>0</v>
          </cell>
          <cell r="AQ53">
            <v>0</v>
          </cell>
          <cell r="AR53">
            <v>21</v>
          </cell>
          <cell r="AS53" t="str">
            <v>Casual Labour</v>
          </cell>
          <cell r="AV53">
            <v>120</v>
          </cell>
          <cell r="AW53">
            <v>25</v>
          </cell>
          <cell r="AX53">
            <v>30</v>
          </cell>
          <cell r="AY53">
            <v>20</v>
          </cell>
          <cell r="AZ53">
            <v>0.625</v>
          </cell>
        </row>
        <row r="54">
          <cell r="B54">
            <v>2017</v>
          </cell>
          <cell r="C54" t="str">
            <v>Yasir Khalifah Ghanim Al Ghafri</v>
          </cell>
          <cell r="D54">
            <v>39669</v>
          </cell>
          <cell r="E54">
            <v>39759</v>
          </cell>
          <cell r="F54">
            <v>2</v>
          </cell>
          <cell r="G54">
            <v>0</v>
          </cell>
          <cell r="H54">
            <v>0</v>
          </cell>
          <cell r="I54" t="str">
            <v>L</v>
          </cell>
          <cell r="J54" t="str">
            <v>L</v>
          </cell>
          <cell r="K54" t="str">
            <v>L</v>
          </cell>
          <cell r="L54" t="str">
            <v>L</v>
          </cell>
          <cell r="M54" t="str">
            <v>L</v>
          </cell>
          <cell r="N54" t="str">
            <v>L</v>
          </cell>
          <cell r="O54" t="str">
            <v>L</v>
          </cell>
          <cell r="P54" t="str">
            <v>L</v>
          </cell>
          <cell r="Q54" t="str">
            <v>L</v>
          </cell>
          <cell r="R54" t="str">
            <v>L</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t="str">
            <v>L</v>
          </cell>
          <cell r="AJ54" t="str">
            <v>x</v>
          </cell>
          <cell r="AK54" t="str">
            <v>x</v>
          </cell>
          <cell r="AL54">
            <v>19</v>
          </cell>
          <cell r="AM54">
            <v>0</v>
          </cell>
          <cell r="AN54">
            <v>11</v>
          </cell>
          <cell r="AO54">
            <v>2</v>
          </cell>
          <cell r="AP54">
            <v>0</v>
          </cell>
          <cell r="AQ54">
            <v>0</v>
          </cell>
          <cell r="AR54">
            <v>19</v>
          </cell>
          <cell r="AS54" t="str">
            <v>Casual Light Duty Driver</v>
          </cell>
          <cell r="AU54" t="str">
            <v>Don't send salary is new employee</v>
          </cell>
          <cell r="AV54">
            <v>150</v>
          </cell>
          <cell r="AW54">
            <v>30</v>
          </cell>
          <cell r="AX54">
            <v>40</v>
          </cell>
          <cell r="AY54">
            <v>25</v>
          </cell>
          <cell r="AZ54">
            <v>0.78125</v>
          </cell>
        </row>
        <row r="55">
          <cell r="B55">
            <v>2018</v>
          </cell>
          <cell r="C55" t="str">
            <v>Toufiq Salim Ghanim Al Ouyahi</v>
          </cell>
          <cell r="D55">
            <v>39669</v>
          </cell>
          <cell r="E55">
            <v>39759</v>
          </cell>
          <cell r="F55">
            <v>2</v>
          </cell>
          <cell r="G55" t="str">
            <v>L</v>
          </cell>
          <cell r="H55" t="str">
            <v>L</v>
          </cell>
          <cell r="I55" t="str">
            <v>L</v>
          </cell>
          <cell r="J55" t="str">
            <v>L</v>
          </cell>
          <cell r="K55" t="str">
            <v>L</v>
          </cell>
          <cell r="L55" t="str">
            <v>L</v>
          </cell>
          <cell r="M55" t="str">
            <v>L</v>
          </cell>
          <cell r="N55" t="str">
            <v>L</v>
          </cell>
          <cell r="O55" t="str">
            <v>L</v>
          </cell>
          <cell r="P55" t="str">
            <v>L</v>
          </cell>
          <cell r="Q55" t="str">
            <v>L</v>
          </cell>
          <cell r="R55" t="str">
            <v>L</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t="str">
            <v>L</v>
          </cell>
          <cell r="AJ55" t="str">
            <v>x</v>
          </cell>
          <cell r="AK55" t="str">
            <v>x</v>
          </cell>
          <cell r="AL55">
            <v>17</v>
          </cell>
          <cell r="AM55">
            <v>0</v>
          </cell>
          <cell r="AN55">
            <v>13</v>
          </cell>
          <cell r="AO55">
            <v>2</v>
          </cell>
          <cell r="AP55">
            <v>0</v>
          </cell>
          <cell r="AQ55">
            <v>0</v>
          </cell>
          <cell r="AR55">
            <v>17</v>
          </cell>
          <cell r="AS55" t="str">
            <v>Casual Light Duty Driver</v>
          </cell>
          <cell r="AU55" t="str">
            <v>Don't send salary is new employee</v>
          </cell>
          <cell r="AV55">
            <v>150</v>
          </cell>
          <cell r="AW55">
            <v>30</v>
          </cell>
          <cell r="AX55">
            <v>40</v>
          </cell>
          <cell r="AY55">
            <v>25</v>
          </cell>
          <cell r="AZ55">
            <v>0.78125</v>
          </cell>
        </row>
        <row r="56">
          <cell r="B56">
            <v>2020</v>
          </cell>
          <cell r="C56" t="str">
            <v>Mohamee Zaid Haliid Al Nassri</v>
          </cell>
          <cell r="D56">
            <v>39669</v>
          </cell>
          <cell r="E56">
            <v>39759</v>
          </cell>
          <cell r="F56">
            <v>2</v>
          </cell>
          <cell r="G56">
            <v>0</v>
          </cell>
          <cell r="H56">
            <v>0</v>
          </cell>
          <cell r="I56">
            <v>0</v>
          </cell>
          <cell r="J56">
            <v>0</v>
          </cell>
          <cell r="K56">
            <v>0</v>
          </cell>
          <cell r="L56">
            <v>0</v>
          </cell>
          <cell r="M56">
            <v>0</v>
          </cell>
          <cell r="N56">
            <v>0</v>
          </cell>
          <cell r="O56">
            <v>0</v>
          </cell>
          <cell r="P56">
            <v>0</v>
          </cell>
          <cell r="Q56">
            <v>0</v>
          </cell>
          <cell r="R56" t="str">
            <v>L</v>
          </cell>
          <cell r="S56" t="str">
            <v>L</v>
          </cell>
          <cell r="T56" t="str">
            <v>L</v>
          </cell>
          <cell r="U56" t="str">
            <v>L</v>
          </cell>
          <cell r="V56" t="str">
            <v>L</v>
          </cell>
          <cell r="W56" t="str">
            <v>L</v>
          </cell>
          <cell r="X56" t="str">
            <v>L</v>
          </cell>
          <cell r="Y56">
            <v>0</v>
          </cell>
          <cell r="Z56">
            <v>0</v>
          </cell>
          <cell r="AA56">
            <v>0</v>
          </cell>
          <cell r="AB56">
            <v>0</v>
          </cell>
          <cell r="AC56">
            <v>0</v>
          </cell>
          <cell r="AD56">
            <v>0</v>
          </cell>
          <cell r="AE56">
            <v>0</v>
          </cell>
          <cell r="AF56">
            <v>0</v>
          </cell>
          <cell r="AG56">
            <v>0</v>
          </cell>
          <cell r="AH56">
            <v>0</v>
          </cell>
          <cell r="AI56" t="str">
            <v>L</v>
          </cell>
          <cell r="AJ56" t="str">
            <v>x</v>
          </cell>
          <cell r="AK56" t="str">
            <v>x</v>
          </cell>
          <cell r="AL56">
            <v>22</v>
          </cell>
          <cell r="AM56">
            <v>0</v>
          </cell>
          <cell r="AN56">
            <v>8</v>
          </cell>
          <cell r="AO56">
            <v>2</v>
          </cell>
          <cell r="AP56">
            <v>0</v>
          </cell>
          <cell r="AQ56">
            <v>0</v>
          </cell>
          <cell r="AR56">
            <v>22</v>
          </cell>
          <cell r="AS56" t="str">
            <v>Casual Labour</v>
          </cell>
          <cell r="AU56" t="str">
            <v>Pay 2 days on July'08</v>
          </cell>
          <cell r="AV56">
            <v>120</v>
          </cell>
          <cell r="AW56">
            <v>25</v>
          </cell>
          <cell r="AX56">
            <v>30</v>
          </cell>
          <cell r="AY56">
            <v>20</v>
          </cell>
          <cell r="AZ56">
            <v>0.625</v>
          </cell>
        </row>
        <row r="57">
          <cell r="B57">
            <v>2021</v>
          </cell>
          <cell r="C57" t="str">
            <v>Mohameed  Rashid Said Al Ghafri</v>
          </cell>
          <cell r="D57">
            <v>39669</v>
          </cell>
          <cell r="E57">
            <v>39759</v>
          </cell>
          <cell r="F57">
            <v>2</v>
          </cell>
          <cell r="G57">
            <v>0</v>
          </cell>
          <cell r="H57">
            <v>3</v>
          </cell>
          <cell r="I57">
            <v>0</v>
          </cell>
          <cell r="J57">
            <v>0</v>
          </cell>
          <cell r="K57" t="str">
            <v>L</v>
          </cell>
          <cell r="L57" t="str">
            <v>L</v>
          </cell>
          <cell r="M57" t="str">
            <v>L</v>
          </cell>
          <cell r="N57" t="str">
            <v>L</v>
          </cell>
          <cell r="O57" t="str">
            <v>L</v>
          </cell>
          <cell r="P57" t="str">
            <v>L</v>
          </cell>
          <cell r="Q57" t="str">
            <v>L</v>
          </cell>
          <cell r="R57" t="str">
            <v>A</v>
          </cell>
          <cell r="S57">
            <v>4</v>
          </cell>
          <cell r="T57">
            <v>5</v>
          </cell>
          <cell r="U57">
            <v>5</v>
          </cell>
          <cell r="V57">
            <v>5</v>
          </cell>
          <cell r="W57">
            <v>0</v>
          </cell>
          <cell r="X57">
            <v>0</v>
          </cell>
          <cell r="Y57">
            <v>0</v>
          </cell>
          <cell r="Z57">
            <v>0</v>
          </cell>
          <cell r="AA57">
            <v>0</v>
          </cell>
          <cell r="AB57">
            <v>0</v>
          </cell>
          <cell r="AC57">
            <v>0</v>
          </cell>
          <cell r="AD57">
            <v>0</v>
          </cell>
          <cell r="AE57">
            <v>0</v>
          </cell>
          <cell r="AF57">
            <v>0</v>
          </cell>
          <cell r="AG57">
            <v>4</v>
          </cell>
          <cell r="AH57">
            <v>0</v>
          </cell>
          <cell r="AI57" t="str">
            <v>L</v>
          </cell>
          <cell r="AJ57" t="str">
            <v>x</v>
          </cell>
          <cell r="AK57" t="str">
            <v>x</v>
          </cell>
          <cell r="AL57">
            <v>21</v>
          </cell>
          <cell r="AM57">
            <v>0</v>
          </cell>
          <cell r="AN57">
            <v>8</v>
          </cell>
          <cell r="AO57">
            <v>28</v>
          </cell>
          <cell r="AP57">
            <v>0</v>
          </cell>
          <cell r="AQ57">
            <v>0</v>
          </cell>
          <cell r="AR57">
            <v>21</v>
          </cell>
          <cell r="AS57" t="str">
            <v>Casual Labour</v>
          </cell>
          <cell r="AV57">
            <v>120</v>
          </cell>
          <cell r="AW57">
            <v>25</v>
          </cell>
          <cell r="AX57">
            <v>30</v>
          </cell>
          <cell r="AY57">
            <v>20</v>
          </cell>
          <cell r="AZ57">
            <v>0.625</v>
          </cell>
        </row>
        <row r="58">
          <cell r="B58">
            <v>2026</v>
          </cell>
          <cell r="C58" t="str">
            <v>Jamal Mohameed Suliman  Al Khasabi</v>
          </cell>
          <cell r="D58">
            <v>39670</v>
          </cell>
          <cell r="E58">
            <v>39760</v>
          </cell>
          <cell r="F58">
            <v>2</v>
          </cell>
          <cell r="G58">
            <v>0</v>
          </cell>
          <cell r="H58">
            <v>0</v>
          </cell>
          <cell r="I58">
            <v>0</v>
          </cell>
          <cell r="J58">
            <v>0</v>
          </cell>
          <cell r="K58" t="str">
            <v>L</v>
          </cell>
          <cell r="L58" t="str">
            <v>L</v>
          </cell>
          <cell r="M58" t="str">
            <v>L</v>
          </cell>
          <cell r="N58" t="str">
            <v>L</v>
          </cell>
          <cell r="O58" t="str">
            <v>L</v>
          </cell>
          <cell r="P58" t="str">
            <v>L</v>
          </cell>
          <cell r="Q58" t="str">
            <v>L</v>
          </cell>
          <cell r="R58">
            <v>0</v>
          </cell>
          <cell r="S58">
            <v>7</v>
          </cell>
          <cell r="T58">
            <v>0</v>
          </cell>
          <cell r="U58" t="str">
            <v>x</v>
          </cell>
          <cell r="V58" t="str">
            <v>x</v>
          </cell>
          <cell r="W58" t="str">
            <v>x</v>
          </cell>
          <cell r="X58" t="str">
            <v>x</v>
          </cell>
          <cell r="Y58" t="str">
            <v>x</v>
          </cell>
          <cell r="Z58" t="str">
            <v>x</v>
          </cell>
          <cell r="AA58" t="str">
            <v>x</v>
          </cell>
          <cell r="AB58" t="str">
            <v>x</v>
          </cell>
          <cell r="AC58" t="str">
            <v>x</v>
          </cell>
          <cell r="AD58" t="str">
            <v>x</v>
          </cell>
          <cell r="AE58" t="str">
            <v>x</v>
          </cell>
          <cell r="AF58" t="str">
            <v>x</v>
          </cell>
          <cell r="AG58" t="str">
            <v>x</v>
          </cell>
          <cell r="AH58" t="str">
            <v>x</v>
          </cell>
          <cell r="AI58" t="str">
            <v>x</v>
          </cell>
          <cell r="AJ58" t="str">
            <v>x</v>
          </cell>
          <cell r="AK58" t="str">
            <v>x</v>
          </cell>
          <cell r="AL58">
            <v>8</v>
          </cell>
          <cell r="AM58">
            <v>0</v>
          </cell>
          <cell r="AN58">
            <v>7</v>
          </cell>
          <cell r="AO58">
            <v>9</v>
          </cell>
          <cell r="AP58">
            <v>0</v>
          </cell>
          <cell r="AQ58">
            <v>0</v>
          </cell>
          <cell r="AR58">
            <v>8</v>
          </cell>
          <cell r="AS58" t="str">
            <v>Casual Labour</v>
          </cell>
          <cell r="AV58">
            <v>120</v>
          </cell>
          <cell r="AW58">
            <v>25</v>
          </cell>
          <cell r="AX58">
            <v>30</v>
          </cell>
          <cell r="AY58">
            <v>20</v>
          </cell>
          <cell r="AZ58">
            <v>0.625</v>
          </cell>
        </row>
        <row r="59">
          <cell r="B59">
            <v>2032</v>
          </cell>
          <cell r="C59" t="str">
            <v>Waleed Khamis Badih Al Busaidi</v>
          </cell>
          <cell r="D59">
            <v>39670</v>
          </cell>
          <cell r="E59">
            <v>39760</v>
          </cell>
          <cell r="F59">
            <v>2</v>
          </cell>
          <cell r="G59">
            <v>0</v>
          </cell>
          <cell r="H59">
            <v>0</v>
          </cell>
          <cell r="I59">
            <v>0</v>
          </cell>
          <cell r="J59">
            <v>0</v>
          </cell>
          <cell r="K59" t="str">
            <v>L</v>
          </cell>
          <cell r="L59" t="str">
            <v>L</v>
          </cell>
          <cell r="M59" t="str">
            <v>L</v>
          </cell>
          <cell r="N59" t="str">
            <v>L</v>
          </cell>
          <cell r="O59" t="str">
            <v>L</v>
          </cell>
          <cell r="P59" t="str">
            <v>L</v>
          </cell>
          <cell r="Q59" t="str">
            <v>L</v>
          </cell>
          <cell r="R59">
            <v>0</v>
          </cell>
          <cell r="S59">
            <v>7</v>
          </cell>
          <cell r="T59">
            <v>7</v>
          </cell>
          <cell r="U59">
            <v>0</v>
          </cell>
          <cell r="V59">
            <v>0</v>
          </cell>
          <cell r="W59">
            <v>6</v>
          </cell>
          <cell r="X59">
            <v>7</v>
          </cell>
          <cell r="Y59">
            <v>7</v>
          </cell>
          <cell r="Z59">
            <v>9</v>
          </cell>
          <cell r="AA59">
            <v>7</v>
          </cell>
          <cell r="AB59">
            <v>7</v>
          </cell>
          <cell r="AC59">
            <v>7</v>
          </cell>
          <cell r="AD59">
            <v>7</v>
          </cell>
          <cell r="AE59">
            <v>7</v>
          </cell>
          <cell r="AF59">
            <v>7.5</v>
          </cell>
          <cell r="AG59">
            <v>7</v>
          </cell>
          <cell r="AH59">
            <v>0</v>
          </cell>
          <cell r="AI59" t="str">
            <v>L</v>
          </cell>
          <cell r="AJ59" t="str">
            <v>x</v>
          </cell>
          <cell r="AK59" t="str">
            <v>x</v>
          </cell>
          <cell r="AL59">
            <v>22</v>
          </cell>
          <cell r="AM59">
            <v>0</v>
          </cell>
          <cell r="AN59">
            <v>8</v>
          </cell>
          <cell r="AO59">
            <v>94.5</v>
          </cell>
          <cell r="AP59">
            <v>0</v>
          </cell>
          <cell r="AQ59">
            <v>0</v>
          </cell>
          <cell r="AR59">
            <v>22</v>
          </cell>
          <cell r="AS59" t="str">
            <v>Casual Labour</v>
          </cell>
          <cell r="AV59">
            <v>120</v>
          </cell>
          <cell r="AW59">
            <v>25</v>
          </cell>
          <cell r="AX59">
            <v>30</v>
          </cell>
          <cell r="AY59">
            <v>20</v>
          </cell>
          <cell r="AZ59">
            <v>0.625</v>
          </cell>
        </row>
        <row r="60">
          <cell r="B60">
            <v>2036</v>
          </cell>
          <cell r="C60" t="str">
            <v>Musaa Bati Ziyad Al Ghafri</v>
          </cell>
          <cell r="D60">
            <v>39670</v>
          </cell>
          <cell r="E60">
            <v>39760</v>
          </cell>
          <cell r="F60">
            <v>2</v>
          </cell>
          <cell r="G60">
            <v>0</v>
          </cell>
          <cell r="H60">
            <v>0</v>
          </cell>
          <cell r="I60">
            <v>0</v>
          </cell>
          <cell r="J60">
            <v>0</v>
          </cell>
          <cell r="K60" t="str">
            <v>A</v>
          </cell>
          <cell r="L60" t="str">
            <v>A</v>
          </cell>
          <cell r="M60" t="str">
            <v>A</v>
          </cell>
          <cell r="N60" t="str">
            <v>A</v>
          </cell>
          <cell r="O60" t="str">
            <v>A</v>
          </cell>
          <cell r="P60" t="str">
            <v>A</v>
          </cell>
          <cell r="Q60" t="str">
            <v>A</v>
          </cell>
          <cell r="R60" t="str">
            <v>A</v>
          </cell>
          <cell r="S60" t="str">
            <v>A</v>
          </cell>
          <cell r="T60" t="str">
            <v>A</v>
          </cell>
          <cell r="U60" t="str">
            <v>A</v>
          </cell>
          <cell r="V60" t="str">
            <v>A</v>
          </cell>
          <cell r="W60" t="str">
            <v>A</v>
          </cell>
          <cell r="X60" t="str">
            <v>A</v>
          </cell>
          <cell r="Y60" t="str">
            <v>A</v>
          </cell>
          <cell r="Z60" t="str">
            <v>A</v>
          </cell>
          <cell r="AA60" t="str">
            <v>A</v>
          </cell>
          <cell r="AB60" t="str">
            <v>A</v>
          </cell>
          <cell r="AC60" t="str">
            <v>A</v>
          </cell>
          <cell r="AD60" t="str">
            <v>A</v>
          </cell>
          <cell r="AE60" t="str">
            <v>A</v>
          </cell>
          <cell r="AF60" t="str">
            <v>A</v>
          </cell>
          <cell r="AG60" t="str">
            <v>A</v>
          </cell>
          <cell r="AH60" t="str">
            <v>A</v>
          </cell>
          <cell r="AI60" t="str">
            <v>A</v>
          </cell>
          <cell r="AJ60" t="str">
            <v>x</v>
          </cell>
          <cell r="AK60" t="str">
            <v>x</v>
          </cell>
          <cell r="AL60">
            <v>5</v>
          </cell>
          <cell r="AM60">
            <v>0</v>
          </cell>
          <cell r="AN60">
            <v>0</v>
          </cell>
          <cell r="AO60">
            <v>2</v>
          </cell>
          <cell r="AP60">
            <v>0</v>
          </cell>
          <cell r="AQ60">
            <v>0</v>
          </cell>
          <cell r="AR60">
            <v>5</v>
          </cell>
          <cell r="AS60" t="str">
            <v>Casual Labour</v>
          </cell>
          <cell r="AV60">
            <v>120</v>
          </cell>
          <cell r="AW60">
            <v>25</v>
          </cell>
          <cell r="AX60">
            <v>30</v>
          </cell>
          <cell r="AY60">
            <v>20</v>
          </cell>
          <cell r="AZ60">
            <v>0.625</v>
          </cell>
        </row>
        <row r="61">
          <cell r="B61">
            <v>2037</v>
          </cell>
          <cell r="C61" t="str">
            <v>Ahamed Khamis Hamood Al Ghafri</v>
          </cell>
          <cell r="D61">
            <v>39670</v>
          </cell>
          <cell r="E61">
            <v>39760</v>
          </cell>
          <cell r="F61">
            <v>2</v>
          </cell>
          <cell r="G61">
            <v>0</v>
          </cell>
          <cell r="H61">
            <v>0</v>
          </cell>
          <cell r="I61">
            <v>0</v>
          </cell>
          <cell r="J61">
            <v>0</v>
          </cell>
          <cell r="K61">
            <v>0</v>
          </cell>
          <cell r="L61">
            <v>0</v>
          </cell>
          <cell r="M61">
            <v>0</v>
          </cell>
          <cell r="N61">
            <v>0</v>
          </cell>
          <cell r="O61">
            <v>0</v>
          </cell>
          <cell r="P61">
            <v>0</v>
          </cell>
          <cell r="Q61">
            <v>0</v>
          </cell>
          <cell r="R61" t="str">
            <v>x</v>
          </cell>
          <cell r="S61" t="str">
            <v>x</v>
          </cell>
          <cell r="T61" t="str">
            <v>x</v>
          </cell>
          <cell r="U61" t="str">
            <v>x</v>
          </cell>
          <cell r="V61" t="str">
            <v>x</v>
          </cell>
          <cell r="W61" t="str">
            <v>x</v>
          </cell>
          <cell r="X61" t="str">
            <v>x</v>
          </cell>
          <cell r="Y61" t="str">
            <v>x</v>
          </cell>
          <cell r="Z61" t="str">
            <v>x</v>
          </cell>
          <cell r="AA61" t="str">
            <v>x</v>
          </cell>
          <cell r="AB61" t="str">
            <v>x</v>
          </cell>
          <cell r="AC61" t="str">
            <v>x</v>
          </cell>
          <cell r="AD61" t="str">
            <v>x</v>
          </cell>
          <cell r="AE61" t="str">
            <v>x</v>
          </cell>
          <cell r="AF61" t="str">
            <v>x</v>
          </cell>
          <cell r="AG61" t="str">
            <v>x</v>
          </cell>
          <cell r="AH61" t="str">
            <v>x</v>
          </cell>
          <cell r="AI61" t="str">
            <v>x</v>
          </cell>
          <cell r="AJ61" t="str">
            <v>x</v>
          </cell>
          <cell r="AK61" t="str">
            <v>x</v>
          </cell>
          <cell r="AL61">
            <v>12</v>
          </cell>
          <cell r="AM61">
            <v>0</v>
          </cell>
          <cell r="AN61">
            <v>0</v>
          </cell>
          <cell r="AO61">
            <v>2</v>
          </cell>
          <cell r="AP61">
            <v>0</v>
          </cell>
          <cell r="AQ61">
            <v>0</v>
          </cell>
          <cell r="AR61">
            <v>12</v>
          </cell>
          <cell r="AS61" t="str">
            <v>Casual Labour</v>
          </cell>
          <cell r="AV61">
            <v>120</v>
          </cell>
          <cell r="AW61">
            <v>25</v>
          </cell>
          <cell r="AX61">
            <v>30</v>
          </cell>
          <cell r="AY61">
            <v>20</v>
          </cell>
          <cell r="AZ61">
            <v>0.625</v>
          </cell>
        </row>
        <row r="62">
          <cell r="B62">
            <v>2039</v>
          </cell>
          <cell r="C62" t="str">
            <v>Mosa Marhoon salim Al Ghafri</v>
          </cell>
          <cell r="D62">
            <v>39671</v>
          </cell>
          <cell r="E62">
            <v>39761</v>
          </cell>
          <cell r="F62">
            <v>6</v>
          </cell>
          <cell r="G62">
            <v>0</v>
          </cell>
          <cell r="H62">
            <v>0</v>
          </cell>
          <cell r="I62">
            <v>0</v>
          </cell>
          <cell r="J62">
            <v>0</v>
          </cell>
          <cell r="K62">
            <v>0</v>
          </cell>
          <cell r="L62">
            <v>0</v>
          </cell>
          <cell r="M62">
            <v>0</v>
          </cell>
          <cell r="N62">
            <v>0</v>
          </cell>
          <cell r="O62">
            <v>0</v>
          </cell>
          <cell r="P62">
            <v>0</v>
          </cell>
          <cell r="Q62">
            <v>0</v>
          </cell>
          <cell r="R62" t="str">
            <v>L</v>
          </cell>
          <cell r="S62" t="str">
            <v>L</v>
          </cell>
          <cell r="T62" t="str">
            <v>L</v>
          </cell>
          <cell r="U62" t="str">
            <v>L</v>
          </cell>
          <cell r="V62" t="str">
            <v>L</v>
          </cell>
          <cell r="W62" t="str">
            <v>L</v>
          </cell>
          <cell r="X62" t="str">
            <v>L</v>
          </cell>
          <cell r="Y62">
            <v>0</v>
          </cell>
          <cell r="Z62">
            <v>0</v>
          </cell>
          <cell r="AA62">
            <v>0</v>
          </cell>
          <cell r="AB62">
            <v>0</v>
          </cell>
          <cell r="AC62">
            <v>0</v>
          </cell>
          <cell r="AD62">
            <v>0</v>
          </cell>
          <cell r="AE62">
            <v>0</v>
          </cell>
          <cell r="AF62">
            <v>0</v>
          </cell>
          <cell r="AG62">
            <v>0</v>
          </cell>
          <cell r="AH62">
            <v>0</v>
          </cell>
          <cell r="AI62" t="str">
            <v>L</v>
          </cell>
          <cell r="AJ62" t="str">
            <v>x</v>
          </cell>
          <cell r="AK62" t="str">
            <v>x</v>
          </cell>
          <cell r="AL62">
            <v>22</v>
          </cell>
          <cell r="AM62">
            <v>0</v>
          </cell>
          <cell r="AN62">
            <v>8</v>
          </cell>
          <cell r="AO62">
            <v>6</v>
          </cell>
          <cell r="AP62">
            <v>0</v>
          </cell>
          <cell r="AQ62">
            <v>0</v>
          </cell>
          <cell r="AR62">
            <v>22</v>
          </cell>
          <cell r="AS62" t="str">
            <v>Casual Labour</v>
          </cell>
          <cell r="AV62">
            <v>120</v>
          </cell>
          <cell r="AW62">
            <v>25</v>
          </cell>
          <cell r="AX62">
            <v>30</v>
          </cell>
          <cell r="AY62">
            <v>20</v>
          </cell>
          <cell r="AZ62">
            <v>0.625</v>
          </cell>
        </row>
        <row r="63">
          <cell r="B63">
            <v>2045</v>
          </cell>
          <cell r="C63" t="str">
            <v>Salim Hamed Salem Al khayari</v>
          </cell>
          <cell r="D63">
            <v>39676</v>
          </cell>
          <cell r="E63">
            <v>39765</v>
          </cell>
          <cell r="F63">
            <v>2</v>
          </cell>
          <cell r="G63">
            <v>0</v>
          </cell>
          <cell r="H63">
            <v>6</v>
          </cell>
          <cell r="I63">
            <v>8</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t="str">
            <v>L</v>
          </cell>
          <cell r="Z63" t="str">
            <v>L</v>
          </cell>
          <cell r="AA63" t="str">
            <v>L</v>
          </cell>
          <cell r="AB63" t="str">
            <v>L</v>
          </cell>
          <cell r="AC63" t="str">
            <v>L</v>
          </cell>
          <cell r="AD63" t="str">
            <v>L</v>
          </cell>
          <cell r="AE63" t="str">
            <v>L</v>
          </cell>
          <cell r="AF63" t="str">
            <v>A</v>
          </cell>
          <cell r="AG63" t="str">
            <v>A</v>
          </cell>
          <cell r="AH63" t="str">
            <v>A</v>
          </cell>
          <cell r="AI63" t="str">
            <v>A</v>
          </cell>
          <cell r="AJ63" t="str">
            <v>x</v>
          </cell>
          <cell r="AK63" t="str">
            <v>x</v>
          </cell>
          <cell r="AL63">
            <v>19</v>
          </cell>
          <cell r="AM63">
            <v>0</v>
          </cell>
          <cell r="AN63">
            <v>7</v>
          </cell>
          <cell r="AO63">
            <v>16</v>
          </cell>
          <cell r="AP63">
            <v>0</v>
          </cell>
          <cell r="AQ63">
            <v>0</v>
          </cell>
          <cell r="AR63">
            <v>19</v>
          </cell>
          <cell r="AS63" t="str">
            <v>Casual Labour</v>
          </cell>
          <cell r="AV63">
            <v>120</v>
          </cell>
          <cell r="AW63">
            <v>25</v>
          </cell>
          <cell r="AX63">
            <v>30</v>
          </cell>
          <cell r="AY63">
            <v>20</v>
          </cell>
          <cell r="AZ63">
            <v>0.625</v>
          </cell>
        </row>
        <row r="64">
          <cell r="B64">
            <v>2046</v>
          </cell>
          <cell r="C64" t="str">
            <v>Khalid Jamil Salim Al Yaqoubi</v>
          </cell>
          <cell r="D64">
            <v>39676</v>
          </cell>
          <cell r="E64">
            <v>39766</v>
          </cell>
          <cell r="F64">
            <v>2</v>
          </cell>
          <cell r="G64">
            <v>0</v>
          </cell>
          <cell r="H64">
            <v>0</v>
          </cell>
          <cell r="I64">
            <v>0</v>
          </cell>
          <cell r="J64">
            <v>0</v>
          </cell>
          <cell r="K64">
            <v>0</v>
          </cell>
          <cell r="L64">
            <v>0</v>
          </cell>
          <cell r="M64">
            <v>0</v>
          </cell>
          <cell r="N64">
            <v>0</v>
          </cell>
          <cell r="O64">
            <v>0</v>
          </cell>
          <cell r="P64">
            <v>0</v>
          </cell>
          <cell r="Q64">
            <v>0</v>
          </cell>
          <cell r="R64" t="str">
            <v>L</v>
          </cell>
          <cell r="S64" t="str">
            <v>L</v>
          </cell>
          <cell r="T64" t="str">
            <v>L</v>
          </cell>
          <cell r="U64" t="str">
            <v>L</v>
          </cell>
          <cell r="V64" t="str">
            <v>L</v>
          </cell>
          <cell r="W64" t="str">
            <v>L</v>
          </cell>
          <cell r="X64" t="str">
            <v>L</v>
          </cell>
          <cell r="Y64" t="str">
            <v>A</v>
          </cell>
          <cell r="Z64" t="str">
            <v>A</v>
          </cell>
          <cell r="AA64" t="str">
            <v>A</v>
          </cell>
          <cell r="AB64" t="str">
            <v>A</v>
          </cell>
          <cell r="AC64" t="str">
            <v>A</v>
          </cell>
          <cell r="AD64" t="str">
            <v>A</v>
          </cell>
          <cell r="AE64" t="str">
            <v>A</v>
          </cell>
          <cell r="AF64" t="str">
            <v>x</v>
          </cell>
          <cell r="AG64" t="str">
            <v>x</v>
          </cell>
          <cell r="AH64" t="str">
            <v>x</v>
          </cell>
          <cell r="AI64" t="str">
            <v>x</v>
          </cell>
          <cell r="AJ64" t="str">
            <v>x</v>
          </cell>
          <cell r="AK64" t="str">
            <v>x</v>
          </cell>
          <cell r="AL64">
            <v>12</v>
          </cell>
          <cell r="AM64">
            <v>0</v>
          </cell>
          <cell r="AN64">
            <v>7</v>
          </cell>
          <cell r="AO64">
            <v>2</v>
          </cell>
          <cell r="AP64">
            <v>0</v>
          </cell>
          <cell r="AQ64">
            <v>0</v>
          </cell>
          <cell r="AR64">
            <v>12</v>
          </cell>
          <cell r="AS64" t="str">
            <v>Casual Labour</v>
          </cell>
          <cell r="AV64">
            <v>120</v>
          </cell>
          <cell r="AW64">
            <v>25</v>
          </cell>
          <cell r="AX64">
            <v>30</v>
          </cell>
          <cell r="AY64">
            <v>20</v>
          </cell>
          <cell r="AZ64">
            <v>0.625</v>
          </cell>
        </row>
        <row r="65">
          <cell r="B65">
            <v>2050</v>
          </cell>
          <cell r="C65" t="str">
            <v>Abdull Aziz Hilal Al Nadabi</v>
          </cell>
          <cell r="D65">
            <v>39676</v>
          </cell>
          <cell r="E65">
            <v>39770</v>
          </cell>
          <cell r="F65">
            <v>2</v>
          </cell>
          <cell r="G65">
            <v>7</v>
          </cell>
          <cell r="H65">
            <v>6</v>
          </cell>
          <cell r="I65">
            <v>7</v>
          </cell>
          <cell r="J65">
            <v>0</v>
          </cell>
          <cell r="K65">
            <v>0</v>
          </cell>
          <cell r="L65">
            <v>0</v>
          </cell>
          <cell r="M65">
            <v>0</v>
          </cell>
          <cell r="N65">
            <v>0</v>
          </cell>
          <cell r="O65">
            <v>0</v>
          </cell>
          <cell r="P65">
            <v>0</v>
          </cell>
          <cell r="Q65">
            <v>0</v>
          </cell>
          <cell r="R65" t="str">
            <v>L</v>
          </cell>
          <cell r="S65" t="str">
            <v>L</v>
          </cell>
          <cell r="T65" t="str">
            <v>L</v>
          </cell>
          <cell r="U65" t="str">
            <v>L</v>
          </cell>
          <cell r="V65" t="str">
            <v>L</v>
          </cell>
          <cell r="W65" t="str">
            <v>L</v>
          </cell>
          <cell r="X65" t="str">
            <v>L</v>
          </cell>
          <cell r="Y65">
            <v>0</v>
          </cell>
          <cell r="Z65">
            <v>0</v>
          </cell>
          <cell r="AA65">
            <v>0</v>
          </cell>
          <cell r="AB65">
            <v>0</v>
          </cell>
          <cell r="AC65">
            <v>0</v>
          </cell>
          <cell r="AD65">
            <v>0</v>
          </cell>
          <cell r="AE65" t="str">
            <v>A</v>
          </cell>
          <cell r="AF65" t="str">
            <v>A</v>
          </cell>
          <cell r="AG65" t="str">
            <v>A</v>
          </cell>
          <cell r="AH65" t="str">
            <v>A</v>
          </cell>
          <cell r="AI65" t="str">
            <v>A</v>
          </cell>
          <cell r="AJ65" t="str">
            <v>x</v>
          </cell>
          <cell r="AK65" t="str">
            <v>x</v>
          </cell>
          <cell r="AL65">
            <v>18</v>
          </cell>
          <cell r="AM65">
            <v>0</v>
          </cell>
          <cell r="AN65">
            <v>7</v>
          </cell>
          <cell r="AO65">
            <v>22</v>
          </cell>
          <cell r="AP65">
            <v>0</v>
          </cell>
          <cell r="AQ65">
            <v>0</v>
          </cell>
          <cell r="AR65">
            <v>18</v>
          </cell>
          <cell r="AS65" t="str">
            <v>Casual Labour</v>
          </cell>
          <cell r="AV65">
            <v>120</v>
          </cell>
          <cell r="AW65">
            <v>25</v>
          </cell>
          <cell r="AX65">
            <v>30</v>
          </cell>
          <cell r="AY65">
            <v>20</v>
          </cell>
          <cell r="AZ65">
            <v>0.625</v>
          </cell>
        </row>
        <row r="66">
          <cell r="B66">
            <v>2060</v>
          </cell>
          <cell r="C66" t="str">
            <v>Adil Sulaiman Abdullah</v>
          </cell>
          <cell r="D66">
            <v>39678</v>
          </cell>
          <cell r="E66">
            <v>39780</v>
          </cell>
          <cell r="F66">
            <v>2</v>
          </cell>
          <cell r="G66">
            <v>0</v>
          </cell>
          <cell r="H66">
            <v>0</v>
          </cell>
          <cell r="I66">
            <v>4</v>
          </cell>
          <cell r="J66">
            <v>0</v>
          </cell>
          <cell r="K66">
            <v>0</v>
          </cell>
          <cell r="L66">
            <v>0</v>
          </cell>
          <cell r="M66">
            <v>0</v>
          </cell>
          <cell r="N66">
            <v>0</v>
          </cell>
          <cell r="O66">
            <v>0</v>
          </cell>
          <cell r="P66">
            <v>0</v>
          </cell>
          <cell r="Q66">
            <v>7</v>
          </cell>
          <cell r="R66">
            <v>0</v>
          </cell>
          <cell r="S66">
            <v>0</v>
          </cell>
          <cell r="T66">
            <v>0</v>
          </cell>
          <cell r="U66">
            <v>7</v>
          </cell>
          <cell r="V66">
            <v>0</v>
          </cell>
          <cell r="W66">
            <v>0</v>
          </cell>
          <cell r="X66">
            <v>0</v>
          </cell>
          <cell r="Y66" t="str">
            <v>L</v>
          </cell>
          <cell r="Z66" t="str">
            <v>L</v>
          </cell>
          <cell r="AA66" t="str">
            <v>L</v>
          </cell>
          <cell r="AB66" t="str">
            <v>L</v>
          </cell>
          <cell r="AC66" t="str">
            <v>L</v>
          </cell>
          <cell r="AD66" t="str">
            <v>L</v>
          </cell>
          <cell r="AE66" t="str">
            <v>L</v>
          </cell>
          <cell r="AF66">
            <v>7.5</v>
          </cell>
          <cell r="AG66">
            <v>0</v>
          </cell>
          <cell r="AH66">
            <v>0</v>
          </cell>
          <cell r="AI66" t="str">
            <v>L</v>
          </cell>
          <cell r="AJ66" t="str">
            <v>x</v>
          </cell>
          <cell r="AK66" t="str">
            <v>x</v>
          </cell>
          <cell r="AL66">
            <v>22</v>
          </cell>
          <cell r="AM66">
            <v>0</v>
          </cell>
          <cell r="AN66">
            <v>8</v>
          </cell>
          <cell r="AO66">
            <v>27.5</v>
          </cell>
          <cell r="AP66">
            <v>0</v>
          </cell>
          <cell r="AQ66">
            <v>0</v>
          </cell>
          <cell r="AR66">
            <v>22</v>
          </cell>
          <cell r="AS66" t="str">
            <v>Casual Labour</v>
          </cell>
          <cell r="AV66">
            <v>120</v>
          </cell>
          <cell r="AW66">
            <v>25</v>
          </cell>
          <cell r="AX66">
            <v>30</v>
          </cell>
          <cell r="AY66">
            <v>20</v>
          </cell>
          <cell r="AZ66">
            <v>0.625</v>
          </cell>
        </row>
        <row r="67">
          <cell r="B67">
            <v>2068</v>
          </cell>
          <cell r="C67" t="str">
            <v>Mazein Mohamed Harith Al Fahdi</v>
          </cell>
          <cell r="D67">
            <v>39679</v>
          </cell>
          <cell r="E67">
            <v>39764</v>
          </cell>
          <cell r="F67">
            <v>2</v>
          </cell>
          <cell r="G67">
            <v>0</v>
          </cell>
          <cell r="H67">
            <v>0</v>
          </cell>
          <cell r="I67">
            <v>0</v>
          </cell>
          <cell r="J67">
            <v>0</v>
          </cell>
          <cell r="K67">
            <v>0</v>
          </cell>
          <cell r="L67">
            <v>0</v>
          </cell>
          <cell r="M67">
            <v>0</v>
          </cell>
          <cell r="N67">
            <v>6</v>
          </cell>
          <cell r="O67">
            <v>7</v>
          </cell>
          <cell r="P67">
            <v>7</v>
          </cell>
          <cell r="Q67">
            <v>0</v>
          </cell>
          <cell r="R67">
            <v>7</v>
          </cell>
          <cell r="S67">
            <v>0</v>
          </cell>
          <cell r="T67">
            <v>0</v>
          </cell>
          <cell r="U67">
            <v>0</v>
          </cell>
          <cell r="V67">
            <v>0</v>
          </cell>
          <cell r="W67">
            <v>0</v>
          </cell>
          <cell r="X67">
            <v>0</v>
          </cell>
          <cell r="Y67" t="str">
            <v>L</v>
          </cell>
          <cell r="Z67" t="str">
            <v>L</v>
          </cell>
          <cell r="AA67" t="str">
            <v>L</v>
          </cell>
          <cell r="AB67" t="str">
            <v>L</v>
          </cell>
          <cell r="AC67" t="str">
            <v>L</v>
          </cell>
          <cell r="AD67" t="str">
            <v>L</v>
          </cell>
          <cell r="AE67" t="str">
            <v>L</v>
          </cell>
          <cell r="AF67">
            <v>0</v>
          </cell>
          <cell r="AG67">
            <v>0</v>
          </cell>
          <cell r="AH67">
            <v>0</v>
          </cell>
          <cell r="AI67" t="str">
            <v>L</v>
          </cell>
          <cell r="AJ67" t="str">
            <v>x</v>
          </cell>
          <cell r="AK67" t="str">
            <v>x</v>
          </cell>
          <cell r="AL67">
            <v>22</v>
          </cell>
          <cell r="AM67">
            <v>0</v>
          </cell>
          <cell r="AN67">
            <v>8</v>
          </cell>
          <cell r="AO67">
            <v>29</v>
          </cell>
          <cell r="AP67">
            <v>0</v>
          </cell>
          <cell r="AQ67">
            <v>0</v>
          </cell>
          <cell r="AR67">
            <v>22</v>
          </cell>
          <cell r="AS67" t="str">
            <v>Casual Labour</v>
          </cell>
          <cell r="AV67">
            <v>120</v>
          </cell>
          <cell r="AW67">
            <v>25</v>
          </cell>
          <cell r="AX67">
            <v>30</v>
          </cell>
          <cell r="AY67">
            <v>20</v>
          </cell>
          <cell r="AZ67">
            <v>0.625</v>
          </cell>
        </row>
        <row r="68">
          <cell r="B68">
            <v>2069</v>
          </cell>
          <cell r="C68" t="str">
            <v>Sami Salim Harith  Al Fahdi</v>
          </cell>
          <cell r="D68">
            <v>39679</v>
          </cell>
          <cell r="E68">
            <v>39764</v>
          </cell>
          <cell r="F68">
            <v>2</v>
          </cell>
          <cell r="G68">
            <v>0</v>
          </cell>
          <cell r="H68">
            <v>0</v>
          </cell>
          <cell r="I68">
            <v>0</v>
          </cell>
          <cell r="J68">
            <v>0</v>
          </cell>
          <cell r="K68">
            <v>0</v>
          </cell>
          <cell r="L68">
            <v>0</v>
          </cell>
          <cell r="M68">
            <v>0</v>
          </cell>
          <cell r="N68">
            <v>0</v>
          </cell>
          <cell r="O68">
            <v>0</v>
          </cell>
          <cell r="P68" t="str">
            <v>x</v>
          </cell>
          <cell r="Q68" t="str">
            <v>x</v>
          </cell>
          <cell r="R68" t="str">
            <v>x</v>
          </cell>
          <cell r="S68" t="str">
            <v>x</v>
          </cell>
          <cell r="T68" t="str">
            <v>x</v>
          </cell>
          <cell r="U68" t="str">
            <v>x</v>
          </cell>
          <cell r="V68" t="str">
            <v>x</v>
          </cell>
          <cell r="W68" t="str">
            <v>x</v>
          </cell>
          <cell r="X68" t="str">
            <v>x</v>
          </cell>
          <cell r="Y68" t="str">
            <v>x</v>
          </cell>
          <cell r="Z68" t="str">
            <v>x</v>
          </cell>
          <cell r="AA68" t="str">
            <v>x</v>
          </cell>
          <cell r="AB68" t="str">
            <v>x</v>
          </cell>
          <cell r="AC68" t="str">
            <v>x</v>
          </cell>
          <cell r="AD68" t="str">
            <v>x</v>
          </cell>
          <cell r="AE68" t="str">
            <v>x</v>
          </cell>
          <cell r="AF68" t="str">
            <v>x</v>
          </cell>
          <cell r="AG68" t="str">
            <v>x</v>
          </cell>
          <cell r="AH68" t="str">
            <v>x</v>
          </cell>
          <cell r="AI68" t="str">
            <v>x</v>
          </cell>
          <cell r="AJ68" t="str">
            <v>x</v>
          </cell>
          <cell r="AK68" t="str">
            <v>x</v>
          </cell>
          <cell r="AL68">
            <v>10</v>
          </cell>
          <cell r="AM68">
            <v>0</v>
          </cell>
          <cell r="AN68">
            <v>0</v>
          </cell>
          <cell r="AO68">
            <v>2</v>
          </cell>
          <cell r="AP68">
            <v>0</v>
          </cell>
          <cell r="AQ68">
            <v>0</v>
          </cell>
          <cell r="AR68">
            <v>10</v>
          </cell>
          <cell r="AS68" t="str">
            <v>Casual Labour</v>
          </cell>
          <cell r="AV68">
            <v>120</v>
          </cell>
          <cell r="AW68">
            <v>25</v>
          </cell>
          <cell r="AX68">
            <v>30</v>
          </cell>
          <cell r="AY68">
            <v>20</v>
          </cell>
          <cell r="AZ68">
            <v>0.625</v>
          </cell>
        </row>
        <row r="69">
          <cell r="B69">
            <v>2071</v>
          </cell>
          <cell r="C69" t="str">
            <v>Rashid Abdullah Suliman Al  Ruzaiqi</v>
          </cell>
          <cell r="D69">
            <v>39682</v>
          </cell>
          <cell r="E69">
            <v>39767</v>
          </cell>
          <cell r="F69">
            <v>2</v>
          </cell>
          <cell r="G69">
            <v>0</v>
          </cell>
          <cell r="H69">
            <v>0</v>
          </cell>
          <cell r="I69">
            <v>0</v>
          </cell>
          <cell r="J69">
            <v>0</v>
          </cell>
          <cell r="K69">
            <v>0</v>
          </cell>
          <cell r="L69">
            <v>0</v>
          </cell>
          <cell r="M69">
            <v>0</v>
          </cell>
          <cell r="N69">
            <v>6</v>
          </cell>
          <cell r="O69">
            <v>7</v>
          </cell>
          <cell r="P69">
            <v>7</v>
          </cell>
          <cell r="Q69">
            <v>7</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10</v>
          </cell>
          <cell r="AJ69" t="str">
            <v>x</v>
          </cell>
          <cell r="AK69" t="str">
            <v>x</v>
          </cell>
          <cell r="AL69">
            <v>30</v>
          </cell>
          <cell r="AM69">
            <v>0</v>
          </cell>
          <cell r="AN69">
            <v>0</v>
          </cell>
          <cell r="AO69">
            <v>39</v>
          </cell>
          <cell r="AP69">
            <v>0</v>
          </cell>
          <cell r="AQ69">
            <v>0</v>
          </cell>
          <cell r="AR69">
            <v>30</v>
          </cell>
          <cell r="AS69" t="str">
            <v>Casual Labour</v>
          </cell>
          <cell r="AV69">
            <v>120</v>
          </cell>
          <cell r="AW69">
            <v>25</v>
          </cell>
          <cell r="AX69">
            <v>30</v>
          </cell>
          <cell r="AY69">
            <v>20</v>
          </cell>
          <cell r="AZ69">
            <v>0.625</v>
          </cell>
        </row>
        <row r="70">
          <cell r="B70">
            <v>2072</v>
          </cell>
          <cell r="C70" t="str">
            <v>Ahamed Nasser Ahamed Al Shibani</v>
          </cell>
          <cell r="D70">
            <v>39682</v>
          </cell>
          <cell r="E70">
            <v>39767</v>
          </cell>
          <cell r="F70" t="str">
            <v>A</v>
          </cell>
          <cell r="G70">
            <v>7</v>
          </cell>
          <cell r="H70">
            <v>6</v>
          </cell>
          <cell r="I70">
            <v>4</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t="str">
            <v>L</v>
          </cell>
          <cell r="Z70" t="str">
            <v>L</v>
          </cell>
          <cell r="AA70" t="str">
            <v>L</v>
          </cell>
          <cell r="AB70" t="str">
            <v>L</v>
          </cell>
          <cell r="AC70" t="str">
            <v>L</v>
          </cell>
          <cell r="AD70" t="str">
            <v>L</v>
          </cell>
          <cell r="AE70" t="str">
            <v>L</v>
          </cell>
          <cell r="AF70" t="str">
            <v>A</v>
          </cell>
          <cell r="AG70" t="str">
            <v>A</v>
          </cell>
          <cell r="AH70" t="str">
            <v>A</v>
          </cell>
          <cell r="AI70" t="str">
            <v>A</v>
          </cell>
          <cell r="AJ70" t="str">
            <v>x</v>
          </cell>
          <cell r="AK70" t="str">
            <v>x</v>
          </cell>
          <cell r="AL70">
            <v>18</v>
          </cell>
          <cell r="AM70">
            <v>0</v>
          </cell>
          <cell r="AN70">
            <v>7</v>
          </cell>
          <cell r="AO70">
            <v>17</v>
          </cell>
          <cell r="AP70">
            <v>0</v>
          </cell>
          <cell r="AQ70">
            <v>0</v>
          </cell>
          <cell r="AR70">
            <v>18</v>
          </cell>
          <cell r="AS70" t="str">
            <v>Casual Labour</v>
          </cell>
          <cell r="AV70">
            <v>120</v>
          </cell>
          <cell r="AW70">
            <v>25</v>
          </cell>
          <cell r="AX70">
            <v>30</v>
          </cell>
          <cell r="AY70">
            <v>20</v>
          </cell>
          <cell r="AZ70">
            <v>0.625</v>
          </cell>
        </row>
        <row r="71">
          <cell r="B71">
            <v>2073</v>
          </cell>
          <cell r="C71" t="str">
            <v>Mohameed  Salim  Ahmaed  Alshabani</v>
          </cell>
          <cell r="D71">
            <v>39682</v>
          </cell>
          <cell r="E71">
            <v>39767</v>
          </cell>
          <cell r="F71" t="str">
            <v>A</v>
          </cell>
          <cell r="G71">
            <v>0</v>
          </cell>
          <cell r="H71">
            <v>6</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t="str">
            <v>L</v>
          </cell>
          <cell r="Z71" t="str">
            <v>L</v>
          </cell>
          <cell r="AA71" t="str">
            <v>L</v>
          </cell>
          <cell r="AB71" t="str">
            <v>L</v>
          </cell>
          <cell r="AC71" t="str">
            <v>L</v>
          </cell>
          <cell r="AD71" t="str">
            <v>L</v>
          </cell>
          <cell r="AE71" t="str">
            <v>L</v>
          </cell>
          <cell r="AF71" t="str">
            <v>A</v>
          </cell>
          <cell r="AG71" t="str">
            <v>A</v>
          </cell>
          <cell r="AH71" t="str">
            <v>A</v>
          </cell>
          <cell r="AI71" t="str">
            <v>A</v>
          </cell>
          <cell r="AJ71" t="str">
            <v>x</v>
          </cell>
          <cell r="AK71" t="str">
            <v>x</v>
          </cell>
          <cell r="AL71">
            <v>18</v>
          </cell>
          <cell r="AM71">
            <v>0</v>
          </cell>
          <cell r="AN71">
            <v>7</v>
          </cell>
          <cell r="AO71">
            <v>6</v>
          </cell>
          <cell r="AP71">
            <v>0</v>
          </cell>
          <cell r="AQ71">
            <v>0</v>
          </cell>
          <cell r="AR71">
            <v>18</v>
          </cell>
          <cell r="AS71" t="str">
            <v>Casual Labour</v>
          </cell>
          <cell r="AV71">
            <v>120</v>
          </cell>
          <cell r="AW71">
            <v>25</v>
          </cell>
          <cell r="AX71">
            <v>30</v>
          </cell>
          <cell r="AY71">
            <v>20</v>
          </cell>
          <cell r="AZ71">
            <v>0.625</v>
          </cell>
        </row>
        <row r="72">
          <cell r="B72">
            <v>2074</v>
          </cell>
          <cell r="C72" t="str">
            <v>Ibrahim  Nasser Ahamed  Al Shaibani</v>
          </cell>
          <cell r="D72">
            <v>39682</v>
          </cell>
          <cell r="E72">
            <v>39767</v>
          </cell>
          <cell r="F72" t="str">
            <v>A</v>
          </cell>
          <cell r="G72">
            <v>0</v>
          </cell>
          <cell r="H72">
            <v>0</v>
          </cell>
          <cell r="I72">
            <v>4</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t="str">
            <v>L</v>
          </cell>
          <cell r="Z72" t="str">
            <v>L</v>
          </cell>
          <cell r="AA72" t="str">
            <v>L</v>
          </cell>
          <cell r="AB72" t="str">
            <v>L</v>
          </cell>
          <cell r="AC72" t="str">
            <v>L</v>
          </cell>
          <cell r="AD72" t="str">
            <v>L</v>
          </cell>
          <cell r="AE72" t="str">
            <v>L</v>
          </cell>
          <cell r="AF72" t="str">
            <v>A</v>
          </cell>
          <cell r="AG72" t="str">
            <v>A</v>
          </cell>
          <cell r="AH72" t="str">
            <v>A</v>
          </cell>
          <cell r="AI72" t="str">
            <v>A</v>
          </cell>
          <cell r="AJ72" t="str">
            <v>x</v>
          </cell>
          <cell r="AK72" t="str">
            <v>x</v>
          </cell>
          <cell r="AL72">
            <v>18</v>
          </cell>
          <cell r="AM72">
            <v>0</v>
          </cell>
          <cell r="AN72">
            <v>7</v>
          </cell>
          <cell r="AO72">
            <v>4</v>
          </cell>
          <cell r="AP72">
            <v>0</v>
          </cell>
          <cell r="AQ72">
            <v>0</v>
          </cell>
          <cell r="AR72">
            <v>18</v>
          </cell>
          <cell r="AS72" t="str">
            <v>Casual Labour</v>
          </cell>
          <cell r="AV72">
            <v>120</v>
          </cell>
          <cell r="AW72">
            <v>25</v>
          </cell>
          <cell r="AX72">
            <v>30</v>
          </cell>
          <cell r="AY72">
            <v>20</v>
          </cell>
          <cell r="AZ72">
            <v>0.625</v>
          </cell>
        </row>
        <row r="73">
          <cell r="B73">
            <v>2075</v>
          </cell>
          <cell r="C73" t="str">
            <v>Sami Abdula Said Al Nassri</v>
          </cell>
          <cell r="D73">
            <v>39683</v>
          </cell>
          <cell r="E73">
            <v>39768</v>
          </cell>
          <cell r="F73">
            <v>2</v>
          </cell>
          <cell r="G73">
            <v>0</v>
          </cell>
          <cell r="H73">
            <v>0</v>
          </cell>
          <cell r="I73">
            <v>4</v>
          </cell>
          <cell r="J73">
            <v>0</v>
          </cell>
          <cell r="K73">
            <v>0</v>
          </cell>
          <cell r="L73">
            <v>0</v>
          </cell>
          <cell r="M73">
            <v>0</v>
          </cell>
          <cell r="N73">
            <v>0</v>
          </cell>
          <cell r="O73">
            <v>0</v>
          </cell>
          <cell r="P73">
            <v>0</v>
          </cell>
          <cell r="Q73">
            <v>0</v>
          </cell>
          <cell r="R73">
            <v>0</v>
          </cell>
          <cell r="S73">
            <v>0</v>
          </cell>
          <cell r="T73">
            <v>7</v>
          </cell>
          <cell r="U73">
            <v>0</v>
          </cell>
          <cell r="V73">
            <v>0</v>
          </cell>
          <cell r="W73">
            <v>0</v>
          </cell>
          <cell r="X73">
            <v>0</v>
          </cell>
          <cell r="Y73" t="str">
            <v>L</v>
          </cell>
          <cell r="Z73" t="str">
            <v>L</v>
          </cell>
          <cell r="AA73" t="str">
            <v>L</v>
          </cell>
          <cell r="AB73" t="str">
            <v>L</v>
          </cell>
          <cell r="AC73" t="str">
            <v>L</v>
          </cell>
          <cell r="AD73" t="str">
            <v>L</v>
          </cell>
          <cell r="AE73" t="str">
            <v>L</v>
          </cell>
          <cell r="AF73">
            <v>0</v>
          </cell>
          <cell r="AG73">
            <v>0</v>
          </cell>
          <cell r="AH73">
            <v>0</v>
          </cell>
          <cell r="AI73" t="str">
            <v>L</v>
          </cell>
          <cell r="AJ73" t="str">
            <v>x</v>
          </cell>
          <cell r="AK73" t="str">
            <v>x</v>
          </cell>
          <cell r="AL73">
            <v>22</v>
          </cell>
          <cell r="AM73">
            <v>0</v>
          </cell>
          <cell r="AN73">
            <v>8</v>
          </cell>
          <cell r="AO73">
            <v>13</v>
          </cell>
          <cell r="AP73">
            <v>0</v>
          </cell>
          <cell r="AQ73">
            <v>0</v>
          </cell>
          <cell r="AR73">
            <v>22</v>
          </cell>
          <cell r="AS73" t="str">
            <v>Casual Labour</v>
          </cell>
          <cell r="AV73">
            <v>120</v>
          </cell>
          <cell r="AW73">
            <v>25</v>
          </cell>
          <cell r="AX73">
            <v>30</v>
          </cell>
          <cell r="AY73">
            <v>20</v>
          </cell>
          <cell r="AZ73">
            <v>0.625</v>
          </cell>
        </row>
        <row r="74">
          <cell r="B74">
            <v>2076</v>
          </cell>
          <cell r="C74" t="str">
            <v>Hamed Saif  Fadhel  Al Subhi</v>
          </cell>
          <cell r="D74">
            <v>39683</v>
          </cell>
          <cell r="E74">
            <v>39768</v>
          </cell>
          <cell r="F74">
            <v>2</v>
          </cell>
          <cell r="G74">
            <v>0</v>
          </cell>
          <cell r="H74">
            <v>0</v>
          </cell>
          <cell r="I74">
            <v>4</v>
          </cell>
          <cell r="J74">
            <v>0</v>
          </cell>
          <cell r="K74">
            <v>0</v>
          </cell>
          <cell r="L74">
            <v>0</v>
          </cell>
          <cell r="M74">
            <v>0</v>
          </cell>
          <cell r="N74">
            <v>0</v>
          </cell>
          <cell r="O74">
            <v>0</v>
          </cell>
          <cell r="P74">
            <v>0</v>
          </cell>
          <cell r="Q74">
            <v>0</v>
          </cell>
          <cell r="R74">
            <v>0</v>
          </cell>
          <cell r="S74">
            <v>0</v>
          </cell>
          <cell r="T74">
            <v>5</v>
          </cell>
          <cell r="U74">
            <v>0</v>
          </cell>
          <cell r="V74">
            <v>0</v>
          </cell>
          <cell r="W74">
            <v>0</v>
          </cell>
          <cell r="X74">
            <v>0</v>
          </cell>
          <cell r="Y74" t="str">
            <v>L</v>
          </cell>
          <cell r="Z74" t="str">
            <v>L</v>
          </cell>
          <cell r="AA74" t="str">
            <v>L</v>
          </cell>
          <cell r="AB74" t="str">
            <v>L</v>
          </cell>
          <cell r="AC74" t="str">
            <v>L</v>
          </cell>
          <cell r="AD74" t="str">
            <v>L</v>
          </cell>
          <cell r="AE74" t="str">
            <v>L</v>
          </cell>
          <cell r="AF74" t="str">
            <v>A</v>
          </cell>
          <cell r="AG74" t="str">
            <v>A</v>
          </cell>
          <cell r="AH74" t="str">
            <v>A</v>
          </cell>
          <cell r="AI74" t="str">
            <v>A</v>
          </cell>
          <cell r="AJ74" t="str">
            <v>x</v>
          </cell>
          <cell r="AK74" t="str">
            <v>x</v>
          </cell>
          <cell r="AL74">
            <v>19</v>
          </cell>
          <cell r="AM74">
            <v>0</v>
          </cell>
          <cell r="AN74">
            <v>7</v>
          </cell>
          <cell r="AO74">
            <v>11</v>
          </cell>
          <cell r="AP74">
            <v>0</v>
          </cell>
          <cell r="AQ74">
            <v>0</v>
          </cell>
          <cell r="AR74">
            <v>19</v>
          </cell>
          <cell r="AS74" t="str">
            <v>Casual Labour</v>
          </cell>
          <cell r="AV74">
            <v>120</v>
          </cell>
          <cell r="AW74">
            <v>25</v>
          </cell>
          <cell r="AX74">
            <v>30</v>
          </cell>
          <cell r="AY74">
            <v>20</v>
          </cell>
          <cell r="AZ74">
            <v>0.625</v>
          </cell>
        </row>
        <row r="75">
          <cell r="B75">
            <v>2077</v>
          </cell>
          <cell r="C75" t="str">
            <v>Hautham Hamed Saif  Al Busaidi</v>
          </cell>
          <cell r="D75">
            <v>39683</v>
          </cell>
          <cell r="E75">
            <v>39768</v>
          </cell>
          <cell r="F75">
            <v>2</v>
          </cell>
          <cell r="G75">
            <v>0</v>
          </cell>
          <cell r="H75">
            <v>0</v>
          </cell>
          <cell r="I75">
            <v>4</v>
          </cell>
          <cell r="J75">
            <v>0</v>
          </cell>
          <cell r="K75">
            <v>0</v>
          </cell>
          <cell r="L75">
            <v>0</v>
          </cell>
          <cell r="M75">
            <v>0</v>
          </cell>
          <cell r="N75">
            <v>0</v>
          </cell>
          <cell r="O75">
            <v>0</v>
          </cell>
          <cell r="P75">
            <v>0</v>
          </cell>
          <cell r="Q75" t="str">
            <v>x</v>
          </cell>
          <cell r="R75" t="str">
            <v>x</v>
          </cell>
          <cell r="S75" t="str">
            <v>x</v>
          </cell>
          <cell r="T75" t="str">
            <v>x</v>
          </cell>
          <cell r="U75" t="str">
            <v>x</v>
          </cell>
          <cell r="V75" t="str">
            <v>x</v>
          </cell>
          <cell r="W75" t="str">
            <v>x</v>
          </cell>
          <cell r="X75" t="str">
            <v>x</v>
          </cell>
          <cell r="Y75" t="str">
            <v>x</v>
          </cell>
          <cell r="Z75" t="str">
            <v>x</v>
          </cell>
          <cell r="AA75" t="str">
            <v>x</v>
          </cell>
          <cell r="AB75" t="str">
            <v>x</v>
          </cell>
          <cell r="AC75" t="str">
            <v>x</v>
          </cell>
          <cell r="AD75" t="str">
            <v>x</v>
          </cell>
          <cell r="AE75" t="str">
            <v>x</v>
          </cell>
          <cell r="AF75" t="str">
            <v>x</v>
          </cell>
          <cell r="AG75" t="str">
            <v>x</v>
          </cell>
          <cell r="AH75" t="str">
            <v>x</v>
          </cell>
          <cell r="AI75" t="str">
            <v>x</v>
          </cell>
          <cell r="AJ75" t="str">
            <v>x</v>
          </cell>
          <cell r="AK75" t="str">
            <v>x</v>
          </cell>
          <cell r="AL75">
            <v>11</v>
          </cell>
          <cell r="AM75">
            <v>0</v>
          </cell>
          <cell r="AN75">
            <v>0</v>
          </cell>
          <cell r="AO75">
            <v>6</v>
          </cell>
          <cell r="AP75">
            <v>0</v>
          </cell>
          <cell r="AQ75">
            <v>0</v>
          </cell>
          <cell r="AR75">
            <v>11</v>
          </cell>
          <cell r="AS75" t="str">
            <v>Casual Labour</v>
          </cell>
          <cell r="AV75">
            <v>120</v>
          </cell>
          <cell r="AW75">
            <v>25</v>
          </cell>
          <cell r="AX75">
            <v>30</v>
          </cell>
          <cell r="AY75">
            <v>20</v>
          </cell>
          <cell r="AZ75">
            <v>0.625</v>
          </cell>
        </row>
        <row r="76">
          <cell r="B76">
            <v>2078</v>
          </cell>
          <cell r="C76" t="str">
            <v>Ayoob Ali Mohamed Al Rawahi</v>
          </cell>
          <cell r="D76">
            <v>39683</v>
          </cell>
          <cell r="E76">
            <v>39768</v>
          </cell>
          <cell r="F76">
            <v>2</v>
          </cell>
          <cell r="G76">
            <v>0</v>
          </cell>
          <cell r="H76">
            <v>0</v>
          </cell>
          <cell r="I76">
            <v>4</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t="str">
            <v>x</v>
          </cell>
          <cell r="Y76" t="str">
            <v>x</v>
          </cell>
          <cell r="Z76" t="str">
            <v>x</v>
          </cell>
          <cell r="AA76" t="str">
            <v>x</v>
          </cell>
          <cell r="AB76" t="str">
            <v>x</v>
          </cell>
          <cell r="AC76" t="str">
            <v>x</v>
          </cell>
          <cell r="AD76" t="str">
            <v>x</v>
          </cell>
          <cell r="AE76" t="str">
            <v>x</v>
          </cell>
          <cell r="AF76" t="str">
            <v>x</v>
          </cell>
          <cell r="AG76" t="str">
            <v>x</v>
          </cell>
          <cell r="AH76" t="str">
            <v>x</v>
          </cell>
          <cell r="AI76" t="str">
            <v>x</v>
          </cell>
          <cell r="AJ76" t="str">
            <v>x</v>
          </cell>
          <cell r="AK76" t="str">
            <v>x</v>
          </cell>
          <cell r="AL76">
            <v>18</v>
          </cell>
          <cell r="AM76">
            <v>0</v>
          </cell>
          <cell r="AN76">
            <v>0</v>
          </cell>
          <cell r="AO76">
            <v>6</v>
          </cell>
          <cell r="AP76">
            <v>0</v>
          </cell>
          <cell r="AQ76">
            <v>0</v>
          </cell>
          <cell r="AR76">
            <v>18</v>
          </cell>
          <cell r="AS76" t="str">
            <v>Casual Labour</v>
          </cell>
          <cell r="AV76">
            <v>120</v>
          </cell>
          <cell r="AW76">
            <v>25</v>
          </cell>
          <cell r="AX76">
            <v>30</v>
          </cell>
          <cell r="AY76">
            <v>20</v>
          </cell>
          <cell r="AZ76">
            <v>0.625</v>
          </cell>
        </row>
        <row r="77">
          <cell r="B77">
            <v>2079</v>
          </cell>
          <cell r="C77" t="str">
            <v xml:space="preserve">Haitham Nasser Mohammed  Al Rawahi </v>
          </cell>
          <cell r="D77">
            <v>39683</v>
          </cell>
          <cell r="E77">
            <v>39768</v>
          </cell>
          <cell r="F77">
            <v>2</v>
          </cell>
          <cell r="G77">
            <v>0</v>
          </cell>
          <cell r="H77">
            <v>3</v>
          </cell>
          <cell r="I77">
            <v>3</v>
          </cell>
          <cell r="J77">
            <v>4</v>
          </cell>
          <cell r="K77">
            <v>4</v>
          </cell>
          <cell r="L77">
            <v>0</v>
          </cell>
          <cell r="M77">
            <v>0</v>
          </cell>
          <cell r="N77">
            <v>0</v>
          </cell>
          <cell r="O77">
            <v>0</v>
          </cell>
          <cell r="P77">
            <v>0</v>
          </cell>
          <cell r="Q77">
            <v>0</v>
          </cell>
          <cell r="R77">
            <v>0</v>
          </cell>
          <cell r="S77">
            <v>0</v>
          </cell>
          <cell r="T77">
            <v>0</v>
          </cell>
          <cell r="U77">
            <v>0</v>
          </cell>
          <cell r="V77">
            <v>0</v>
          </cell>
          <cell r="W77">
            <v>0</v>
          </cell>
          <cell r="X77">
            <v>0</v>
          </cell>
          <cell r="Y77" t="str">
            <v>L</v>
          </cell>
          <cell r="Z77" t="str">
            <v>L</v>
          </cell>
          <cell r="AA77" t="str">
            <v>L</v>
          </cell>
          <cell r="AB77" t="str">
            <v>L</v>
          </cell>
          <cell r="AC77" t="str">
            <v>L</v>
          </cell>
          <cell r="AD77" t="str">
            <v>L</v>
          </cell>
          <cell r="AE77" t="str">
            <v>L</v>
          </cell>
          <cell r="AF77" t="str">
            <v>A</v>
          </cell>
          <cell r="AG77" t="str">
            <v>A</v>
          </cell>
          <cell r="AH77" t="str">
            <v>A</v>
          </cell>
          <cell r="AI77" t="str">
            <v>A</v>
          </cell>
          <cell r="AJ77" t="str">
            <v>x</v>
          </cell>
          <cell r="AK77" t="str">
            <v>x</v>
          </cell>
          <cell r="AL77">
            <v>19</v>
          </cell>
          <cell r="AM77">
            <v>0</v>
          </cell>
          <cell r="AN77">
            <v>7</v>
          </cell>
          <cell r="AO77">
            <v>16</v>
          </cell>
          <cell r="AP77">
            <v>0</v>
          </cell>
          <cell r="AQ77">
            <v>0</v>
          </cell>
          <cell r="AR77">
            <v>19</v>
          </cell>
          <cell r="AS77" t="str">
            <v>Casual Labour</v>
          </cell>
          <cell r="AV77">
            <v>120</v>
          </cell>
          <cell r="AW77">
            <v>25</v>
          </cell>
          <cell r="AX77">
            <v>30</v>
          </cell>
          <cell r="AY77">
            <v>20</v>
          </cell>
          <cell r="AZ77">
            <v>0.625</v>
          </cell>
        </row>
        <row r="78">
          <cell r="B78">
            <v>2080</v>
          </cell>
          <cell r="C78" t="str">
            <v>Salim Said Hamed Al Rawahi</v>
          </cell>
          <cell r="D78">
            <v>39683</v>
          </cell>
          <cell r="E78">
            <v>39768</v>
          </cell>
          <cell r="F78">
            <v>2</v>
          </cell>
          <cell r="G78">
            <v>0</v>
          </cell>
          <cell r="H78">
            <v>0</v>
          </cell>
          <cell r="I78">
            <v>4</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t="str">
            <v>x</v>
          </cell>
          <cell r="Y78" t="str">
            <v>x</v>
          </cell>
          <cell r="Z78" t="str">
            <v>x</v>
          </cell>
          <cell r="AA78" t="str">
            <v>x</v>
          </cell>
          <cell r="AB78" t="str">
            <v>x</v>
          </cell>
          <cell r="AC78" t="str">
            <v>x</v>
          </cell>
          <cell r="AD78" t="str">
            <v>x</v>
          </cell>
          <cell r="AE78" t="str">
            <v>x</v>
          </cell>
          <cell r="AF78" t="str">
            <v>x</v>
          </cell>
          <cell r="AG78" t="str">
            <v>x</v>
          </cell>
          <cell r="AH78" t="str">
            <v>x</v>
          </cell>
          <cell r="AI78" t="str">
            <v>x</v>
          </cell>
          <cell r="AJ78" t="str">
            <v>x</v>
          </cell>
          <cell r="AK78" t="str">
            <v>x</v>
          </cell>
          <cell r="AL78">
            <v>18</v>
          </cell>
          <cell r="AM78">
            <v>0</v>
          </cell>
          <cell r="AN78">
            <v>0</v>
          </cell>
          <cell r="AO78">
            <v>6</v>
          </cell>
          <cell r="AP78">
            <v>0</v>
          </cell>
          <cell r="AQ78">
            <v>0</v>
          </cell>
          <cell r="AR78">
            <v>18</v>
          </cell>
          <cell r="AS78" t="str">
            <v>Casual Labour</v>
          </cell>
          <cell r="AV78">
            <v>120</v>
          </cell>
          <cell r="AW78">
            <v>25</v>
          </cell>
          <cell r="AX78">
            <v>30</v>
          </cell>
          <cell r="AY78">
            <v>20</v>
          </cell>
          <cell r="AZ78">
            <v>0.625</v>
          </cell>
        </row>
        <row r="79">
          <cell r="B79">
            <v>2081</v>
          </cell>
          <cell r="C79" t="str">
            <v>Asad Abdulah Khalfan Al Asmi</v>
          </cell>
          <cell r="D79">
            <v>39683</v>
          </cell>
          <cell r="E79">
            <v>39768</v>
          </cell>
          <cell r="F79">
            <v>2</v>
          </cell>
          <cell r="G79">
            <v>0</v>
          </cell>
          <cell r="H79">
            <v>0</v>
          </cell>
          <cell r="I79">
            <v>4</v>
          </cell>
          <cell r="J79">
            <v>0</v>
          </cell>
          <cell r="K79">
            <v>0</v>
          </cell>
          <cell r="L79">
            <v>0</v>
          </cell>
          <cell r="M79">
            <v>0</v>
          </cell>
          <cell r="N79">
            <v>0</v>
          </cell>
          <cell r="O79">
            <v>0</v>
          </cell>
          <cell r="P79">
            <v>0</v>
          </cell>
          <cell r="Q79">
            <v>0</v>
          </cell>
          <cell r="R79">
            <v>7</v>
          </cell>
          <cell r="S79">
            <v>7</v>
          </cell>
          <cell r="T79">
            <v>7</v>
          </cell>
          <cell r="U79">
            <v>0</v>
          </cell>
          <cell r="V79">
            <v>6</v>
          </cell>
          <cell r="W79">
            <v>7</v>
          </cell>
          <cell r="X79">
            <v>0</v>
          </cell>
          <cell r="Y79" t="str">
            <v>L</v>
          </cell>
          <cell r="Z79" t="str">
            <v>L</v>
          </cell>
          <cell r="AA79" t="str">
            <v>L</v>
          </cell>
          <cell r="AB79" t="str">
            <v>L</v>
          </cell>
          <cell r="AC79" t="str">
            <v>L</v>
          </cell>
          <cell r="AD79" t="str">
            <v>L</v>
          </cell>
          <cell r="AE79" t="str">
            <v>L</v>
          </cell>
          <cell r="AF79" t="str">
            <v>A</v>
          </cell>
          <cell r="AG79" t="str">
            <v>A</v>
          </cell>
          <cell r="AH79" t="str">
            <v>A</v>
          </cell>
          <cell r="AI79" t="str">
            <v>A</v>
          </cell>
          <cell r="AJ79" t="str">
            <v>x</v>
          </cell>
          <cell r="AK79" t="str">
            <v>x</v>
          </cell>
          <cell r="AL79">
            <v>19</v>
          </cell>
          <cell r="AM79">
            <v>0</v>
          </cell>
          <cell r="AN79">
            <v>7</v>
          </cell>
          <cell r="AO79">
            <v>40</v>
          </cell>
          <cell r="AP79">
            <v>0</v>
          </cell>
          <cell r="AQ79">
            <v>0</v>
          </cell>
          <cell r="AR79">
            <v>19</v>
          </cell>
          <cell r="AS79" t="str">
            <v>Casual Labour</v>
          </cell>
          <cell r="AV79">
            <v>120</v>
          </cell>
          <cell r="AW79">
            <v>25</v>
          </cell>
          <cell r="AX79">
            <v>30</v>
          </cell>
          <cell r="AY79">
            <v>20</v>
          </cell>
          <cell r="AZ79">
            <v>0.625</v>
          </cell>
        </row>
        <row r="80">
          <cell r="B80">
            <v>2082</v>
          </cell>
          <cell r="C80" t="str">
            <v>Hanad Juma Obaid Al Na'imi</v>
          </cell>
          <cell r="D80">
            <v>39686</v>
          </cell>
          <cell r="E80">
            <v>39771</v>
          </cell>
          <cell r="F80">
            <v>2</v>
          </cell>
          <cell r="G80">
            <v>0</v>
          </cell>
          <cell r="H80">
            <v>0</v>
          </cell>
          <cell r="I80">
            <v>4</v>
          </cell>
          <cell r="J80">
            <v>0</v>
          </cell>
          <cell r="K80">
            <v>0</v>
          </cell>
          <cell r="L80">
            <v>0</v>
          </cell>
          <cell r="M80">
            <v>0</v>
          </cell>
          <cell r="N80">
            <v>0</v>
          </cell>
          <cell r="O80">
            <v>7</v>
          </cell>
          <cell r="P80">
            <v>7</v>
          </cell>
          <cell r="Q80">
            <v>7</v>
          </cell>
          <cell r="R80">
            <v>7</v>
          </cell>
          <cell r="S80">
            <v>7</v>
          </cell>
          <cell r="T80">
            <v>7</v>
          </cell>
          <cell r="U80">
            <v>7</v>
          </cell>
          <cell r="V80">
            <v>6</v>
          </cell>
          <cell r="W80">
            <v>7</v>
          </cell>
          <cell r="X80">
            <v>7</v>
          </cell>
          <cell r="Y80">
            <v>7</v>
          </cell>
          <cell r="Z80">
            <v>9</v>
          </cell>
          <cell r="AA80">
            <v>7</v>
          </cell>
          <cell r="AB80">
            <v>7</v>
          </cell>
          <cell r="AC80">
            <v>7</v>
          </cell>
          <cell r="AD80">
            <v>7</v>
          </cell>
          <cell r="AE80">
            <v>7</v>
          </cell>
          <cell r="AF80">
            <v>7.5</v>
          </cell>
          <cell r="AG80">
            <v>7</v>
          </cell>
          <cell r="AH80">
            <v>0</v>
          </cell>
          <cell r="AI80">
            <v>10</v>
          </cell>
          <cell r="AJ80" t="str">
            <v>x</v>
          </cell>
          <cell r="AK80" t="str">
            <v>x</v>
          </cell>
          <cell r="AL80">
            <v>30</v>
          </cell>
          <cell r="AM80">
            <v>0</v>
          </cell>
          <cell r="AN80">
            <v>0</v>
          </cell>
          <cell r="AO80">
            <v>150.5</v>
          </cell>
          <cell r="AP80">
            <v>0</v>
          </cell>
          <cell r="AQ80">
            <v>0</v>
          </cell>
          <cell r="AR80">
            <v>30</v>
          </cell>
          <cell r="AS80" t="str">
            <v>Casual Labour</v>
          </cell>
          <cell r="AV80">
            <v>120</v>
          </cell>
          <cell r="AW80">
            <v>25</v>
          </cell>
          <cell r="AX80">
            <v>30</v>
          </cell>
          <cell r="AY80">
            <v>20</v>
          </cell>
          <cell r="AZ80">
            <v>0.625</v>
          </cell>
        </row>
        <row r="81">
          <cell r="B81">
            <v>2083</v>
          </cell>
          <cell r="C81" t="str">
            <v>Sultan Ali Said Al Zeidi</v>
          </cell>
          <cell r="D81">
            <v>39686</v>
          </cell>
          <cell r="E81">
            <v>39771</v>
          </cell>
          <cell r="F81">
            <v>2</v>
          </cell>
          <cell r="G81">
            <v>0</v>
          </cell>
          <cell r="H81">
            <v>0</v>
          </cell>
          <cell r="I81">
            <v>4</v>
          </cell>
          <cell r="J81">
            <v>0</v>
          </cell>
          <cell r="K81">
            <v>0</v>
          </cell>
          <cell r="L81">
            <v>0</v>
          </cell>
          <cell r="M81">
            <v>0</v>
          </cell>
          <cell r="N81">
            <v>0</v>
          </cell>
          <cell r="O81">
            <v>0</v>
          </cell>
          <cell r="P81">
            <v>0</v>
          </cell>
          <cell r="Q81">
            <v>0</v>
          </cell>
          <cell r="R81">
            <v>7</v>
          </cell>
          <cell r="S81">
            <v>0</v>
          </cell>
          <cell r="T81">
            <v>0</v>
          </cell>
          <cell r="U81">
            <v>0</v>
          </cell>
          <cell r="V81">
            <v>0</v>
          </cell>
          <cell r="W81">
            <v>0</v>
          </cell>
          <cell r="X81">
            <v>0</v>
          </cell>
          <cell r="Y81">
            <v>0</v>
          </cell>
          <cell r="Z81">
            <v>0</v>
          </cell>
          <cell r="AA81">
            <v>0</v>
          </cell>
          <cell r="AB81">
            <v>0</v>
          </cell>
          <cell r="AC81">
            <v>0</v>
          </cell>
          <cell r="AD81">
            <v>0</v>
          </cell>
          <cell r="AE81">
            <v>0</v>
          </cell>
          <cell r="AF81" t="str">
            <v>L</v>
          </cell>
          <cell r="AG81" t="str">
            <v>L</v>
          </cell>
          <cell r="AH81" t="str">
            <v>L</v>
          </cell>
          <cell r="AI81" t="str">
            <v>L</v>
          </cell>
          <cell r="AJ81" t="str">
            <v>x</v>
          </cell>
          <cell r="AK81" t="str">
            <v>x</v>
          </cell>
          <cell r="AL81">
            <v>26</v>
          </cell>
          <cell r="AM81">
            <v>0</v>
          </cell>
          <cell r="AN81">
            <v>4</v>
          </cell>
          <cell r="AO81">
            <v>13</v>
          </cell>
          <cell r="AP81">
            <v>0</v>
          </cell>
          <cell r="AQ81">
            <v>0</v>
          </cell>
          <cell r="AR81">
            <v>26</v>
          </cell>
          <cell r="AS81" t="str">
            <v>Casual Labour</v>
          </cell>
          <cell r="AV81">
            <v>120</v>
          </cell>
          <cell r="AW81">
            <v>25</v>
          </cell>
          <cell r="AX81">
            <v>30</v>
          </cell>
          <cell r="AY81">
            <v>20</v>
          </cell>
          <cell r="AZ81">
            <v>0.625</v>
          </cell>
        </row>
        <row r="82">
          <cell r="B82">
            <v>2084</v>
          </cell>
          <cell r="C82" t="str">
            <v>Abdullah Sulaiyam Salim Al Jadidi</v>
          </cell>
          <cell r="D82">
            <v>39688</v>
          </cell>
          <cell r="E82">
            <v>39773</v>
          </cell>
          <cell r="F82">
            <v>2</v>
          </cell>
          <cell r="G82">
            <v>0</v>
          </cell>
          <cell r="H82">
            <v>0</v>
          </cell>
          <cell r="I82">
            <v>4</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t="str">
            <v>L</v>
          </cell>
          <cell r="AG82" t="str">
            <v>L</v>
          </cell>
          <cell r="AH82" t="str">
            <v>L</v>
          </cell>
          <cell r="AI82" t="str">
            <v>L</v>
          </cell>
          <cell r="AJ82" t="str">
            <v>x</v>
          </cell>
          <cell r="AK82" t="str">
            <v>x</v>
          </cell>
          <cell r="AL82">
            <v>26</v>
          </cell>
          <cell r="AM82">
            <v>0</v>
          </cell>
          <cell r="AN82">
            <v>4</v>
          </cell>
          <cell r="AO82">
            <v>6</v>
          </cell>
          <cell r="AP82">
            <v>0</v>
          </cell>
          <cell r="AQ82">
            <v>0</v>
          </cell>
          <cell r="AR82">
            <v>26</v>
          </cell>
          <cell r="AS82" t="str">
            <v>Casual Labour</v>
          </cell>
          <cell r="AV82">
            <v>120</v>
          </cell>
          <cell r="AW82">
            <v>25</v>
          </cell>
          <cell r="AX82">
            <v>30</v>
          </cell>
          <cell r="AY82">
            <v>20</v>
          </cell>
          <cell r="AZ82">
            <v>0.625</v>
          </cell>
        </row>
        <row r="83">
          <cell r="B83">
            <v>2085</v>
          </cell>
          <cell r="C83" t="str">
            <v>Mohammed Abdullah Yaqoot Al Ghafri</v>
          </cell>
          <cell r="D83">
            <v>39688</v>
          </cell>
          <cell r="E83">
            <v>39773</v>
          </cell>
          <cell r="F83">
            <v>2</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t="str">
            <v>L</v>
          </cell>
          <cell r="AG83" t="str">
            <v>L</v>
          </cell>
          <cell r="AH83" t="str">
            <v>L</v>
          </cell>
          <cell r="AI83" t="str">
            <v>L</v>
          </cell>
          <cell r="AJ83" t="str">
            <v>x</v>
          </cell>
          <cell r="AK83" t="str">
            <v>x</v>
          </cell>
          <cell r="AL83">
            <v>26</v>
          </cell>
          <cell r="AM83">
            <v>0</v>
          </cell>
          <cell r="AN83">
            <v>4</v>
          </cell>
          <cell r="AO83">
            <v>2</v>
          </cell>
          <cell r="AP83">
            <v>0</v>
          </cell>
          <cell r="AQ83">
            <v>0</v>
          </cell>
          <cell r="AR83">
            <v>26</v>
          </cell>
          <cell r="AS83" t="str">
            <v>Casual Labour</v>
          </cell>
          <cell r="AV83">
            <v>120</v>
          </cell>
          <cell r="AW83">
            <v>25</v>
          </cell>
          <cell r="AX83">
            <v>30</v>
          </cell>
          <cell r="AY83">
            <v>20</v>
          </cell>
          <cell r="AZ83">
            <v>0.625</v>
          </cell>
        </row>
        <row r="84">
          <cell r="B84">
            <v>2086</v>
          </cell>
          <cell r="C84" t="str">
            <v>Rashid Humaid Marhoon Al Jadidi</v>
          </cell>
          <cell r="D84">
            <v>39688</v>
          </cell>
          <cell r="E84">
            <v>39773</v>
          </cell>
          <cell r="F84">
            <v>6</v>
          </cell>
          <cell r="G84">
            <v>0</v>
          </cell>
          <cell r="H84">
            <v>0</v>
          </cell>
          <cell r="I84">
            <v>4</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t="str">
            <v>L</v>
          </cell>
          <cell r="AG84" t="str">
            <v>L</v>
          </cell>
          <cell r="AH84" t="str">
            <v>L</v>
          </cell>
          <cell r="AI84" t="str">
            <v>L</v>
          </cell>
          <cell r="AJ84" t="str">
            <v>x</v>
          </cell>
          <cell r="AK84" t="str">
            <v>x</v>
          </cell>
          <cell r="AL84">
            <v>26</v>
          </cell>
          <cell r="AM84">
            <v>0</v>
          </cell>
          <cell r="AN84">
            <v>4</v>
          </cell>
          <cell r="AO84">
            <v>10</v>
          </cell>
          <cell r="AP84">
            <v>0</v>
          </cell>
          <cell r="AQ84">
            <v>0</v>
          </cell>
          <cell r="AR84">
            <v>26</v>
          </cell>
          <cell r="AS84" t="str">
            <v>Casual Labour</v>
          </cell>
          <cell r="AV84">
            <v>120</v>
          </cell>
          <cell r="AW84">
            <v>25</v>
          </cell>
          <cell r="AX84">
            <v>30</v>
          </cell>
          <cell r="AY84">
            <v>20</v>
          </cell>
          <cell r="AZ84">
            <v>0.625</v>
          </cell>
        </row>
        <row r="85">
          <cell r="B85">
            <v>2087</v>
          </cell>
          <cell r="C85" t="str">
            <v>Fahad Humaid Khamis Hammad Al Hina'I</v>
          </cell>
          <cell r="D85">
            <v>39688</v>
          </cell>
          <cell r="E85">
            <v>39773</v>
          </cell>
          <cell r="F85">
            <v>2</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t="str">
            <v>L</v>
          </cell>
          <cell r="AG85" t="str">
            <v>L</v>
          </cell>
          <cell r="AH85" t="str">
            <v>L</v>
          </cell>
          <cell r="AI85" t="str">
            <v>L</v>
          </cell>
          <cell r="AJ85" t="str">
            <v>x</v>
          </cell>
          <cell r="AK85" t="str">
            <v>x</v>
          </cell>
          <cell r="AL85">
            <v>26</v>
          </cell>
          <cell r="AM85">
            <v>0</v>
          </cell>
          <cell r="AN85">
            <v>4</v>
          </cell>
          <cell r="AO85">
            <v>2</v>
          </cell>
          <cell r="AP85">
            <v>0</v>
          </cell>
          <cell r="AQ85">
            <v>0</v>
          </cell>
          <cell r="AR85">
            <v>26</v>
          </cell>
          <cell r="AS85" t="str">
            <v>Casual Labour</v>
          </cell>
          <cell r="AV85">
            <v>120</v>
          </cell>
          <cell r="AW85">
            <v>25</v>
          </cell>
          <cell r="AX85">
            <v>30</v>
          </cell>
          <cell r="AY85">
            <v>20</v>
          </cell>
          <cell r="AZ85">
            <v>0.625</v>
          </cell>
        </row>
        <row r="86">
          <cell r="B86">
            <v>2088</v>
          </cell>
          <cell r="C86" t="str">
            <v>Khalid Salim Mohammed Al Hina'i</v>
          </cell>
          <cell r="D86">
            <v>39688</v>
          </cell>
          <cell r="E86">
            <v>39773</v>
          </cell>
          <cell r="F86">
            <v>2</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t="str">
            <v>x</v>
          </cell>
          <cell r="AG86" t="str">
            <v>x</v>
          </cell>
          <cell r="AH86" t="str">
            <v>x</v>
          </cell>
          <cell r="AI86" t="str">
            <v>x</v>
          </cell>
          <cell r="AJ86" t="str">
            <v>x</v>
          </cell>
          <cell r="AK86" t="str">
            <v>x</v>
          </cell>
          <cell r="AL86">
            <v>26</v>
          </cell>
          <cell r="AM86">
            <v>0</v>
          </cell>
          <cell r="AN86">
            <v>0</v>
          </cell>
          <cell r="AO86">
            <v>2</v>
          </cell>
          <cell r="AP86">
            <v>0</v>
          </cell>
          <cell r="AQ86">
            <v>0</v>
          </cell>
          <cell r="AR86">
            <v>26</v>
          </cell>
          <cell r="AS86" t="str">
            <v>Casual Labour</v>
          </cell>
          <cell r="AV86">
            <v>120</v>
          </cell>
          <cell r="AW86">
            <v>25</v>
          </cell>
          <cell r="AX86">
            <v>30</v>
          </cell>
          <cell r="AY86">
            <v>20</v>
          </cell>
          <cell r="AZ86">
            <v>0.625</v>
          </cell>
        </row>
        <row r="87">
          <cell r="B87">
            <v>2089</v>
          </cell>
          <cell r="C87" t="str">
            <v>Abdul Rahman Salim Harith Al Fahdi</v>
          </cell>
          <cell r="D87">
            <v>39688</v>
          </cell>
          <cell r="E87">
            <v>39773</v>
          </cell>
          <cell r="F87">
            <v>2</v>
          </cell>
          <cell r="G87">
            <v>0</v>
          </cell>
          <cell r="H87">
            <v>0</v>
          </cell>
          <cell r="I87">
            <v>0</v>
          </cell>
          <cell r="J87">
            <v>0</v>
          </cell>
          <cell r="K87">
            <v>0</v>
          </cell>
          <cell r="L87">
            <v>0</v>
          </cell>
          <cell r="M87">
            <v>0</v>
          </cell>
          <cell r="N87">
            <v>6</v>
          </cell>
          <cell r="O87">
            <v>7</v>
          </cell>
          <cell r="P87">
            <v>7</v>
          </cell>
          <cell r="Q87">
            <v>7</v>
          </cell>
          <cell r="R87">
            <v>7</v>
          </cell>
          <cell r="S87">
            <v>0</v>
          </cell>
          <cell r="T87">
            <v>0</v>
          </cell>
          <cell r="U87">
            <v>0</v>
          </cell>
          <cell r="V87">
            <v>0</v>
          </cell>
          <cell r="W87">
            <v>0</v>
          </cell>
          <cell r="X87">
            <v>0</v>
          </cell>
          <cell r="Y87">
            <v>0</v>
          </cell>
          <cell r="Z87" t="str">
            <v>x</v>
          </cell>
          <cell r="AA87" t="str">
            <v>x</v>
          </cell>
          <cell r="AB87" t="str">
            <v>x</v>
          </cell>
          <cell r="AC87" t="str">
            <v>x</v>
          </cell>
          <cell r="AD87" t="str">
            <v>x</v>
          </cell>
          <cell r="AE87" t="str">
            <v>x</v>
          </cell>
          <cell r="AF87" t="str">
            <v>x</v>
          </cell>
          <cell r="AG87" t="str">
            <v>x</v>
          </cell>
          <cell r="AH87" t="str">
            <v>x</v>
          </cell>
          <cell r="AI87" t="str">
            <v>x</v>
          </cell>
          <cell r="AJ87" t="str">
            <v>x</v>
          </cell>
          <cell r="AK87" t="str">
            <v>x</v>
          </cell>
          <cell r="AL87">
            <v>20</v>
          </cell>
          <cell r="AM87">
            <v>0</v>
          </cell>
          <cell r="AN87">
            <v>0</v>
          </cell>
          <cell r="AO87">
            <v>36</v>
          </cell>
          <cell r="AP87">
            <v>0</v>
          </cell>
          <cell r="AQ87">
            <v>0</v>
          </cell>
          <cell r="AR87">
            <v>20</v>
          </cell>
          <cell r="AS87" t="str">
            <v>Casual Labour</v>
          </cell>
          <cell r="AV87">
            <v>120</v>
          </cell>
          <cell r="AW87">
            <v>25</v>
          </cell>
          <cell r="AX87">
            <v>30</v>
          </cell>
          <cell r="AY87">
            <v>20</v>
          </cell>
          <cell r="AZ87">
            <v>0.625</v>
          </cell>
        </row>
        <row r="88">
          <cell r="B88">
            <v>2090</v>
          </cell>
          <cell r="C88" t="str">
            <v>Badar Zayid Ali Al Hatmi</v>
          </cell>
          <cell r="D88">
            <v>39688</v>
          </cell>
          <cell r="E88">
            <v>39773</v>
          </cell>
          <cell r="F88">
            <v>2</v>
          </cell>
          <cell r="G88">
            <v>0</v>
          </cell>
          <cell r="H88">
            <v>0</v>
          </cell>
          <cell r="I88">
            <v>6</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t="str">
            <v>x</v>
          </cell>
          <cell r="AG88" t="str">
            <v>x</v>
          </cell>
          <cell r="AH88" t="str">
            <v>x</v>
          </cell>
          <cell r="AI88" t="str">
            <v>x</v>
          </cell>
          <cell r="AJ88" t="str">
            <v>x</v>
          </cell>
          <cell r="AK88" t="str">
            <v>x</v>
          </cell>
          <cell r="AL88">
            <v>26</v>
          </cell>
          <cell r="AM88">
            <v>0</v>
          </cell>
          <cell r="AN88">
            <v>0</v>
          </cell>
          <cell r="AO88">
            <v>8</v>
          </cell>
          <cell r="AP88">
            <v>0</v>
          </cell>
          <cell r="AQ88">
            <v>0</v>
          </cell>
          <cell r="AR88">
            <v>26</v>
          </cell>
          <cell r="AS88" t="str">
            <v>Casual Labour</v>
          </cell>
          <cell r="AV88">
            <v>120</v>
          </cell>
          <cell r="AW88">
            <v>25</v>
          </cell>
          <cell r="AX88">
            <v>30</v>
          </cell>
          <cell r="AY88">
            <v>20</v>
          </cell>
          <cell r="AZ88">
            <v>0.625</v>
          </cell>
        </row>
        <row r="89">
          <cell r="B89">
            <v>2091</v>
          </cell>
          <cell r="C89" t="str">
            <v>Majid Musabah Hamed Al Amri</v>
          </cell>
          <cell r="D89">
            <v>39688</v>
          </cell>
          <cell r="E89">
            <v>39773</v>
          </cell>
          <cell r="F89">
            <v>2</v>
          </cell>
          <cell r="G89">
            <v>0</v>
          </cell>
          <cell r="H89">
            <v>6</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t="str">
            <v>L</v>
          </cell>
          <cell r="AG89" t="str">
            <v>L</v>
          </cell>
          <cell r="AH89" t="str">
            <v>L</v>
          </cell>
          <cell r="AI89" t="str">
            <v>L</v>
          </cell>
          <cell r="AJ89" t="str">
            <v>x</v>
          </cell>
          <cell r="AK89" t="str">
            <v>x</v>
          </cell>
          <cell r="AL89">
            <v>26</v>
          </cell>
          <cell r="AM89">
            <v>0</v>
          </cell>
          <cell r="AN89">
            <v>4</v>
          </cell>
          <cell r="AO89">
            <v>8</v>
          </cell>
          <cell r="AP89">
            <v>0</v>
          </cell>
          <cell r="AQ89">
            <v>0</v>
          </cell>
          <cell r="AR89">
            <v>26</v>
          </cell>
          <cell r="AS89" t="str">
            <v>Casual Labour</v>
          </cell>
          <cell r="AV89">
            <v>120</v>
          </cell>
          <cell r="AW89">
            <v>25</v>
          </cell>
          <cell r="AX89">
            <v>30</v>
          </cell>
          <cell r="AY89">
            <v>20</v>
          </cell>
          <cell r="AZ89">
            <v>0.625</v>
          </cell>
        </row>
        <row r="90">
          <cell r="B90">
            <v>2094</v>
          </cell>
          <cell r="C90" t="str">
            <v>Hamood Said Adeem Al Riyami</v>
          </cell>
          <cell r="D90">
            <v>39688</v>
          </cell>
          <cell r="E90">
            <v>39773</v>
          </cell>
          <cell r="F90">
            <v>2</v>
          </cell>
          <cell r="G90">
            <v>0</v>
          </cell>
          <cell r="H90">
            <v>0</v>
          </cell>
          <cell r="I90">
            <v>6</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t="str">
            <v>L</v>
          </cell>
          <cell r="AG90" t="str">
            <v>L</v>
          </cell>
          <cell r="AH90" t="str">
            <v>L</v>
          </cell>
          <cell r="AI90" t="str">
            <v>L</v>
          </cell>
          <cell r="AJ90" t="str">
            <v>x</v>
          </cell>
          <cell r="AK90" t="str">
            <v>x</v>
          </cell>
          <cell r="AL90">
            <v>26</v>
          </cell>
          <cell r="AM90">
            <v>0</v>
          </cell>
          <cell r="AN90">
            <v>4</v>
          </cell>
          <cell r="AO90">
            <v>8</v>
          </cell>
          <cell r="AP90">
            <v>0</v>
          </cell>
          <cell r="AQ90">
            <v>0</v>
          </cell>
          <cell r="AR90">
            <v>26</v>
          </cell>
          <cell r="AS90" t="str">
            <v>Casual Labour</v>
          </cell>
          <cell r="AV90">
            <v>120</v>
          </cell>
          <cell r="AW90">
            <v>25</v>
          </cell>
          <cell r="AX90">
            <v>30</v>
          </cell>
          <cell r="AY90">
            <v>20</v>
          </cell>
          <cell r="AZ90">
            <v>0.625</v>
          </cell>
        </row>
        <row r="91">
          <cell r="B91">
            <v>2095</v>
          </cell>
          <cell r="C91" t="str">
            <v>AbdulaAziz Awadh Khamis Al Naaimi</v>
          </cell>
          <cell r="D91">
            <v>39690</v>
          </cell>
          <cell r="E91">
            <v>39775</v>
          </cell>
          <cell r="F91">
            <v>2</v>
          </cell>
          <cell r="G91">
            <v>0</v>
          </cell>
          <cell r="H91">
            <v>0</v>
          </cell>
          <cell r="I91">
            <v>0</v>
          </cell>
          <cell r="J91">
            <v>0</v>
          </cell>
          <cell r="K91" t="str">
            <v>A</v>
          </cell>
          <cell r="L91" t="str">
            <v>A</v>
          </cell>
          <cell r="M91" t="str">
            <v>A</v>
          </cell>
          <cell r="N91">
            <v>0</v>
          </cell>
          <cell r="O91">
            <v>0</v>
          </cell>
          <cell r="P91">
            <v>0</v>
          </cell>
          <cell r="Q91">
            <v>0</v>
          </cell>
          <cell r="R91">
            <v>0</v>
          </cell>
          <cell r="S91">
            <v>7</v>
          </cell>
          <cell r="T91">
            <v>0</v>
          </cell>
          <cell r="U91">
            <v>0</v>
          </cell>
          <cell r="V91">
            <v>0</v>
          </cell>
          <cell r="W91">
            <v>0</v>
          </cell>
          <cell r="X91">
            <v>0</v>
          </cell>
          <cell r="Y91">
            <v>0</v>
          </cell>
          <cell r="Z91">
            <v>9</v>
          </cell>
          <cell r="AA91">
            <v>0</v>
          </cell>
          <cell r="AB91">
            <v>0</v>
          </cell>
          <cell r="AC91">
            <v>0</v>
          </cell>
          <cell r="AD91">
            <v>0</v>
          </cell>
          <cell r="AE91">
            <v>0</v>
          </cell>
          <cell r="AF91" t="str">
            <v>L</v>
          </cell>
          <cell r="AG91" t="str">
            <v>L</v>
          </cell>
          <cell r="AH91" t="str">
            <v>L</v>
          </cell>
          <cell r="AI91" t="str">
            <v>L</v>
          </cell>
          <cell r="AJ91" t="str">
            <v>x</v>
          </cell>
          <cell r="AK91" t="str">
            <v>x</v>
          </cell>
          <cell r="AL91">
            <v>23</v>
          </cell>
          <cell r="AM91">
            <v>0</v>
          </cell>
          <cell r="AN91">
            <v>4</v>
          </cell>
          <cell r="AO91">
            <v>18</v>
          </cell>
          <cell r="AP91">
            <v>0</v>
          </cell>
          <cell r="AQ91">
            <v>0</v>
          </cell>
          <cell r="AR91">
            <v>23</v>
          </cell>
          <cell r="AS91" t="str">
            <v>Casual Labour</v>
          </cell>
          <cell r="AV91">
            <v>120</v>
          </cell>
          <cell r="AW91">
            <v>25</v>
          </cell>
          <cell r="AX91">
            <v>30</v>
          </cell>
          <cell r="AY91">
            <v>20</v>
          </cell>
          <cell r="AZ91">
            <v>0.625</v>
          </cell>
        </row>
        <row r="92">
          <cell r="B92">
            <v>2096</v>
          </cell>
          <cell r="C92" t="str">
            <v>Fahad Salim Said Al Mamari</v>
          </cell>
          <cell r="D92">
            <v>39690</v>
          </cell>
          <cell r="E92">
            <v>39775</v>
          </cell>
          <cell r="F92">
            <v>2</v>
          </cell>
          <cell r="G92">
            <v>0</v>
          </cell>
          <cell r="H92">
            <v>0</v>
          </cell>
          <cell r="I92" t="str">
            <v>X</v>
          </cell>
          <cell r="J92" t="str">
            <v>X</v>
          </cell>
          <cell r="K92" t="str">
            <v>X</v>
          </cell>
          <cell r="L92" t="str">
            <v>X</v>
          </cell>
          <cell r="M92" t="str">
            <v>X</v>
          </cell>
          <cell r="N92" t="str">
            <v>X</v>
          </cell>
          <cell r="O92" t="str">
            <v>X</v>
          </cell>
          <cell r="P92" t="str">
            <v>X</v>
          </cell>
          <cell r="Q92" t="str">
            <v>X</v>
          </cell>
          <cell r="R92" t="str">
            <v>X</v>
          </cell>
          <cell r="S92" t="str">
            <v>X</v>
          </cell>
          <cell r="T92" t="str">
            <v>X</v>
          </cell>
          <cell r="U92" t="str">
            <v>X</v>
          </cell>
          <cell r="V92" t="str">
            <v>X</v>
          </cell>
          <cell r="W92" t="str">
            <v>X</v>
          </cell>
          <cell r="X92" t="str">
            <v>X</v>
          </cell>
          <cell r="Y92" t="str">
            <v>X</v>
          </cell>
          <cell r="Z92" t="str">
            <v>X</v>
          </cell>
          <cell r="AA92" t="str">
            <v>X</v>
          </cell>
          <cell r="AB92" t="str">
            <v>X</v>
          </cell>
          <cell r="AC92" t="str">
            <v>X</v>
          </cell>
          <cell r="AD92" t="str">
            <v>X</v>
          </cell>
          <cell r="AE92" t="str">
            <v>X</v>
          </cell>
          <cell r="AF92" t="str">
            <v>X</v>
          </cell>
          <cell r="AG92" t="str">
            <v>X</v>
          </cell>
          <cell r="AH92" t="str">
            <v>X</v>
          </cell>
          <cell r="AI92" t="str">
            <v>X</v>
          </cell>
          <cell r="AJ92" t="str">
            <v>x</v>
          </cell>
          <cell r="AK92" t="str">
            <v>x</v>
          </cell>
          <cell r="AL92">
            <v>3</v>
          </cell>
          <cell r="AM92">
            <v>0</v>
          </cell>
          <cell r="AN92">
            <v>0</v>
          </cell>
          <cell r="AO92">
            <v>2</v>
          </cell>
          <cell r="AP92">
            <v>0</v>
          </cell>
          <cell r="AQ92">
            <v>0</v>
          </cell>
          <cell r="AR92">
            <v>3</v>
          </cell>
          <cell r="AS92" t="str">
            <v>Casual Labour</v>
          </cell>
          <cell r="AV92">
            <v>120</v>
          </cell>
          <cell r="AW92">
            <v>25</v>
          </cell>
          <cell r="AX92">
            <v>30</v>
          </cell>
          <cell r="AY92">
            <v>20</v>
          </cell>
          <cell r="AZ92">
            <v>0.625</v>
          </cell>
        </row>
        <row r="93">
          <cell r="B93">
            <v>2097</v>
          </cell>
          <cell r="C93" t="str">
            <v>Ali Saed Salim Al Naimi</v>
          </cell>
          <cell r="D93">
            <v>39694</v>
          </cell>
          <cell r="E93">
            <v>39779</v>
          </cell>
          <cell r="F93" t="str">
            <v>A</v>
          </cell>
          <cell r="G93" t="str">
            <v>A</v>
          </cell>
          <cell r="H93">
            <v>0</v>
          </cell>
          <cell r="I93">
            <v>6</v>
          </cell>
          <cell r="J93">
            <v>0</v>
          </cell>
          <cell r="K93">
            <v>0</v>
          </cell>
          <cell r="L93">
            <v>0</v>
          </cell>
          <cell r="M93">
            <v>0</v>
          </cell>
          <cell r="N93" t="str">
            <v>A</v>
          </cell>
          <cell r="O93" t="str">
            <v>A</v>
          </cell>
          <cell r="P93" t="str">
            <v>A</v>
          </cell>
          <cell r="Q93" t="str">
            <v>A</v>
          </cell>
          <cell r="R93">
            <v>7</v>
          </cell>
          <cell r="S93">
            <v>7</v>
          </cell>
          <cell r="T93">
            <v>7</v>
          </cell>
          <cell r="U93">
            <v>7</v>
          </cell>
          <cell r="V93">
            <v>6</v>
          </cell>
          <cell r="W93">
            <v>7</v>
          </cell>
          <cell r="X93">
            <v>7</v>
          </cell>
          <cell r="Y93">
            <v>7</v>
          </cell>
          <cell r="Z93">
            <v>9</v>
          </cell>
          <cell r="AA93">
            <v>7</v>
          </cell>
          <cell r="AB93">
            <v>7</v>
          </cell>
          <cell r="AC93">
            <v>7</v>
          </cell>
          <cell r="AD93">
            <v>7</v>
          </cell>
          <cell r="AE93">
            <v>7</v>
          </cell>
          <cell r="AF93">
            <v>7.5</v>
          </cell>
          <cell r="AG93">
            <v>7</v>
          </cell>
          <cell r="AH93">
            <v>0</v>
          </cell>
          <cell r="AI93">
            <v>10</v>
          </cell>
          <cell r="AJ93" t="str">
            <v>X</v>
          </cell>
          <cell r="AL93">
            <v>24</v>
          </cell>
          <cell r="AM93">
            <v>0</v>
          </cell>
          <cell r="AN93">
            <v>0</v>
          </cell>
          <cell r="AO93">
            <v>129.5</v>
          </cell>
          <cell r="AP93">
            <v>0</v>
          </cell>
          <cell r="AQ93">
            <v>0</v>
          </cell>
          <cell r="AR93">
            <v>24</v>
          </cell>
          <cell r="AS93" t="str">
            <v>Casual Labour</v>
          </cell>
          <cell r="AV93">
            <v>120</v>
          </cell>
          <cell r="AW93">
            <v>25</v>
          </cell>
          <cell r="AX93">
            <v>30</v>
          </cell>
          <cell r="AY93">
            <v>20</v>
          </cell>
          <cell r="AZ93">
            <v>0.625</v>
          </cell>
        </row>
        <row r="94">
          <cell r="C94" t="str">
            <v>Hamed Ali Said Al Ayiyani</v>
          </cell>
          <cell r="D94">
            <v>39690</v>
          </cell>
          <cell r="E94">
            <v>39775</v>
          </cell>
          <cell r="F94">
            <v>2</v>
          </cell>
          <cell r="G94" t="str">
            <v>A</v>
          </cell>
          <cell r="H94" t="str">
            <v>A</v>
          </cell>
          <cell r="I94" t="str">
            <v>A</v>
          </cell>
          <cell r="J94" t="str">
            <v>A</v>
          </cell>
          <cell r="K94" t="str">
            <v>A</v>
          </cell>
          <cell r="L94" t="str">
            <v>A</v>
          </cell>
          <cell r="M94" t="str">
            <v>A</v>
          </cell>
          <cell r="N94" t="str">
            <v>A</v>
          </cell>
          <cell r="O94" t="str">
            <v>A</v>
          </cell>
          <cell r="P94" t="str">
            <v>A</v>
          </cell>
          <cell r="Q94" t="str">
            <v>A</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t="str">
            <v>L</v>
          </cell>
          <cell r="AJ94" t="str">
            <v>x</v>
          </cell>
          <cell r="AK94" t="str">
            <v>x</v>
          </cell>
          <cell r="AL94">
            <v>18</v>
          </cell>
          <cell r="AM94">
            <v>0</v>
          </cell>
          <cell r="AN94">
            <v>1</v>
          </cell>
          <cell r="AO94">
            <v>2</v>
          </cell>
          <cell r="AP94">
            <v>0</v>
          </cell>
          <cell r="AQ94">
            <v>0</v>
          </cell>
          <cell r="AR94">
            <v>18</v>
          </cell>
          <cell r="AS94" t="str">
            <v>Casual Labour</v>
          </cell>
          <cell r="AT94" t="str">
            <v>Quit &amp; No Information</v>
          </cell>
          <cell r="AV94">
            <v>120</v>
          </cell>
          <cell r="AW94">
            <v>25</v>
          </cell>
          <cell r="AX94">
            <v>30</v>
          </cell>
          <cell r="AY94">
            <v>20</v>
          </cell>
          <cell r="AZ94">
            <v>0.625</v>
          </cell>
        </row>
        <row r="95">
          <cell r="B95">
            <v>2099</v>
          </cell>
          <cell r="C95" t="str">
            <v>Musabah Ali Khamis Al Khatri</v>
          </cell>
          <cell r="D95">
            <v>39690</v>
          </cell>
          <cell r="E95">
            <v>39775</v>
          </cell>
          <cell r="F95">
            <v>2</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t="str">
            <v>L</v>
          </cell>
          <cell r="AG95" t="str">
            <v>L</v>
          </cell>
          <cell r="AH95" t="str">
            <v>L</v>
          </cell>
          <cell r="AI95" t="str">
            <v>L</v>
          </cell>
          <cell r="AJ95" t="str">
            <v>x</v>
          </cell>
          <cell r="AK95" t="str">
            <v>x</v>
          </cell>
          <cell r="AL95">
            <v>26</v>
          </cell>
          <cell r="AM95">
            <v>0</v>
          </cell>
          <cell r="AN95">
            <v>4</v>
          </cell>
          <cell r="AO95">
            <v>2</v>
          </cell>
          <cell r="AP95">
            <v>0</v>
          </cell>
          <cell r="AQ95">
            <v>0</v>
          </cell>
          <cell r="AR95">
            <v>26</v>
          </cell>
          <cell r="AS95" t="str">
            <v>Casual Labour</v>
          </cell>
          <cell r="AV95">
            <v>120</v>
          </cell>
          <cell r="AW95">
            <v>25</v>
          </cell>
          <cell r="AX95">
            <v>30</v>
          </cell>
          <cell r="AY95">
            <v>20</v>
          </cell>
          <cell r="AZ95">
            <v>0.625</v>
          </cell>
        </row>
        <row r="96">
          <cell r="B96">
            <v>2101</v>
          </cell>
          <cell r="C96" t="str">
            <v>Ali Said Salim Al Masmari</v>
          </cell>
          <cell r="D96">
            <v>39690</v>
          </cell>
          <cell r="E96">
            <v>39775</v>
          </cell>
          <cell r="F96">
            <v>2</v>
          </cell>
          <cell r="G96" t="str">
            <v>A</v>
          </cell>
          <cell r="H96" t="str">
            <v>A</v>
          </cell>
          <cell r="I96" t="str">
            <v>A</v>
          </cell>
          <cell r="J96" t="str">
            <v>A</v>
          </cell>
          <cell r="K96" t="str">
            <v>A</v>
          </cell>
          <cell r="L96" t="str">
            <v>A</v>
          </cell>
          <cell r="M96" t="str">
            <v>A</v>
          </cell>
          <cell r="N96" t="str">
            <v>A</v>
          </cell>
          <cell r="O96" t="str">
            <v>A</v>
          </cell>
          <cell r="P96" t="str">
            <v>A</v>
          </cell>
          <cell r="Q96" t="str">
            <v>A</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t="str">
            <v>L</v>
          </cell>
          <cell r="AJ96" t="str">
            <v>x</v>
          </cell>
          <cell r="AK96" t="str">
            <v>x</v>
          </cell>
          <cell r="AL96">
            <v>18</v>
          </cell>
          <cell r="AM96">
            <v>0</v>
          </cell>
          <cell r="AN96">
            <v>1</v>
          </cell>
          <cell r="AO96">
            <v>2</v>
          </cell>
          <cell r="AP96">
            <v>0</v>
          </cell>
          <cell r="AQ96">
            <v>0</v>
          </cell>
          <cell r="AR96">
            <v>18</v>
          </cell>
          <cell r="AS96" t="str">
            <v>Casual Labour</v>
          </cell>
          <cell r="AV96">
            <v>120</v>
          </cell>
          <cell r="AW96">
            <v>25</v>
          </cell>
          <cell r="AX96">
            <v>30</v>
          </cell>
          <cell r="AY96">
            <v>20</v>
          </cell>
          <cell r="AZ96">
            <v>0.625</v>
          </cell>
        </row>
        <row r="97">
          <cell r="C97" t="str">
            <v>Saif Mohammed Salim Al Kharusi</v>
          </cell>
          <cell r="D97">
            <v>39690</v>
          </cell>
          <cell r="E97">
            <v>39775</v>
          </cell>
          <cell r="F97">
            <v>2</v>
          </cell>
          <cell r="G97">
            <v>0</v>
          </cell>
          <cell r="H97">
            <v>0</v>
          </cell>
          <cell r="I97">
            <v>4</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t="str">
            <v>A</v>
          </cell>
          <cell r="AG97" t="str">
            <v>A</v>
          </cell>
          <cell r="AH97" t="str">
            <v>A</v>
          </cell>
          <cell r="AI97" t="str">
            <v>A</v>
          </cell>
          <cell r="AJ97" t="str">
            <v>x</v>
          </cell>
          <cell r="AK97" t="str">
            <v>x</v>
          </cell>
          <cell r="AL97">
            <v>26</v>
          </cell>
          <cell r="AM97">
            <v>0</v>
          </cell>
          <cell r="AN97">
            <v>0</v>
          </cell>
          <cell r="AO97">
            <v>6</v>
          </cell>
          <cell r="AP97">
            <v>0</v>
          </cell>
          <cell r="AQ97">
            <v>0</v>
          </cell>
          <cell r="AR97">
            <v>26</v>
          </cell>
          <cell r="AS97" t="str">
            <v>Casual Labour</v>
          </cell>
          <cell r="AT97" t="str">
            <v>Salary Not transferred check his status of working or not.</v>
          </cell>
          <cell r="AV97">
            <v>120</v>
          </cell>
          <cell r="AW97">
            <v>25</v>
          </cell>
          <cell r="AX97">
            <v>30</v>
          </cell>
          <cell r="AY97">
            <v>20</v>
          </cell>
          <cell r="AZ97">
            <v>0.625</v>
          </cell>
        </row>
        <row r="98">
          <cell r="B98">
            <v>2103</v>
          </cell>
          <cell r="C98" t="str">
            <v>Younis Hamdoon Rashid Al Mahrouqi</v>
          </cell>
          <cell r="D98">
            <v>39690</v>
          </cell>
          <cell r="E98">
            <v>39775</v>
          </cell>
          <cell r="F98">
            <v>2</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t="str">
            <v>L</v>
          </cell>
          <cell r="AJ98" t="str">
            <v>x</v>
          </cell>
          <cell r="AK98" t="str">
            <v>x</v>
          </cell>
          <cell r="AL98">
            <v>29</v>
          </cell>
          <cell r="AM98">
            <v>0</v>
          </cell>
          <cell r="AN98">
            <v>1</v>
          </cell>
          <cell r="AO98">
            <v>2</v>
          </cell>
          <cell r="AP98">
            <v>0</v>
          </cell>
          <cell r="AQ98">
            <v>0</v>
          </cell>
          <cell r="AR98">
            <v>29</v>
          </cell>
          <cell r="AS98" t="str">
            <v>Casual Labour</v>
          </cell>
          <cell r="AV98">
            <v>120</v>
          </cell>
          <cell r="AW98">
            <v>25</v>
          </cell>
          <cell r="AX98">
            <v>30</v>
          </cell>
          <cell r="AY98">
            <v>20</v>
          </cell>
          <cell r="AZ98">
            <v>0.625</v>
          </cell>
        </row>
        <row r="99">
          <cell r="B99">
            <v>2105</v>
          </cell>
          <cell r="C99" t="str">
            <v>Sultan Khalifa Salim Al Gharibi</v>
          </cell>
          <cell r="D99">
            <v>39690</v>
          </cell>
          <cell r="E99">
            <v>39775</v>
          </cell>
          <cell r="F99">
            <v>2</v>
          </cell>
          <cell r="G99">
            <v>0</v>
          </cell>
          <cell r="H99">
            <v>0</v>
          </cell>
          <cell r="I99">
            <v>0</v>
          </cell>
          <cell r="J99">
            <v>0</v>
          </cell>
          <cell r="K99">
            <v>0</v>
          </cell>
          <cell r="L99">
            <v>0</v>
          </cell>
          <cell r="M99">
            <v>0</v>
          </cell>
          <cell r="N99">
            <v>0</v>
          </cell>
          <cell r="O99">
            <v>7</v>
          </cell>
          <cell r="P99">
            <v>7</v>
          </cell>
          <cell r="Q99">
            <v>7</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t="str">
            <v>L</v>
          </cell>
          <cell r="AG99" t="str">
            <v>L</v>
          </cell>
          <cell r="AH99" t="str">
            <v>L</v>
          </cell>
          <cell r="AI99" t="str">
            <v>L</v>
          </cell>
          <cell r="AJ99" t="str">
            <v>x</v>
          </cell>
          <cell r="AK99" t="str">
            <v>x</v>
          </cell>
          <cell r="AL99">
            <v>26</v>
          </cell>
          <cell r="AM99">
            <v>0</v>
          </cell>
          <cell r="AN99">
            <v>4</v>
          </cell>
          <cell r="AO99">
            <v>23</v>
          </cell>
          <cell r="AP99">
            <v>0</v>
          </cell>
          <cell r="AQ99">
            <v>0</v>
          </cell>
          <cell r="AR99">
            <v>26</v>
          </cell>
          <cell r="AS99" t="str">
            <v>Casual Labour</v>
          </cell>
          <cell r="AV99">
            <v>120</v>
          </cell>
          <cell r="AW99">
            <v>25</v>
          </cell>
          <cell r="AX99">
            <v>30</v>
          </cell>
          <cell r="AY99">
            <v>20</v>
          </cell>
          <cell r="AZ99">
            <v>0.625</v>
          </cell>
        </row>
        <row r="100">
          <cell r="B100">
            <v>2106</v>
          </cell>
          <cell r="C100" t="str">
            <v>AbdulRahim Saif Al Saba Al Hina'I</v>
          </cell>
          <cell r="D100">
            <v>39690</v>
          </cell>
          <cell r="E100">
            <v>39775</v>
          </cell>
          <cell r="F100">
            <v>6</v>
          </cell>
          <cell r="G100">
            <v>0</v>
          </cell>
          <cell r="H100">
            <v>3</v>
          </cell>
          <cell r="I100">
            <v>7</v>
          </cell>
          <cell r="J100">
            <v>4</v>
          </cell>
          <cell r="K100">
            <v>0</v>
          </cell>
          <cell r="L100" t="str">
            <v>x</v>
          </cell>
          <cell r="M100" t="str">
            <v>x</v>
          </cell>
          <cell r="N100" t="str">
            <v>x</v>
          </cell>
          <cell r="O100" t="str">
            <v>x</v>
          </cell>
          <cell r="P100" t="str">
            <v>x</v>
          </cell>
          <cell r="Q100" t="str">
            <v>x</v>
          </cell>
          <cell r="R100" t="str">
            <v>x</v>
          </cell>
          <cell r="S100" t="str">
            <v>x</v>
          </cell>
          <cell r="T100" t="str">
            <v>x</v>
          </cell>
          <cell r="U100" t="str">
            <v>x</v>
          </cell>
          <cell r="V100" t="str">
            <v>x</v>
          </cell>
          <cell r="W100" t="str">
            <v>x</v>
          </cell>
          <cell r="X100" t="str">
            <v>x</v>
          </cell>
          <cell r="Y100" t="str">
            <v>x</v>
          </cell>
          <cell r="Z100" t="str">
            <v>x</v>
          </cell>
          <cell r="AA100" t="str">
            <v>x</v>
          </cell>
          <cell r="AB100" t="str">
            <v>x</v>
          </cell>
          <cell r="AC100" t="str">
            <v>x</v>
          </cell>
          <cell r="AD100" t="str">
            <v>x</v>
          </cell>
          <cell r="AE100" t="str">
            <v>x</v>
          </cell>
          <cell r="AF100" t="str">
            <v>x</v>
          </cell>
          <cell r="AG100" t="str">
            <v>x</v>
          </cell>
          <cell r="AH100" t="str">
            <v>x</v>
          </cell>
          <cell r="AI100" t="str">
            <v>x</v>
          </cell>
          <cell r="AJ100" t="str">
            <v>x</v>
          </cell>
          <cell r="AK100" t="str">
            <v>x</v>
          </cell>
          <cell r="AL100">
            <v>6</v>
          </cell>
          <cell r="AM100">
            <v>0</v>
          </cell>
          <cell r="AN100">
            <v>0</v>
          </cell>
          <cell r="AO100">
            <v>20</v>
          </cell>
          <cell r="AP100">
            <v>0</v>
          </cell>
          <cell r="AQ100">
            <v>0</v>
          </cell>
          <cell r="AR100">
            <v>6</v>
          </cell>
          <cell r="AS100" t="str">
            <v>Casual Labour</v>
          </cell>
          <cell r="AV100">
            <v>120</v>
          </cell>
          <cell r="AW100">
            <v>25</v>
          </cell>
          <cell r="AX100">
            <v>30</v>
          </cell>
          <cell r="AY100">
            <v>20</v>
          </cell>
          <cell r="AZ100">
            <v>0.625</v>
          </cell>
        </row>
        <row r="101">
          <cell r="B101">
            <v>2107</v>
          </cell>
          <cell r="C101" t="str">
            <v>Ismail Marzouq Abdullah Al Darai</v>
          </cell>
          <cell r="D101">
            <v>40058</v>
          </cell>
          <cell r="E101">
            <v>40143</v>
          </cell>
          <cell r="F101" t="str">
            <v>x</v>
          </cell>
          <cell r="G101">
            <v>0</v>
          </cell>
          <cell r="H101">
            <v>0</v>
          </cell>
          <cell r="I101">
            <v>0</v>
          </cell>
          <cell r="J101">
            <v>0</v>
          </cell>
          <cell r="K101">
            <v>0</v>
          </cell>
          <cell r="L101">
            <v>0</v>
          </cell>
          <cell r="M101">
            <v>0</v>
          </cell>
          <cell r="N101">
            <v>0</v>
          </cell>
          <cell r="O101" t="str">
            <v>x</v>
          </cell>
          <cell r="P101" t="str">
            <v>x</v>
          </cell>
          <cell r="Q101" t="str">
            <v>x</v>
          </cell>
          <cell r="R101" t="str">
            <v>x</v>
          </cell>
          <cell r="S101" t="str">
            <v>x</v>
          </cell>
          <cell r="T101" t="str">
            <v>x</v>
          </cell>
          <cell r="U101" t="str">
            <v>x</v>
          </cell>
          <cell r="V101" t="str">
            <v>x</v>
          </cell>
          <cell r="W101" t="str">
            <v>x</v>
          </cell>
          <cell r="X101" t="str">
            <v>x</v>
          </cell>
          <cell r="Y101" t="str">
            <v>x</v>
          </cell>
          <cell r="Z101" t="str">
            <v>x</v>
          </cell>
          <cell r="AA101" t="str">
            <v>x</v>
          </cell>
          <cell r="AB101" t="str">
            <v>x</v>
          </cell>
          <cell r="AC101" t="str">
            <v>x</v>
          </cell>
          <cell r="AD101" t="str">
            <v>x</v>
          </cell>
          <cell r="AE101" t="str">
            <v>x</v>
          </cell>
          <cell r="AF101" t="str">
            <v>x</v>
          </cell>
          <cell r="AG101" t="str">
            <v>x</v>
          </cell>
          <cell r="AH101" t="str">
            <v>x</v>
          </cell>
          <cell r="AI101" t="str">
            <v>x</v>
          </cell>
          <cell r="AJ101" t="str">
            <v>x</v>
          </cell>
          <cell r="AK101" t="str">
            <v>x</v>
          </cell>
          <cell r="AL101">
            <v>8</v>
          </cell>
          <cell r="AM101">
            <v>0</v>
          </cell>
          <cell r="AN101">
            <v>0</v>
          </cell>
          <cell r="AO101">
            <v>0</v>
          </cell>
          <cell r="AP101">
            <v>0</v>
          </cell>
          <cell r="AQ101">
            <v>0</v>
          </cell>
          <cell r="AR101">
            <v>8</v>
          </cell>
          <cell r="AS101" t="str">
            <v>Casual Labour</v>
          </cell>
          <cell r="AV101">
            <v>120</v>
          </cell>
          <cell r="AW101">
            <v>25</v>
          </cell>
          <cell r="AX101">
            <v>30</v>
          </cell>
          <cell r="AY101">
            <v>20</v>
          </cell>
          <cell r="AZ101">
            <v>0.625</v>
          </cell>
        </row>
        <row r="102">
          <cell r="B102">
            <v>2108</v>
          </cell>
          <cell r="C102" t="str">
            <v>Khalid Mohammed Said Al Yaqoubi</v>
          </cell>
          <cell r="D102">
            <v>39697</v>
          </cell>
          <cell r="E102">
            <v>39782</v>
          </cell>
          <cell r="F102" t="str">
            <v>x</v>
          </cell>
          <cell r="G102" t="str">
            <v>x</v>
          </cell>
          <cell r="H102" t="str">
            <v>x</v>
          </cell>
          <cell r="I102" t="str">
            <v>x</v>
          </cell>
          <cell r="J102" t="str">
            <v>x</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t="str">
            <v>L</v>
          </cell>
          <cell r="AJ102" t="str">
            <v>x</v>
          </cell>
          <cell r="AK102" t="str">
            <v>x</v>
          </cell>
          <cell r="AL102">
            <v>24</v>
          </cell>
          <cell r="AM102">
            <v>0</v>
          </cell>
          <cell r="AN102">
            <v>1</v>
          </cell>
          <cell r="AO102">
            <v>0</v>
          </cell>
          <cell r="AP102">
            <v>0</v>
          </cell>
          <cell r="AQ102">
            <v>0</v>
          </cell>
          <cell r="AR102">
            <v>24</v>
          </cell>
          <cell r="AS102" t="str">
            <v>Casual Labour</v>
          </cell>
          <cell r="AV102">
            <v>120</v>
          </cell>
          <cell r="AW102">
            <v>25</v>
          </cell>
          <cell r="AX102">
            <v>30</v>
          </cell>
          <cell r="AY102">
            <v>20</v>
          </cell>
          <cell r="AZ102">
            <v>0.625</v>
          </cell>
        </row>
        <row r="103">
          <cell r="B103">
            <v>2109</v>
          </cell>
          <cell r="C103" t="str">
            <v>Saqar Saif Sulaiman Al Rashdi</v>
          </cell>
          <cell r="D103">
            <v>39697</v>
          </cell>
          <cell r="E103">
            <v>39782</v>
          </cell>
          <cell r="F103" t="str">
            <v>x</v>
          </cell>
          <cell r="G103" t="str">
            <v>x</v>
          </cell>
          <cell r="H103" t="str">
            <v>x</v>
          </cell>
          <cell r="I103" t="str">
            <v>x</v>
          </cell>
          <cell r="J103" t="str">
            <v>x</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t="str">
            <v>L</v>
          </cell>
          <cell r="AJ103" t="str">
            <v>x</v>
          </cell>
          <cell r="AK103" t="str">
            <v>x</v>
          </cell>
          <cell r="AL103">
            <v>24</v>
          </cell>
          <cell r="AM103">
            <v>0</v>
          </cell>
          <cell r="AN103">
            <v>1</v>
          </cell>
          <cell r="AO103">
            <v>0</v>
          </cell>
          <cell r="AP103">
            <v>0</v>
          </cell>
          <cell r="AQ103">
            <v>0</v>
          </cell>
          <cell r="AR103">
            <v>24</v>
          </cell>
          <cell r="AS103" t="str">
            <v>Casual Labour</v>
          </cell>
          <cell r="AV103">
            <v>120</v>
          </cell>
          <cell r="AW103">
            <v>25</v>
          </cell>
          <cell r="AX103">
            <v>30</v>
          </cell>
          <cell r="AY103">
            <v>20</v>
          </cell>
          <cell r="AZ103">
            <v>0.625</v>
          </cell>
        </row>
        <row r="104">
          <cell r="B104">
            <v>2110</v>
          </cell>
          <cell r="C104" t="str">
            <v>Said Musabah Mohammed Al Ghafri</v>
          </cell>
          <cell r="D104">
            <v>39697</v>
          </cell>
          <cell r="E104">
            <v>39782</v>
          </cell>
          <cell r="F104" t="str">
            <v>x</v>
          </cell>
          <cell r="G104" t="str">
            <v>x</v>
          </cell>
          <cell r="H104" t="str">
            <v>x</v>
          </cell>
          <cell r="I104" t="str">
            <v>x</v>
          </cell>
          <cell r="J104" t="str">
            <v>x</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t="str">
            <v>L</v>
          </cell>
          <cell r="AJ104" t="str">
            <v>x</v>
          </cell>
          <cell r="AK104" t="str">
            <v>x</v>
          </cell>
          <cell r="AL104">
            <v>24</v>
          </cell>
          <cell r="AM104">
            <v>0</v>
          </cell>
          <cell r="AN104">
            <v>1</v>
          </cell>
          <cell r="AO104">
            <v>0</v>
          </cell>
          <cell r="AP104">
            <v>0</v>
          </cell>
          <cell r="AQ104">
            <v>0</v>
          </cell>
          <cell r="AR104">
            <v>24</v>
          </cell>
          <cell r="AS104" t="str">
            <v>Casual Labour</v>
          </cell>
          <cell r="AV104">
            <v>120</v>
          </cell>
          <cell r="AW104">
            <v>25</v>
          </cell>
          <cell r="AX104">
            <v>30</v>
          </cell>
          <cell r="AY104">
            <v>20</v>
          </cell>
          <cell r="AZ104">
            <v>0.625</v>
          </cell>
        </row>
        <row r="105">
          <cell r="B105">
            <v>2111</v>
          </cell>
          <cell r="C105" t="str">
            <v>Fahad Abdullah Ali Al Rawahi</v>
          </cell>
          <cell r="D105">
            <v>39697</v>
          </cell>
          <cell r="E105">
            <v>39782</v>
          </cell>
          <cell r="F105" t="str">
            <v>x</v>
          </cell>
          <cell r="G105" t="str">
            <v>x</v>
          </cell>
          <cell r="H105" t="str">
            <v>x</v>
          </cell>
          <cell r="I105" t="str">
            <v>x</v>
          </cell>
          <cell r="J105" t="str">
            <v>x</v>
          </cell>
          <cell r="K105">
            <v>0</v>
          </cell>
          <cell r="L105">
            <v>0</v>
          </cell>
          <cell r="M105">
            <v>0</v>
          </cell>
          <cell r="N105">
            <v>0</v>
          </cell>
          <cell r="O105">
            <v>0</v>
          </cell>
          <cell r="P105">
            <v>0</v>
          </cell>
          <cell r="Q105">
            <v>0</v>
          </cell>
          <cell r="R105">
            <v>0</v>
          </cell>
          <cell r="S105">
            <v>0</v>
          </cell>
          <cell r="T105">
            <v>0</v>
          </cell>
          <cell r="U105">
            <v>0</v>
          </cell>
          <cell r="V105">
            <v>0</v>
          </cell>
          <cell r="W105">
            <v>0</v>
          </cell>
          <cell r="X105" t="str">
            <v>x</v>
          </cell>
          <cell r="Y105" t="str">
            <v>x</v>
          </cell>
          <cell r="Z105" t="str">
            <v>x</v>
          </cell>
          <cell r="AA105" t="str">
            <v>x</v>
          </cell>
          <cell r="AB105" t="str">
            <v>x</v>
          </cell>
          <cell r="AC105" t="str">
            <v>x</v>
          </cell>
          <cell r="AD105" t="str">
            <v>x</v>
          </cell>
          <cell r="AE105" t="str">
            <v>x</v>
          </cell>
          <cell r="AF105" t="str">
            <v>x</v>
          </cell>
          <cell r="AG105" t="str">
            <v>x</v>
          </cell>
          <cell r="AH105" t="str">
            <v>x</v>
          </cell>
          <cell r="AI105" t="str">
            <v>x</v>
          </cell>
          <cell r="AJ105" t="str">
            <v>x</v>
          </cell>
          <cell r="AK105" t="str">
            <v>x</v>
          </cell>
          <cell r="AL105">
            <v>13</v>
          </cell>
          <cell r="AM105">
            <v>0</v>
          </cell>
          <cell r="AN105">
            <v>0</v>
          </cell>
          <cell r="AO105">
            <v>0</v>
          </cell>
          <cell r="AP105">
            <v>0</v>
          </cell>
          <cell r="AQ105">
            <v>0</v>
          </cell>
          <cell r="AR105">
            <v>13</v>
          </cell>
          <cell r="AS105" t="str">
            <v>Casual Labour</v>
          </cell>
          <cell r="AV105">
            <v>120</v>
          </cell>
          <cell r="AW105">
            <v>25</v>
          </cell>
          <cell r="AX105">
            <v>30</v>
          </cell>
          <cell r="AY105">
            <v>20</v>
          </cell>
          <cell r="AZ105">
            <v>0.625</v>
          </cell>
        </row>
        <row r="106">
          <cell r="B106">
            <v>2112</v>
          </cell>
          <cell r="C106" t="str">
            <v>Salim Humaid Saif Al Saidi</v>
          </cell>
          <cell r="D106">
            <v>39697</v>
          </cell>
          <cell r="E106">
            <v>39782</v>
          </cell>
          <cell r="F106" t="str">
            <v>x</v>
          </cell>
          <cell r="G106" t="str">
            <v>x</v>
          </cell>
          <cell r="H106" t="str">
            <v>x</v>
          </cell>
          <cell r="I106" t="str">
            <v>x</v>
          </cell>
          <cell r="J106" t="str">
            <v>x</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t="str">
            <v>A</v>
          </cell>
          <cell r="AF106" t="str">
            <v>A</v>
          </cell>
          <cell r="AG106" t="str">
            <v>A</v>
          </cell>
          <cell r="AH106" t="str">
            <v>A</v>
          </cell>
          <cell r="AI106" t="str">
            <v>A</v>
          </cell>
          <cell r="AJ106" t="str">
            <v>x</v>
          </cell>
          <cell r="AK106" t="str">
            <v>x</v>
          </cell>
          <cell r="AL106">
            <v>20</v>
          </cell>
          <cell r="AM106">
            <v>0</v>
          </cell>
          <cell r="AN106">
            <v>0</v>
          </cell>
          <cell r="AO106">
            <v>0</v>
          </cell>
          <cell r="AP106">
            <v>0</v>
          </cell>
          <cell r="AQ106">
            <v>0</v>
          </cell>
          <cell r="AR106">
            <v>20</v>
          </cell>
          <cell r="AS106" t="str">
            <v>Casual Labour</v>
          </cell>
          <cell r="AV106">
            <v>120</v>
          </cell>
          <cell r="AW106">
            <v>25</v>
          </cell>
          <cell r="AX106">
            <v>30</v>
          </cell>
          <cell r="AY106">
            <v>20</v>
          </cell>
          <cell r="AZ106">
            <v>0.625</v>
          </cell>
        </row>
        <row r="107">
          <cell r="B107">
            <v>2113</v>
          </cell>
          <cell r="C107" t="str">
            <v>Mohammed Saleh Khalfan Al Kalbani</v>
          </cell>
          <cell r="D107">
            <v>39697</v>
          </cell>
          <cell r="E107">
            <v>39782</v>
          </cell>
          <cell r="F107" t="str">
            <v>x</v>
          </cell>
          <cell r="G107" t="str">
            <v>x</v>
          </cell>
          <cell r="H107" t="str">
            <v>x</v>
          </cell>
          <cell r="I107" t="str">
            <v>x</v>
          </cell>
          <cell r="J107" t="str">
            <v>x</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t="str">
            <v>L</v>
          </cell>
          <cell r="AJ107" t="str">
            <v>x</v>
          </cell>
          <cell r="AK107" t="str">
            <v>x</v>
          </cell>
          <cell r="AL107">
            <v>24</v>
          </cell>
          <cell r="AM107">
            <v>0</v>
          </cell>
          <cell r="AN107">
            <v>1</v>
          </cell>
          <cell r="AO107">
            <v>0</v>
          </cell>
          <cell r="AP107">
            <v>0</v>
          </cell>
          <cell r="AQ107">
            <v>0</v>
          </cell>
          <cell r="AR107">
            <v>24</v>
          </cell>
          <cell r="AS107" t="str">
            <v>Casual Labour</v>
          </cell>
          <cell r="AV107">
            <v>120</v>
          </cell>
          <cell r="AW107">
            <v>25</v>
          </cell>
          <cell r="AX107">
            <v>30</v>
          </cell>
          <cell r="AY107">
            <v>20</v>
          </cell>
          <cell r="AZ107">
            <v>0.625</v>
          </cell>
        </row>
        <row r="108">
          <cell r="C108" t="str">
            <v>Mahmood Al Hamdi Eid Al Dari</v>
          </cell>
          <cell r="D108">
            <v>39697</v>
          </cell>
          <cell r="E108">
            <v>39782</v>
          </cell>
          <cell r="F108" t="str">
            <v>x</v>
          </cell>
          <cell r="G108" t="str">
            <v>x</v>
          </cell>
          <cell r="H108" t="str">
            <v>x</v>
          </cell>
          <cell r="I108" t="str">
            <v>x</v>
          </cell>
          <cell r="J108" t="str">
            <v>x</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t="str">
            <v>L</v>
          </cell>
          <cell r="Z108" t="str">
            <v>L</v>
          </cell>
          <cell r="AA108" t="str">
            <v>L</v>
          </cell>
          <cell r="AB108" t="str">
            <v>L</v>
          </cell>
          <cell r="AC108" t="str">
            <v>L</v>
          </cell>
          <cell r="AD108" t="str">
            <v>L</v>
          </cell>
          <cell r="AE108">
            <v>0</v>
          </cell>
          <cell r="AF108">
            <v>0</v>
          </cell>
          <cell r="AG108">
            <v>0</v>
          </cell>
          <cell r="AH108">
            <v>0</v>
          </cell>
          <cell r="AI108" t="str">
            <v>L</v>
          </cell>
          <cell r="AJ108" t="str">
            <v>x</v>
          </cell>
          <cell r="AK108" t="str">
            <v>x</v>
          </cell>
          <cell r="AL108">
            <v>18</v>
          </cell>
          <cell r="AM108">
            <v>0</v>
          </cell>
          <cell r="AN108">
            <v>7</v>
          </cell>
          <cell r="AO108">
            <v>0</v>
          </cell>
          <cell r="AP108">
            <v>0</v>
          </cell>
          <cell r="AQ108">
            <v>0</v>
          </cell>
          <cell r="AR108">
            <v>18</v>
          </cell>
          <cell r="AS108" t="str">
            <v>Casual Light Duty Driver</v>
          </cell>
          <cell r="AT108" t="str">
            <v>Employee</v>
          </cell>
          <cell r="AV108">
            <v>150</v>
          </cell>
          <cell r="AW108">
            <v>30</v>
          </cell>
          <cell r="AX108">
            <v>40</v>
          </cell>
          <cell r="AY108">
            <v>25</v>
          </cell>
          <cell r="AZ108">
            <v>0.78125</v>
          </cell>
        </row>
        <row r="109">
          <cell r="B109">
            <v>2115</v>
          </cell>
          <cell r="C109" t="str">
            <v>Khalifa Ali Ghafil Al Saidi</v>
          </cell>
          <cell r="D109">
            <v>39697</v>
          </cell>
          <cell r="E109">
            <v>39782</v>
          </cell>
          <cell r="F109" t="str">
            <v>x</v>
          </cell>
          <cell r="G109" t="str">
            <v>x</v>
          </cell>
          <cell r="H109" t="str">
            <v>x</v>
          </cell>
          <cell r="I109" t="str">
            <v>x</v>
          </cell>
          <cell r="J109" t="str">
            <v>x</v>
          </cell>
          <cell r="K109" t="str">
            <v>X</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t="str">
            <v>X</v>
          </cell>
          <cell r="AB109" t="str">
            <v>X</v>
          </cell>
          <cell r="AC109" t="str">
            <v>X</v>
          </cell>
          <cell r="AD109" t="str">
            <v>X</v>
          </cell>
          <cell r="AE109" t="str">
            <v>X</v>
          </cell>
          <cell r="AF109" t="str">
            <v>X</v>
          </cell>
          <cell r="AG109" t="str">
            <v>X</v>
          </cell>
          <cell r="AH109" t="str">
            <v>X</v>
          </cell>
          <cell r="AI109" t="str">
            <v>X</v>
          </cell>
          <cell r="AJ109" t="str">
            <v>x</v>
          </cell>
          <cell r="AK109" t="str">
            <v>x</v>
          </cell>
          <cell r="AL109">
            <v>15</v>
          </cell>
          <cell r="AM109">
            <v>0</v>
          </cell>
          <cell r="AN109">
            <v>0</v>
          </cell>
          <cell r="AO109">
            <v>0</v>
          </cell>
          <cell r="AP109">
            <v>0</v>
          </cell>
          <cell r="AQ109">
            <v>0</v>
          </cell>
          <cell r="AR109">
            <v>15</v>
          </cell>
          <cell r="AS109" t="str">
            <v>Casual Light Duty Driver</v>
          </cell>
          <cell r="AV109">
            <v>150</v>
          </cell>
          <cell r="AW109">
            <v>30</v>
          </cell>
          <cell r="AX109">
            <v>40</v>
          </cell>
          <cell r="AY109">
            <v>25</v>
          </cell>
          <cell r="AZ109">
            <v>0.78125</v>
          </cell>
        </row>
        <row r="110">
          <cell r="C110" t="str">
            <v>Salim Amur Saleh Al Nasseri</v>
          </cell>
          <cell r="D110">
            <v>39699</v>
          </cell>
          <cell r="E110">
            <v>39784</v>
          </cell>
          <cell r="F110" t="str">
            <v>x</v>
          </cell>
          <cell r="G110" t="str">
            <v>x</v>
          </cell>
          <cell r="H110" t="str">
            <v>x</v>
          </cell>
          <cell r="I110" t="str">
            <v>x</v>
          </cell>
          <cell r="J110" t="str">
            <v>x</v>
          </cell>
          <cell r="K110" t="str">
            <v>x</v>
          </cell>
          <cell r="L110" t="str">
            <v>x</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t="str">
            <v>L</v>
          </cell>
          <cell r="AJ110" t="str">
            <v>x</v>
          </cell>
          <cell r="AK110" t="str">
            <v>x</v>
          </cell>
          <cell r="AL110">
            <v>22</v>
          </cell>
          <cell r="AM110">
            <v>0</v>
          </cell>
          <cell r="AN110">
            <v>1</v>
          </cell>
          <cell r="AO110">
            <v>0</v>
          </cell>
          <cell r="AP110">
            <v>0</v>
          </cell>
          <cell r="AQ110">
            <v>0</v>
          </cell>
          <cell r="AR110">
            <v>22</v>
          </cell>
          <cell r="AS110" t="str">
            <v>Casual Labour</v>
          </cell>
          <cell r="AT110" t="str">
            <v>Salary Not transferred check his status of working or not.</v>
          </cell>
          <cell r="AV110">
            <v>120</v>
          </cell>
          <cell r="AW110">
            <v>25</v>
          </cell>
          <cell r="AX110">
            <v>30</v>
          </cell>
          <cell r="AY110">
            <v>20</v>
          </cell>
          <cell r="AZ110">
            <v>0.625</v>
          </cell>
        </row>
        <row r="111">
          <cell r="B111">
            <v>2118</v>
          </cell>
          <cell r="C111" t="str">
            <v>Hamad Marzouq Mohammed Al Hashimi</v>
          </cell>
          <cell r="D111">
            <v>39700</v>
          </cell>
          <cell r="E111">
            <v>39785</v>
          </cell>
          <cell r="F111" t="str">
            <v>x</v>
          </cell>
          <cell r="G111" t="str">
            <v>x</v>
          </cell>
          <cell r="H111" t="str">
            <v>x</v>
          </cell>
          <cell r="I111" t="str">
            <v>x</v>
          </cell>
          <cell r="J111" t="str">
            <v>x</v>
          </cell>
          <cell r="K111" t="str">
            <v>x</v>
          </cell>
          <cell r="L111" t="str">
            <v>x</v>
          </cell>
          <cell r="M111" t="str">
            <v>x</v>
          </cell>
          <cell r="N111" t="str">
            <v>X</v>
          </cell>
          <cell r="O111">
            <v>0</v>
          </cell>
          <cell r="P111">
            <v>0</v>
          </cell>
          <cell r="Q111">
            <v>0</v>
          </cell>
          <cell r="R111">
            <v>0</v>
          </cell>
          <cell r="S111">
            <v>0</v>
          </cell>
          <cell r="T111">
            <v>7</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t="str">
            <v>X</v>
          </cell>
          <cell r="AJ111" t="str">
            <v>x</v>
          </cell>
          <cell r="AK111" t="str">
            <v>x</v>
          </cell>
          <cell r="AL111">
            <v>20</v>
          </cell>
          <cell r="AM111">
            <v>0</v>
          </cell>
          <cell r="AN111">
            <v>0</v>
          </cell>
          <cell r="AO111">
            <v>7</v>
          </cell>
          <cell r="AP111">
            <v>0</v>
          </cell>
          <cell r="AQ111">
            <v>0</v>
          </cell>
          <cell r="AR111">
            <v>20</v>
          </cell>
          <cell r="AS111" t="str">
            <v>Casual Labour</v>
          </cell>
          <cell r="AV111">
            <v>120</v>
          </cell>
          <cell r="AW111">
            <v>25</v>
          </cell>
          <cell r="AX111">
            <v>30</v>
          </cell>
          <cell r="AY111">
            <v>20</v>
          </cell>
          <cell r="AZ111">
            <v>0.625</v>
          </cell>
        </row>
        <row r="112">
          <cell r="C112" t="str">
            <v>Saoud Nasser Said Al Nabhani</v>
          </cell>
          <cell r="D112">
            <v>39699</v>
          </cell>
          <cell r="E112">
            <v>39784</v>
          </cell>
          <cell r="F112" t="str">
            <v>x</v>
          </cell>
          <cell r="G112" t="str">
            <v>x</v>
          </cell>
          <cell r="H112" t="str">
            <v>x</v>
          </cell>
          <cell r="I112" t="str">
            <v>x</v>
          </cell>
          <cell r="J112" t="str">
            <v>x</v>
          </cell>
          <cell r="K112" t="str">
            <v>x</v>
          </cell>
          <cell r="L112" t="str">
            <v>x</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t="str">
            <v>L</v>
          </cell>
          <cell r="AJ112" t="str">
            <v>x</v>
          </cell>
          <cell r="AK112" t="str">
            <v>x</v>
          </cell>
          <cell r="AL112">
            <v>22</v>
          </cell>
          <cell r="AM112">
            <v>0</v>
          </cell>
          <cell r="AN112">
            <v>1</v>
          </cell>
          <cell r="AO112">
            <v>0</v>
          </cell>
          <cell r="AP112">
            <v>0</v>
          </cell>
          <cell r="AQ112">
            <v>0</v>
          </cell>
          <cell r="AR112">
            <v>22</v>
          </cell>
          <cell r="AS112" t="str">
            <v>Casual Labour</v>
          </cell>
          <cell r="AT112" t="str">
            <v>Salary Not transferred check his status of working or not.</v>
          </cell>
          <cell r="AV112">
            <v>120</v>
          </cell>
          <cell r="AW112">
            <v>25</v>
          </cell>
          <cell r="AX112">
            <v>30</v>
          </cell>
          <cell r="AY112">
            <v>20</v>
          </cell>
          <cell r="AZ112">
            <v>0.625</v>
          </cell>
        </row>
        <row r="113">
          <cell r="B113">
            <v>2120</v>
          </cell>
          <cell r="C113" t="str">
            <v>Saif Hamed Saif Al Alawi</v>
          </cell>
          <cell r="D113">
            <v>39700</v>
          </cell>
          <cell r="E113">
            <v>39785</v>
          </cell>
          <cell r="F113" t="str">
            <v>x</v>
          </cell>
          <cell r="G113" t="str">
            <v>x</v>
          </cell>
          <cell r="H113" t="str">
            <v>x</v>
          </cell>
          <cell r="I113" t="str">
            <v>x</v>
          </cell>
          <cell r="J113" t="str">
            <v>x</v>
          </cell>
          <cell r="K113" t="str">
            <v>x</v>
          </cell>
          <cell r="L113" t="str">
            <v>x</v>
          </cell>
          <cell r="M113" t="str">
            <v>x</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t="str">
            <v>x</v>
          </cell>
          <cell r="AG113" t="str">
            <v>x</v>
          </cell>
          <cell r="AH113" t="str">
            <v>x</v>
          </cell>
          <cell r="AI113" t="str">
            <v>x</v>
          </cell>
          <cell r="AJ113" t="str">
            <v>x</v>
          </cell>
          <cell r="AK113" t="str">
            <v>x</v>
          </cell>
          <cell r="AL113">
            <v>18</v>
          </cell>
          <cell r="AM113">
            <v>0</v>
          </cell>
          <cell r="AN113">
            <v>0</v>
          </cell>
          <cell r="AO113">
            <v>0</v>
          </cell>
          <cell r="AP113">
            <v>0</v>
          </cell>
          <cell r="AQ113">
            <v>0</v>
          </cell>
          <cell r="AR113">
            <v>18</v>
          </cell>
          <cell r="AS113" t="str">
            <v>Casual Labour</v>
          </cell>
          <cell r="AV113">
            <v>120</v>
          </cell>
          <cell r="AW113">
            <v>25</v>
          </cell>
          <cell r="AX113">
            <v>30</v>
          </cell>
          <cell r="AY113">
            <v>20</v>
          </cell>
          <cell r="AZ113">
            <v>0.625</v>
          </cell>
        </row>
        <row r="114">
          <cell r="B114">
            <v>2121</v>
          </cell>
          <cell r="C114" t="str">
            <v>Hamed Abdullah Hilal Al Radhi</v>
          </cell>
          <cell r="D114">
            <v>39704</v>
          </cell>
          <cell r="E114">
            <v>39789</v>
          </cell>
          <cell r="F114" t="str">
            <v>x</v>
          </cell>
          <cell r="G114" t="str">
            <v>x</v>
          </cell>
          <cell r="H114" t="str">
            <v>x</v>
          </cell>
          <cell r="I114" t="str">
            <v>x</v>
          </cell>
          <cell r="J114" t="str">
            <v>x</v>
          </cell>
          <cell r="K114" t="str">
            <v>x</v>
          </cell>
          <cell r="L114" t="str">
            <v>x</v>
          </cell>
          <cell r="M114" t="str">
            <v>x</v>
          </cell>
          <cell r="N114" t="str">
            <v>x</v>
          </cell>
          <cell r="O114" t="str">
            <v>x</v>
          </cell>
          <cell r="P114" t="str">
            <v>x</v>
          </cell>
          <cell r="Q114" t="str">
            <v>x</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t="str">
            <v>L</v>
          </cell>
          <cell r="AJ114" t="str">
            <v>x</v>
          </cell>
          <cell r="AK114" t="str">
            <v>x</v>
          </cell>
          <cell r="AL114">
            <v>17</v>
          </cell>
          <cell r="AM114">
            <v>0</v>
          </cell>
          <cell r="AN114">
            <v>1</v>
          </cell>
          <cell r="AO114">
            <v>0</v>
          </cell>
          <cell r="AP114">
            <v>0</v>
          </cell>
          <cell r="AQ114">
            <v>0</v>
          </cell>
          <cell r="AR114">
            <v>17</v>
          </cell>
          <cell r="AS114" t="str">
            <v>Casual Light Duty Driver</v>
          </cell>
          <cell r="AV114">
            <v>150</v>
          </cell>
          <cell r="AW114">
            <v>30</v>
          </cell>
          <cell r="AX114">
            <v>40</v>
          </cell>
          <cell r="AY114">
            <v>25</v>
          </cell>
          <cell r="AZ114">
            <v>0.78125</v>
          </cell>
        </row>
        <row r="115">
          <cell r="B115">
            <v>2122</v>
          </cell>
          <cell r="C115" t="str">
            <v>Salim Marzooq Abdullah Al Darai</v>
          </cell>
          <cell r="D115">
            <v>39704</v>
          </cell>
          <cell r="E115">
            <v>39789</v>
          </cell>
          <cell r="F115" t="str">
            <v>x</v>
          </cell>
          <cell r="G115" t="str">
            <v>x</v>
          </cell>
          <cell r="H115" t="str">
            <v>x</v>
          </cell>
          <cell r="I115" t="str">
            <v>x</v>
          </cell>
          <cell r="J115" t="str">
            <v>x</v>
          </cell>
          <cell r="K115" t="str">
            <v>x</v>
          </cell>
          <cell r="L115" t="str">
            <v>x</v>
          </cell>
          <cell r="M115" t="str">
            <v>x</v>
          </cell>
          <cell r="N115" t="str">
            <v>x</v>
          </cell>
          <cell r="O115" t="str">
            <v>x</v>
          </cell>
          <cell r="P115" t="str">
            <v>x</v>
          </cell>
          <cell r="Q115" t="str">
            <v>x</v>
          </cell>
          <cell r="R115">
            <v>0</v>
          </cell>
          <cell r="S115">
            <v>0</v>
          </cell>
          <cell r="T115">
            <v>0</v>
          </cell>
          <cell r="U115">
            <v>0</v>
          </cell>
          <cell r="V115" t="str">
            <v>A</v>
          </cell>
          <cell r="W115" t="str">
            <v>A</v>
          </cell>
          <cell r="X115">
            <v>7</v>
          </cell>
          <cell r="Y115">
            <v>7</v>
          </cell>
          <cell r="Z115">
            <v>9</v>
          </cell>
          <cell r="AA115">
            <v>7</v>
          </cell>
          <cell r="AB115">
            <v>7</v>
          </cell>
          <cell r="AC115">
            <v>7</v>
          </cell>
          <cell r="AD115">
            <v>6</v>
          </cell>
          <cell r="AE115">
            <v>7</v>
          </cell>
          <cell r="AF115">
            <v>7.5</v>
          </cell>
          <cell r="AG115">
            <v>7</v>
          </cell>
          <cell r="AH115">
            <v>0</v>
          </cell>
          <cell r="AI115" t="str">
            <v>L</v>
          </cell>
          <cell r="AJ115" t="str">
            <v>x</v>
          </cell>
          <cell r="AK115" t="str">
            <v>x</v>
          </cell>
          <cell r="AL115">
            <v>15</v>
          </cell>
          <cell r="AM115">
            <v>0</v>
          </cell>
          <cell r="AN115">
            <v>1</v>
          </cell>
          <cell r="AO115">
            <v>71.5</v>
          </cell>
          <cell r="AP115">
            <v>0</v>
          </cell>
          <cell r="AQ115">
            <v>0</v>
          </cell>
          <cell r="AR115">
            <v>15</v>
          </cell>
          <cell r="AS115" t="str">
            <v>Casual Labour</v>
          </cell>
          <cell r="AV115">
            <v>120</v>
          </cell>
          <cell r="AW115">
            <v>25</v>
          </cell>
          <cell r="AX115">
            <v>30</v>
          </cell>
          <cell r="AY115">
            <v>20</v>
          </cell>
          <cell r="AZ115">
            <v>0.625</v>
          </cell>
        </row>
        <row r="116">
          <cell r="B116">
            <v>2123</v>
          </cell>
          <cell r="C116" t="str">
            <v>Issa Rashid Gharib Al Maqbali</v>
          </cell>
          <cell r="D116">
            <v>39705</v>
          </cell>
          <cell r="E116">
            <v>39790</v>
          </cell>
          <cell r="F116" t="str">
            <v>x</v>
          </cell>
          <cell r="G116" t="str">
            <v>x</v>
          </cell>
          <cell r="H116" t="str">
            <v>x</v>
          </cell>
          <cell r="I116" t="str">
            <v>x</v>
          </cell>
          <cell r="J116" t="str">
            <v>x</v>
          </cell>
          <cell r="K116" t="str">
            <v>x</v>
          </cell>
          <cell r="L116" t="str">
            <v>x</v>
          </cell>
          <cell r="M116" t="str">
            <v>x</v>
          </cell>
          <cell r="N116" t="str">
            <v>x</v>
          </cell>
          <cell r="O116" t="str">
            <v>x</v>
          </cell>
          <cell r="P116" t="str">
            <v>x</v>
          </cell>
          <cell r="Q116" t="str">
            <v>x</v>
          </cell>
          <cell r="R116">
            <v>0</v>
          </cell>
          <cell r="S116" t="str">
            <v>x</v>
          </cell>
          <cell r="T116" t="str">
            <v>x</v>
          </cell>
          <cell r="U116" t="str">
            <v>x</v>
          </cell>
          <cell r="V116" t="str">
            <v>x</v>
          </cell>
          <cell r="W116" t="str">
            <v>x</v>
          </cell>
          <cell r="X116" t="str">
            <v>x</v>
          </cell>
          <cell r="Y116" t="str">
            <v>x</v>
          </cell>
          <cell r="Z116" t="str">
            <v>x</v>
          </cell>
          <cell r="AA116" t="str">
            <v>x</v>
          </cell>
          <cell r="AB116" t="str">
            <v>x</v>
          </cell>
          <cell r="AC116" t="str">
            <v>x</v>
          </cell>
          <cell r="AD116" t="str">
            <v>x</v>
          </cell>
          <cell r="AE116" t="str">
            <v>x</v>
          </cell>
          <cell r="AF116" t="str">
            <v>x</v>
          </cell>
          <cell r="AG116" t="str">
            <v>x</v>
          </cell>
          <cell r="AH116" t="str">
            <v>x</v>
          </cell>
          <cell r="AI116" t="str">
            <v>x</v>
          </cell>
          <cell r="AJ116" t="str">
            <v>x</v>
          </cell>
          <cell r="AK116" t="str">
            <v>x</v>
          </cell>
          <cell r="AL116">
            <v>1</v>
          </cell>
          <cell r="AM116">
            <v>0</v>
          </cell>
          <cell r="AN116">
            <v>0</v>
          </cell>
          <cell r="AO116">
            <v>0</v>
          </cell>
          <cell r="AP116">
            <v>0</v>
          </cell>
          <cell r="AQ116">
            <v>0</v>
          </cell>
          <cell r="AR116">
            <v>1</v>
          </cell>
          <cell r="AS116" t="str">
            <v>Casual Labour</v>
          </cell>
          <cell r="AV116">
            <v>120</v>
          </cell>
          <cell r="AW116">
            <v>25</v>
          </cell>
          <cell r="AX116">
            <v>30</v>
          </cell>
          <cell r="AY116">
            <v>20</v>
          </cell>
          <cell r="AZ116">
            <v>0.625</v>
          </cell>
        </row>
        <row r="117">
          <cell r="B117">
            <v>2124</v>
          </cell>
          <cell r="C117" t="str">
            <v>Ahmed Musabah Mas'oud Muslem Alyani</v>
          </cell>
          <cell r="D117">
            <v>39705</v>
          </cell>
          <cell r="E117">
            <v>39790</v>
          </cell>
          <cell r="F117" t="str">
            <v>x</v>
          </cell>
          <cell r="G117" t="str">
            <v>x</v>
          </cell>
          <cell r="H117" t="str">
            <v>x</v>
          </cell>
          <cell r="I117" t="str">
            <v>x</v>
          </cell>
          <cell r="J117" t="str">
            <v>x</v>
          </cell>
          <cell r="K117" t="str">
            <v>x</v>
          </cell>
          <cell r="L117" t="str">
            <v>x</v>
          </cell>
          <cell r="M117" t="str">
            <v>x</v>
          </cell>
          <cell r="N117" t="str">
            <v>x</v>
          </cell>
          <cell r="O117" t="str">
            <v>x</v>
          </cell>
          <cell r="P117" t="str">
            <v>x</v>
          </cell>
          <cell r="Q117" t="str">
            <v>x</v>
          </cell>
          <cell r="R117">
            <v>7</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t="str">
            <v>L</v>
          </cell>
          <cell r="AJ117" t="str">
            <v>x</v>
          </cell>
          <cell r="AK117" t="str">
            <v>x</v>
          </cell>
          <cell r="AL117">
            <v>17</v>
          </cell>
          <cell r="AM117">
            <v>0</v>
          </cell>
          <cell r="AN117">
            <v>1</v>
          </cell>
          <cell r="AO117">
            <v>7</v>
          </cell>
          <cell r="AP117">
            <v>0</v>
          </cell>
          <cell r="AQ117">
            <v>0</v>
          </cell>
          <cell r="AR117">
            <v>17</v>
          </cell>
          <cell r="AS117" t="str">
            <v>Casual Labour</v>
          </cell>
          <cell r="AV117">
            <v>120</v>
          </cell>
          <cell r="AW117">
            <v>25</v>
          </cell>
          <cell r="AX117">
            <v>30</v>
          </cell>
          <cell r="AY117">
            <v>20</v>
          </cell>
          <cell r="AZ117">
            <v>0.625</v>
          </cell>
        </row>
        <row r="118">
          <cell r="B118">
            <v>2125</v>
          </cell>
          <cell r="C118" t="str">
            <v>Talal Salim Mohammed Al Maqbali</v>
          </cell>
          <cell r="D118">
            <v>39705</v>
          </cell>
          <cell r="E118">
            <v>39790</v>
          </cell>
          <cell r="F118" t="str">
            <v>x</v>
          </cell>
          <cell r="G118" t="str">
            <v>x</v>
          </cell>
          <cell r="H118" t="str">
            <v>x</v>
          </cell>
          <cell r="I118" t="str">
            <v>x</v>
          </cell>
          <cell r="J118" t="str">
            <v>x</v>
          </cell>
          <cell r="K118" t="str">
            <v>x</v>
          </cell>
          <cell r="L118" t="str">
            <v>x</v>
          </cell>
          <cell r="M118" t="str">
            <v>x</v>
          </cell>
          <cell r="N118" t="str">
            <v>x</v>
          </cell>
          <cell r="O118" t="str">
            <v>x</v>
          </cell>
          <cell r="P118" t="str">
            <v>x</v>
          </cell>
          <cell r="Q118" t="str">
            <v>x</v>
          </cell>
          <cell r="R118">
            <v>7</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t="str">
            <v>L</v>
          </cell>
          <cell r="AJ118" t="str">
            <v>x</v>
          </cell>
          <cell r="AK118" t="str">
            <v>x</v>
          </cell>
          <cell r="AL118">
            <v>17</v>
          </cell>
          <cell r="AM118">
            <v>0</v>
          </cell>
          <cell r="AN118">
            <v>1</v>
          </cell>
          <cell r="AO118">
            <v>7</v>
          </cell>
          <cell r="AP118">
            <v>0</v>
          </cell>
          <cell r="AQ118">
            <v>0</v>
          </cell>
          <cell r="AR118">
            <v>17</v>
          </cell>
          <cell r="AS118" t="str">
            <v>Casual Labour</v>
          </cell>
          <cell r="AV118">
            <v>120</v>
          </cell>
          <cell r="AW118">
            <v>25</v>
          </cell>
          <cell r="AX118">
            <v>30</v>
          </cell>
          <cell r="AY118">
            <v>20</v>
          </cell>
          <cell r="AZ118">
            <v>0.625</v>
          </cell>
        </row>
        <row r="119">
          <cell r="B119">
            <v>2126</v>
          </cell>
          <cell r="C119" t="str">
            <v>Said Musabah Ali Al Zeidi</v>
          </cell>
          <cell r="D119">
            <v>39705</v>
          </cell>
          <cell r="E119">
            <v>39790</v>
          </cell>
          <cell r="F119" t="str">
            <v>x</v>
          </cell>
          <cell r="G119" t="str">
            <v>x</v>
          </cell>
          <cell r="H119" t="str">
            <v>x</v>
          </cell>
          <cell r="I119" t="str">
            <v>x</v>
          </cell>
          <cell r="J119" t="str">
            <v>x</v>
          </cell>
          <cell r="K119" t="str">
            <v>x</v>
          </cell>
          <cell r="L119" t="str">
            <v>x</v>
          </cell>
          <cell r="M119" t="str">
            <v>x</v>
          </cell>
          <cell r="N119" t="str">
            <v>x</v>
          </cell>
          <cell r="O119" t="str">
            <v>x</v>
          </cell>
          <cell r="P119" t="str">
            <v>x</v>
          </cell>
          <cell r="Q119" t="str">
            <v>x</v>
          </cell>
          <cell r="R119">
            <v>7</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t="str">
            <v>L</v>
          </cell>
          <cell r="AJ119" t="str">
            <v>x</v>
          </cell>
          <cell r="AK119" t="str">
            <v>x</v>
          </cell>
          <cell r="AL119">
            <v>17</v>
          </cell>
          <cell r="AM119">
            <v>0</v>
          </cell>
          <cell r="AN119">
            <v>1</v>
          </cell>
          <cell r="AO119">
            <v>7</v>
          </cell>
          <cell r="AP119">
            <v>0</v>
          </cell>
          <cell r="AQ119">
            <v>0</v>
          </cell>
          <cell r="AR119">
            <v>17</v>
          </cell>
          <cell r="AS119" t="str">
            <v>Casual Labour</v>
          </cell>
          <cell r="AV119">
            <v>120</v>
          </cell>
          <cell r="AW119">
            <v>25</v>
          </cell>
          <cell r="AX119">
            <v>30</v>
          </cell>
          <cell r="AY119">
            <v>20</v>
          </cell>
          <cell r="AZ119">
            <v>0.625</v>
          </cell>
        </row>
        <row r="120">
          <cell r="B120">
            <v>2127</v>
          </cell>
          <cell r="C120" t="str">
            <v>Fahad Hamood Said Al Shaqsi</v>
          </cell>
          <cell r="D120">
            <v>39705</v>
          </cell>
          <cell r="E120">
            <v>39790</v>
          </cell>
          <cell r="F120" t="str">
            <v>x</v>
          </cell>
          <cell r="G120" t="str">
            <v>x</v>
          </cell>
          <cell r="H120" t="str">
            <v>x</v>
          </cell>
          <cell r="I120" t="str">
            <v>x</v>
          </cell>
          <cell r="J120" t="str">
            <v>x</v>
          </cell>
          <cell r="K120" t="str">
            <v>x</v>
          </cell>
          <cell r="L120" t="str">
            <v>x</v>
          </cell>
          <cell r="M120" t="str">
            <v>x</v>
          </cell>
          <cell r="N120" t="str">
            <v>x</v>
          </cell>
          <cell r="O120" t="str">
            <v>x</v>
          </cell>
          <cell r="P120" t="str">
            <v>x</v>
          </cell>
          <cell r="Q120" t="str">
            <v>x</v>
          </cell>
          <cell r="R120">
            <v>0</v>
          </cell>
          <cell r="S120">
            <v>0</v>
          </cell>
          <cell r="T120">
            <v>0</v>
          </cell>
          <cell r="U120">
            <v>0</v>
          </cell>
          <cell r="V120">
            <v>0</v>
          </cell>
          <cell r="W120">
            <v>0</v>
          </cell>
          <cell r="X120">
            <v>7</v>
          </cell>
          <cell r="Y120">
            <v>0</v>
          </cell>
          <cell r="Z120">
            <v>9</v>
          </cell>
          <cell r="AA120">
            <v>0</v>
          </cell>
          <cell r="AB120">
            <v>0</v>
          </cell>
          <cell r="AC120">
            <v>0</v>
          </cell>
          <cell r="AD120">
            <v>0</v>
          </cell>
          <cell r="AE120">
            <v>0</v>
          </cell>
          <cell r="AF120" t="str">
            <v>x</v>
          </cell>
          <cell r="AG120" t="str">
            <v>x</v>
          </cell>
          <cell r="AH120" t="str">
            <v>x</v>
          </cell>
          <cell r="AI120" t="str">
            <v>x</v>
          </cell>
          <cell r="AJ120" t="str">
            <v>x</v>
          </cell>
          <cell r="AK120" t="str">
            <v>x</v>
          </cell>
          <cell r="AL120">
            <v>14</v>
          </cell>
          <cell r="AM120">
            <v>0</v>
          </cell>
          <cell r="AN120">
            <v>0</v>
          </cell>
          <cell r="AO120">
            <v>16</v>
          </cell>
          <cell r="AP120">
            <v>0</v>
          </cell>
          <cell r="AQ120">
            <v>0</v>
          </cell>
          <cell r="AR120">
            <v>14</v>
          </cell>
          <cell r="AS120" t="str">
            <v>Casual Labour</v>
          </cell>
          <cell r="AV120">
            <v>120</v>
          </cell>
          <cell r="AW120">
            <v>25</v>
          </cell>
          <cell r="AX120">
            <v>30</v>
          </cell>
          <cell r="AY120">
            <v>20</v>
          </cell>
          <cell r="AZ120">
            <v>0.625</v>
          </cell>
        </row>
        <row r="121">
          <cell r="B121">
            <v>2128</v>
          </cell>
          <cell r="C121" t="str">
            <v>Said Sulaiman Said Al Shaqsi</v>
          </cell>
          <cell r="D121">
            <v>39705</v>
          </cell>
          <cell r="E121">
            <v>39790</v>
          </cell>
          <cell r="F121" t="str">
            <v>x</v>
          </cell>
          <cell r="G121" t="str">
            <v>x</v>
          </cell>
          <cell r="H121" t="str">
            <v>x</v>
          </cell>
          <cell r="I121" t="str">
            <v>x</v>
          </cell>
          <cell r="J121" t="str">
            <v>x</v>
          </cell>
          <cell r="K121" t="str">
            <v>x</v>
          </cell>
          <cell r="L121" t="str">
            <v>x</v>
          </cell>
          <cell r="M121" t="str">
            <v>x</v>
          </cell>
          <cell r="N121" t="str">
            <v>x</v>
          </cell>
          <cell r="O121" t="str">
            <v>x</v>
          </cell>
          <cell r="P121" t="str">
            <v>x</v>
          </cell>
          <cell r="Q121" t="str">
            <v>x</v>
          </cell>
          <cell r="R121">
            <v>0</v>
          </cell>
          <cell r="S121">
            <v>0</v>
          </cell>
          <cell r="T121">
            <v>0</v>
          </cell>
          <cell r="U121">
            <v>0</v>
          </cell>
          <cell r="V121">
            <v>0</v>
          </cell>
          <cell r="W121">
            <v>0</v>
          </cell>
          <cell r="X121" t="str">
            <v>x</v>
          </cell>
          <cell r="Y121" t="str">
            <v>x</v>
          </cell>
          <cell r="Z121" t="str">
            <v>x</v>
          </cell>
          <cell r="AA121" t="str">
            <v>x</v>
          </cell>
          <cell r="AB121" t="str">
            <v>x</v>
          </cell>
          <cell r="AC121" t="str">
            <v>x</v>
          </cell>
          <cell r="AD121" t="str">
            <v>x</v>
          </cell>
          <cell r="AE121" t="str">
            <v>x</v>
          </cell>
          <cell r="AF121" t="str">
            <v>x</v>
          </cell>
          <cell r="AG121" t="str">
            <v>x</v>
          </cell>
          <cell r="AH121" t="str">
            <v>x</v>
          </cell>
          <cell r="AI121" t="str">
            <v>x</v>
          </cell>
          <cell r="AJ121" t="str">
            <v>x</v>
          </cell>
          <cell r="AK121" t="str">
            <v>x</v>
          </cell>
          <cell r="AL121">
            <v>6</v>
          </cell>
          <cell r="AM121">
            <v>0</v>
          </cell>
          <cell r="AN121">
            <v>0</v>
          </cell>
          <cell r="AO121">
            <v>0</v>
          </cell>
          <cell r="AP121">
            <v>0</v>
          </cell>
          <cell r="AQ121">
            <v>0</v>
          </cell>
          <cell r="AR121">
            <v>6</v>
          </cell>
          <cell r="AS121" t="str">
            <v>Casual Labour</v>
          </cell>
          <cell r="AV121">
            <v>120</v>
          </cell>
          <cell r="AW121">
            <v>25</v>
          </cell>
          <cell r="AX121">
            <v>30</v>
          </cell>
          <cell r="AY121">
            <v>20</v>
          </cell>
          <cell r="AZ121">
            <v>0.625</v>
          </cell>
        </row>
        <row r="122">
          <cell r="B122">
            <v>2129</v>
          </cell>
          <cell r="C122" t="str">
            <v>Waleed Nasser Khalaf Al Bahri</v>
          </cell>
          <cell r="D122">
            <v>39705</v>
          </cell>
          <cell r="E122">
            <v>39790</v>
          </cell>
          <cell r="F122" t="str">
            <v>x</v>
          </cell>
          <cell r="G122" t="str">
            <v>x</v>
          </cell>
          <cell r="H122" t="str">
            <v>x</v>
          </cell>
          <cell r="I122" t="str">
            <v>x</v>
          </cell>
          <cell r="J122" t="str">
            <v>x</v>
          </cell>
          <cell r="K122" t="str">
            <v>x</v>
          </cell>
          <cell r="L122" t="str">
            <v>x</v>
          </cell>
          <cell r="M122" t="str">
            <v>x</v>
          </cell>
          <cell r="N122" t="str">
            <v>x</v>
          </cell>
          <cell r="O122" t="str">
            <v>x</v>
          </cell>
          <cell r="P122" t="str">
            <v>x</v>
          </cell>
          <cell r="Q122" t="str">
            <v>x</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t="str">
            <v>L</v>
          </cell>
          <cell r="AJ122" t="str">
            <v>x</v>
          </cell>
          <cell r="AK122" t="str">
            <v>x</v>
          </cell>
          <cell r="AL122">
            <v>17</v>
          </cell>
          <cell r="AM122">
            <v>0</v>
          </cell>
          <cell r="AN122">
            <v>1</v>
          </cell>
          <cell r="AO122">
            <v>0</v>
          </cell>
          <cell r="AP122">
            <v>0</v>
          </cell>
          <cell r="AQ122">
            <v>0</v>
          </cell>
          <cell r="AR122">
            <v>17</v>
          </cell>
          <cell r="AS122" t="str">
            <v>Casual Labour</v>
          </cell>
          <cell r="AV122">
            <v>120</v>
          </cell>
          <cell r="AW122">
            <v>25</v>
          </cell>
          <cell r="AX122">
            <v>30</v>
          </cell>
          <cell r="AY122">
            <v>20</v>
          </cell>
          <cell r="AZ122">
            <v>0.625</v>
          </cell>
        </row>
        <row r="123">
          <cell r="B123">
            <v>2130</v>
          </cell>
          <cell r="C123" t="str">
            <v>Sultan Marhoun Saif Al Alawi</v>
          </cell>
          <cell r="D123">
            <v>39706</v>
          </cell>
          <cell r="E123">
            <v>39791</v>
          </cell>
          <cell r="F123" t="str">
            <v>x</v>
          </cell>
          <cell r="G123" t="str">
            <v>x</v>
          </cell>
          <cell r="H123" t="str">
            <v>x</v>
          </cell>
          <cell r="I123" t="str">
            <v>x</v>
          </cell>
          <cell r="J123" t="str">
            <v>x</v>
          </cell>
          <cell r="K123" t="str">
            <v>x</v>
          </cell>
          <cell r="L123" t="str">
            <v>x</v>
          </cell>
          <cell r="M123" t="str">
            <v>x</v>
          </cell>
          <cell r="N123" t="str">
            <v>x</v>
          </cell>
          <cell r="O123" t="str">
            <v>x</v>
          </cell>
          <cell r="P123" t="str">
            <v>x</v>
          </cell>
          <cell r="Q123" t="str">
            <v>x</v>
          </cell>
          <cell r="R123" t="str">
            <v>x</v>
          </cell>
          <cell r="S123" t="str">
            <v>x</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t="str">
            <v>L</v>
          </cell>
          <cell r="AJ123" t="str">
            <v>x</v>
          </cell>
          <cell r="AK123" t="str">
            <v>x</v>
          </cell>
          <cell r="AL123">
            <v>15</v>
          </cell>
          <cell r="AM123">
            <v>0</v>
          </cell>
          <cell r="AN123">
            <v>1</v>
          </cell>
          <cell r="AO123">
            <v>0</v>
          </cell>
          <cell r="AP123">
            <v>0</v>
          </cell>
          <cell r="AQ123">
            <v>0</v>
          </cell>
          <cell r="AR123">
            <v>15</v>
          </cell>
          <cell r="AS123" t="str">
            <v>Casual Labour</v>
          </cell>
          <cell r="AV123">
            <v>120</v>
          </cell>
          <cell r="AW123">
            <v>25</v>
          </cell>
          <cell r="AX123">
            <v>30</v>
          </cell>
          <cell r="AY123">
            <v>20</v>
          </cell>
          <cell r="AZ123">
            <v>0.625</v>
          </cell>
        </row>
        <row r="124">
          <cell r="B124">
            <v>2131</v>
          </cell>
          <cell r="C124" t="str">
            <v>Ibrahim Ya'qoub Salim Al Kharusi</v>
          </cell>
          <cell r="D124">
            <v>39706</v>
          </cell>
          <cell r="E124">
            <v>39791</v>
          </cell>
          <cell r="F124" t="str">
            <v>x</v>
          </cell>
          <cell r="G124" t="str">
            <v>x</v>
          </cell>
          <cell r="H124" t="str">
            <v>x</v>
          </cell>
          <cell r="I124" t="str">
            <v>x</v>
          </cell>
          <cell r="J124" t="str">
            <v>x</v>
          </cell>
          <cell r="K124" t="str">
            <v>x</v>
          </cell>
          <cell r="L124" t="str">
            <v>x</v>
          </cell>
          <cell r="M124" t="str">
            <v>x</v>
          </cell>
          <cell r="N124" t="str">
            <v>x</v>
          </cell>
          <cell r="O124" t="str">
            <v>x</v>
          </cell>
          <cell r="P124" t="str">
            <v>x</v>
          </cell>
          <cell r="Q124" t="str">
            <v>x</v>
          </cell>
          <cell r="R124" t="str">
            <v>x</v>
          </cell>
          <cell r="S124" t="str">
            <v>x</v>
          </cell>
          <cell r="T124">
            <v>0</v>
          </cell>
          <cell r="U124">
            <v>0</v>
          </cell>
          <cell r="V124">
            <v>0</v>
          </cell>
          <cell r="W124">
            <v>0</v>
          </cell>
          <cell r="X124">
            <v>0</v>
          </cell>
          <cell r="Y124">
            <v>0</v>
          </cell>
          <cell r="Z124">
            <v>0</v>
          </cell>
          <cell r="AA124">
            <v>0</v>
          </cell>
          <cell r="AB124">
            <v>0</v>
          </cell>
          <cell r="AC124">
            <v>0</v>
          </cell>
          <cell r="AD124">
            <v>0</v>
          </cell>
          <cell r="AE124" t="str">
            <v>A</v>
          </cell>
          <cell r="AF124" t="str">
            <v>A</v>
          </cell>
          <cell r="AG124" t="str">
            <v>A</v>
          </cell>
          <cell r="AH124" t="str">
            <v>A</v>
          </cell>
          <cell r="AI124" t="str">
            <v>A</v>
          </cell>
          <cell r="AJ124" t="str">
            <v>x</v>
          </cell>
          <cell r="AK124" t="str">
            <v>x</v>
          </cell>
          <cell r="AL124">
            <v>11</v>
          </cell>
          <cell r="AM124">
            <v>0</v>
          </cell>
          <cell r="AN124">
            <v>0</v>
          </cell>
          <cell r="AO124">
            <v>0</v>
          </cell>
          <cell r="AP124">
            <v>0</v>
          </cell>
          <cell r="AQ124">
            <v>0</v>
          </cell>
          <cell r="AR124">
            <v>11</v>
          </cell>
          <cell r="AS124" t="str">
            <v>Casual Labour</v>
          </cell>
          <cell r="AV124">
            <v>120</v>
          </cell>
          <cell r="AW124">
            <v>25</v>
          </cell>
          <cell r="AX124">
            <v>30</v>
          </cell>
          <cell r="AY124">
            <v>20</v>
          </cell>
          <cell r="AZ124">
            <v>0.625</v>
          </cell>
        </row>
        <row r="125">
          <cell r="B125">
            <v>2132</v>
          </cell>
          <cell r="C125" t="str">
            <v>Said Mohammed Sultan Al Ghafri</v>
          </cell>
          <cell r="D125">
            <v>39706</v>
          </cell>
          <cell r="E125">
            <v>39791</v>
          </cell>
          <cell r="F125" t="str">
            <v>x</v>
          </cell>
          <cell r="G125" t="str">
            <v>x</v>
          </cell>
          <cell r="H125" t="str">
            <v>x</v>
          </cell>
          <cell r="I125" t="str">
            <v>x</v>
          </cell>
          <cell r="J125" t="str">
            <v>x</v>
          </cell>
          <cell r="K125" t="str">
            <v>x</v>
          </cell>
          <cell r="L125" t="str">
            <v>x</v>
          </cell>
          <cell r="M125" t="str">
            <v>x</v>
          </cell>
          <cell r="N125" t="str">
            <v>x</v>
          </cell>
          <cell r="O125" t="str">
            <v>x</v>
          </cell>
          <cell r="P125" t="str">
            <v>x</v>
          </cell>
          <cell r="Q125" t="str">
            <v>x</v>
          </cell>
          <cell r="R125" t="str">
            <v>x</v>
          </cell>
          <cell r="S125" t="str">
            <v>x</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t="str">
            <v>L</v>
          </cell>
          <cell r="AJ125" t="str">
            <v>x</v>
          </cell>
          <cell r="AK125" t="str">
            <v>x</v>
          </cell>
          <cell r="AL125">
            <v>15</v>
          </cell>
          <cell r="AM125">
            <v>0</v>
          </cell>
          <cell r="AN125">
            <v>1</v>
          </cell>
          <cell r="AO125">
            <v>0</v>
          </cell>
          <cell r="AP125">
            <v>0</v>
          </cell>
          <cell r="AQ125">
            <v>0</v>
          </cell>
          <cell r="AR125">
            <v>15</v>
          </cell>
          <cell r="AS125" t="str">
            <v>Casual Labour</v>
          </cell>
          <cell r="AV125">
            <v>120</v>
          </cell>
          <cell r="AW125">
            <v>25</v>
          </cell>
          <cell r="AX125">
            <v>30</v>
          </cell>
          <cell r="AY125">
            <v>20</v>
          </cell>
          <cell r="AZ125">
            <v>0.625</v>
          </cell>
        </row>
        <row r="126">
          <cell r="B126">
            <v>2133</v>
          </cell>
          <cell r="C126" t="str">
            <v>Mohammed Saleh Issa Alawi</v>
          </cell>
          <cell r="D126">
            <v>39707</v>
          </cell>
          <cell r="E126">
            <v>39792</v>
          </cell>
          <cell r="F126" t="str">
            <v>x</v>
          </cell>
          <cell r="G126" t="str">
            <v>x</v>
          </cell>
          <cell r="H126" t="str">
            <v>x</v>
          </cell>
          <cell r="I126" t="str">
            <v>x</v>
          </cell>
          <cell r="J126" t="str">
            <v>x</v>
          </cell>
          <cell r="K126" t="str">
            <v>x</v>
          </cell>
          <cell r="L126" t="str">
            <v>x</v>
          </cell>
          <cell r="M126" t="str">
            <v>x</v>
          </cell>
          <cell r="N126" t="str">
            <v>x</v>
          </cell>
          <cell r="O126" t="str">
            <v>x</v>
          </cell>
          <cell r="P126" t="str">
            <v>x</v>
          </cell>
          <cell r="Q126" t="str">
            <v>x</v>
          </cell>
          <cell r="R126" t="str">
            <v>x</v>
          </cell>
          <cell r="S126" t="str">
            <v>x</v>
          </cell>
          <cell r="T126" t="str">
            <v>x</v>
          </cell>
          <cell r="U126">
            <v>0</v>
          </cell>
          <cell r="V126">
            <v>0</v>
          </cell>
          <cell r="W126">
            <v>0</v>
          </cell>
          <cell r="X126">
            <v>7</v>
          </cell>
          <cell r="Y126">
            <v>0</v>
          </cell>
          <cell r="Z126">
            <v>9</v>
          </cell>
          <cell r="AA126">
            <v>0</v>
          </cell>
          <cell r="AB126">
            <v>0</v>
          </cell>
          <cell r="AC126">
            <v>0</v>
          </cell>
          <cell r="AD126">
            <v>0</v>
          </cell>
          <cell r="AE126">
            <v>0</v>
          </cell>
          <cell r="AF126" t="str">
            <v>x</v>
          </cell>
          <cell r="AG126" t="str">
            <v>x</v>
          </cell>
          <cell r="AH126" t="str">
            <v>x</v>
          </cell>
          <cell r="AI126" t="str">
            <v>x</v>
          </cell>
          <cell r="AJ126" t="str">
            <v>x</v>
          </cell>
          <cell r="AK126" t="str">
            <v>x</v>
          </cell>
          <cell r="AL126">
            <v>11</v>
          </cell>
          <cell r="AM126">
            <v>0</v>
          </cell>
          <cell r="AN126">
            <v>0</v>
          </cell>
          <cell r="AO126">
            <v>16</v>
          </cell>
          <cell r="AP126">
            <v>0</v>
          </cell>
          <cell r="AQ126">
            <v>0</v>
          </cell>
          <cell r="AR126">
            <v>11</v>
          </cell>
          <cell r="AS126" t="str">
            <v>Casual Labour</v>
          </cell>
          <cell r="AV126">
            <v>120</v>
          </cell>
          <cell r="AW126">
            <v>25</v>
          </cell>
          <cell r="AX126">
            <v>30</v>
          </cell>
          <cell r="AY126">
            <v>20</v>
          </cell>
          <cell r="AZ126">
            <v>0.625</v>
          </cell>
        </row>
        <row r="127">
          <cell r="B127">
            <v>2134</v>
          </cell>
          <cell r="C127" t="str">
            <v>Manaa Sulaiman Ali Hamood Al Nasser</v>
          </cell>
          <cell r="D127">
            <v>39707</v>
          </cell>
          <cell r="E127">
            <v>39792</v>
          </cell>
          <cell r="F127" t="str">
            <v>x</v>
          </cell>
          <cell r="G127" t="str">
            <v>x</v>
          </cell>
          <cell r="H127" t="str">
            <v>x</v>
          </cell>
          <cell r="I127" t="str">
            <v>x</v>
          </cell>
          <cell r="J127" t="str">
            <v>x</v>
          </cell>
          <cell r="K127" t="str">
            <v>x</v>
          </cell>
          <cell r="L127" t="str">
            <v>x</v>
          </cell>
          <cell r="M127" t="str">
            <v>x</v>
          </cell>
          <cell r="N127" t="str">
            <v>x</v>
          </cell>
          <cell r="O127" t="str">
            <v>x</v>
          </cell>
          <cell r="P127" t="str">
            <v>x</v>
          </cell>
          <cell r="Q127" t="str">
            <v>x</v>
          </cell>
          <cell r="R127" t="str">
            <v>x</v>
          </cell>
          <cell r="S127" t="str">
            <v>x</v>
          </cell>
          <cell r="T127" t="str">
            <v>x</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t="str">
            <v>L</v>
          </cell>
          <cell r="AJ127" t="str">
            <v>x</v>
          </cell>
          <cell r="AK127" t="str">
            <v>x</v>
          </cell>
          <cell r="AL127">
            <v>14</v>
          </cell>
          <cell r="AM127">
            <v>0</v>
          </cell>
          <cell r="AN127">
            <v>1</v>
          </cell>
          <cell r="AO127">
            <v>0</v>
          </cell>
          <cell r="AP127">
            <v>0</v>
          </cell>
          <cell r="AQ127">
            <v>0</v>
          </cell>
          <cell r="AR127">
            <v>14</v>
          </cell>
          <cell r="AS127" t="str">
            <v>Casual Labour</v>
          </cell>
          <cell r="AV127">
            <v>120</v>
          </cell>
          <cell r="AW127">
            <v>25</v>
          </cell>
          <cell r="AX127">
            <v>30</v>
          </cell>
          <cell r="AY127">
            <v>20</v>
          </cell>
          <cell r="AZ127">
            <v>0.625</v>
          </cell>
        </row>
        <row r="128">
          <cell r="B128">
            <v>2135</v>
          </cell>
          <cell r="C128" t="str">
            <v>Abdu Aziz Abdullah Said Al HinaI</v>
          </cell>
          <cell r="D128">
            <v>39707</v>
          </cell>
          <cell r="E128">
            <v>39792</v>
          </cell>
          <cell r="F128" t="str">
            <v>x</v>
          </cell>
          <cell r="G128" t="str">
            <v>x</v>
          </cell>
          <cell r="H128" t="str">
            <v>x</v>
          </cell>
          <cell r="I128" t="str">
            <v>x</v>
          </cell>
          <cell r="J128" t="str">
            <v>x</v>
          </cell>
          <cell r="K128" t="str">
            <v>x</v>
          </cell>
          <cell r="L128" t="str">
            <v>x</v>
          </cell>
          <cell r="M128" t="str">
            <v>x</v>
          </cell>
          <cell r="N128" t="str">
            <v>x</v>
          </cell>
          <cell r="O128" t="str">
            <v>x</v>
          </cell>
          <cell r="P128" t="str">
            <v>x</v>
          </cell>
          <cell r="Q128" t="str">
            <v>x</v>
          </cell>
          <cell r="R128" t="str">
            <v>x</v>
          </cell>
          <cell r="S128" t="str">
            <v>x</v>
          </cell>
          <cell r="T128" t="str">
            <v>x</v>
          </cell>
          <cell r="U128">
            <v>0</v>
          </cell>
          <cell r="V128">
            <v>0</v>
          </cell>
          <cell r="W128" t="str">
            <v>x</v>
          </cell>
          <cell r="X128" t="str">
            <v>x</v>
          </cell>
          <cell r="Y128" t="str">
            <v>x</v>
          </cell>
          <cell r="Z128" t="str">
            <v>x</v>
          </cell>
          <cell r="AA128" t="str">
            <v>x</v>
          </cell>
          <cell r="AB128" t="str">
            <v>x</v>
          </cell>
          <cell r="AC128" t="str">
            <v>x</v>
          </cell>
          <cell r="AD128" t="str">
            <v>x</v>
          </cell>
          <cell r="AE128" t="str">
            <v>x</v>
          </cell>
          <cell r="AF128" t="str">
            <v>x</v>
          </cell>
          <cell r="AG128" t="str">
            <v>x</v>
          </cell>
          <cell r="AH128" t="str">
            <v>x</v>
          </cell>
          <cell r="AI128" t="str">
            <v>x</v>
          </cell>
          <cell r="AJ128" t="str">
            <v>x</v>
          </cell>
          <cell r="AK128" t="str">
            <v>x</v>
          </cell>
          <cell r="AL128">
            <v>2</v>
          </cell>
          <cell r="AM128">
            <v>0</v>
          </cell>
          <cell r="AN128">
            <v>0</v>
          </cell>
          <cell r="AO128">
            <v>0</v>
          </cell>
          <cell r="AP128">
            <v>0</v>
          </cell>
          <cell r="AQ128">
            <v>0</v>
          </cell>
          <cell r="AR128">
            <v>2</v>
          </cell>
          <cell r="AS128" t="str">
            <v>Casual Labour</v>
          </cell>
          <cell r="AV128">
            <v>120</v>
          </cell>
          <cell r="AW128">
            <v>25</v>
          </cell>
          <cell r="AX128">
            <v>30</v>
          </cell>
          <cell r="AY128">
            <v>20</v>
          </cell>
          <cell r="AZ128">
            <v>0.625</v>
          </cell>
        </row>
        <row r="129">
          <cell r="B129">
            <v>2136</v>
          </cell>
          <cell r="C129" t="str">
            <v>Hatem Abdullah Amur Al Wardi</v>
          </cell>
          <cell r="D129">
            <v>39707</v>
          </cell>
          <cell r="E129">
            <v>39792</v>
          </cell>
          <cell r="F129" t="str">
            <v>x</v>
          </cell>
          <cell r="G129" t="str">
            <v>x</v>
          </cell>
          <cell r="H129" t="str">
            <v>x</v>
          </cell>
          <cell r="I129" t="str">
            <v>x</v>
          </cell>
          <cell r="J129" t="str">
            <v>x</v>
          </cell>
          <cell r="K129" t="str">
            <v>x</v>
          </cell>
          <cell r="L129" t="str">
            <v>x</v>
          </cell>
          <cell r="M129" t="str">
            <v>x</v>
          </cell>
          <cell r="N129" t="str">
            <v>x</v>
          </cell>
          <cell r="O129" t="str">
            <v>x</v>
          </cell>
          <cell r="P129" t="str">
            <v>x</v>
          </cell>
          <cell r="Q129" t="str">
            <v>x</v>
          </cell>
          <cell r="R129" t="str">
            <v>x</v>
          </cell>
          <cell r="S129" t="str">
            <v>x</v>
          </cell>
          <cell r="T129" t="str">
            <v>x</v>
          </cell>
          <cell r="U129">
            <v>7</v>
          </cell>
          <cell r="V129">
            <v>0</v>
          </cell>
          <cell r="W129">
            <v>0</v>
          </cell>
          <cell r="X129" t="str">
            <v>x</v>
          </cell>
          <cell r="Y129" t="str">
            <v>x</v>
          </cell>
          <cell r="Z129" t="str">
            <v>x</v>
          </cell>
          <cell r="AA129" t="str">
            <v>x</v>
          </cell>
          <cell r="AB129" t="str">
            <v>x</v>
          </cell>
          <cell r="AC129" t="str">
            <v>x</v>
          </cell>
          <cell r="AD129" t="str">
            <v>x</v>
          </cell>
          <cell r="AE129" t="str">
            <v>x</v>
          </cell>
          <cell r="AF129" t="str">
            <v>x</v>
          </cell>
          <cell r="AG129" t="str">
            <v>x</v>
          </cell>
          <cell r="AH129" t="str">
            <v>x</v>
          </cell>
          <cell r="AI129" t="str">
            <v>x</v>
          </cell>
          <cell r="AJ129" t="str">
            <v>x</v>
          </cell>
          <cell r="AK129" t="str">
            <v>x</v>
          </cell>
          <cell r="AL129">
            <v>3</v>
          </cell>
          <cell r="AM129">
            <v>0</v>
          </cell>
          <cell r="AN129">
            <v>0</v>
          </cell>
          <cell r="AO129">
            <v>7</v>
          </cell>
          <cell r="AP129">
            <v>0</v>
          </cell>
          <cell r="AQ129">
            <v>0</v>
          </cell>
          <cell r="AR129">
            <v>3</v>
          </cell>
          <cell r="AS129" t="str">
            <v>Casual Labour</v>
          </cell>
          <cell r="AV129">
            <v>120</v>
          </cell>
          <cell r="AW129">
            <v>25</v>
          </cell>
          <cell r="AX129">
            <v>30</v>
          </cell>
          <cell r="AY129">
            <v>20</v>
          </cell>
          <cell r="AZ129">
            <v>0.625</v>
          </cell>
        </row>
        <row r="130">
          <cell r="B130">
            <v>2137</v>
          </cell>
          <cell r="C130" t="str">
            <v>Mashal Khalfan Amur Al Shekili</v>
          </cell>
          <cell r="D130">
            <v>39707</v>
          </cell>
          <cell r="E130">
            <v>39792</v>
          </cell>
          <cell r="F130" t="str">
            <v>x</v>
          </cell>
          <cell r="G130" t="str">
            <v>x</v>
          </cell>
          <cell r="H130" t="str">
            <v>x</v>
          </cell>
          <cell r="I130" t="str">
            <v>x</v>
          </cell>
          <cell r="J130" t="str">
            <v>x</v>
          </cell>
          <cell r="K130" t="str">
            <v>x</v>
          </cell>
          <cell r="L130" t="str">
            <v>x</v>
          </cell>
          <cell r="M130" t="str">
            <v>x</v>
          </cell>
          <cell r="N130" t="str">
            <v>x</v>
          </cell>
          <cell r="O130" t="str">
            <v>x</v>
          </cell>
          <cell r="P130" t="str">
            <v>x</v>
          </cell>
          <cell r="Q130" t="str">
            <v>x</v>
          </cell>
          <cell r="R130" t="str">
            <v>x</v>
          </cell>
          <cell r="S130" t="str">
            <v>x</v>
          </cell>
          <cell r="T130" t="str">
            <v>x</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t="str">
            <v>L</v>
          </cell>
          <cell r="AJ130" t="str">
            <v>x</v>
          </cell>
          <cell r="AK130" t="str">
            <v>x</v>
          </cell>
          <cell r="AL130">
            <v>14</v>
          </cell>
          <cell r="AM130">
            <v>0</v>
          </cell>
          <cell r="AN130">
            <v>1</v>
          </cell>
          <cell r="AO130">
            <v>0</v>
          </cell>
          <cell r="AP130">
            <v>0</v>
          </cell>
          <cell r="AQ130">
            <v>0</v>
          </cell>
          <cell r="AR130">
            <v>14</v>
          </cell>
          <cell r="AS130" t="str">
            <v>Casual Labour</v>
          </cell>
          <cell r="AV130">
            <v>120</v>
          </cell>
          <cell r="AW130">
            <v>25</v>
          </cell>
          <cell r="AX130">
            <v>30</v>
          </cell>
          <cell r="AY130">
            <v>20</v>
          </cell>
          <cell r="AZ130">
            <v>0.625</v>
          </cell>
        </row>
        <row r="131">
          <cell r="B131">
            <v>2138</v>
          </cell>
          <cell r="C131" t="str">
            <v>Saif Nasser Mohammed Al Busaidi</v>
          </cell>
          <cell r="D131">
            <v>39709</v>
          </cell>
          <cell r="E131">
            <v>39794</v>
          </cell>
          <cell r="F131" t="str">
            <v>x</v>
          </cell>
          <cell r="G131" t="str">
            <v>x</v>
          </cell>
          <cell r="H131" t="str">
            <v>x</v>
          </cell>
          <cell r="I131" t="str">
            <v>x</v>
          </cell>
          <cell r="J131" t="str">
            <v>x</v>
          </cell>
          <cell r="K131" t="str">
            <v>x</v>
          </cell>
          <cell r="L131" t="str">
            <v>x</v>
          </cell>
          <cell r="M131" t="str">
            <v>x</v>
          </cell>
          <cell r="N131" t="str">
            <v>x</v>
          </cell>
          <cell r="O131" t="str">
            <v>x</v>
          </cell>
          <cell r="P131" t="str">
            <v>x</v>
          </cell>
          <cell r="Q131" t="str">
            <v>x</v>
          </cell>
          <cell r="R131" t="str">
            <v>x</v>
          </cell>
          <cell r="S131" t="str">
            <v>x</v>
          </cell>
          <cell r="T131" t="str">
            <v>x</v>
          </cell>
          <cell r="U131" t="str">
            <v>x</v>
          </cell>
          <cell r="V131" t="str">
            <v>x</v>
          </cell>
          <cell r="W131" t="str">
            <v>x</v>
          </cell>
          <cell r="X131">
            <v>7</v>
          </cell>
          <cell r="Y131">
            <v>7</v>
          </cell>
          <cell r="Z131">
            <v>9</v>
          </cell>
          <cell r="AA131">
            <v>7</v>
          </cell>
          <cell r="AB131">
            <v>6</v>
          </cell>
          <cell r="AC131">
            <v>6</v>
          </cell>
          <cell r="AD131">
            <v>7</v>
          </cell>
          <cell r="AE131">
            <v>6</v>
          </cell>
          <cell r="AF131">
            <v>7</v>
          </cell>
          <cell r="AG131">
            <v>0</v>
          </cell>
          <cell r="AH131">
            <v>0</v>
          </cell>
          <cell r="AI131" t="str">
            <v>L</v>
          </cell>
          <cell r="AJ131" t="str">
            <v>x</v>
          </cell>
          <cell r="AK131" t="str">
            <v>x</v>
          </cell>
          <cell r="AL131">
            <v>11</v>
          </cell>
          <cell r="AM131">
            <v>0</v>
          </cell>
          <cell r="AN131">
            <v>1</v>
          </cell>
          <cell r="AO131">
            <v>62</v>
          </cell>
          <cell r="AP131">
            <v>0</v>
          </cell>
          <cell r="AQ131">
            <v>0</v>
          </cell>
          <cell r="AR131">
            <v>11</v>
          </cell>
          <cell r="AS131" t="str">
            <v>Casual Labour</v>
          </cell>
          <cell r="AV131">
            <v>120</v>
          </cell>
          <cell r="AW131">
            <v>25</v>
          </cell>
          <cell r="AX131">
            <v>30</v>
          </cell>
          <cell r="AY131">
            <v>20</v>
          </cell>
          <cell r="AZ131">
            <v>0.625</v>
          </cell>
        </row>
        <row r="132">
          <cell r="B132">
            <v>2139</v>
          </cell>
          <cell r="C132" t="str">
            <v>Ali Salim Ali Al Harthi</v>
          </cell>
          <cell r="D132">
            <v>39711</v>
          </cell>
          <cell r="E132">
            <v>39796</v>
          </cell>
          <cell r="F132" t="str">
            <v>x</v>
          </cell>
          <cell r="G132" t="str">
            <v>x</v>
          </cell>
          <cell r="H132" t="str">
            <v>x</v>
          </cell>
          <cell r="I132" t="str">
            <v>x</v>
          </cell>
          <cell r="J132" t="str">
            <v>x</v>
          </cell>
          <cell r="K132" t="str">
            <v>x</v>
          </cell>
          <cell r="L132" t="str">
            <v>x</v>
          </cell>
          <cell r="M132" t="str">
            <v>x</v>
          </cell>
          <cell r="N132" t="str">
            <v>x</v>
          </cell>
          <cell r="O132" t="str">
            <v>x</v>
          </cell>
          <cell r="P132" t="str">
            <v>x</v>
          </cell>
          <cell r="Q132" t="str">
            <v>x</v>
          </cell>
          <cell r="R132" t="str">
            <v>x</v>
          </cell>
          <cell r="S132" t="str">
            <v>x</v>
          </cell>
          <cell r="T132" t="str">
            <v>x</v>
          </cell>
          <cell r="U132" t="str">
            <v>x</v>
          </cell>
          <cell r="V132" t="str">
            <v>x</v>
          </cell>
          <cell r="W132" t="str">
            <v>x</v>
          </cell>
          <cell r="X132" t="str">
            <v>x</v>
          </cell>
          <cell r="Y132">
            <v>0</v>
          </cell>
          <cell r="Z132">
            <v>0</v>
          </cell>
          <cell r="AA132">
            <v>0</v>
          </cell>
          <cell r="AB132">
            <v>0</v>
          </cell>
          <cell r="AC132">
            <v>0</v>
          </cell>
          <cell r="AD132">
            <v>0</v>
          </cell>
          <cell r="AE132">
            <v>0</v>
          </cell>
          <cell r="AF132">
            <v>0</v>
          </cell>
          <cell r="AG132">
            <v>0</v>
          </cell>
          <cell r="AH132">
            <v>0</v>
          </cell>
          <cell r="AI132" t="str">
            <v>L</v>
          </cell>
          <cell r="AJ132" t="str">
            <v>x</v>
          </cell>
          <cell r="AK132" t="str">
            <v>x</v>
          </cell>
          <cell r="AL132">
            <v>10</v>
          </cell>
          <cell r="AM132">
            <v>0</v>
          </cell>
          <cell r="AN132">
            <v>1</v>
          </cell>
          <cell r="AO132">
            <v>0</v>
          </cell>
          <cell r="AP132">
            <v>0</v>
          </cell>
          <cell r="AQ132">
            <v>0</v>
          </cell>
          <cell r="AR132">
            <v>10</v>
          </cell>
          <cell r="AS132" t="str">
            <v>Casual Labour</v>
          </cell>
          <cell r="AV132">
            <v>120</v>
          </cell>
          <cell r="AW132">
            <v>25</v>
          </cell>
          <cell r="AX132">
            <v>30</v>
          </cell>
          <cell r="AY132">
            <v>20</v>
          </cell>
          <cell r="AZ132">
            <v>0.625</v>
          </cell>
        </row>
        <row r="133">
          <cell r="B133">
            <v>2140</v>
          </cell>
          <cell r="C133" t="str">
            <v>Khalfan  Salim Khalfan Al Siyabi</v>
          </cell>
          <cell r="D133">
            <v>39711</v>
          </cell>
          <cell r="E133">
            <v>39796</v>
          </cell>
          <cell r="F133" t="str">
            <v>x</v>
          </cell>
          <cell r="G133" t="str">
            <v>x</v>
          </cell>
          <cell r="H133" t="str">
            <v>x</v>
          </cell>
          <cell r="I133" t="str">
            <v>x</v>
          </cell>
          <cell r="J133" t="str">
            <v>x</v>
          </cell>
          <cell r="K133" t="str">
            <v>x</v>
          </cell>
          <cell r="L133" t="str">
            <v>x</v>
          </cell>
          <cell r="M133" t="str">
            <v>x</v>
          </cell>
          <cell r="N133" t="str">
            <v>x</v>
          </cell>
          <cell r="O133" t="str">
            <v>x</v>
          </cell>
          <cell r="P133" t="str">
            <v>x</v>
          </cell>
          <cell r="Q133" t="str">
            <v>x</v>
          </cell>
          <cell r="R133" t="str">
            <v>x</v>
          </cell>
          <cell r="S133" t="str">
            <v>x</v>
          </cell>
          <cell r="T133" t="str">
            <v>x</v>
          </cell>
          <cell r="U133" t="str">
            <v>x</v>
          </cell>
          <cell r="V133" t="str">
            <v>x</v>
          </cell>
          <cell r="W133" t="str">
            <v>x</v>
          </cell>
          <cell r="X133" t="str">
            <v>x</v>
          </cell>
          <cell r="Y133">
            <v>0</v>
          </cell>
          <cell r="Z133">
            <v>0</v>
          </cell>
          <cell r="AA133">
            <v>0</v>
          </cell>
          <cell r="AB133">
            <v>0</v>
          </cell>
          <cell r="AC133">
            <v>0</v>
          </cell>
          <cell r="AD133">
            <v>0</v>
          </cell>
          <cell r="AE133">
            <v>0</v>
          </cell>
          <cell r="AF133">
            <v>0</v>
          </cell>
          <cell r="AG133">
            <v>0</v>
          </cell>
          <cell r="AH133">
            <v>0</v>
          </cell>
          <cell r="AI133" t="str">
            <v>L</v>
          </cell>
          <cell r="AJ133" t="str">
            <v>x</v>
          </cell>
          <cell r="AK133" t="str">
            <v>x</v>
          </cell>
          <cell r="AL133">
            <v>10</v>
          </cell>
          <cell r="AM133">
            <v>0</v>
          </cell>
          <cell r="AN133">
            <v>1</v>
          </cell>
          <cell r="AO133">
            <v>0</v>
          </cell>
          <cell r="AP133">
            <v>0</v>
          </cell>
          <cell r="AQ133">
            <v>0</v>
          </cell>
          <cell r="AR133">
            <v>10</v>
          </cell>
          <cell r="AS133" t="str">
            <v>Casual Labour</v>
          </cell>
          <cell r="AV133">
            <v>120</v>
          </cell>
          <cell r="AW133">
            <v>25</v>
          </cell>
          <cell r="AX133">
            <v>30</v>
          </cell>
          <cell r="AY133">
            <v>20</v>
          </cell>
          <cell r="AZ133">
            <v>0.625</v>
          </cell>
        </row>
        <row r="134">
          <cell r="C134" t="str">
            <v>Yones Mobarak Khatim Al Abrawi</v>
          </cell>
          <cell r="D134">
            <v>39711</v>
          </cell>
          <cell r="E134">
            <v>39796</v>
          </cell>
          <cell r="F134" t="str">
            <v>x</v>
          </cell>
          <cell r="G134" t="str">
            <v>x</v>
          </cell>
          <cell r="H134" t="str">
            <v>x</v>
          </cell>
          <cell r="I134" t="str">
            <v>x</v>
          </cell>
          <cell r="J134" t="str">
            <v>x</v>
          </cell>
          <cell r="K134" t="str">
            <v>x</v>
          </cell>
          <cell r="L134" t="str">
            <v>x</v>
          </cell>
          <cell r="M134" t="str">
            <v>x</v>
          </cell>
          <cell r="N134" t="str">
            <v>x</v>
          </cell>
          <cell r="O134" t="str">
            <v>x</v>
          </cell>
          <cell r="P134" t="str">
            <v>x</v>
          </cell>
          <cell r="Q134" t="str">
            <v>x</v>
          </cell>
          <cell r="R134" t="str">
            <v>x</v>
          </cell>
          <cell r="S134" t="str">
            <v>x</v>
          </cell>
          <cell r="T134" t="str">
            <v>x</v>
          </cell>
          <cell r="U134" t="str">
            <v>x</v>
          </cell>
          <cell r="V134" t="str">
            <v>x</v>
          </cell>
          <cell r="W134" t="str">
            <v>x</v>
          </cell>
          <cell r="X134" t="str">
            <v>x</v>
          </cell>
          <cell r="Y134">
            <v>0</v>
          </cell>
          <cell r="Z134">
            <v>0</v>
          </cell>
          <cell r="AA134">
            <v>0</v>
          </cell>
          <cell r="AB134">
            <v>0</v>
          </cell>
          <cell r="AC134">
            <v>0</v>
          </cell>
          <cell r="AD134">
            <v>0</v>
          </cell>
          <cell r="AE134">
            <v>0</v>
          </cell>
          <cell r="AF134">
            <v>0</v>
          </cell>
          <cell r="AG134">
            <v>0</v>
          </cell>
          <cell r="AH134">
            <v>0</v>
          </cell>
          <cell r="AI134" t="str">
            <v>L</v>
          </cell>
          <cell r="AJ134" t="str">
            <v>x</v>
          </cell>
          <cell r="AK134" t="str">
            <v>x</v>
          </cell>
          <cell r="AL134">
            <v>10</v>
          </cell>
          <cell r="AM134">
            <v>0</v>
          </cell>
          <cell r="AN134">
            <v>1</v>
          </cell>
          <cell r="AO134">
            <v>0</v>
          </cell>
          <cell r="AP134">
            <v>0</v>
          </cell>
          <cell r="AQ134">
            <v>0</v>
          </cell>
          <cell r="AR134">
            <v>10</v>
          </cell>
          <cell r="AS134" t="str">
            <v>Casual Labour</v>
          </cell>
          <cell r="AT134" t="str">
            <v>Salary Not transferred check his status of working or not.</v>
          </cell>
          <cell r="AV134">
            <v>120</v>
          </cell>
          <cell r="AW134">
            <v>25</v>
          </cell>
          <cell r="AX134">
            <v>30</v>
          </cell>
          <cell r="AY134">
            <v>20</v>
          </cell>
          <cell r="AZ134">
            <v>0.625</v>
          </cell>
        </row>
        <row r="135">
          <cell r="B135">
            <v>2142</v>
          </cell>
          <cell r="C135" t="str">
            <v>Jamal Haji Khatim  Al Abrawi</v>
          </cell>
          <cell r="D135">
            <v>39711</v>
          </cell>
          <cell r="E135">
            <v>39796</v>
          </cell>
          <cell r="F135" t="str">
            <v>x</v>
          </cell>
          <cell r="G135" t="str">
            <v>x</v>
          </cell>
          <cell r="H135" t="str">
            <v>x</v>
          </cell>
          <cell r="I135" t="str">
            <v>x</v>
          </cell>
          <cell r="J135" t="str">
            <v>x</v>
          </cell>
          <cell r="K135" t="str">
            <v>x</v>
          </cell>
          <cell r="L135" t="str">
            <v>x</v>
          </cell>
          <cell r="M135" t="str">
            <v>x</v>
          </cell>
          <cell r="N135" t="str">
            <v>x</v>
          </cell>
          <cell r="O135" t="str">
            <v>x</v>
          </cell>
          <cell r="P135" t="str">
            <v>x</v>
          </cell>
          <cell r="Q135" t="str">
            <v>x</v>
          </cell>
          <cell r="R135" t="str">
            <v>x</v>
          </cell>
          <cell r="S135" t="str">
            <v>x</v>
          </cell>
          <cell r="T135" t="str">
            <v>x</v>
          </cell>
          <cell r="U135" t="str">
            <v>x</v>
          </cell>
          <cell r="V135" t="str">
            <v>x</v>
          </cell>
          <cell r="W135" t="str">
            <v>x</v>
          </cell>
          <cell r="X135" t="str">
            <v>x</v>
          </cell>
          <cell r="Y135">
            <v>0</v>
          </cell>
          <cell r="Z135">
            <v>0</v>
          </cell>
          <cell r="AA135">
            <v>0</v>
          </cell>
          <cell r="AB135">
            <v>0</v>
          </cell>
          <cell r="AC135">
            <v>0</v>
          </cell>
          <cell r="AD135">
            <v>0</v>
          </cell>
          <cell r="AE135">
            <v>0</v>
          </cell>
          <cell r="AF135">
            <v>0</v>
          </cell>
          <cell r="AG135">
            <v>0</v>
          </cell>
          <cell r="AH135">
            <v>0</v>
          </cell>
          <cell r="AI135" t="str">
            <v>L</v>
          </cell>
          <cell r="AJ135" t="str">
            <v>x</v>
          </cell>
          <cell r="AK135" t="str">
            <v>x</v>
          </cell>
          <cell r="AL135">
            <v>10</v>
          </cell>
          <cell r="AM135">
            <v>0</v>
          </cell>
          <cell r="AN135">
            <v>1</v>
          </cell>
          <cell r="AO135">
            <v>0</v>
          </cell>
          <cell r="AP135">
            <v>0</v>
          </cell>
          <cell r="AQ135">
            <v>0</v>
          </cell>
          <cell r="AR135">
            <v>10</v>
          </cell>
          <cell r="AS135" t="str">
            <v>Casual Labour</v>
          </cell>
          <cell r="AV135">
            <v>120</v>
          </cell>
          <cell r="AW135">
            <v>25</v>
          </cell>
          <cell r="AX135">
            <v>30</v>
          </cell>
          <cell r="AY135">
            <v>20</v>
          </cell>
          <cell r="AZ135">
            <v>0.625</v>
          </cell>
        </row>
        <row r="136">
          <cell r="B136">
            <v>2143</v>
          </cell>
          <cell r="C136" t="str">
            <v>Majed Khamis Salim Al Ghafri</v>
          </cell>
          <cell r="D136">
            <v>39711</v>
          </cell>
          <cell r="E136">
            <v>39796</v>
          </cell>
          <cell r="F136" t="str">
            <v>x</v>
          </cell>
          <cell r="G136" t="str">
            <v>x</v>
          </cell>
          <cell r="H136" t="str">
            <v>x</v>
          </cell>
          <cell r="I136" t="str">
            <v>x</v>
          </cell>
          <cell r="J136" t="str">
            <v>x</v>
          </cell>
          <cell r="K136" t="str">
            <v>x</v>
          </cell>
          <cell r="L136" t="str">
            <v>x</v>
          </cell>
          <cell r="M136" t="str">
            <v>x</v>
          </cell>
          <cell r="N136" t="str">
            <v>x</v>
          </cell>
          <cell r="O136" t="str">
            <v>x</v>
          </cell>
          <cell r="P136" t="str">
            <v>x</v>
          </cell>
          <cell r="Q136" t="str">
            <v>x</v>
          </cell>
          <cell r="R136" t="str">
            <v>x</v>
          </cell>
          <cell r="S136" t="str">
            <v>x</v>
          </cell>
          <cell r="T136" t="str">
            <v>x</v>
          </cell>
          <cell r="U136" t="str">
            <v>x</v>
          </cell>
          <cell r="V136" t="str">
            <v>x</v>
          </cell>
          <cell r="W136" t="str">
            <v>x</v>
          </cell>
          <cell r="X136" t="str">
            <v>x</v>
          </cell>
          <cell r="Y136">
            <v>0</v>
          </cell>
          <cell r="Z136">
            <v>0</v>
          </cell>
          <cell r="AA136">
            <v>0</v>
          </cell>
          <cell r="AB136">
            <v>0</v>
          </cell>
          <cell r="AC136">
            <v>0</v>
          </cell>
          <cell r="AD136">
            <v>0</v>
          </cell>
          <cell r="AE136">
            <v>0</v>
          </cell>
          <cell r="AF136">
            <v>0</v>
          </cell>
          <cell r="AG136">
            <v>0</v>
          </cell>
          <cell r="AH136">
            <v>0</v>
          </cell>
          <cell r="AI136" t="str">
            <v>X</v>
          </cell>
          <cell r="AJ136" t="str">
            <v>x</v>
          </cell>
          <cell r="AK136" t="str">
            <v>x</v>
          </cell>
          <cell r="AL136">
            <v>10</v>
          </cell>
          <cell r="AM136">
            <v>0</v>
          </cell>
          <cell r="AN136">
            <v>0</v>
          </cell>
          <cell r="AO136">
            <v>0</v>
          </cell>
          <cell r="AP136">
            <v>0</v>
          </cell>
          <cell r="AQ136">
            <v>0</v>
          </cell>
          <cell r="AR136">
            <v>10</v>
          </cell>
          <cell r="AS136" t="str">
            <v>Casual Labour</v>
          </cell>
          <cell r="AV136">
            <v>120</v>
          </cell>
          <cell r="AW136">
            <v>25</v>
          </cell>
          <cell r="AX136">
            <v>30</v>
          </cell>
          <cell r="AY136">
            <v>20</v>
          </cell>
          <cell r="AZ136">
            <v>0.625</v>
          </cell>
        </row>
        <row r="137">
          <cell r="B137">
            <v>2144</v>
          </cell>
          <cell r="C137" t="str">
            <v>Khalifa Khalid Mubark Al Abri</v>
          </cell>
          <cell r="D137">
            <v>39711</v>
          </cell>
          <cell r="E137">
            <v>39796</v>
          </cell>
          <cell r="F137" t="str">
            <v>x</v>
          </cell>
          <cell r="G137" t="str">
            <v>x</v>
          </cell>
          <cell r="H137" t="str">
            <v>x</v>
          </cell>
          <cell r="I137" t="str">
            <v>x</v>
          </cell>
          <cell r="J137" t="str">
            <v>x</v>
          </cell>
          <cell r="K137" t="str">
            <v>x</v>
          </cell>
          <cell r="L137" t="str">
            <v>x</v>
          </cell>
          <cell r="M137" t="str">
            <v>x</v>
          </cell>
          <cell r="N137" t="str">
            <v>x</v>
          </cell>
          <cell r="O137" t="str">
            <v>x</v>
          </cell>
          <cell r="P137" t="str">
            <v>x</v>
          </cell>
          <cell r="Q137" t="str">
            <v>x</v>
          </cell>
          <cell r="R137" t="str">
            <v>x</v>
          </cell>
          <cell r="S137" t="str">
            <v>x</v>
          </cell>
          <cell r="T137" t="str">
            <v>x</v>
          </cell>
          <cell r="U137" t="str">
            <v>x</v>
          </cell>
          <cell r="V137" t="str">
            <v>x</v>
          </cell>
          <cell r="W137" t="str">
            <v>x</v>
          </cell>
          <cell r="X137" t="str">
            <v>x</v>
          </cell>
          <cell r="Y137">
            <v>0</v>
          </cell>
          <cell r="Z137">
            <v>0</v>
          </cell>
          <cell r="AA137">
            <v>0</v>
          </cell>
          <cell r="AB137">
            <v>0</v>
          </cell>
          <cell r="AC137">
            <v>0</v>
          </cell>
          <cell r="AD137">
            <v>0</v>
          </cell>
          <cell r="AE137">
            <v>0</v>
          </cell>
          <cell r="AF137">
            <v>0</v>
          </cell>
          <cell r="AG137">
            <v>0</v>
          </cell>
          <cell r="AH137">
            <v>0</v>
          </cell>
          <cell r="AI137" t="str">
            <v>L</v>
          </cell>
          <cell r="AJ137" t="str">
            <v>x</v>
          </cell>
          <cell r="AK137" t="str">
            <v>x</v>
          </cell>
          <cell r="AL137">
            <v>10</v>
          </cell>
          <cell r="AM137">
            <v>0</v>
          </cell>
          <cell r="AN137">
            <v>1</v>
          </cell>
          <cell r="AO137">
            <v>0</v>
          </cell>
          <cell r="AP137">
            <v>0</v>
          </cell>
          <cell r="AQ137">
            <v>0</v>
          </cell>
          <cell r="AR137">
            <v>10</v>
          </cell>
          <cell r="AS137" t="str">
            <v>Casual Labour</v>
          </cell>
          <cell r="AV137">
            <v>120</v>
          </cell>
          <cell r="AW137">
            <v>25</v>
          </cell>
          <cell r="AX137">
            <v>30</v>
          </cell>
          <cell r="AY137">
            <v>20</v>
          </cell>
          <cell r="AZ137">
            <v>0.625</v>
          </cell>
        </row>
        <row r="138">
          <cell r="B138">
            <v>2145</v>
          </cell>
          <cell r="C138" t="str">
            <v>Rashid Salman Mohamed Al Hatmi</v>
          </cell>
          <cell r="D138">
            <v>39711</v>
          </cell>
          <cell r="E138">
            <v>39796</v>
          </cell>
          <cell r="F138" t="str">
            <v>x</v>
          </cell>
          <cell r="G138" t="str">
            <v>x</v>
          </cell>
          <cell r="H138" t="str">
            <v>x</v>
          </cell>
          <cell r="I138" t="str">
            <v>x</v>
          </cell>
          <cell r="J138" t="str">
            <v>x</v>
          </cell>
          <cell r="K138" t="str">
            <v>x</v>
          </cell>
          <cell r="L138" t="str">
            <v>x</v>
          </cell>
          <cell r="M138" t="str">
            <v>x</v>
          </cell>
          <cell r="N138" t="str">
            <v>x</v>
          </cell>
          <cell r="O138" t="str">
            <v>x</v>
          </cell>
          <cell r="P138" t="str">
            <v>x</v>
          </cell>
          <cell r="Q138" t="str">
            <v>x</v>
          </cell>
          <cell r="R138" t="str">
            <v>x</v>
          </cell>
          <cell r="S138" t="str">
            <v>x</v>
          </cell>
          <cell r="T138" t="str">
            <v>x</v>
          </cell>
          <cell r="U138" t="str">
            <v>x</v>
          </cell>
          <cell r="V138" t="str">
            <v>x</v>
          </cell>
          <cell r="W138" t="str">
            <v>x</v>
          </cell>
          <cell r="X138" t="str">
            <v>x</v>
          </cell>
          <cell r="Y138">
            <v>0</v>
          </cell>
          <cell r="Z138">
            <v>0</v>
          </cell>
          <cell r="AA138">
            <v>0</v>
          </cell>
          <cell r="AB138">
            <v>0</v>
          </cell>
          <cell r="AC138">
            <v>0</v>
          </cell>
          <cell r="AD138">
            <v>0</v>
          </cell>
          <cell r="AE138">
            <v>0</v>
          </cell>
          <cell r="AF138">
            <v>0</v>
          </cell>
          <cell r="AG138">
            <v>0</v>
          </cell>
          <cell r="AH138">
            <v>0</v>
          </cell>
          <cell r="AI138" t="str">
            <v>L</v>
          </cell>
          <cell r="AJ138" t="str">
            <v>x</v>
          </cell>
          <cell r="AK138" t="str">
            <v>x</v>
          </cell>
          <cell r="AL138">
            <v>10</v>
          </cell>
          <cell r="AM138">
            <v>0</v>
          </cell>
          <cell r="AN138">
            <v>1</v>
          </cell>
          <cell r="AO138">
            <v>0</v>
          </cell>
          <cell r="AP138">
            <v>0</v>
          </cell>
          <cell r="AQ138">
            <v>0</v>
          </cell>
          <cell r="AR138">
            <v>10</v>
          </cell>
          <cell r="AS138" t="str">
            <v>Casual Labour</v>
          </cell>
          <cell r="AV138">
            <v>120</v>
          </cell>
          <cell r="AW138">
            <v>25</v>
          </cell>
          <cell r="AX138">
            <v>30</v>
          </cell>
          <cell r="AY138">
            <v>20</v>
          </cell>
          <cell r="AZ138">
            <v>0.625</v>
          </cell>
        </row>
        <row r="139">
          <cell r="B139">
            <v>2146</v>
          </cell>
          <cell r="C139" t="str">
            <v>Said Mohamed Rashid  Al Abrawi</v>
          </cell>
          <cell r="D139">
            <v>39711</v>
          </cell>
          <cell r="E139">
            <v>39796</v>
          </cell>
          <cell r="F139" t="str">
            <v>x</v>
          </cell>
          <cell r="G139" t="str">
            <v>x</v>
          </cell>
          <cell r="H139" t="str">
            <v>x</v>
          </cell>
          <cell r="I139" t="str">
            <v>x</v>
          </cell>
          <cell r="J139" t="str">
            <v>x</v>
          </cell>
          <cell r="K139" t="str">
            <v>x</v>
          </cell>
          <cell r="L139" t="str">
            <v>x</v>
          </cell>
          <cell r="M139" t="str">
            <v>x</v>
          </cell>
          <cell r="N139" t="str">
            <v>x</v>
          </cell>
          <cell r="O139" t="str">
            <v>x</v>
          </cell>
          <cell r="P139" t="str">
            <v>x</v>
          </cell>
          <cell r="Q139" t="str">
            <v>x</v>
          </cell>
          <cell r="R139" t="str">
            <v>x</v>
          </cell>
          <cell r="S139" t="str">
            <v>x</v>
          </cell>
          <cell r="T139" t="str">
            <v>x</v>
          </cell>
          <cell r="U139" t="str">
            <v>x</v>
          </cell>
          <cell r="V139" t="str">
            <v>x</v>
          </cell>
          <cell r="W139" t="str">
            <v>x</v>
          </cell>
          <cell r="X139" t="str">
            <v>x</v>
          </cell>
          <cell r="Y139">
            <v>0</v>
          </cell>
          <cell r="Z139">
            <v>0</v>
          </cell>
          <cell r="AA139">
            <v>0</v>
          </cell>
          <cell r="AB139">
            <v>0</v>
          </cell>
          <cell r="AC139">
            <v>0</v>
          </cell>
          <cell r="AD139">
            <v>0</v>
          </cell>
          <cell r="AE139">
            <v>0</v>
          </cell>
          <cell r="AF139">
            <v>0</v>
          </cell>
          <cell r="AG139">
            <v>0</v>
          </cell>
          <cell r="AH139">
            <v>0</v>
          </cell>
          <cell r="AI139" t="str">
            <v>L</v>
          </cell>
          <cell r="AJ139" t="str">
            <v>x</v>
          </cell>
          <cell r="AK139" t="str">
            <v>x</v>
          </cell>
          <cell r="AL139">
            <v>10</v>
          </cell>
          <cell r="AM139">
            <v>0</v>
          </cell>
          <cell r="AN139">
            <v>1</v>
          </cell>
          <cell r="AO139">
            <v>0</v>
          </cell>
          <cell r="AP139">
            <v>0</v>
          </cell>
          <cell r="AQ139">
            <v>0</v>
          </cell>
          <cell r="AR139">
            <v>10</v>
          </cell>
          <cell r="AS139" t="str">
            <v>Casual Labour</v>
          </cell>
          <cell r="AV139">
            <v>120</v>
          </cell>
          <cell r="AW139">
            <v>25</v>
          </cell>
          <cell r="AX139">
            <v>30</v>
          </cell>
          <cell r="AY139">
            <v>20</v>
          </cell>
          <cell r="AZ139">
            <v>0.625</v>
          </cell>
        </row>
        <row r="140">
          <cell r="B140">
            <v>2147</v>
          </cell>
          <cell r="C140" t="str">
            <v>Bader Khatim Al Abarwi</v>
          </cell>
          <cell r="D140">
            <v>39711</v>
          </cell>
          <cell r="E140">
            <v>39796</v>
          </cell>
          <cell r="F140" t="str">
            <v>x</v>
          </cell>
          <cell r="G140" t="str">
            <v>x</v>
          </cell>
          <cell r="H140" t="str">
            <v>x</v>
          </cell>
          <cell r="I140" t="str">
            <v>x</v>
          </cell>
          <cell r="J140" t="str">
            <v>x</v>
          </cell>
          <cell r="K140" t="str">
            <v>x</v>
          </cell>
          <cell r="L140" t="str">
            <v>x</v>
          </cell>
          <cell r="M140" t="str">
            <v>x</v>
          </cell>
          <cell r="N140" t="str">
            <v>x</v>
          </cell>
          <cell r="O140" t="str">
            <v>x</v>
          </cell>
          <cell r="P140" t="str">
            <v>x</v>
          </cell>
          <cell r="Q140" t="str">
            <v>x</v>
          </cell>
          <cell r="R140" t="str">
            <v>x</v>
          </cell>
          <cell r="S140" t="str">
            <v>x</v>
          </cell>
          <cell r="T140" t="str">
            <v>x</v>
          </cell>
          <cell r="U140" t="str">
            <v>x</v>
          </cell>
          <cell r="V140" t="str">
            <v>x</v>
          </cell>
          <cell r="W140" t="str">
            <v>x</v>
          </cell>
          <cell r="X140" t="str">
            <v>x</v>
          </cell>
          <cell r="Y140">
            <v>0</v>
          </cell>
          <cell r="Z140">
            <v>0</v>
          </cell>
          <cell r="AA140">
            <v>0</v>
          </cell>
          <cell r="AB140">
            <v>0</v>
          </cell>
          <cell r="AC140">
            <v>0</v>
          </cell>
          <cell r="AD140">
            <v>0</v>
          </cell>
          <cell r="AE140">
            <v>0</v>
          </cell>
          <cell r="AF140">
            <v>0</v>
          </cell>
          <cell r="AG140">
            <v>0</v>
          </cell>
          <cell r="AH140">
            <v>0</v>
          </cell>
          <cell r="AI140" t="str">
            <v>L</v>
          </cell>
          <cell r="AJ140" t="str">
            <v>x</v>
          </cell>
          <cell r="AK140" t="str">
            <v>x</v>
          </cell>
          <cell r="AL140">
            <v>10</v>
          </cell>
          <cell r="AM140">
            <v>0</v>
          </cell>
          <cell r="AN140">
            <v>1</v>
          </cell>
          <cell r="AO140">
            <v>0</v>
          </cell>
          <cell r="AP140">
            <v>0</v>
          </cell>
          <cell r="AQ140">
            <v>0</v>
          </cell>
          <cell r="AR140">
            <v>10</v>
          </cell>
          <cell r="AS140" t="str">
            <v>Casual Labour</v>
          </cell>
          <cell r="AV140">
            <v>120</v>
          </cell>
          <cell r="AW140">
            <v>25</v>
          </cell>
          <cell r="AX140">
            <v>30</v>
          </cell>
          <cell r="AY140">
            <v>20</v>
          </cell>
          <cell r="AZ140">
            <v>0.625</v>
          </cell>
        </row>
        <row r="141">
          <cell r="B141">
            <v>2148</v>
          </cell>
          <cell r="C141" t="str">
            <v>Mohameed Ali Hamood Al Bahri</v>
          </cell>
          <cell r="D141">
            <v>39711</v>
          </cell>
          <cell r="E141">
            <v>39796</v>
          </cell>
          <cell r="F141" t="str">
            <v>x</v>
          </cell>
          <cell r="G141" t="str">
            <v>x</v>
          </cell>
          <cell r="H141" t="str">
            <v>x</v>
          </cell>
          <cell r="I141" t="str">
            <v>x</v>
          </cell>
          <cell r="J141" t="str">
            <v>x</v>
          </cell>
          <cell r="K141" t="str">
            <v>x</v>
          </cell>
          <cell r="L141" t="str">
            <v>x</v>
          </cell>
          <cell r="M141" t="str">
            <v>x</v>
          </cell>
          <cell r="N141" t="str">
            <v>x</v>
          </cell>
          <cell r="O141" t="str">
            <v>x</v>
          </cell>
          <cell r="P141" t="str">
            <v>x</v>
          </cell>
          <cell r="Q141" t="str">
            <v>x</v>
          </cell>
          <cell r="R141" t="str">
            <v>x</v>
          </cell>
          <cell r="S141" t="str">
            <v>x</v>
          </cell>
          <cell r="T141" t="str">
            <v>x</v>
          </cell>
          <cell r="U141" t="str">
            <v>x</v>
          </cell>
          <cell r="V141" t="str">
            <v>x</v>
          </cell>
          <cell r="W141" t="str">
            <v>x</v>
          </cell>
          <cell r="X141" t="str">
            <v>x</v>
          </cell>
          <cell r="Y141">
            <v>0</v>
          </cell>
          <cell r="Z141">
            <v>0</v>
          </cell>
          <cell r="AA141">
            <v>7</v>
          </cell>
          <cell r="AB141">
            <v>0</v>
          </cell>
          <cell r="AC141">
            <v>0</v>
          </cell>
          <cell r="AD141">
            <v>0</v>
          </cell>
          <cell r="AE141">
            <v>0</v>
          </cell>
          <cell r="AF141">
            <v>0</v>
          </cell>
          <cell r="AG141">
            <v>0</v>
          </cell>
          <cell r="AH141" t="str">
            <v>x</v>
          </cell>
          <cell r="AI141" t="str">
            <v>x</v>
          </cell>
          <cell r="AJ141" t="str">
            <v>x</v>
          </cell>
          <cell r="AK141" t="str">
            <v>x</v>
          </cell>
          <cell r="AL141">
            <v>9</v>
          </cell>
          <cell r="AM141">
            <v>0</v>
          </cell>
          <cell r="AN141">
            <v>0</v>
          </cell>
          <cell r="AO141">
            <v>7</v>
          </cell>
          <cell r="AP141">
            <v>0</v>
          </cell>
          <cell r="AQ141">
            <v>0</v>
          </cell>
          <cell r="AR141">
            <v>9</v>
          </cell>
          <cell r="AS141" t="str">
            <v>Casual Labour</v>
          </cell>
          <cell r="AV141">
            <v>120</v>
          </cell>
          <cell r="AW141">
            <v>25</v>
          </cell>
          <cell r="AX141">
            <v>30</v>
          </cell>
          <cell r="AY141">
            <v>20</v>
          </cell>
          <cell r="AZ141">
            <v>0.625</v>
          </cell>
        </row>
        <row r="142">
          <cell r="B142">
            <v>2149</v>
          </cell>
          <cell r="C142" t="str">
            <v>Hamed Nasser Ali Al Ghafri</v>
          </cell>
          <cell r="D142">
            <v>39712</v>
          </cell>
          <cell r="E142">
            <v>39797</v>
          </cell>
          <cell r="F142" t="str">
            <v>x</v>
          </cell>
          <cell r="G142" t="str">
            <v>x</v>
          </cell>
          <cell r="H142" t="str">
            <v>x</v>
          </cell>
          <cell r="I142" t="str">
            <v>x</v>
          </cell>
          <cell r="J142" t="str">
            <v>x</v>
          </cell>
          <cell r="K142" t="str">
            <v>x</v>
          </cell>
          <cell r="L142" t="str">
            <v>x</v>
          </cell>
          <cell r="M142" t="str">
            <v>x</v>
          </cell>
          <cell r="N142" t="str">
            <v>x</v>
          </cell>
          <cell r="O142" t="str">
            <v>x</v>
          </cell>
          <cell r="P142" t="str">
            <v>x</v>
          </cell>
          <cell r="Q142" t="str">
            <v>x</v>
          </cell>
          <cell r="R142" t="str">
            <v>x</v>
          </cell>
          <cell r="S142" t="str">
            <v>x</v>
          </cell>
          <cell r="T142" t="str">
            <v>x</v>
          </cell>
          <cell r="U142" t="str">
            <v>x</v>
          </cell>
          <cell r="V142" t="str">
            <v>x</v>
          </cell>
          <cell r="W142" t="str">
            <v>x</v>
          </cell>
          <cell r="X142" t="str">
            <v>x</v>
          </cell>
          <cell r="Y142" t="str">
            <v>x</v>
          </cell>
          <cell r="Z142">
            <v>0</v>
          </cell>
          <cell r="AA142">
            <v>7</v>
          </cell>
          <cell r="AB142">
            <v>0</v>
          </cell>
          <cell r="AC142">
            <v>0</v>
          </cell>
          <cell r="AD142">
            <v>0</v>
          </cell>
          <cell r="AE142">
            <v>0</v>
          </cell>
          <cell r="AF142">
            <v>0</v>
          </cell>
          <cell r="AG142">
            <v>0</v>
          </cell>
          <cell r="AH142">
            <v>0</v>
          </cell>
          <cell r="AI142" t="str">
            <v>L</v>
          </cell>
          <cell r="AJ142" t="str">
            <v>x</v>
          </cell>
          <cell r="AK142" t="str">
            <v>x</v>
          </cell>
          <cell r="AL142">
            <v>9</v>
          </cell>
          <cell r="AM142">
            <v>0</v>
          </cell>
          <cell r="AN142">
            <v>1</v>
          </cell>
          <cell r="AO142">
            <v>7</v>
          </cell>
          <cell r="AP142">
            <v>0</v>
          </cell>
          <cell r="AQ142">
            <v>0</v>
          </cell>
          <cell r="AR142">
            <v>9</v>
          </cell>
          <cell r="AS142" t="str">
            <v>Casual Labour</v>
          </cell>
          <cell r="AV142">
            <v>120</v>
          </cell>
          <cell r="AW142">
            <v>25</v>
          </cell>
          <cell r="AX142">
            <v>30</v>
          </cell>
          <cell r="AY142">
            <v>20</v>
          </cell>
          <cell r="AZ142">
            <v>0.625</v>
          </cell>
        </row>
        <row r="143">
          <cell r="B143">
            <v>2150</v>
          </cell>
          <cell r="C143" t="str">
            <v>Ahmed Hamood Saif Al Hina'i</v>
          </cell>
          <cell r="D143">
            <v>39712</v>
          </cell>
          <cell r="E143">
            <v>39797</v>
          </cell>
          <cell r="F143" t="str">
            <v>x</v>
          </cell>
          <cell r="G143" t="str">
            <v>x</v>
          </cell>
          <cell r="H143" t="str">
            <v>x</v>
          </cell>
          <cell r="I143" t="str">
            <v>x</v>
          </cell>
          <cell r="J143" t="str">
            <v>x</v>
          </cell>
          <cell r="K143" t="str">
            <v>x</v>
          </cell>
          <cell r="L143" t="str">
            <v>x</v>
          </cell>
          <cell r="M143" t="str">
            <v>x</v>
          </cell>
          <cell r="N143" t="str">
            <v>x</v>
          </cell>
          <cell r="O143" t="str">
            <v>x</v>
          </cell>
          <cell r="P143" t="str">
            <v>x</v>
          </cell>
          <cell r="Q143" t="str">
            <v>x</v>
          </cell>
          <cell r="R143" t="str">
            <v>x</v>
          </cell>
          <cell r="S143" t="str">
            <v>x</v>
          </cell>
          <cell r="T143" t="str">
            <v>x</v>
          </cell>
          <cell r="U143" t="str">
            <v>x</v>
          </cell>
          <cell r="V143" t="str">
            <v>x</v>
          </cell>
          <cell r="W143" t="str">
            <v>x</v>
          </cell>
          <cell r="X143" t="str">
            <v>x</v>
          </cell>
          <cell r="Y143" t="str">
            <v>x</v>
          </cell>
          <cell r="Z143">
            <v>16</v>
          </cell>
          <cell r="AA143">
            <v>12</v>
          </cell>
          <cell r="AB143">
            <v>12</v>
          </cell>
          <cell r="AC143">
            <v>8</v>
          </cell>
          <cell r="AD143">
            <v>8</v>
          </cell>
          <cell r="AE143">
            <v>8.5</v>
          </cell>
          <cell r="AF143">
            <v>8.5</v>
          </cell>
          <cell r="AG143">
            <v>8.5</v>
          </cell>
          <cell r="AH143">
            <v>0</v>
          </cell>
          <cell r="AI143" t="str">
            <v>L</v>
          </cell>
          <cell r="AJ143" t="str">
            <v>x</v>
          </cell>
          <cell r="AK143" t="str">
            <v>x</v>
          </cell>
          <cell r="AL143">
            <v>9</v>
          </cell>
          <cell r="AM143">
            <v>0</v>
          </cell>
          <cell r="AN143">
            <v>1</v>
          </cell>
          <cell r="AO143">
            <v>81.5</v>
          </cell>
          <cell r="AP143">
            <v>0</v>
          </cell>
          <cell r="AQ143">
            <v>0</v>
          </cell>
          <cell r="AR143">
            <v>9</v>
          </cell>
          <cell r="AS143" t="str">
            <v>Casual Labour</v>
          </cell>
          <cell r="AV143">
            <v>120</v>
          </cell>
          <cell r="AW143">
            <v>25</v>
          </cell>
          <cell r="AX143">
            <v>30</v>
          </cell>
          <cell r="AY143">
            <v>20</v>
          </cell>
          <cell r="AZ143">
            <v>0.625</v>
          </cell>
        </row>
        <row r="144">
          <cell r="B144">
            <v>2151</v>
          </cell>
          <cell r="C144" t="str">
            <v>Wahid Mohamed Sulayem Al Hashmi</v>
          </cell>
          <cell r="D144">
            <v>39712</v>
          </cell>
          <cell r="E144">
            <v>39797</v>
          </cell>
          <cell r="F144" t="str">
            <v>x</v>
          </cell>
          <cell r="G144" t="str">
            <v>x</v>
          </cell>
          <cell r="H144" t="str">
            <v>x</v>
          </cell>
          <cell r="I144" t="str">
            <v>x</v>
          </cell>
          <cell r="J144" t="str">
            <v>x</v>
          </cell>
          <cell r="K144" t="str">
            <v>x</v>
          </cell>
          <cell r="L144" t="str">
            <v>x</v>
          </cell>
          <cell r="M144" t="str">
            <v>x</v>
          </cell>
          <cell r="N144" t="str">
            <v>x</v>
          </cell>
          <cell r="O144" t="str">
            <v>x</v>
          </cell>
          <cell r="P144" t="str">
            <v>x</v>
          </cell>
          <cell r="Q144" t="str">
            <v>x</v>
          </cell>
          <cell r="R144" t="str">
            <v>x</v>
          </cell>
          <cell r="S144" t="str">
            <v>x</v>
          </cell>
          <cell r="T144" t="str">
            <v>x</v>
          </cell>
          <cell r="U144" t="str">
            <v>x</v>
          </cell>
          <cell r="V144" t="str">
            <v>x</v>
          </cell>
          <cell r="W144" t="str">
            <v>x</v>
          </cell>
          <cell r="X144" t="str">
            <v>x</v>
          </cell>
          <cell r="Y144" t="str">
            <v>x</v>
          </cell>
          <cell r="Z144">
            <v>0</v>
          </cell>
          <cell r="AA144">
            <v>0</v>
          </cell>
          <cell r="AB144">
            <v>0</v>
          </cell>
          <cell r="AC144">
            <v>0</v>
          </cell>
          <cell r="AD144">
            <v>0</v>
          </cell>
          <cell r="AE144">
            <v>0</v>
          </cell>
          <cell r="AF144">
            <v>0</v>
          </cell>
          <cell r="AG144">
            <v>0</v>
          </cell>
          <cell r="AH144">
            <v>0</v>
          </cell>
          <cell r="AI144" t="str">
            <v>L</v>
          </cell>
          <cell r="AJ144" t="str">
            <v>x</v>
          </cell>
          <cell r="AK144" t="str">
            <v>x</v>
          </cell>
          <cell r="AL144">
            <v>9</v>
          </cell>
          <cell r="AM144">
            <v>0</v>
          </cell>
          <cell r="AN144">
            <v>1</v>
          </cell>
          <cell r="AO144">
            <v>0</v>
          </cell>
          <cell r="AP144">
            <v>0</v>
          </cell>
          <cell r="AQ144">
            <v>0</v>
          </cell>
          <cell r="AR144">
            <v>9</v>
          </cell>
          <cell r="AS144" t="str">
            <v>Casual Labour</v>
          </cell>
          <cell r="AV144">
            <v>120</v>
          </cell>
          <cell r="AW144">
            <v>25</v>
          </cell>
          <cell r="AX144">
            <v>30</v>
          </cell>
          <cell r="AY144">
            <v>20</v>
          </cell>
          <cell r="AZ144">
            <v>0.625</v>
          </cell>
        </row>
        <row r="145">
          <cell r="B145">
            <v>2152</v>
          </cell>
          <cell r="C145" t="str">
            <v>Walid Mohamed Saif Al Mahrooqi</v>
          </cell>
          <cell r="D145">
            <v>39717</v>
          </cell>
          <cell r="E145">
            <v>39802</v>
          </cell>
          <cell r="F145" t="str">
            <v>x</v>
          </cell>
          <cell r="G145" t="str">
            <v>x</v>
          </cell>
          <cell r="H145" t="str">
            <v>x</v>
          </cell>
          <cell r="I145" t="str">
            <v>x</v>
          </cell>
          <cell r="J145" t="str">
            <v>x</v>
          </cell>
          <cell r="K145" t="str">
            <v>x</v>
          </cell>
          <cell r="L145" t="str">
            <v>x</v>
          </cell>
          <cell r="M145" t="str">
            <v>x</v>
          </cell>
          <cell r="N145" t="str">
            <v>x</v>
          </cell>
          <cell r="O145" t="str">
            <v>x</v>
          </cell>
          <cell r="P145" t="str">
            <v>x</v>
          </cell>
          <cell r="Q145" t="str">
            <v>x</v>
          </cell>
          <cell r="R145" t="str">
            <v>x</v>
          </cell>
          <cell r="S145" t="str">
            <v>x</v>
          </cell>
          <cell r="T145" t="str">
            <v>x</v>
          </cell>
          <cell r="U145" t="str">
            <v>x</v>
          </cell>
          <cell r="V145" t="str">
            <v>x</v>
          </cell>
          <cell r="W145" t="str">
            <v>x</v>
          </cell>
          <cell r="X145" t="str">
            <v>x</v>
          </cell>
          <cell r="Y145" t="str">
            <v>x</v>
          </cell>
          <cell r="Z145" t="str">
            <v>x</v>
          </cell>
          <cell r="AA145" t="str">
            <v>x</v>
          </cell>
          <cell r="AB145" t="str">
            <v>x</v>
          </cell>
          <cell r="AC145" t="str">
            <v>x</v>
          </cell>
          <cell r="AD145" t="str">
            <v>x</v>
          </cell>
          <cell r="AE145">
            <v>0</v>
          </cell>
          <cell r="AF145">
            <v>0</v>
          </cell>
          <cell r="AG145">
            <v>0</v>
          </cell>
          <cell r="AH145">
            <v>0</v>
          </cell>
          <cell r="AI145" t="str">
            <v>L</v>
          </cell>
          <cell r="AJ145" t="str">
            <v>x</v>
          </cell>
          <cell r="AK145" t="str">
            <v>x</v>
          </cell>
          <cell r="AL145">
            <v>4</v>
          </cell>
          <cell r="AM145">
            <v>0</v>
          </cell>
          <cell r="AN145">
            <v>1</v>
          </cell>
          <cell r="AO145">
            <v>0</v>
          </cell>
          <cell r="AP145">
            <v>0</v>
          </cell>
          <cell r="AQ145">
            <v>0</v>
          </cell>
          <cell r="AR145">
            <v>4</v>
          </cell>
          <cell r="AS145" t="str">
            <v>Casual Labour</v>
          </cell>
          <cell r="AV145">
            <v>120</v>
          </cell>
          <cell r="AW145">
            <v>25</v>
          </cell>
          <cell r="AX145">
            <v>30</v>
          </cell>
          <cell r="AY145">
            <v>20</v>
          </cell>
          <cell r="AZ145">
            <v>0.625</v>
          </cell>
        </row>
        <row r="146">
          <cell r="B146">
            <v>2153</v>
          </cell>
          <cell r="C146" t="str">
            <v>Hilal Salah Rashid Al Nasri</v>
          </cell>
          <cell r="D146">
            <v>39717</v>
          </cell>
          <cell r="E146">
            <v>39802</v>
          </cell>
          <cell r="F146" t="str">
            <v>x</v>
          </cell>
          <cell r="G146" t="str">
            <v>x</v>
          </cell>
          <cell r="H146" t="str">
            <v>x</v>
          </cell>
          <cell r="I146" t="str">
            <v>x</v>
          </cell>
          <cell r="J146" t="str">
            <v>x</v>
          </cell>
          <cell r="K146" t="str">
            <v>x</v>
          </cell>
          <cell r="L146" t="str">
            <v>x</v>
          </cell>
          <cell r="M146" t="str">
            <v>x</v>
          </cell>
          <cell r="N146" t="str">
            <v>x</v>
          </cell>
          <cell r="O146" t="str">
            <v>x</v>
          </cell>
          <cell r="P146" t="str">
            <v>x</v>
          </cell>
          <cell r="Q146" t="str">
            <v>x</v>
          </cell>
          <cell r="R146" t="str">
            <v>x</v>
          </cell>
          <cell r="S146" t="str">
            <v>x</v>
          </cell>
          <cell r="T146" t="str">
            <v>x</v>
          </cell>
          <cell r="U146" t="str">
            <v>x</v>
          </cell>
          <cell r="V146" t="str">
            <v>x</v>
          </cell>
          <cell r="W146" t="str">
            <v>x</v>
          </cell>
          <cell r="X146" t="str">
            <v>x</v>
          </cell>
          <cell r="Y146" t="str">
            <v>x</v>
          </cell>
          <cell r="Z146" t="str">
            <v>x</v>
          </cell>
          <cell r="AA146" t="str">
            <v>x</v>
          </cell>
          <cell r="AB146" t="str">
            <v>x</v>
          </cell>
          <cell r="AC146" t="str">
            <v>x</v>
          </cell>
          <cell r="AD146" t="str">
            <v>x</v>
          </cell>
          <cell r="AE146">
            <v>0</v>
          </cell>
          <cell r="AF146">
            <v>0</v>
          </cell>
          <cell r="AG146">
            <v>0</v>
          </cell>
          <cell r="AH146">
            <v>0</v>
          </cell>
          <cell r="AI146" t="str">
            <v>L</v>
          </cell>
          <cell r="AJ146" t="str">
            <v>x</v>
          </cell>
          <cell r="AK146" t="str">
            <v>x</v>
          </cell>
          <cell r="AL146">
            <v>4</v>
          </cell>
          <cell r="AM146">
            <v>0</v>
          </cell>
          <cell r="AN146">
            <v>1</v>
          </cell>
          <cell r="AO146">
            <v>0</v>
          </cell>
          <cell r="AP146">
            <v>0</v>
          </cell>
          <cell r="AQ146">
            <v>0</v>
          </cell>
          <cell r="AR146">
            <v>4</v>
          </cell>
          <cell r="AS146" t="str">
            <v>Casual Labour</v>
          </cell>
          <cell r="AV146">
            <v>120</v>
          </cell>
          <cell r="AW146">
            <v>25</v>
          </cell>
          <cell r="AX146">
            <v>30</v>
          </cell>
          <cell r="AY146">
            <v>20</v>
          </cell>
          <cell r="AZ146">
            <v>0.625</v>
          </cell>
        </row>
        <row r="147">
          <cell r="B147">
            <v>2154</v>
          </cell>
          <cell r="C147" t="str">
            <v>Naif Ali Said Said Albusaidi</v>
          </cell>
          <cell r="D147">
            <v>39718</v>
          </cell>
          <cell r="E147">
            <v>39803</v>
          </cell>
          <cell r="F147" t="str">
            <v>x</v>
          </cell>
          <cell r="G147" t="str">
            <v>x</v>
          </cell>
          <cell r="H147" t="str">
            <v>x</v>
          </cell>
          <cell r="I147" t="str">
            <v>x</v>
          </cell>
          <cell r="J147" t="str">
            <v>x</v>
          </cell>
          <cell r="K147" t="str">
            <v>x</v>
          </cell>
          <cell r="L147" t="str">
            <v>x</v>
          </cell>
          <cell r="M147" t="str">
            <v>x</v>
          </cell>
          <cell r="N147" t="str">
            <v>x</v>
          </cell>
          <cell r="O147" t="str">
            <v>x</v>
          </cell>
          <cell r="P147" t="str">
            <v>x</v>
          </cell>
          <cell r="Q147" t="str">
            <v>x</v>
          </cell>
          <cell r="R147" t="str">
            <v>x</v>
          </cell>
          <cell r="S147" t="str">
            <v>x</v>
          </cell>
          <cell r="T147" t="str">
            <v>x</v>
          </cell>
          <cell r="U147" t="str">
            <v>x</v>
          </cell>
          <cell r="V147" t="str">
            <v>x</v>
          </cell>
          <cell r="W147" t="str">
            <v>x</v>
          </cell>
          <cell r="X147" t="str">
            <v>x</v>
          </cell>
          <cell r="Y147" t="str">
            <v>x</v>
          </cell>
          <cell r="Z147" t="str">
            <v>x</v>
          </cell>
          <cell r="AA147" t="str">
            <v>x</v>
          </cell>
          <cell r="AB147" t="str">
            <v>x</v>
          </cell>
          <cell r="AC147" t="str">
            <v>x</v>
          </cell>
          <cell r="AD147" t="str">
            <v>x</v>
          </cell>
          <cell r="AE147" t="str">
            <v>x</v>
          </cell>
          <cell r="AF147">
            <v>0</v>
          </cell>
          <cell r="AG147">
            <v>0</v>
          </cell>
          <cell r="AH147">
            <v>0</v>
          </cell>
          <cell r="AI147" t="str">
            <v>L</v>
          </cell>
          <cell r="AJ147" t="str">
            <v>x</v>
          </cell>
          <cell r="AK147" t="str">
            <v>x</v>
          </cell>
          <cell r="AL147">
            <v>3</v>
          </cell>
          <cell r="AM147">
            <v>0</v>
          </cell>
          <cell r="AN147">
            <v>1</v>
          </cell>
          <cell r="AO147">
            <v>0</v>
          </cell>
          <cell r="AP147">
            <v>0</v>
          </cell>
          <cell r="AQ147">
            <v>0</v>
          </cell>
          <cell r="AR147">
            <v>3</v>
          </cell>
          <cell r="AS147" t="str">
            <v>Casual Labour</v>
          </cell>
          <cell r="AV147">
            <v>120</v>
          </cell>
          <cell r="AW147">
            <v>25</v>
          </cell>
          <cell r="AX147">
            <v>30</v>
          </cell>
          <cell r="AY147">
            <v>20</v>
          </cell>
          <cell r="AZ147">
            <v>0.625</v>
          </cell>
        </row>
        <row r="148">
          <cell r="B148">
            <v>2155</v>
          </cell>
          <cell r="C148" t="str">
            <v>Mustafa Hamood Sif</v>
          </cell>
          <cell r="D148">
            <v>39718</v>
          </cell>
          <cell r="E148">
            <v>39803</v>
          </cell>
          <cell r="F148" t="str">
            <v>x</v>
          </cell>
          <cell r="G148" t="str">
            <v>x</v>
          </cell>
          <cell r="H148" t="str">
            <v>x</v>
          </cell>
          <cell r="I148" t="str">
            <v>x</v>
          </cell>
          <cell r="J148" t="str">
            <v>x</v>
          </cell>
          <cell r="K148" t="str">
            <v>x</v>
          </cell>
          <cell r="L148" t="str">
            <v>x</v>
          </cell>
          <cell r="M148" t="str">
            <v>x</v>
          </cell>
          <cell r="N148" t="str">
            <v>x</v>
          </cell>
          <cell r="O148" t="str">
            <v>x</v>
          </cell>
          <cell r="P148" t="str">
            <v>x</v>
          </cell>
          <cell r="Q148" t="str">
            <v>x</v>
          </cell>
          <cell r="R148" t="str">
            <v>x</v>
          </cell>
          <cell r="S148" t="str">
            <v>x</v>
          </cell>
          <cell r="T148" t="str">
            <v>x</v>
          </cell>
          <cell r="U148" t="str">
            <v>x</v>
          </cell>
          <cell r="V148" t="str">
            <v>x</v>
          </cell>
          <cell r="W148" t="str">
            <v>x</v>
          </cell>
          <cell r="X148" t="str">
            <v>x</v>
          </cell>
          <cell r="Y148" t="str">
            <v>x</v>
          </cell>
          <cell r="Z148" t="str">
            <v>x</v>
          </cell>
          <cell r="AA148" t="str">
            <v>x</v>
          </cell>
          <cell r="AB148" t="str">
            <v>x</v>
          </cell>
          <cell r="AC148" t="str">
            <v>x</v>
          </cell>
          <cell r="AD148" t="str">
            <v>x</v>
          </cell>
          <cell r="AE148" t="str">
            <v>x</v>
          </cell>
          <cell r="AF148">
            <v>0</v>
          </cell>
          <cell r="AG148">
            <v>4</v>
          </cell>
          <cell r="AH148">
            <v>0</v>
          </cell>
          <cell r="AI148" t="str">
            <v>L</v>
          </cell>
          <cell r="AJ148" t="str">
            <v>x</v>
          </cell>
          <cell r="AK148" t="str">
            <v>x</v>
          </cell>
          <cell r="AL148">
            <v>3</v>
          </cell>
          <cell r="AM148">
            <v>0</v>
          </cell>
          <cell r="AN148">
            <v>1</v>
          </cell>
          <cell r="AO148">
            <v>4</v>
          </cell>
          <cell r="AP148">
            <v>0</v>
          </cell>
          <cell r="AQ148">
            <v>0</v>
          </cell>
          <cell r="AR148">
            <v>3</v>
          </cell>
          <cell r="AS148" t="str">
            <v>Casual Labour</v>
          </cell>
          <cell r="AV148">
            <v>120</v>
          </cell>
          <cell r="AW148">
            <v>25</v>
          </cell>
          <cell r="AX148">
            <v>30</v>
          </cell>
          <cell r="AY148">
            <v>20</v>
          </cell>
          <cell r="AZ148">
            <v>0.625</v>
          </cell>
        </row>
        <row r="149">
          <cell r="B149">
            <v>2156</v>
          </cell>
          <cell r="C149" t="str">
            <v>Abdullah Muftah Obid Al Naimi</v>
          </cell>
          <cell r="D149">
            <v>39718</v>
          </cell>
          <cell r="E149">
            <v>39803</v>
          </cell>
          <cell r="F149" t="str">
            <v>x</v>
          </cell>
          <cell r="G149" t="str">
            <v>x</v>
          </cell>
          <cell r="H149" t="str">
            <v>x</v>
          </cell>
          <cell r="I149" t="str">
            <v>x</v>
          </cell>
          <cell r="J149" t="str">
            <v>x</v>
          </cell>
          <cell r="K149" t="str">
            <v>x</v>
          </cell>
          <cell r="L149" t="str">
            <v>x</v>
          </cell>
          <cell r="M149" t="str">
            <v>x</v>
          </cell>
          <cell r="N149" t="str">
            <v>x</v>
          </cell>
          <cell r="O149" t="str">
            <v>x</v>
          </cell>
          <cell r="P149" t="str">
            <v>x</v>
          </cell>
          <cell r="Q149" t="str">
            <v>x</v>
          </cell>
          <cell r="R149" t="str">
            <v>x</v>
          </cell>
          <cell r="S149" t="str">
            <v>x</v>
          </cell>
          <cell r="T149" t="str">
            <v>x</v>
          </cell>
          <cell r="U149" t="str">
            <v>x</v>
          </cell>
          <cell r="V149" t="str">
            <v>x</v>
          </cell>
          <cell r="W149" t="str">
            <v>x</v>
          </cell>
          <cell r="X149" t="str">
            <v>x</v>
          </cell>
          <cell r="Y149" t="str">
            <v>x</v>
          </cell>
          <cell r="Z149" t="str">
            <v>x</v>
          </cell>
          <cell r="AA149" t="str">
            <v>x</v>
          </cell>
          <cell r="AB149" t="str">
            <v>x</v>
          </cell>
          <cell r="AC149" t="str">
            <v>x</v>
          </cell>
          <cell r="AD149" t="str">
            <v>x</v>
          </cell>
          <cell r="AE149" t="str">
            <v>x</v>
          </cell>
          <cell r="AF149">
            <v>0</v>
          </cell>
          <cell r="AG149">
            <v>0</v>
          </cell>
          <cell r="AH149">
            <v>0</v>
          </cell>
          <cell r="AI149" t="str">
            <v>L</v>
          </cell>
          <cell r="AJ149" t="str">
            <v>x</v>
          </cell>
          <cell r="AK149" t="str">
            <v>x</v>
          </cell>
          <cell r="AL149">
            <v>3</v>
          </cell>
          <cell r="AM149">
            <v>0</v>
          </cell>
          <cell r="AN149">
            <v>1</v>
          </cell>
          <cell r="AO149">
            <v>0</v>
          </cell>
          <cell r="AP149">
            <v>0</v>
          </cell>
          <cell r="AQ149">
            <v>0</v>
          </cell>
          <cell r="AR149">
            <v>3</v>
          </cell>
          <cell r="AS149" t="str">
            <v>Casual Labour</v>
          </cell>
          <cell r="AV149">
            <v>120</v>
          </cell>
          <cell r="AW149">
            <v>25</v>
          </cell>
          <cell r="AX149">
            <v>30</v>
          </cell>
          <cell r="AY149">
            <v>20</v>
          </cell>
          <cell r="AZ149">
            <v>0.625</v>
          </cell>
        </row>
        <row r="150">
          <cell r="B150">
            <v>2157</v>
          </cell>
          <cell r="C150" t="str">
            <v>Mukhtar Ali Saif Al Nasri</v>
          </cell>
          <cell r="D150">
            <v>39718</v>
          </cell>
          <cell r="E150">
            <v>39803</v>
          </cell>
          <cell r="F150" t="str">
            <v>x</v>
          </cell>
          <cell r="G150" t="str">
            <v>x</v>
          </cell>
          <cell r="H150" t="str">
            <v>x</v>
          </cell>
          <cell r="I150" t="str">
            <v>x</v>
          </cell>
          <cell r="J150" t="str">
            <v>x</v>
          </cell>
          <cell r="K150" t="str">
            <v>x</v>
          </cell>
          <cell r="L150" t="str">
            <v>x</v>
          </cell>
          <cell r="M150" t="str">
            <v>x</v>
          </cell>
          <cell r="N150" t="str">
            <v>x</v>
          </cell>
          <cell r="O150" t="str">
            <v>x</v>
          </cell>
          <cell r="P150" t="str">
            <v>x</v>
          </cell>
          <cell r="Q150" t="str">
            <v>x</v>
          </cell>
          <cell r="R150" t="str">
            <v>x</v>
          </cell>
          <cell r="S150" t="str">
            <v>x</v>
          </cell>
          <cell r="T150" t="str">
            <v>x</v>
          </cell>
          <cell r="U150" t="str">
            <v>x</v>
          </cell>
          <cell r="V150" t="str">
            <v>x</v>
          </cell>
          <cell r="W150" t="str">
            <v>x</v>
          </cell>
          <cell r="X150" t="str">
            <v>x</v>
          </cell>
          <cell r="Y150" t="str">
            <v>x</v>
          </cell>
          <cell r="Z150" t="str">
            <v>x</v>
          </cell>
          <cell r="AA150" t="str">
            <v>x</v>
          </cell>
          <cell r="AB150" t="str">
            <v>x</v>
          </cell>
          <cell r="AC150" t="str">
            <v>x</v>
          </cell>
          <cell r="AD150" t="str">
            <v>x</v>
          </cell>
          <cell r="AE150" t="str">
            <v>x</v>
          </cell>
          <cell r="AF150">
            <v>0</v>
          </cell>
          <cell r="AG150">
            <v>0</v>
          </cell>
          <cell r="AH150">
            <v>0</v>
          </cell>
          <cell r="AI150" t="str">
            <v>L</v>
          </cell>
          <cell r="AJ150" t="str">
            <v>x</v>
          </cell>
          <cell r="AK150" t="str">
            <v>x</v>
          </cell>
          <cell r="AL150">
            <v>3</v>
          </cell>
          <cell r="AM150">
            <v>0</v>
          </cell>
          <cell r="AN150">
            <v>1</v>
          </cell>
          <cell r="AO150">
            <v>0</v>
          </cell>
          <cell r="AP150">
            <v>0</v>
          </cell>
          <cell r="AQ150">
            <v>0</v>
          </cell>
          <cell r="AR150">
            <v>3</v>
          </cell>
          <cell r="AS150" t="str">
            <v>Casual Labour</v>
          </cell>
          <cell r="AV150">
            <v>120</v>
          </cell>
          <cell r="AW150">
            <v>25</v>
          </cell>
          <cell r="AX150">
            <v>30</v>
          </cell>
          <cell r="AY150">
            <v>20</v>
          </cell>
          <cell r="AZ150">
            <v>0.625</v>
          </cell>
        </row>
        <row r="151">
          <cell r="B151">
            <v>2158</v>
          </cell>
          <cell r="C151" t="str">
            <v>Hamed Khalifa Said Al Nassri</v>
          </cell>
          <cell r="D151">
            <v>39718</v>
          </cell>
          <cell r="E151">
            <v>39803</v>
          </cell>
          <cell r="F151" t="str">
            <v>x</v>
          </cell>
          <cell r="G151" t="str">
            <v>x</v>
          </cell>
          <cell r="H151" t="str">
            <v>x</v>
          </cell>
          <cell r="I151" t="str">
            <v>x</v>
          </cell>
          <cell r="J151" t="str">
            <v>x</v>
          </cell>
          <cell r="K151" t="str">
            <v>x</v>
          </cell>
          <cell r="L151" t="str">
            <v>x</v>
          </cell>
          <cell r="M151" t="str">
            <v>x</v>
          </cell>
          <cell r="N151" t="str">
            <v>x</v>
          </cell>
          <cell r="O151" t="str">
            <v>x</v>
          </cell>
          <cell r="P151" t="str">
            <v>x</v>
          </cell>
          <cell r="Q151" t="str">
            <v>x</v>
          </cell>
          <cell r="R151" t="str">
            <v>x</v>
          </cell>
          <cell r="S151" t="str">
            <v>x</v>
          </cell>
          <cell r="T151" t="str">
            <v>x</v>
          </cell>
          <cell r="U151" t="str">
            <v>x</v>
          </cell>
          <cell r="V151" t="str">
            <v>x</v>
          </cell>
          <cell r="W151" t="str">
            <v>x</v>
          </cell>
          <cell r="X151" t="str">
            <v>x</v>
          </cell>
          <cell r="Y151" t="str">
            <v>x</v>
          </cell>
          <cell r="Z151" t="str">
            <v>x</v>
          </cell>
          <cell r="AA151" t="str">
            <v>x</v>
          </cell>
          <cell r="AB151" t="str">
            <v>x</v>
          </cell>
          <cell r="AC151" t="str">
            <v>x</v>
          </cell>
          <cell r="AD151" t="str">
            <v>x</v>
          </cell>
          <cell r="AE151" t="str">
            <v>x</v>
          </cell>
          <cell r="AF151">
            <v>0</v>
          </cell>
          <cell r="AG151">
            <v>0</v>
          </cell>
          <cell r="AH151">
            <v>0</v>
          </cell>
          <cell r="AI151" t="str">
            <v>L</v>
          </cell>
          <cell r="AJ151" t="str">
            <v>x</v>
          </cell>
          <cell r="AK151" t="str">
            <v>x</v>
          </cell>
          <cell r="AL151">
            <v>3</v>
          </cell>
          <cell r="AM151">
            <v>0</v>
          </cell>
          <cell r="AN151">
            <v>1</v>
          </cell>
          <cell r="AO151">
            <v>0</v>
          </cell>
          <cell r="AP151">
            <v>0</v>
          </cell>
          <cell r="AQ151">
            <v>0</v>
          </cell>
          <cell r="AR151">
            <v>3</v>
          </cell>
          <cell r="AS151" t="str">
            <v>Casual Labour</v>
          </cell>
          <cell r="AV151">
            <v>120</v>
          </cell>
          <cell r="AW151">
            <v>25</v>
          </cell>
          <cell r="AX151">
            <v>30</v>
          </cell>
          <cell r="AY151">
            <v>20</v>
          </cell>
          <cell r="AZ151">
            <v>0.625</v>
          </cell>
        </row>
        <row r="152">
          <cell r="AJ152" t="str">
            <v>x</v>
          </cell>
          <cell r="AK152" t="str">
            <v>x</v>
          </cell>
          <cell r="AL152">
            <v>0</v>
          </cell>
          <cell r="AM152">
            <v>0</v>
          </cell>
          <cell r="AN152">
            <v>0</v>
          </cell>
          <cell r="AO152">
            <v>0</v>
          </cell>
          <cell r="AP152">
            <v>0</v>
          </cell>
          <cell r="AQ152">
            <v>0</v>
          </cell>
          <cell r="AR152">
            <v>0</v>
          </cell>
          <cell r="AS152" t="str">
            <v>Casual Labour</v>
          </cell>
          <cell r="AV152">
            <v>120</v>
          </cell>
          <cell r="AW152">
            <v>25</v>
          </cell>
          <cell r="AX152">
            <v>30</v>
          </cell>
          <cell r="AY152">
            <v>20</v>
          </cell>
          <cell r="AZ152">
            <v>0.625</v>
          </cell>
        </row>
        <row r="153">
          <cell r="AZ153">
            <v>0</v>
          </cell>
        </row>
        <row r="154">
          <cell r="AZ154">
            <v>0</v>
          </cell>
        </row>
        <row r="155">
          <cell r="AZ155">
            <v>0</v>
          </cell>
        </row>
        <row r="156">
          <cell r="AZ156">
            <v>0</v>
          </cell>
        </row>
        <row r="157">
          <cell r="AZ157">
            <v>0</v>
          </cell>
        </row>
        <row r="158">
          <cell r="AZ158">
            <v>0</v>
          </cell>
        </row>
        <row r="159">
          <cell r="AZ159">
            <v>0</v>
          </cell>
        </row>
        <row r="160">
          <cell r="AZ160">
            <v>0</v>
          </cell>
        </row>
        <row r="161">
          <cell r="AZ161">
            <v>0</v>
          </cell>
        </row>
        <row r="162">
          <cell r="AZ162">
            <v>0</v>
          </cell>
        </row>
        <row r="163">
          <cell r="AZ163">
            <v>0</v>
          </cell>
        </row>
        <row r="164">
          <cell r="AZ164">
            <v>0</v>
          </cell>
        </row>
        <row r="165">
          <cell r="AZ165">
            <v>0</v>
          </cell>
        </row>
        <row r="166">
          <cell r="AZ166">
            <v>0</v>
          </cell>
        </row>
        <row r="167">
          <cell r="AZ167">
            <v>0</v>
          </cell>
        </row>
        <row r="168">
          <cell r="AZ168">
            <v>0</v>
          </cell>
        </row>
        <row r="169">
          <cell r="AZ169">
            <v>0</v>
          </cell>
        </row>
        <row r="170">
          <cell r="AZ170">
            <v>0</v>
          </cell>
        </row>
        <row r="171">
          <cell r="AZ171">
            <v>0</v>
          </cell>
        </row>
        <row r="172">
          <cell r="AZ172">
            <v>0</v>
          </cell>
        </row>
        <row r="173">
          <cell r="AZ173">
            <v>0</v>
          </cell>
        </row>
        <row r="174">
          <cell r="AZ174">
            <v>0</v>
          </cell>
        </row>
        <row r="175">
          <cell r="AZ175">
            <v>0</v>
          </cell>
        </row>
        <row r="176">
          <cell r="AZ176">
            <v>0</v>
          </cell>
        </row>
        <row r="177">
          <cell r="AZ177">
            <v>0</v>
          </cell>
        </row>
        <row r="178">
          <cell r="AZ178">
            <v>0</v>
          </cell>
        </row>
        <row r="179">
          <cell r="AZ179">
            <v>0</v>
          </cell>
        </row>
        <row r="180">
          <cell r="AZ180">
            <v>0</v>
          </cell>
        </row>
        <row r="181">
          <cell r="E181" t="str">
            <v/>
          </cell>
          <cell r="AZ181">
            <v>0</v>
          </cell>
        </row>
        <row r="182">
          <cell r="E182" t="str">
            <v/>
          </cell>
          <cell r="AZ182">
            <v>0</v>
          </cell>
        </row>
        <row r="183">
          <cell r="E183" t="str">
            <v/>
          </cell>
          <cell r="AZ183">
            <v>0</v>
          </cell>
        </row>
        <row r="184">
          <cell r="F184">
            <v>84</v>
          </cell>
          <cell r="G184">
            <v>83</v>
          </cell>
          <cell r="H184">
            <v>84</v>
          </cell>
          <cell r="I184">
            <v>82</v>
          </cell>
          <cell r="J184">
            <v>79</v>
          </cell>
          <cell r="K184">
            <v>80</v>
          </cell>
          <cell r="L184">
            <v>77</v>
          </cell>
          <cell r="M184">
            <v>77</v>
          </cell>
          <cell r="N184">
            <v>79</v>
          </cell>
          <cell r="O184">
            <v>77</v>
          </cell>
          <cell r="P184">
            <v>74</v>
          </cell>
          <cell r="Q184">
            <v>72</v>
          </cell>
          <cell r="R184">
            <v>84</v>
          </cell>
          <cell r="S184">
            <v>88</v>
          </cell>
          <cell r="T184">
            <v>91</v>
          </cell>
          <cell r="U184">
            <v>95</v>
          </cell>
          <cell r="V184">
            <v>93</v>
          </cell>
          <cell r="W184">
            <v>92</v>
          </cell>
          <cell r="X184">
            <v>88</v>
          </cell>
          <cell r="Y184">
            <v>94</v>
          </cell>
          <cell r="Z184">
            <v>95</v>
          </cell>
          <cell r="AA184">
            <v>91</v>
          </cell>
          <cell r="AB184">
            <v>91</v>
          </cell>
          <cell r="AC184">
            <v>91</v>
          </cell>
          <cell r="AD184">
            <v>91</v>
          </cell>
          <cell r="AE184">
            <v>91</v>
          </cell>
          <cell r="AF184">
            <v>80</v>
          </cell>
          <cell r="AG184">
            <v>79</v>
          </cell>
          <cell r="AH184">
            <v>78</v>
          </cell>
          <cell r="AI184">
            <v>3</v>
          </cell>
          <cell r="AJ184">
            <v>0</v>
          </cell>
          <cell r="AK184">
            <v>2</v>
          </cell>
          <cell r="AL184">
            <v>71</v>
          </cell>
          <cell r="AM184">
            <v>148</v>
          </cell>
          <cell r="AN184">
            <v>148</v>
          </cell>
          <cell r="AO184">
            <v>122</v>
          </cell>
          <cell r="AP184">
            <v>148</v>
          </cell>
          <cell r="AQ184">
            <v>148</v>
          </cell>
          <cell r="AR184">
            <v>71</v>
          </cell>
        </row>
      </sheetData>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me Sheet2"/>
      <sheetName val="Time Sheet"/>
      <sheetName val="Cas Daily Update"/>
      <sheetName val="Cas Daily Update (2)"/>
      <sheetName val="Base Camp Guard Payroll "/>
    </sheetNames>
    <sheetDataSet>
      <sheetData sheetId="0">
        <row r="11">
          <cell r="L11" t="str">
            <v>Casual Labour</v>
          </cell>
        </row>
        <row r="12">
          <cell r="L12" t="str">
            <v>Casual Light Duty Driver</v>
          </cell>
        </row>
        <row r="13">
          <cell r="L13" t="str">
            <v>Casual Heavy Duty Driver</v>
          </cell>
        </row>
        <row r="14">
          <cell r="L14" t="str">
            <v>Casual Welder</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s>
    <sheetDataSet>
      <sheetData sheetId="0"/>
      <sheetData sheetId="1">
        <row r="3">
          <cell r="C3" t="str">
            <v>Temporary Labour</v>
          </cell>
        </row>
        <row r="4">
          <cell r="C4" t="str">
            <v>Temporary Light Duty Driver</v>
          </cell>
        </row>
        <row r="5">
          <cell r="C5" t="str">
            <v>Temporary Heavy Duty Driver</v>
          </cell>
        </row>
      </sheetData>
      <sheetData sheetId="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w Payslip Jr."/>
      <sheetName val="New Payslip Sr."/>
      <sheetName val="PDO-Jr"/>
      <sheetName val="PDO-Sr"/>
      <sheetName val="Timesheet JR"/>
      <sheetName val="Timesheet Sr."/>
    </sheetNames>
    <sheetDataSet>
      <sheetData sheetId="0"/>
      <sheetData sheetId="1"/>
      <sheetData sheetId="2" refreshError="1">
        <row r="5">
          <cell r="B5">
            <v>1</v>
          </cell>
          <cell r="C5" t="str">
            <v>Saleem Huwaishal Mohamed Al Gharibi</v>
          </cell>
          <cell r="D5" t="str">
            <v>Vib Operator</v>
          </cell>
          <cell r="E5" t="str">
            <v>09.06.04</v>
          </cell>
          <cell r="F5">
            <v>2.7288461538461539</v>
          </cell>
          <cell r="G5">
            <v>1.7055288461538463</v>
          </cell>
          <cell r="H5">
            <v>34</v>
          </cell>
          <cell r="I5">
            <v>183</v>
          </cell>
          <cell r="K5">
            <v>23</v>
          </cell>
          <cell r="L5">
            <v>7</v>
          </cell>
          <cell r="M5">
            <v>0</v>
          </cell>
          <cell r="N5">
            <v>0</v>
          </cell>
          <cell r="O5">
            <v>30</v>
          </cell>
          <cell r="P5">
            <v>65</v>
          </cell>
          <cell r="Q5">
            <v>1.95</v>
          </cell>
          <cell r="R5">
            <v>236.5</v>
          </cell>
          <cell r="S5">
            <v>120</v>
          </cell>
          <cell r="T5">
            <v>2</v>
          </cell>
          <cell r="U5">
            <v>5</v>
          </cell>
          <cell r="V5">
            <v>4.5</v>
          </cell>
          <cell r="W5">
            <v>236.5</v>
          </cell>
          <cell r="X5">
            <v>120</v>
          </cell>
          <cell r="Y5">
            <v>2</v>
          </cell>
          <cell r="Z5">
            <v>5</v>
          </cell>
          <cell r="AA5">
            <v>312.11177884615387</v>
          </cell>
          <cell r="AB5">
            <v>103.5</v>
          </cell>
          <cell r="AD5">
            <v>92.780769230769238</v>
          </cell>
          <cell r="AH5">
            <v>0</v>
          </cell>
          <cell r="AI5">
            <v>0</v>
          </cell>
          <cell r="AJ5">
            <v>0</v>
          </cell>
          <cell r="AK5">
            <v>0</v>
          </cell>
          <cell r="AL5">
            <v>0</v>
          </cell>
          <cell r="AM5">
            <v>278.34230769230771</v>
          </cell>
          <cell r="AN5">
            <v>27</v>
          </cell>
          <cell r="AP5">
            <v>123</v>
          </cell>
          <cell r="AQ5">
            <v>1300.2348557692308</v>
          </cell>
          <cell r="AR5">
            <v>15.3725</v>
          </cell>
          <cell r="AT5">
            <v>15.3725</v>
          </cell>
          <cell r="AU5">
            <v>1284.8623557692308</v>
          </cell>
          <cell r="AX5">
            <v>1</v>
          </cell>
          <cell r="AZ5" t="str">
            <v>Saleem Huwaishal Mohamed Al Gharibi</v>
          </cell>
          <cell r="BA5" t="str">
            <v>052-137470081019</v>
          </cell>
          <cell r="BB5" t="str">
            <v>Bank Muscat</v>
          </cell>
          <cell r="BC5" t="str">
            <v>Hamra</v>
          </cell>
          <cell r="BD5">
            <v>1284.8623557692308</v>
          </cell>
        </row>
        <row r="6">
          <cell r="B6">
            <v>2</v>
          </cell>
          <cell r="C6" t="str">
            <v>Bati Marzouq Khamis Al Yaqoubi</v>
          </cell>
          <cell r="D6" t="str">
            <v>Heavy Duty Drv / W.T</v>
          </cell>
          <cell r="E6" t="str">
            <v>07.06.04</v>
          </cell>
          <cell r="F6">
            <v>2.7451153846153846</v>
          </cell>
          <cell r="G6">
            <v>1.7156971153846154</v>
          </cell>
          <cell r="H6">
            <v>24</v>
          </cell>
          <cell r="I6">
            <v>56</v>
          </cell>
          <cell r="K6">
            <v>16</v>
          </cell>
          <cell r="L6">
            <v>14</v>
          </cell>
          <cell r="M6">
            <v>0</v>
          </cell>
          <cell r="N6">
            <v>0</v>
          </cell>
          <cell r="O6">
            <v>30</v>
          </cell>
          <cell r="P6">
            <v>85</v>
          </cell>
          <cell r="Q6">
            <v>2.5499999999999998</v>
          </cell>
          <cell r="R6">
            <v>237.91</v>
          </cell>
          <cell r="S6">
            <v>120</v>
          </cell>
          <cell r="T6">
            <v>2</v>
          </cell>
          <cell r="U6">
            <v>5</v>
          </cell>
          <cell r="V6">
            <v>4.5</v>
          </cell>
          <cell r="W6">
            <v>237.91</v>
          </cell>
          <cell r="X6">
            <v>120</v>
          </cell>
          <cell r="Y6">
            <v>2</v>
          </cell>
          <cell r="Z6">
            <v>5</v>
          </cell>
          <cell r="AA6">
            <v>96.07903846153846</v>
          </cell>
          <cell r="AB6">
            <v>72</v>
          </cell>
          <cell r="AD6">
            <v>65.882769230769227</v>
          </cell>
          <cell r="AH6">
            <v>0</v>
          </cell>
          <cell r="AI6">
            <v>0</v>
          </cell>
          <cell r="AJ6">
            <v>0</v>
          </cell>
          <cell r="AK6">
            <v>0</v>
          </cell>
          <cell r="AL6">
            <v>0</v>
          </cell>
          <cell r="AM6">
            <v>197.6483076923077</v>
          </cell>
          <cell r="AN6">
            <v>27</v>
          </cell>
          <cell r="AP6">
            <v>124.755</v>
          </cell>
          <cell r="AQ6">
            <v>948.27511538461533</v>
          </cell>
          <cell r="AR6">
            <v>15.46415</v>
          </cell>
          <cell r="AT6">
            <v>15.46415</v>
          </cell>
          <cell r="AU6">
            <v>932.81096538461532</v>
          </cell>
          <cell r="AX6">
            <v>2</v>
          </cell>
          <cell r="AZ6" t="str">
            <v>Bati Marzouq Khamis Al Yaqoubi</v>
          </cell>
          <cell r="BA6" t="str">
            <v>0141104402900</v>
          </cell>
          <cell r="BB6" t="str">
            <v>Bank Dhofar</v>
          </cell>
          <cell r="BC6" t="str">
            <v>Ibri</v>
          </cell>
          <cell r="BD6">
            <v>932.81096538461532</v>
          </cell>
        </row>
        <row r="7">
          <cell r="B7">
            <v>4</v>
          </cell>
          <cell r="C7" t="str">
            <v>Hassan Salman Salim Al Hinai</v>
          </cell>
          <cell r="D7" t="str">
            <v>Vib Operator</v>
          </cell>
          <cell r="E7" t="str">
            <v>07.06.04</v>
          </cell>
          <cell r="F7">
            <v>2.8049999999999997</v>
          </cell>
          <cell r="G7">
            <v>1.7531249999999998</v>
          </cell>
          <cell r="H7">
            <v>34</v>
          </cell>
          <cell r="I7">
            <v>95</v>
          </cell>
          <cell r="K7">
            <v>14</v>
          </cell>
          <cell r="L7">
            <v>14</v>
          </cell>
          <cell r="M7">
            <v>0</v>
          </cell>
          <cell r="N7">
            <v>2</v>
          </cell>
          <cell r="O7">
            <v>28</v>
          </cell>
          <cell r="P7">
            <v>64</v>
          </cell>
          <cell r="Q7">
            <v>1.92</v>
          </cell>
          <cell r="R7">
            <v>243.1</v>
          </cell>
          <cell r="S7">
            <v>120</v>
          </cell>
          <cell r="T7">
            <v>2</v>
          </cell>
          <cell r="U7">
            <v>5</v>
          </cell>
          <cell r="V7">
            <v>4.5</v>
          </cell>
          <cell r="W7">
            <v>226.89333333333335</v>
          </cell>
          <cell r="X7">
            <v>112</v>
          </cell>
          <cell r="Y7">
            <v>1.8666666666666667</v>
          </cell>
          <cell r="Z7">
            <v>4.6666666666666661</v>
          </cell>
          <cell r="AA7">
            <v>166.54687499999997</v>
          </cell>
          <cell r="AB7">
            <v>63</v>
          </cell>
          <cell r="AD7">
            <v>95.36999999999999</v>
          </cell>
          <cell r="AH7">
            <v>0</v>
          </cell>
          <cell r="AI7">
            <v>0</v>
          </cell>
          <cell r="AJ7">
            <v>0</v>
          </cell>
          <cell r="AK7">
            <v>0</v>
          </cell>
          <cell r="AL7">
            <v>0</v>
          </cell>
          <cell r="AM7">
            <v>0</v>
          </cell>
          <cell r="AN7">
            <v>0</v>
          </cell>
          <cell r="AP7">
            <v>0</v>
          </cell>
          <cell r="AQ7">
            <v>670.34354166666662</v>
          </cell>
          <cell r="AR7">
            <v>15.801500000000001</v>
          </cell>
          <cell r="AT7">
            <v>15.801500000000001</v>
          </cell>
          <cell r="AU7">
            <v>654.54204166666659</v>
          </cell>
          <cell r="AX7">
            <v>4</v>
          </cell>
          <cell r="AZ7" t="str">
            <v>Hassan Salman Salim Al Hinai</v>
          </cell>
          <cell r="BA7" t="str">
            <v>52162170081014</v>
          </cell>
          <cell r="BB7" t="str">
            <v>Bank Muscat</v>
          </cell>
          <cell r="BC7" t="str">
            <v>Al Hamra</v>
          </cell>
          <cell r="BD7">
            <v>654.54204166666659</v>
          </cell>
        </row>
        <row r="8">
          <cell r="B8">
            <v>5</v>
          </cell>
          <cell r="C8" t="str">
            <v>Yaqoub Khamis Humaid Al Ghafri</v>
          </cell>
          <cell r="D8" t="str">
            <v>Heavy Duty Driver</v>
          </cell>
          <cell r="E8" t="str">
            <v>07.06.04</v>
          </cell>
          <cell r="F8">
            <v>2.6697692307692309</v>
          </cell>
          <cell r="G8">
            <v>1.6686057692307692</v>
          </cell>
          <cell r="H8">
            <v>0</v>
          </cell>
          <cell r="I8">
            <v>0</v>
          </cell>
          <cell r="K8">
            <v>0</v>
          </cell>
          <cell r="L8">
            <v>0</v>
          </cell>
          <cell r="M8">
            <v>0</v>
          </cell>
          <cell r="N8">
            <v>30</v>
          </cell>
          <cell r="O8">
            <v>0</v>
          </cell>
          <cell r="P8">
            <v>62</v>
          </cell>
          <cell r="Q8">
            <v>1.8599999999999999</v>
          </cell>
          <cell r="R8">
            <v>231.38</v>
          </cell>
          <cell r="S8">
            <v>120</v>
          </cell>
          <cell r="T8">
            <v>2</v>
          </cell>
          <cell r="U8">
            <v>5</v>
          </cell>
          <cell r="V8">
            <v>4.5</v>
          </cell>
          <cell r="W8">
            <v>0</v>
          </cell>
          <cell r="X8">
            <v>0</v>
          </cell>
          <cell r="Y8">
            <v>0</v>
          </cell>
          <cell r="Z8">
            <v>0</v>
          </cell>
          <cell r="AA8">
            <v>0</v>
          </cell>
          <cell r="AB8">
            <v>0</v>
          </cell>
          <cell r="AD8">
            <v>0</v>
          </cell>
          <cell r="AH8">
            <v>0</v>
          </cell>
          <cell r="AI8">
            <v>0</v>
          </cell>
          <cell r="AJ8">
            <v>0</v>
          </cell>
          <cell r="AK8">
            <v>0</v>
          </cell>
          <cell r="AL8">
            <v>0</v>
          </cell>
          <cell r="AM8">
            <v>0</v>
          </cell>
          <cell r="AN8">
            <v>0</v>
          </cell>
          <cell r="AP8">
            <v>0</v>
          </cell>
          <cell r="AQ8">
            <v>0</v>
          </cell>
          <cell r="AT8">
            <v>0</v>
          </cell>
          <cell r="AU8">
            <v>0</v>
          </cell>
          <cell r="AV8" t="str">
            <v>Absent</v>
          </cell>
          <cell r="AX8">
            <v>5</v>
          </cell>
          <cell r="AZ8" t="str">
            <v>Yaqoub Khamis Humaid Al Ghafri</v>
          </cell>
          <cell r="BA8" t="str">
            <v>22-028948-20</v>
          </cell>
          <cell r="BB8" t="str">
            <v>OIB</v>
          </cell>
          <cell r="BC8" t="str">
            <v>Ibri</v>
          </cell>
          <cell r="BD8">
            <v>0</v>
          </cell>
        </row>
        <row r="9">
          <cell r="B9">
            <v>9</v>
          </cell>
          <cell r="C9" t="str">
            <v>Abdullah Mafatah Taeeb Al Ghafri</v>
          </cell>
          <cell r="D9" t="str">
            <v>Heavy Duty Driver</v>
          </cell>
          <cell r="E9" t="str">
            <v>10.06.04</v>
          </cell>
          <cell r="F9">
            <v>2.7394615384615384</v>
          </cell>
          <cell r="G9">
            <v>1.7121634615384616</v>
          </cell>
          <cell r="H9">
            <v>34</v>
          </cell>
          <cell r="I9">
            <v>163</v>
          </cell>
          <cell r="K9">
            <v>21</v>
          </cell>
          <cell r="L9">
            <v>7</v>
          </cell>
          <cell r="M9">
            <v>2</v>
          </cell>
          <cell r="N9">
            <v>0</v>
          </cell>
          <cell r="O9">
            <v>30</v>
          </cell>
          <cell r="P9">
            <v>64</v>
          </cell>
          <cell r="Q9">
            <v>1.92</v>
          </cell>
          <cell r="R9">
            <v>237.42</v>
          </cell>
          <cell r="S9">
            <v>120</v>
          </cell>
          <cell r="T9">
            <v>2</v>
          </cell>
          <cell r="U9">
            <v>5</v>
          </cell>
          <cell r="V9">
            <v>4.5</v>
          </cell>
          <cell r="W9">
            <v>237.42</v>
          </cell>
          <cell r="X9">
            <v>120</v>
          </cell>
          <cell r="Y9">
            <v>2</v>
          </cell>
          <cell r="Z9">
            <v>5</v>
          </cell>
          <cell r="AA9">
            <v>279.08264423076923</v>
          </cell>
          <cell r="AB9">
            <v>94.5</v>
          </cell>
          <cell r="AD9">
            <v>93.14169230769231</v>
          </cell>
          <cell r="AH9">
            <v>0</v>
          </cell>
          <cell r="AI9">
            <v>0</v>
          </cell>
          <cell r="AJ9">
            <v>0</v>
          </cell>
          <cell r="AK9">
            <v>0</v>
          </cell>
          <cell r="AL9">
            <v>0</v>
          </cell>
          <cell r="AM9">
            <v>279.42507692307692</v>
          </cell>
          <cell r="AN9">
            <v>27</v>
          </cell>
          <cell r="AP9">
            <v>123</v>
          </cell>
          <cell r="AQ9">
            <v>1260.5694134615385</v>
          </cell>
          <cell r="AR9">
            <v>15.4323</v>
          </cell>
          <cell r="AT9">
            <v>15.4323</v>
          </cell>
          <cell r="AU9">
            <v>1245.1371134615385</v>
          </cell>
          <cell r="AX9">
            <v>9</v>
          </cell>
          <cell r="AZ9" t="str">
            <v>Abdullah Mafatah Taeeb Al Ghafri</v>
          </cell>
          <cell r="BA9" t="str">
            <v>62-14317-0081-018</v>
          </cell>
          <cell r="BB9" t="str">
            <v>Bank Muscat</v>
          </cell>
          <cell r="BC9" t="str">
            <v>Bahla</v>
          </cell>
          <cell r="BD9">
            <v>1245.1371134615385</v>
          </cell>
        </row>
        <row r="10">
          <cell r="B10">
            <v>13</v>
          </cell>
          <cell r="C10" t="str">
            <v>Musabah Obaid Sabaan Al Daral</v>
          </cell>
          <cell r="D10" t="str">
            <v>Vib Operator</v>
          </cell>
          <cell r="E10" t="str">
            <v>07.06.04</v>
          </cell>
          <cell r="F10">
            <v>2.7714230769230768</v>
          </cell>
          <cell r="G10">
            <v>1.7321394230769229</v>
          </cell>
          <cell r="H10">
            <v>0</v>
          </cell>
          <cell r="I10">
            <v>0</v>
          </cell>
          <cell r="K10">
            <v>0</v>
          </cell>
          <cell r="L10">
            <v>0</v>
          </cell>
          <cell r="M10">
            <v>0</v>
          </cell>
          <cell r="N10">
            <v>0</v>
          </cell>
          <cell r="O10">
            <v>0</v>
          </cell>
          <cell r="P10">
            <v>65</v>
          </cell>
          <cell r="Q10">
            <v>1.95</v>
          </cell>
          <cell r="R10">
            <v>240.19</v>
          </cell>
          <cell r="S10">
            <v>120</v>
          </cell>
          <cell r="T10">
            <v>2</v>
          </cell>
          <cell r="U10">
            <v>5</v>
          </cell>
          <cell r="V10">
            <v>4.5</v>
          </cell>
          <cell r="W10">
            <v>0</v>
          </cell>
          <cell r="X10">
            <v>0</v>
          </cell>
          <cell r="Y10">
            <v>0</v>
          </cell>
          <cell r="Z10">
            <v>0</v>
          </cell>
          <cell r="AA10">
            <v>0</v>
          </cell>
          <cell r="AB10">
            <v>0</v>
          </cell>
          <cell r="AD10">
            <v>0</v>
          </cell>
          <cell r="AH10">
            <v>0</v>
          </cell>
          <cell r="AI10">
            <v>0</v>
          </cell>
          <cell r="AJ10">
            <v>0</v>
          </cell>
          <cell r="AK10">
            <v>0</v>
          </cell>
          <cell r="AL10">
            <v>0</v>
          </cell>
          <cell r="AM10">
            <v>0</v>
          </cell>
          <cell r="AN10">
            <v>0</v>
          </cell>
          <cell r="AP10">
            <v>0</v>
          </cell>
          <cell r="AQ10">
            <v>0</v>
          </cell>
          <cell r="AT10">
            <v>0</v>
          </cell>
          <cell r="AU10">
            <v>0</v>
          </cell>
          <cell r="AV10" t="str">
            <v>30 Days HLV.</v>
          </cell>
          <cell r="AX10">
            <v>13</v>
          </cell>
          <cell r="AZ10" t="str">
            <v>Musabah Obaid Sabaan Al Daral</v>
          </cell>
          <cell r="BA10" t="str">
            <v>0141104427300</v>
          </cell>
          <cell r="BB10" t="str">
            <v>Bank Dhofar</v>
          </cell>
          <cell r="BC10" t="str">
            <v>Ibri</v>
          </cell>
          <cell r="BD10">
            <v>0</v>
          </cell>
        </row>
        <row r="11">
          <cell r="B11">
            <v>20</v>
          </cell>
          <cell r="C11" t="str">
            <v>Rashid Sulaiman Abdullah Al Muqubali</v>
          </cell>
          <cell r="D11" t="str">
            <v>Asst Mech</v>
          </cell>
          <cell r="E11" t="str">
            <v>07.06.04</v>
          </cell>
          <cell r="F11">
            <v>2.156192307692308</v>
          </cell>
          <cell r="G11">
            <v>1.3476201923076925</v>
          </cell>
          <cell r="H11">
            <v>20</v>
          </cell>
          <cell r="I11">
            <v>42</v>
          </cell>
          <cell r="K11">
            <v>23</v>
          </cell>
          <cell r="L11">
            <v>7</v>
          </cell>
          <cell r="M11">
            <v>0</v>
          </cell>
          <cell r="N11">
            <v>0</v>
          </cell>
          <cell r="O11">
            <v>30</v>
          </cell>
          <cell r="P11">
            <v>62</v>
          </cell>
          <cell r="Q11">
            <v>1.8599999999999999</v>
          </cell>
          <cell r="R11">
            <v>186.87</v>
          </cell>
          <cell r="S11">
            <v>110</v>
          </cell>
          <cell r="T11">
            <v>2</v>
          </cell>
          <cell r="U11">
            <v>5</v>
          </cell>
          <cell r="V11">
            <v>4.5</v>
          </cell>
          <cell r="W11">
            <v>186.87</v>
          </cell>
          <cell r="X11">
            <v>110</v>
          </cell>
          <cell r="Y11">
            <v>2</v>
          </cell>
          <cell r="Z11">
            <v>5</v>
          </cell>
          <cell r="AA11">
            <v>56.600048076923088</v>
          </cell>
          <cell r="AB11">
            <v>103.5</v>
          </cell>
          <cell r="AD11">
            <v>43.123846153846159</v>
          </cell>
          <cell r="AH11">
            <v>0</v>
          </cell>
          <cell r="AI11">
            <v>0</v>
          </cell>
          <cell r="AJ11">
            <v>0</v>
          </cell>
          <cell r="AK11">
            <v>0</v>
          </cell>
          <cell r="AL11">
            <v>121.28581730769233</v>
          </cell>
          <cell r="AM11">
            <v>0</v>
          </cell>
          <cell r="AN11">
            <v>0</v>
          </cell>
          <cell r="AP11">
            <v>0</v>
          </cell>
          <cell r="AQ11">
            <v>628.37971153846161</v>
          </cell>
          <cell r="AR11">
            <v>12.146550000000001</v>
          </cell>
          <cell r="AT11">
            <v>12.146550000000001</v>
          </cell>
          <cell r="AU11">
            <v>616.23316153846156</v>
          </cell>
          <cell r="AX11">
            <v>20</v>
          </cell>
          <cell r="AZ11" t="str">
            <v>Rashid Sulaiman Abdullah Al Muqubali</v>
          </cell>
          <cell r="BA11" t="str">
            <v>121-145100081014</v>
          </cell>
          <cell r="BB11" t="str">
            <v>Bank Muscat</v>
          </cell>
          <cell r="BC11" t="str">
            <v>Ibri Souq</v>
          </cell>
          <cell r="BD11">
            <v>616.23316153846156</v>
          </cell>
        </row>
        <row r="12">
          <cell r="B12">
            <v>21</v>
          </cell>
          <cell r="C12" t="str">
            <v>Ali Shanin Said Al Yaqoubi</v>
          </cell>
          <cell r="D12" t="str">
            <v>Line Foreman</v>
          </cell>
          <cell r="E12" t="str">
            <v>07.06.04</v>
          </cell>
          <cell r="F12">
            <v>2.1364615384615386</v>
          </cell>
          <cell r="G12">
            <v>1.3352884615384617</v>
          </cell>
          <cell r="H12">
            <v>21</v>
          </cell>
          <cell r="I12">
            <v>87.5</v>
          </cell>
          <cell r="K12">
            <v>23</v>
          </cell>
          <cell r="L12">
            <v>7</v>
          </cell>
          <cell r="M12">
            <v>0</v>
          </cell>
          <cell r="N12">
            <v>0</v>
          </cell>
          <cell r="O12">
            <v>30</v>
          </cell>
          <cell r="P12">
            <v>66</v>
          </cell>
          <cell r="Q12">
            <v>1.98</v>
          </cell>
          <cell r="R12">
            <v>185.16</v>
          </cell>
          <cell r="S12">
            <v>120</v>
          </cell>
          <cell r="T12">
            <v>2</v>
          </cell>
          <cell r="U12">
            <v>5</v>
          </cell>
          <cell r="V12">
            <v>4.5</v>
          </cell>
          <cell r="W12">
            <v>185.16</v>
          </cell>
          <cell r="X12">
            <v>120</v>
          </cell>
          <cell r="Y12">
            <v>2</v>
          </cell>
          <cell r="Z12">
            <v>5</v>
          </cell>
          <cell r="AA12">
            <v>116.8377403846154</v>
          </cell>
          <cell r="AB12">
            <v>103.5</v>
          </cell>
          <cell r="AD12">
            <v>44.865692307692314</v>
          </cell>
          <cell r="AH12">
            <v>0</v>
          </cell>
          <cell r="AI12">
            <v>0</v>
          </cell>
          <cell r="AJ12">
            <v>0</v>
          </cell>
          <cell r="AK12">
            <v>0</v>
          </cell>
          <cell r="AL12">
            <v>45.399807692307697</v>
          </cell>
          <cell r="AM12">
            <v>134.59707692307694</v>
          </cell>
          <cell r="AN12">
            <v>4.5</v>
          </cell>
          <cell r="AP12">
            <v>123</v>
          </cell>
          <cell r="AQ12">
            <v>884.86031730769241</v>
          </cell>
          <cell r="AR12">
            <v>12.035400000000001</v>
          </cell>
          <cell r="AT12">
            <v>12.035400000000001</v>
          </cell>
          <cell r="AU12">
            <v>872.82491730769243</v>
          </cell>
          <cell r="AX12">
            <v>21</v>
          </cell>
          <cell r="AZ12" t="str">
            <v>Ali Shanin Said Al Yaqoubi</v>
          </cell>
          <cell r="BA12" t="str">
            <v>052-137650081017</v>
          </cell>
          <cell r="BB12" t="str">
            <v>Bank Muscat</v>
          </cell>
          <cell r="BC12" t="str">
            <v>Al Hamra</v>
          </cell>
          <cell r="BD12">
            <v>872.82491730769243</v>
          </cell>
        </row>
        <row r="13">
          <cell r="B13">
            <v>22</v>
          </cell>
          <cell r="C13" t="str">
            <v>Said Mubarak Sulaiyam Al Yaqoubi</v>
          </cell>
          <cell r="D13" t="str">
            <v>Labour</v>
          </cell>
          <cell r="E13" t="str">
            <v>07.06.04</v>
          </cell>
          <cell r="F13">
            <v>1.8258461538461539</v>
          </cell>
          <cell r="G13">
            <v>1.1411538461538462</v>
          </cell>
          <cell r="H13">
            <v>0</v>
          </cell>
          <cell r="I13">
            <v>102</v>
          </cell>
          <cell r="K13">
            <v>21</v>
          </cell>
          <cell r="L13">
            <v>9</v>
          </cell>
          <cell r="M13">
            <v>0</v>
          </cell>
          <cell r="N13">
            <v>0</v>
          </cell>
          <cell r="O13">
            <v>30</v>
          </cell>
          <cell r="P13">
            <v>54</v>
          </cell>
          <cell r="Q13">
            <v>1.6199999999999999</v>
          </cell>
          <cell r="R13">
            <v>158.24</v>
          </cell>
          <cell r="S13">
            <v>85</v>
          </cell>
          <cell r="T13">
            <v>2</v>
          </cell>
          <cell r="U13">
            <v>5</v>
          </cell>
          <cell r="V13">
            <v>4.5</v>
          </cell>
          <cell r="W13">
            <v>158.24</v>
          </cell>
          <cell r="X13">
            <v>85</v>
          </cell>
          <cell r="Y13">
            <v>2</v>
          </cell>
          <cell r="Z13">
            <v>5</v>
          </cell>
          <cell r="AA13">
            <v>116.39769230769231</v>
          </cell>
          <cell r="AB13">
            <v>94.5</v>
          </cell>
          <cell r="AD13">
            <v>0</v>
          </cell>
          <cell r="AH13">
            <v>0</v>
          </cell>
          <cell r="AI13">
            <v>0</v>
          </cell>
          <cell r="AJ13">
            <v>0</v>
          </cell>
          <cell r="AK13">
            <v>0</v>
          </cell>
          <cell r="AL13">
            <v>6.8469230769230771</v>
          </cell>
          <cell r="AM13">
            <v>109.55076923076923</v>
          </cell>
          <cell r="AN13">
            <v>13.5</v>
          </cell>
          <cell r="AP13">
            <v>123</v>
          </cell>
          <cell r="AQ13">
            <v>714.0353846153846</v>
          </cell>
          <cell r="AR13">
            <v>10.285600000000001</v>
          </cell>
          <cell r="AT13">
            <v>10.285600000000001</v>
          </cell>
          <cell r="AU13">
            <v>703.74978461538456</v>
          </cell>
          <cell r="AX13">
            <v>22</v>
          </cell>
          <cell r="AZ13" t="str">
            <v>Said Mubarak Sulaiyam Al Yaqoubi</v>
          </cell>
          <cell r="BA13" t="str">
            <v>002-253235-035</v>
          </cell>
          <cell r="BB13" t="str">
            <v>HSBC</v>
          </cell>
          <cell r="BC13" t="str">
            <v>Ruwi</v>
          </cell>
          <cell r="BD13">
            <v>703.74978461538456</v>
          </cell>
        </row>
        <row r="14">
          <cell r="B14">
            <v>23</v>
          </cell>
          <cell r="C14" t="str">
            <v>Salim Shanin Said Al Yaqoubi</v>
          </cell>
          <cell r="D14" t="str">
            <v>Labour</v>
          </cell>
          <cell r="E14" t="str">
            <v>07.06.04</v>
          </cell>
          <cell r="F14">
            <v>1.8595384615384616</v>
          </cell>
          <cell r="G14">
            <v>1.1622115384615386</v>
          </cell>
          <cell r="H14">
            <v>20</v>
          </cell>
          <cell r="I14">
            <v>90</v>
          </cell>
          <cell r="K14">
            <v>23</v>
          </cell>
          <cell r="L14">
            <v>7</v>
          </cell>
          <cell r="M14">
            <v>0</v>
          </cell>
          <cell r="N14">
            <v>0</v>
          </cell>
          <cell r="O14">
            <v>30</v>
          </cell>
          <cell r="P14">
            <v>53</v>
          </cell>
          <cell r="Q14">
            <v>1.5899999999999999</v>
          </cell>
          <cell r="R14">
            <v>161.16</v>
          </cell>
          <cell r="S14">
            <v>85</v>
          </cell>
          <cell r="T14">
            <v>2</v>
          </cell>
          <cell r="U14">
            <v>5</v>
          </cell>
          <cell r="V14">
            <v>4.5</v>
          </cell>
          <cell r="W14">
            <v>161.16</v>
          </cell>
          <cell r="X14">
            <v>85</v>
          </cell>
          <cell r="Y14">
            <v>2</v>
          </cell>
          <cell r="Z14">
            <v>5</v>
          </cell>
          <cell r="AA14">
            <v>104.59903846153847</v>
          </cell>
          <cell r="AB14">
            <v>103.5</v>
          </cell>
          <cell r="AD14">
            <v>37.190769230769234</v>
          </cell>
          <cell r="AH14">
            <v>0</v>
          </cell>
          <cell r="AI14">
            <v>0</v>
          </cell>
          <cell r="AJ14">
            <v>0</v>
          </cell>
          <cell r="AK14">
            <v>0</v>
          </cell>
          <cell r="AL14">
            <v>0</v>
          </cell>
          <cell r="AM14">
            <v>111.57230769230769</v>
          </cell>
          <cell r="AN14">
            <v>27</v>
          </cell>
          <cell r="AP14">
            <v>123</v>
          </cell>
          <cell r="AQ14">
            <v>760.0221153846154</v>
          </cell>
          <cell r="AR14">
            <v>10.4754</v>
          </cell>
          <cell r="AT14">
            <v>10.4754</v>
          </cell>
          <cell r="AU14">
            <v>749.54671538461537</v>
          </cell>
          <cell r="AX14">
            <v>23</v>
          </cell>
          <cell r="AZ14" t="str">
            <v>Salim Shanin Said Al Yaqoubi</v>
          </cell>
          <cell r="BA14" t="str">
            <v>119-129430084010</v>
          </cell>
          <cell r="BB14" t="str">
            <v>Bank Muscat</v>
          </cell>
          <cell r="BC14" t="str">
            <v>Al Dareez</v>
          </cell>
          <cell r="BD14">
            <v>749.54671538461537</v>
          </cell>
        </row>
        <row r="15">
          <cell r="B15">
            <v>28</v>
          </cell>
          <cell r="C15" t="str">
            <v>Khalifa Musallam Salim Al Yaqoubi</v>
          </cell>
          <cell r="D15" t="str">
            <v>Heavy Duty Driver</v>
          </cell>
          <cell r="E15" t="str">
            <v>09.06.04</v>
          </cell>
          <cell r="F15">
            <v>1.9840384615384612</v>
          </cell>
          <cell r="G15">
            <v>1.2400240384615382</v>
          </cell>
          <cell r="H15">
            <v>21</v>
          </cell>
          <cell r="I15">
            <v>35</v>
          </cell>
          <cell r="K15">
            <v>16</v>
          </cell>
          <cell r="L15">
            <v>14</v>
          </cell>
          <cell r="M15">
            <v>0</v>
          </cell>
          <cell r="N15">
            <v>0</v>
          </cell>
          <cell r="O15">
            <v>30</v>
          </cell>
          <cell r="P15">
            <v>87</v>
          </cell>
          <cell r="Q15">
            <v>2.61</v>
          </cell>
          <cell r="R15">
            <v>171.95</v>
          </cell>
          <cell r="S15">
            <v>120</v>
          </cell>
          <cell r="T15">
            <v>2</v>
          </cell>
          <cell r="U15">
            <v>5</v>
          </cell>
          <cell r="V15">
            <v>4.5</v>
          </cell>
          <cell r="W15">
            <v>171.95</v>
          </cell>
          <cell r="X15">
            <v>120</v>
          </cell>
          <cell r="Y15">
            <v>2</v>
          </cell>
          <cell r="Z15">
            <v>5</v>
          </cell>
          <cell r="AA15">
            <v>43.40084134615384</v>
          </cell>
          <cell r="AB15">
            <v>72</v>
          </cell>
          <cell r="AD15">
            <v>41.664807692307683</v>
          </cell>
          <cell r="AH15">
            <v>0</v>
          </cell>
          <cell r="AI15">
            <v>0</v>
          </cell>
          <cell r="AJ15">
            <v>0</v>
          </cell>
          <cell r="AK15">
            <v>0</v>
          </cell>
          <cell r="AL15">
            <v>202.74393028846148</v>
          </cell>
          <cell r="AM15">
            <v>124.99442307692306</v>
          </cell>
          <cell r="AN15">
            <v>27</v>
          </cell>
          <cell r="AP15">
            <v>123</v>
          </cell>
          <cell r="AQ15">
            <v>933.75400240384602</v>
          </cell>
          <cell r="AR15">
            <v>11.17675</v>
          </cell>
          <cell r="AT15">
            <v>11.17675</v>
          </cell>
          <cell r="AU15">
            <v>922.57725240384605</v>
          </cell>
          <cell r="AX15">
            <v>28</v>
          </cell>
          <cell r="AZ15" t="str">
            <v>Khalifa Musallam Salim Al Yaqoubi</v>
          </cell>
          <cell r="BA15" t="str">
            <v>22-029698-20</v>
          </cell>
          <cell r="BB15" t="str">
            <v>OIB</v>
          </cell>
          <cell r="BC15" t="str">
            <v>Ibri</v>
          </cell>
          <cell r="BD15">
            <v>922.57725240384605</v>
          </cell>
        </row>
        <row r="16">
          <cell r="B16">
            <v>35</v>
          </cell>
          <cell r="C16" t="str">
            <v>Said Mohamed Abdullah Al Shuhoumi</v>
          </cell>
          <cell r="D16" t="str">
            <v>Labour</v>
          </cell>
          <cell r="E16" t="str">
            <v>07.06.04</v>
          </cell>
          <cell r="F16">
            <v>1.8700384615384615</v>
          </cell>
          <cell r="G16">
            <v>1.1687740384615384</v>
          </cell>
          <cell r="H16">
            <v>0</v>
          </cell>
          <cell r="I16">
            <v>102</v>
          </cell>
          <cell r="K16">
            <v>21</v>
          </cell>
          <cell r="L16">
            <v>9</v>
          </cell>
          <cell r="M16">
            <v>0</v>
          </cell>
          <cell r="N16">
            <v>0</v>
          </cell>
          <cell r="O16">
            <v>30</v>
          </cell>
          <cell r="P16">
            <v>54</v>
          </cell>
          <cell r="Q16">
            <v>1.6199999999999999</v>
          </cell>
          <cell r="R16">
            <v>162.07</v>
          </cell>
          <cell r="S16">
            <v>85</v>
          </cell>
          <cell r="T16">
            <v>2</v>
          </cell>
          <cell r="U16">
            <v>5</v>
          </cell>
          <cell r="V16">
            <v>4.5</v>
          </cell>
          <cell r="W16">
            <v>162.07</v>
          </cell>
          <cell r="X16">
            <v>85</v>
          </cell>
          <cell r="Y16">
            <v>2</v>
          </cell>
          <cell r="Z16">
            <v>5</v>
          </cell>
          <cell r="AA16">
            <v>119.21495192307691</v>
          </cell>
          <cell r="AB16">
            <v>94.5</v>
          </cell>
          <cell r="AD16">
            <v>0</v>
          </cell>
          <cell r="AH16">
            <v>0</v>
          </cell>
          <cell r="AI16">
            <v>0</v>
          </cell>
          <cell r="AJ16">
            <v>0</v>
          </cell>
          <cell r="AK16">
            <v>0</v>
          </cell>
          <cell r="AL16">
            <v>32.725673076923073</v>
          </cell>
          <cell r="AM16">
            <v>0</v>
          </cell>
          <cell r="AN16">
            <v>0</v>
          </cell>
          <cell r="AP16">
            <v>0</v>
          </cell>
          <cell r="AQ16">
            <v>500.510625</v>
          </cell>
          <cell r="AR16">
            <v>10.534549999999999</v>
          </cell>
          <cell r="AT16">
            <v>10.534549999999999</v>
          </cell>
          <cell r="AU16">
            <v>489.97607499999998</v>
          </cell>
          <cell r="AX16">
            <v>35</v>
          </cell>
          <cell r="AZ16" t="str">
            <v>Said Mohamed Abdullah Al Shuhoumi</v>
          </cell>
          <cell r="BA16" t="str">
            <v>22-038533-20</v>
          </cell>
          <cell r="BB16" t="str">
            <v>OIB</v>
          </cell>
          <cell r="BC16" t="str">
            <v>Ibri</v>
          </cell>
          <cell r="BD16">
            <v>489.97607499999998</v>
          </cell>
        </row>
        <row r="17">
          <cell r="B17">
            <v>40</v>
          </cell>
          <cell r="C17" t="str">
            <v>Rashid Masoud Rashid Al Kalbani</v>
          </cell>
          <cell r="D17" t="str">
            <v>Labour</v>
          </cell>
          <cell r="E17" t="str">
            <v>07.06.04</v>
          </cell>
          <cell r="F17">
            <v>1.8491538461538461</v>
          </cell>
          <cell r="G17">
            <v>1.1557211538461538</v>
          </cell>
          <cell r="H17">
            <v>0</v>
          </cell>
          <cell r="I17">
            <v>94</v>
          </cell>
          <cell r="K17">
            <v>21</v>
          </cell>
          <cell r="L17">
            <v>9</v>
          </cell>
          <cell r="M17">
            <v>0</v>
          </cell>
          <cell r="N17">
            <v>0</v>
          </cell>
          <cell r="O17">
            <v>30</v>
          </cell>
          <cell r="P17">
            <v>49</v>
          </cell>
          <cell r="Q17">
            <v>1.47</v>
          </cell>
          <cell r="R17">
            <v>160.26</v>
          </cell>
          <cell r="S17">
            <v>85</v>
          </cell>
          <cell r="T17">
            <v>2</v>
          </cell>
          <cell r="U17">
            <v>5</v>
          </cell>
          <cell r="V17">
            <v>4.5</v>
          </cell>
          <cell r="W17">
            <v>160.26</v>
          </cell>
          <cell r="X17">
            <v>85</v>
          </cell>
          <cell r="Y17">
            <v>2</v>
          </cell>
          <cell r="Z17">
            <v>5</v>
          </cell>
          <cell r="AA17">
            <v>108.63778846153846</v>
          </cell>
          <cell r="AB17">
            <v>94.5</v>
          </cell>
          <cell r="AD17">
            <v>0</v>
          </cell>
          <cell r="AH17">
            <v>0</v>
          </cell>
          <cell r="AI17">
            <v>0</v>
          </cell>
          <cell r="AJ17">
            <v>0</v>
          </cell>
          <cell r="AK17">
            <v>0</v>
          </cell>
          <cell r="AL17">
            <v>0</v>
          </cell>
          <cell r="AM17">
            <v>110.94923076923077</v>
          </cell>
          <cell r="AN17">
            <v>27</v>
          </cell>
          <cell r="AP17">
            <v>123</v>
          </cell>
          <cell r="AQ17">
            <v>716.34701923076921</v>
          </cell>
          <cell r="AR17">
            <v>10.4169</v>
          </cell>
          <cell r="AT17">
            <v>10.4169</v>
          </cell>
          <cell r="AU17">
            <v>705.93011923076915</v>
          </cell>
          <cell r="AX17">
            <v>40</v>
          </cell>
          <cell r="AZ17" t="str">
            <v>Rashid Masoud Rashid Al Kalbani</v>
          </cell>
          <cell r="BA17" t="str">
            <v>141-129230084015</v>
          </cell>
          <cell r="BB17" t="str">
            <v>Bank Muscat</v>
          </cell>
          <cell r="BC17" t="str">
            <v>Al Hayal</v>
          </cell>
          <cell r="BD17">
            <v>705.93011923076915</v>
          </cell>
        </row>
        <row r="18">
          <cell r="B18">
            <v>42</v>
          </cell>
          <cell r="C18" t="str">
            <v>Suleiman Hashil Khamis Al- Jasari</v>
          </cell>
          <cell r="D18" t="str">
            <v>Asst Mech-Vib</v>
          </cell>
          <cell r="E18" t="str">
            <v>09.06.04</v>
          </cell>
          <cell r="F18">
            <v>2.2535769230769231</v>
          </cell>
          <cell r="G18">
            <v>1.4084855769230771</v>
          </cell>
          <cell r="H18">
            <v>20</v>
          </cell>
          <cell r="I18">
            <v>42</v>
          </cell>
          <cell r="K18">
            <v>23</v>
          </cell>
          <cell r="L18">
            <v>7</v>
          </cell>
          <cell r="M18">
            <v>0</v>
          </cell>
          <cell r="N18">
            <v>0</v>
          </cell>
          <cell r="O18">
            <v>30</v>
          </cell>
          <cell r="P18">
            <v>69</v>
          </cell>
          <cell r="Q18">
            <v>2.0699999999999998</v>
          </cell>
          <cell r="R18">
            <v>195.31</v>
          </cell>
          <cell r="S18">
            <v>85</v>
          </cell>
          <cell r="T18">
            <v>2</v>
          </cell>
          <cell r="U18">
            <v>5</v>
          </cell>
          <cell r="V18">
            <v>4.5</v>
          </cell>
          <cell r="W18">
            <v>195.31</v>
          </cell>
          <cell r="X18">
            <v>85</v>
          </cell>
          <cell r="Y18">
            <v>2</v>
          </cell>
          <cell r="Z18">
            <v>5</v>
          </cell>
          <cell r="AA18">
            <v>59.156394230769237</v>
          </cell>
          <cell r="AB18">
            <v>103.5</v>
          </cell>
          <cell r="AD18">
            <v>45.071538461538466</v>
          </cell>
          <cell r="AH18">
            <v>0</v>
          </cell>
          <cell r="AI18">
            <v>0</v>
          </cell>
          <cell r="AJ18">
            <v>0</v>
          </cell>
          <cell r="AK18">
            <v>0</v>
          </cell>
          <cell r="AL18">
            <v>214.08980769230772</v>
          </cell>
          <cell r="AM18">
            <v>0</v>
          </cell>
          <cell r="AN18">
            <v>0</v>
          </cell>
          <cell r="AP18">
            <v>0</v>
          </cell>
          <cell r="AQ18">
            <v>709.12774038461544</v>
          </cell>
          <cell r="AR18">
            <v>12.69515</v>
          </cell>
          <cell r="AT18">
            <v>12.69515</v>
          </cell>
          <cell r="AU18">
            <v>696.43259038461542</v>
          </cell>
          <cell r="AX18">
            <v>42</v>
          </cell>
          <cell r="AZ18" t="str">
            <v>Suleiman Hashil Khamis Al- Jasari</v>
          </cell>
          <cell r="BA18" t="str">
            <v>22-090575-01</v>
          </cell>
          <cell r="BB18" t="str">
            <v>OIB</v>
          </cell>
          <cell r="BC18" t="str">
            <v>Ibri</v>
          </cell>
          <cell r="BD18">
            <v>696.43259038461542</v>
          </cell>
        </row>
        <row r="19">
          <cell r="B19">
            <v>45</v>
          </cell>
          <cell r="C19" t="str">
            <v>Ali Said Khalfan Al Maamri</v>
          </cell>
          <cell r="D19" t="str">
            <v>Labour</v>
          </cell>
          <cell r="E19" t="str">
            <v>07.06.04</v>
          </cell>
          <cell r="F19">
            <v>1.8658846153846154</v>
          </cell>
          <cell r="G19">
            <v>1.1661778846153845</v>
          </cell>
          <cell r="H19">
            <v>20</v>
          </cell>
          <cell r="I19">
            <v>28</v>
          </cell>
          <cell r="K19">
            <v>16</v>
          </cell>
          <cell r="L19">
            <v>14</v>
          </cell>
          <cell r="M19">
            <v>0</v>
          </cell>
          <cell r="N19">
            <v>0</v>
          </cell>
          <cell r="O19">
            <v>30</v>
          </cell>
          <cell r="P19">
            <v>61</v>
          </cell>
          <cell r="Q19">
            <v>1.8299999999999998</v>
          </cell>
          <cell r="R19">
            <v>161.71</v>
          </cell>
          <cell r="S19">
            <v>85</v>
          </cell>
          <cell r="T19">
            <v>2</v>
          </cell>
          <cell r="U19">
            <v>5</v>
          </cell>
          <cell r="V19">
            <v>4.5</v>
          </cell>
          <cell r="W19">
            <v>161.71</v>
          </cell>
          <cell r="X19">
            <v>85</v>
          </cell>
          <cell r="Y19">
            <v>2</v>
          </cell>
          <cell r="Z19">
            <v>5</v>
          </cell>
          <cell r="AA19">
            <v>32.652980769230766</v>
          </cell>
          <cell r="AB19">
            <v>72</v>
          </cell>
          <cell r="AD19">
            <v>37.317692307692305</v>
          </cell>
          <cell r="AH19">
            <v>0</v>
          </cell>
          <cell r="AI19">
            <v>0</v>
          </cell>
          <cell r="AJ19">
            <v>0</v>
          </cell>
          <cell r="AK19">
            <v>0</v>
          </cell>
          <cell r="AL19">
            <v>0</v>
          </cell>
          <cell r="AM19">
            <v>0</v>
          </cell>
          <cell r="AN19">
            <v>0</v>
          </cell>
          <cell r="AP19">
            <v>0</v>
          </cell>
          <cell r="AQ19">
            <v>395.68067307692309</v>
          </cell>
          <cell r="AR19">
            <v>10.511150000000001</v>
          </cell>
          <cell r="AT19">
            <v>10.511150000000001</v>
          </cell>
          <cell r="AU19">
            <v>385.1695230769231</v>
          </cell>
          <cell r="AX19">
            <v>45</v>
          </cell>
          <cell r="AZ19" t="str">
            <v>Ali Said Khalfan Al Maamri</v>
          </cell>
          <cell r="BA19" t="str">
            <v>22-043475-29</v>
          </cell>
          <cell r="BB19" t="str">
            <v>OIB</v>
          </cell>
          <cell r="BC19" t="str">
            <v>Ibri</v>
          </cell>
          <cell r="BD19">
            <v>385.1695230769231</v>
          </cell>
        </row>
        <row r="20">
          <cell r="B20">
            <v>49</v>
          </cell>
          <cell r="C20" t="str">
            <v>Rashid Sulaiyam Rashid Al Hinai</v>
          </cell>
          <cell r="D20" t="str">
            <v>Chain Crew Foreman</v>
          </cell>
          <cell r="E20" t="str">
            <v>09.06.04</v>
          </cell>
          <cell r="F20">
            <v>2.0656153846153846</v>
          </cell>
          <cell r="G20">
            <v>1.2910096153846153</v>
          </cell>
          <cell r="H20">
            <v>21</v>
          </cell>
          <cell r="I20">
            <v>84</v>
          </cell>
          <cell r="K20">
            <v>16</v>
          </cell>
          <cell r="L20">
            <v>14</v>
          </cell>
          <cell r="M20">
            <v>0</v>
          </cell>
          <cell r="N20">
            <v>0</v>
          </cell>
          <cell r="O20">
            <v>30</v>
          </cell>
          <cell r="P20">
            <v>57</v>
          </cell>
          <cell r="Q20">
            <v>1.71</v>
          </cell>
          <cell r="R20">
            <v>179.02</v>
          </cell>
          <cell r="S20">
            <v>110</v>
          </cell>
          <cell r="T20">
            <v>2</v>
          </cell>
          <cell r="U20">
            <v>5</v>
          </cell>
          <cell r="V20">
            <v>4.5</v>
          </cell>
          <cell r="W20">
            <v>179.02</v>
          </cell>
          <cell r="X20">
            <v>110</v>
          </cell>
          <cell r="Y20">
            <v>2</v>
          </cell>
          <cell r="Z20">
            <v>5</v>
          </cell>
          <cell r="AA20">
            <v>108.44480769230769</v>
          </cell>
          <cell r="AB20">
            <v>72</v>
          </cell>
          <cell r="AD20">
            <v>43.377923076923075</v>
          </cell>
          <cell r="AH20">
            <v>0</v>
          </cell>
          <cell r="AI20">
            <v>0</v>
          </cell>
          <cell r="AJ20">
            <v>0</v>
          </cell>
          <cell r="AK20">
            <v>0</v>
          </cell>
          <cell r="AL20">
            <v>190.42391826923077</v>
          </cell>
          <cell r="AM20">
            <v>130.13376923076922</v>
          </cell>
          <cell r="AN20">
            <v>27</v>
          </cell>
          <cell r="AP20">
            <v>123</v>
          </cell>
          <cell r="AQ20">
            <v>990.40041826923061</v>
          </cell>
          <cell r="AR20">
            <v>11.6363</v>
          </cell>
          <cell r="AT20">
            <v>11.6363</v>
          </cell>
          <cell r="AU20">
            <v>978.76411826923061</v>
          </cell>
          <cell r="AX20">
            <v>49</v>
          </cell>
          <cell r="AZ20" t="str">
            <v>Rashid Sulaiyam Rashid Al Hinai</v>
          </cell>
          <cell r="BA20" t="str">
            <v>21-624192-20</v>
          </cell>
          <cell r="BB20" t="str">
            <v>OIB</v>
          </cell>
          <cell r="BC20" t="str">
            <v>Bahla</v>
          </cell>
          <cell r="BD20">
            <v>978.76411826923061</v>
          </cell>
        </row>
        <row r="21">
          <cell r="B21">
            <v>52</v>
          </cell>
          <cell r="C21" t="str">
            <v>Said Rashid Khamis Al Makarshi</v>
          </cell>
          <cell r="D21" t="str">
            <v>Chain Crew Foreman</v>
          </cell>
          <cell r="E21" t="str">
            <v>07.06.04</v>
          </cell>
          <cell r="F21">
            <v>2.1286153846153844</v>
          </cell>
          <cell r="G21">
            <v>1.3303846153846153</v>
          </cell>
          <cell r="H21">
            <v>0</v>
          </cell>
          <cell r="I21">
            <v>136.5</v>
          </cell>
          <cell r="K21">
            <v>21</v>
          </cell>
          <cell r="L21">
            <v>9</v>
          </cell>
          <cell r="M21">
            <v>0</v>
          </cell>
          <cell r="N21">
            <v>0</v>
          </cell>
          <cell r="O21">
            <v>30</v>
          </cell>
          <cell r="P21">
            <v>56</v>
          </cell>
          <cell r="Q21">
            <v>1.68</v>
          </cell>
          <cell r="R21">
            <v>184.48</v>
          </cell>
          <cell r="S21">
            <v>110</v>
          </cell>
          <cell r="T21">
            <v>2</v>
          </cell>
          <cell r="U21">
            <v>5</v>
          </cell>
          <cell r="V21">
            <v>4.5</v>
          </cell>
          <cell r="W21">
            <v>184.48</v>
          </cell>
          <cell r="X21">
            <v>110</v>
          </cell>
          <cell r="Y21">
            <v>2</v>
          </cell>
          <cell r="Z21">
            <v>5</v>
          </cell>
          <cell r="AA21">
            <v>181.5975</v>
          </cell>
          <cell r="AB21">
            <v>94.5</v>
          </cell>
          <cell r="AD21">
            <v>0</v>
          </cell>
          <cell r="AH21">
            <v>0</v>
          </cell>
          <cell r="AI21">
            <v>0</v>
          </cell>
          <cell r="AJ21">
            <v>0</v>
          </cell>
          <cell r="AK21">
            <v>0</v>
          </cell>
          <cell r="AL21">
            <v>0</v>
          </cell>
          <cell r="AM21">
            <v>134.10276923076921</v>
          </cell>
          <cell r="AN21">
            <v>27</v>
          </cell>
          <cell r="AP21">
            <v>123</v>
          </cell>
          <cell r="AQ21">
            <v>861.68026923076923</v>
          </cell>
          <cell r="AR21">
            <v>11.991199999999999</v>
          </cell>
          <cell r="AT21">
            <v>11.991199999999999</v>
          </cell>
          <cell r="AU21">
            <v>849.68906923076918</v>
          </cell>
          <cell r="AX21">
            <v>52</v>
          </cell>
          <cell r="AZ21" t="str">
            <v>Said Rashid Khamis Al Makarshi</v>
          </cell>
          <cell r="BA21" t="str">
            <v>1012-252798-017</v>
          </cell>
          <cell r="BB21" t="str">
            <v>NBO</v>
          </cell>
          <cell r="BC21" t="str">
            <v>Ibri</v>
          </cell>
          <cell r="BD21">
            <v>849.68906923076918</v>
          </cell>
        </row>
        <row r="22">
          <cell r="B22">
            <v>53</v>
          </cell>
          <cell r="C22" t="str">
            <v>Suleiman Salim Saram Al Shandoudi</v>
          </cell>
          <cell r="D22" t="str">
            <v>Vib Operator</v>
          </cell>
          <cell r="E22" t="str">
            <v>07.06.04</v>
          </cell>
          <cell r="F22">
            <v>2.5241538461538462</v>
          </cell>
          <cell r="G22">
            <v>1.5775961538461538</v>
          </cell>
          <cell r="H22">
            <v>0</v>
          </cell>
          <cell r="I22">
            <v>0</v>
          </cell>
          <cell r="K22">
            <v>0</v>
          </cell>
          <cell r="L22">
            <v>0</v>
          </cell>
          <cell r="M22">
            <v>0</v>
          </cell>
          <cell r="N22">
            <v>0</v>
          </cell>
          <cell r="O22">
            <v>0</v>
          </cell>
          <cell r="P22">
            <v>64</v>
          </cell>
          <cell r="Q22">
            <v>1.92</v>
          </cell>
          <cell r="R22">
            <v>218.76</v>
          </cell>
          <cell r="S22">
            <v>120</v>
          </cell>
          <cell r="T22">
            <v>2</v>
          </cell>
          <cell r="U22">
            <v>5</v>
          </cell>
          <cell r="V22">
            <v>4.5</v>
          </cell>
          <cell r="W22">
            <v>0</v>
          </cell>
          <cell r="X22">
            <v>0</v>
          </cell>
          <cell r="Y22">
            <v>0</v>
          </cell>
          <cell r="Z22">
            <v>0</v>
          </cell>
          <cell r="AA22">
            <v>0</v>
          </cell>
          <cell r="AB22">
            <v>0</v>
          </cell>
          <cell r="AD22">
            <v>0</v>
          </cell>
          <cell r="AH22">
            <v>0</v>
          </cell>
          <cell r="AI22">
            <v>0</v>
          </cell>
          <cell r="AJ22">
            <v>0</v>
          </cell>
          <cell r="AK22">
            <v>0</v>
          </cell>
          <cell r="AL22">
            <v>0</v>
          </cell>
          <cell r="AM22">
            <v>0</v>
          </cell>
          <cell r="AN22">
            <v>0</v>
          </cell>
          <cell r="AP22">
            <v>0</v>
          </cell>
          <cell r="AQ22">
            <v>0</v>
          </cell>
          <cell r="AT22">
            <v>0</v>
          </cell>
          <cell r="AU22">
            <v>0</v>
          </cell>
          <cell r="AV22" t="str">
            <v>30 Days HLV</v>
          </cell>
          <cell r="AX22">
            <v>53</v>
          </cell>
          <cell r="AZ22" t="str">
            <v>Suleiman Salim Saram Al Shandoudi</v>
          </cell>
          <cell r="BA22" t="str">
            <v>002-235810 035</v>
          </cell>
          <cell r="BB22" t="str">
            <v>HSBC</v>
          </cell>
          <cell r="BC22" t="str">
            <v>Ruwi</v>
          </cell>
          <cell r="BD22">
            <v>0</v>
          </cell>
        </row>
        <row r="23">
          <cell r="B23">
            <v>61</v>
          </cell>
          <cell r="C23" t="str">
            <v>Saif Amur Manaa Al Ghafri</v>
          </cell>
          <cell r="D23" t="str">
            <v>Heavy Duty Driver</v>
          </cell>
          <cell r="E23" t="str">
            <v>07.06.04</v>
          </cell>
          <cell r="F23">
            <v>2.8653461538461538</v>
          </cell>
          <cell r="G23">
            <v>1.7908413461538462</v>
          </cell>
          <cell r="H23">
            <v>0</v>
          </cell>
          <cell r="I23">
            <v>84</v>
          </cell>
          <cell r="K23">
            <v>21</v>
          </cell>
          <cell r="L23">
            <v>9</v>
          </cell>
          <cell r="M23">
            <v>0</v>
          </cell>
          <cell r="N23">
            <v>0</v>
          </cell>
          <cell r="O23">
            <v>30</v>
          </cell>
          <cell r="P23">
            <v>96</v>
          </cell>
          <cell r="Q23">
            <v>2.88</v>
          </cell>
          <cell r="R23">
            <v>248.33</v>
          </cell>
          <cell r="S23">
            <v>120</v>
          </cell>
          <cell r="T23">
            <v>2</v>
          </cell>
          <cell r="U23">
            <v>5</v>
          </cell>
          <cell r="V23">
            <v>4.5</v>
          </cell>
          <cell r="W23">
            <v>248.33</v>
          </cell>
          <cell r="X23">
            <v>120</v>
          </cell>
          <cell r="Y23">
            <v>2</v>
          </cell>
          <cell r="Z23">
            <v>5</v>
          </cell>
          <cell r="AA23">
            <v>150.43067307692309</v>
          </cell>
          <cell r="AB23">
            <v>94.5</v>
          </cell>
          <cell r="AD23">
            <v>0</v>
          </cell>
          <cell r="AH23">
            <v>0</v>
          </cell>
          <cell r="AI23">
            <v>0</v>
          </cell>
          <cell r="AJ23">
            <v>0</v>
          </cell>
          <cell r="AK23">
            <v>0</v>
          </cell>
          <cell r="AL23">
            <v>0</v>
          </cell>
          <cell r="AM23">
            <v>0</v>
          </cell>
          <cell r="AN23">
            <v>0</v>
          </cell>
          <cell r="AP23">
            <v>0</v>
          </cell>
          <cell r="AQ23">
            <v>620.26067307692313</v>
          </cell>
          <cell r="AR23">
            <v>16.141450000000003</v>
          </cell>
          <cell r="AT23">
            <v>16.141450000000003</v>
          </cell>
          <cell r="AU23">
            <v>604.11922307692316</v>
          </cell>
          <cell r="AX23">
            <v>61</v>
          </cell>
          <cell r="AZ23" t="str">
            <v>Saif Amur Manaa Al Ghafri</v>
          </cell>
          <cell r="BA23" t="str">
            <v>002-178879 035</v>
          </cell>
          <cell r="BB23" t="str">
            <v>HSBC</v>
          </cell>
          <cell r="BC23" t="str">
            <v>Ruwi</v>
          </cell>
          <cell r="BD23">
            <v>604.11922307692316</v>
          </cell>
        </row>
        <row r="24">
          <cell r="B24">
            <v>63</v>
          </cell>
          <cell r="C24" t="str">
            <v>Abdullah Bakhit Harib Al Ghafri</v>
          </cell>
          <cell r="D24" t="str">
            <v>Heavy Duty Driver</v>
          </cell>
          <cell r="E24" t="str">
            <v>07.06.04</v>
          </cell>
          <cell r="F24">
            <v>2.6536153846153843</v>
          </cell>
          <cell r="G24">
            <v>1.6585096153846153</v>
          </cell>
          <cell r="H24">
            <v>0</v>
          </cell>
          <cell r="I24">
            <v>110</v>
          </cell>
          <cell r="K24">
            <v>20</v>
          </cell>
          <cell r="L24">
            <v>9</v>
          </cell>
          <cell r="M24">
            <v>1</v>
          </cell>
          <cell r="N24">
            <v>0</v>
          </cell>
          <cell r="O24">
            <v>30</v>
          </cell>
          <cell r="P24">
            <v>60</v>
          </cell>
          <cell r="Q24">
            <v>1.7999999999999998</v>
          </cell>
          <cell r="R24">
            <v>229.98</v>
          </cell>
          <cell r="S24">
            <v>120</v>
          </cell>
          <cell r="T24">
            <v>2</v>
          </cell>
          <cell r="U24">
            <v>5</v>
          </cell>
          <cell r="V24">
            <v>4.5</v>
          </cell>
          <cell r="W24">
            <v>229.98</v>
          </cell>
          <cell r="X24">
            <v>120</v>
          </cell>
          <cell r="Y24">
            <v>2</v>
          </cell>
          <cell r="Z24">
            <v>5</v>
          </cell>
          <cell r="AA24">
            <v>182.43605769230768</v>
          </cell>
          <cell r="AB24">
            <v>90</v>
          </cell>
          <cell r="AD24">
            <v>0</v>
          </cell>
          <cell r="AH24">
            <v>0</v>
          </cell>
          <cell r="AI24">
            <v>0</v>
          </cell>
          <cell r="AJ24">
            <v>0</v>
          </cell>
          <cell r="AK24">
            <v>0</v>
          </cell>
          <cell r="AL24">
            <v>33.170192307692304</v>
          </cell>
          <cell r="AM24">
            <v>0</v>
          </cell>
          <cell r="AN24">
            <v>0</v>
          </cell>
          <cell r="AP24">
            <v>0</v>
          </cell>
          <cell r="AQ24">
            <v>662.58625000000006</v>
          </cell>
          <cell r="AR24">
            <v>14.948700000000001</v>
          </cell>
          <cell r="AT24">
            <v>14.948700000000001</v>
          </cell>
          <cell r="AU24">
            <v>647.63755000000003</v>
          </cell>
          <cell r="AX24">
            <v>63</v>
          </cell>
          <cell r="AZ24" t="str">
            <v>Abdullah Bakhit Harib Al Ghafri</v>
          </cell>
          <cell r="BA24" t="str">
            <v>50-0141104427-800</v>
          </cell>
          <cell r="BB24" t="str">
            <v xml:space="preserve">Bank Dhofar </v>
          </cell>
          <cell r="BC24" t="str">
            <v>Ibri</v>
          </cell>
          <cell r="BD24">
            <v>647.63755000000003</v>
          </cell>
        </row>
        <row r="25">
          <cell r="B25">
            <v>64</v>
          </cell>
          <cell r="C25" t="str">
            <v>Hammad Khalaf Mohsin Al Kalbani</v>
          </cell>
          <cell r="D25" t="str">
            <v>Vib Operator</v>
          </cell>
          <cell r="E25" t="str">
            <v>09.06.04</v>
          </cell>
          <cell r="F25">
            <v>2.8358076923076925</v>
          </cell>
          <cell r="G25">
            <v>1.7723798076923079</v>
          </cell>
          <cell r="H25">
            <v>34</v>
          </cell>
          <cell r="I25">
            <v>183</v>
          </cell>
          <cell r="K25">
            <v>23</v>
          </cell>
          <cell r="L25">
            <v>0</v>
          </cell>
          <cell r="M25">
            <v>0</v>
          </cell>
          <cell r="N25">
            <v>0</v>
          </cell>
          <cell r="O25">
            <v>23</v>
          </cell>
          <cell r="P25">
            <v>63</v>
          </cell>
          <cell r="Q25">
            <v>1.89</v>
          </cell>
          <cell r="R25">
            <v>245.77</v>
          </cell>
          <cell r="S25">
            <v>120</v>
          </cell>
          <cell r="T25">
            <v>2</v>
          </cell>
          <cell r="U25">
            <v>5</v>
          </cell>
          <cell r="V25">
            <v>4.5</v>
          </cell>
          <cell r="W25">
            <v>188.42366666666669</v>
          </cell>
          <cell r="X25">
            <v>92</v>
          </cell>
          <cell r="Y25">
            <v>1.5333333333333332</v>
          </cell>
          <cell r="Z25">
            <v>3.833333333333333</v>
          </cell>
          <cell r="AA25">
            <v>324.34550480769235</v>
          </cell>
          <cell r="AB25">
            <v>103.5</v>
          </cell>
          <cell r="AD25">
            <v>96.417461538461538</v>
          </cell>
          <cell r="AH25">
            <v>0</v>
          </cell>
          <cell r="AI25">
            <v>0</v>
          </cell>
          <cell r="AJ25">
            <v>0</v>
          </cell>
          <cell r="AK25">
            <v>0</v>
          </cell>
          <cell r="AL25">
            <v>0</v>
          </cell>
          <cell r="AM25">
            <v>289.25238461538464</v>
          </cell>
          <cell r="AN25">
            <v>27</v>
          </cell>
          <cell r="AP25">
            <v>123</v>
          </cell>
          <cell r="AQ25">
            <v>1249.305684294872</v>
          </cell>
          <cell r="AR25">
            <v>15.975050000000001</v>
          </cell>
          <cell r="AT25">
            <v>15.975050000000001</v>
          </cell>
          <cell r="AU25">
            <v>1233.330634294872</v>
          </cell>
          <cell r="AW25">
            <v>95</v>
          </cell>
          <cell r="AX25">
            <v>64</v>
          </cell>
          <cell r="AZ25" t="str">
            <v>Hammad Khalaf Mohsin Al Kalbani</v>
          </cell>
          <cell r="BA25" t="str">
            <v>1012-346823-017</v>
          </cell>
          <cell r="BB25" t="str">
            <v>NBO</v>
          </cell>
          <cell r="BC25" t="str">
            <v>Ibri</v>
          </cell>
          <cell r="BD25">
            <v>1233.330634294872</v>
          </cell>
        </row>
        <row r="26">
          <cell r="B26">
            <v>77</v>
          </cell>
          <cell r="C26" t="str">
            <v>Shiwain Obeid Hussain Al Darai</v>
          </cell>
          <cell r="D26" t="str">
            <v>Vib Operator</v>
          </cell>
          <cell r="E26" t="str">
            <v>07.06.04</v>
          </cell>
          <cell r="F26">
            <v>2.4525000000000006</v>
          </cell>
          <cell r="G26">
            <v>1.5328125000000004</v>
          </cell>
          <cell r="H26">
            <v>0</v>
          </cell>
          <cell r="I26">
            <v>176</v>
          </cell>
          <cell r="K26">
            <v>21</v>
          </cell>
          <cell r="L26">
            <v>9</v>
          </cell>
          <cell r="M26">
            <v>0</v>
          </cell>
          <cell r="N26">
            <v>0</v>
          </cell>
          <cell r="O26">
            <v>30</v>
          </cell>
          <cell r="P26">
            <v>65</v>
          </cell>
          <cell r="Q26">
            <v>1.95</v>
          </cell>
          <cell r="R26">
            <v>212.55</v>
          </cell>
          <cell r="S26">
            <v>120</v>
          </cell>
          <cell r="T26">
            <v>2</v>
          </cell>
          <cell r="U26">
            <v>5</v>
          </cell>
          <cell r="V26">
            <v>4.5</v>
          </cell>
          <cell r="W26">
            <v>212.55</v>
          </cell>
          <cell r="X26">
            <v>120</v>
          </cell>
          <cell r="Y26">
            <v>2</v>
          </cell>
          <cell r="Z26">
            <v>5</v>
          </cell>
          <cell r="AA26">
            <v>269.77500000000009</v>
          </cell>
          <cell r="AB26">
            <v>94.5</v>
          </cell>
          <cell r="AD26">
            <v>0</v>
          </cell>
          <cell r="AH26">
            <v>0</v>
          </cell>
          <cell r="AI26">
            <v>0</v>
          </cell>
          <cell r="AJ26">
            <v>0</v>
          </cell>
          <cell r="AK26">
            <v>0</v>
          </cell>
          <cell r="AL26">
            <v>0</v>
          </cell>
          <cell r="AM26">
            <v>250.15500000000006</v>
          </cell>
          <cell r="AN26">
            <v>27</v>
          </cell>
          <cell r="AP26">
            <v>123</v>
          </cell>
          <cell r="AQ26">
            <v>1103.98</v>
          </cell>
          <cell r="AR26">
            <v>13.815750000000001</v>
          </cell>
          <cell r="AT26">
            <v>13.815750000000001</v>
          </cell>
          <cell r="AU26">
            <v>1090.16425</v>
          </cell>
          <cell r="AX26">
            <v>77</v>
          </cell>
          <cell r="AZ26" t="str">
            <v>Shiwain Obeid Hussain Al Darai</v>
          </cell>
          <cell r="BA26" t="str">
            <v>22-054845-20</v>
          </cell>
          <cell r="BB26" t="str">
            <v>OIB</v>
          </cell>
          <cell r="BC26" t="str">
            <v>Ibri</v>
          </cell>
          <cell r="BD26">
            <v>1090.16425</v>
          </cell>
        </row>
        <row r="27">
          <cell r="B27">
            <v>79</v>
          </cell>
          <cell r="C27" t="str">
            <v>Saif Sulaiman Saif Al Khatri</v>
          </cell>
          <cell r="D27" t="str">
            <v>Group Foreman</v>
          </cell>
          <cell r="E27" t="str">
            <v>07.06.04</v>
          </cell>
          <cell r="F27">
            <v>1.9790769230769234</v>
          </cell>
          <cell r="G27">
            <v>1.2369230769230772</v>
          </cell>
          <cell r="H27">
            <v>21</v>
          </cell>
          <cell r="I27">
            <v>86.5</v>
          </cell>
          <cell r="K27">
            <v>21</v>
          </cell>
          <cell r="L27">
            <v>9</v>
          </cell>
          <cell r="M27">
            <v>0</v>
          </cell>
          <cell r="N27">
            <v>0</v>
          </cell>
          <cell r="O27">
            <v>30</v>
          </cell>
          <cell r="P27">
            <v>58</v>
          </cell>
          <cell r="Q27">
            <v>1.74</v>
          </cell>
          <cell r="R27">
            <v>171.52</v>
          </cell>
          <cell r="S27">
            <v>85</v>
          </cell>
          <cell r="T27">
            <v>2</v>
          </cell>
          <cell r="U27">
            <v>5</v>
          </cell>
          <cell r="V27">
            <v>4.5</v>
          </cell>
          <cell r="W27">
            <v>171.52</v>
          </cell>
          <cell r="X27">
            <v>85</v>
          </cell>
          <cell r="Y27">
            <v>2</v>
          </cell>
          <cell r="Z27">
            <v>5</v>
          </cell>
          <cell r="AA27">
            <v>106.99384615384618</v>
          </cell>
          <cell r="AB27">
            <v>94.5</v>
          </cell>
          <cell r="AD27">
            <v>41.560615384615389</v>
          </cell>
          <cell r="AH27">
            <v>0</v>
          </cell>
          <cell r="AI27">
            <v>0</v>
          </cell>
          <cell r="AJ27">
            <v>0</v>
          </cell>
          <cell r="AK27">
            <v>0</v>
          </cell>
          <cell r="AL27">
            <v>20.409230769230774</v>
          </cell>
          <cell r="AM27">
            <v>0</v>
          </cell>
          <cell r="AN27">
            <v>-13.5</v>
          </cell>
          <cell r="AP27">
            <v>0</v>
          </cell>
          <cell r="AQ27">
            <v>513.48369230769231</v>
          </cell>
          <cell r="AR27">
            <v>11.148800000000001</v>
          </cell>
          <cell r="AT27">
            <v>11.148800000000001</v>
          </cell>
          <cell r="AU27">
            <v>502.33489230769231</v>
          </cell>
          <cell r="AX27">
            <v>79</v>
          </cell>
          <cell r="AZ27" t="str">
            <v>Saif Sulaiman Saif Al Khatri</v>
          </cell>
          <cell r="BA27" t="str">
            <v>1019-288531-017</v>
          </cell>
          <cell r="BB27" t="str">
            <v>NBO</v>
          </cell>
          <cell r="BC27" t="str">
            <v>Bahla</v>
          </cell>
          <cell r="BD27">
            <v>502.33489230769231</v>
          </cell>
        </row>
        <row r="28">
          <cell r="B28">
            <v>82</v>
          </cell>
          <cell r="C28" t="str">
            <v>Khalifa Salim Mohamed Al Gharibi</v>
          </cell>
          <cell r="D28" t="str">
            <v>Labour</v>
          </cell>
          <cell r="E28" t="str">
            <v>25.05.04</v>
          </cell>
          <cell r="F28">
            <v>1.8591923076923076</v>
          </cell>
          <cell r="G28">
            <v>1.1619951923076923</v>
          </cell>
          <cell r="H28">
            <v>24</v>
          </cell>
          <cell r="I28">
            <v>119</v>
          </cell>
          <cell r="K28">
            <v>23</v>
          </cell>
          <cell r="L28">
            <v>7</v>
          </cell>
          <cell r="M28">
            <v>0</v>
          </cell>
          <cell r="N28">
            <v>0</v>
          </cell>
          <cell r="O28">
            <v>30</v>
          </cell>
          <cell r="P28">
            <v>62</v>
          </cell>
          <cell r="Q28">
            <v>1.8599999999999999</v>
          </cell>
          <cell r="R28">
            <v>161.13</v>
          </cell>
          <cell r="S28">
            <v>85</v>
          </cell>
          <cell r="T28">
            <v>2</v>
          </cell>
          <cell r="U28">
            <v>5</v>
          </cell>
          <cell r="V28">
            <v>4.5</v>
          </cell>
          <cell r="W28">
            <v>161.13</v>
          </cell>
          <cell r="X28">
            <v>85</v>
          </cell>
          <cell r="Y28">
            <v>2</v>
          </cell>
          <cell r="Z28">
            <v>5</v>
          </cell>
          <cell r="AA28">
            <v>138.27742788461538</v>
          </cell>
          <cell r="AB28">
            <v>103.5</v>
          </cell>
          <cell r="AD28">
            <v>44.620615384615384</v>
          </cell>
          <cell r="AH28">
            <v>0</v>
          </cell>
          <cell r="AI28">
            <v>0</v>
          </cell>
          <cell r="AJ28">
            <v>0</v>
          </cell>
          <cell r="AK28">
            <v>0</v>
          </cell>
          <cell r="AL28">
            <v>63.909735576923076</v>
          </cell>
          <cell r="AM28">
            <v>133.86184615384616</v>
          </cell>
          <cell r="AN28">
            <v>31.5</v>
          </cell>
          <cell r="AP28">
            <v>123</v>
          </cell>
          <cell r="AQ28">
            <v>891.79962499999988</v>
          </cell>
          <cell r="AR28">
            <v>10.47345</v>
          </cell>
          <cell r="AT28">
            <v>10.47345</v>
          </cell>
          <cell r="AU28">
            <v>881.32617499999992</v>
          </cell>
          <cell r="AX28">
            <v>82</v>
          </cell>
          <cell r="AZ28" t="str">
            <v>Khalifa Salim Mohamed Al Gharibi</v>
          </cell>
          <cell r="BA28" t="str">
            <v>22-016976-20</v>
          </cell>
          <cell r="BB28" t="str">
            <v>OIB</v>
          </cell>
          <cell r="BC28" t="str">
            <v>Ibri</v>
          </cell>
          <cell r="BD28">
            <v>881.32617499999992</v>
          </cell>
        </row>
        <row r="29">
          <cell r="B29">
            <v>83</v>
          </cell>
          <cell r="C29" t="str">
            <v>Salim Sulaiyam Nasser Al Khatri</v>
          </cell>
          <cell r="D29" t="str">
            <v>Labour</v>
          </cell>
          <cell r="E29" t="str">
            <v>07.06.04</v>
          </cell>
          <cell r="F29">
            <v>1.8848076923076922</v>
          </cell>
          <cell r="G29">
            <v>1.1780048076923075</v>
          </cell>
          <cell r="H29">
            <v>24</v>
          </cell>
          <cell r="I29">
            <v>119</v>
          </cell>
          <cell r="K29">
            <v>23</v>
          </cell>
          <cell r="L29">
            <v>7</v>
          </cell>
          <cell r="M29">
            <v>0</v>
          </cell>
          <cell r="N29">
            <v>0</v>
          </cell>
          <cell r="O29">
            <v>30</v>
          </cell>
          <cell r="P29">
            <v>55</v>
          </cell>
          <cell r="Q29">
            <v>1.65</v>
          </cell>
          <cell r="R29">
            <v>163.35</v>
          </cell>
          <cell r="S29">
            <v>85</v>
          </cell>
          <cell r="T29">
            <v>2</v>
          </cell>
          <cell r="U29">
            <v>5</v>
          </cell>
          <cell r="V29">
            <v>4.5</v>
          </cell>
          <cell r="W29">
            <v>163.35</v>
          </cell>
          <cell r="X29">
            <v>85</v>
          </cell>
          <cell r="Y29">
            <v>2</v>
          </cell>
          <cell r="Z29">
            <v>5</v>
          </cell>
          <cell r="AA29">
            <v>140.1825721153846</v>
          </cell>
          <cell r="AB29">
            <v>103.5</v>
          </cell>
          <cell r="AD29">
            <v>45.235384615384611</v>
          </cell>
          <cell r="AH29">
            <v>0</v>
          </cell>
          <cell r="AI29">
            <v>0</v>
          </cell>
          <cell r="AJ29">
            <v>0</v>
          </cell>
          <cell r="AK29">
            <v>0</v>
          </cell>
          <cell r="AL29">
            <v>57.133233173076917</v>
          </cell>
          <cell r="AM29">
            <v>0</v>
          </cell>
          <cell r="AN29">
            <v>0</v>
          </cell>
          <cell r="AP29">
            <v>0</v>
          </cell>
          <cell r="AQ29">
            <v>601.40118990384622</v>
          </cell>
          <cell r="AR29">
            <v>10.617749999999999</v>
          </cell>
          <cell r="AT29">
            <v>10.617749999999999</v>
          </cell>
          <cell r="AU29">
            <v>590.78343990384622</v>
          </cell>
          <cell r="AX29">
            <v>83</v>
          </cell>
          <cell r="AZ29" t="str">
            <v>Salim Sulaiyam Nasser Al Khatri</v>
          </cell>
          <cell r="BA29" t="str">
            <v>26-004176-20</v>
          </cell>
          <cell r="BB29" t="str">
            <v>OIB</v>
          </cell>
          <cell r="BC29" t="str">
            <v>Dhank</v>
          </cell>
          <cell r="BD29">
            <v>590.78343990384622</v>
          </cell>
        </row>
        <row r="30">
          <cell r="B30">
            <v>84</v>
          </cell>
          <cell r="C30" t="str">
            <v>Sulaiman Humaid Salim Al Yaqoubi</v>
          </cell>
          <cell r="D30" t="str">
            <v>Labour</v>
          </cell>
          <cell r="E30" t="str">
            <v>07.06.04</v>
          </cell>
          <cell r="F30">
            <v>1.8722307692307691</v>
          </cell>
          <cell r="G30">
            <v>1.1701442307692307</v>
          </cell>
          <cell r="H30">
            <v>20</v>
          </cell>
          <cell r="I30">
            <v>52</v>
          </cell>
          <cell r="K30">
            <v>16</v>
          </cell>
          <cell r="L30">
            <v>14</v>
          </cell>
          <cell r="M30">
            <v>0</v>
          </cell>
          <cell r="N30">
            <v>0</v>
          </cell>
          <cell r="O30">
            <v>30</v>
          </cell>
          <cell r="P30">
            <v>58</v>
          </cell>
          <cell r="Q30">
            <v>1.74</v>
          </cell>
          <cell r="R30">
            <v>162.26</v>
          </cell>
          <cell r="S30">
            <v>85</v>
          </cell>
          <cell r="T30">
            <v>2</v>
          </cell>
          <cell r="U30">
            <v>5</v>
          </cell>
          <cell r="V30">
            <v>4.5</v>
          </cell>
          <cell r="W30">
            <v>162.26</v>
          </cell>
          <cell r="X30">
            <v>85</v>
          </cell>
          <cell r="Y30">
            <v>2</v>
          </cell>
          <cell r="Z30">
            <v>5</v>
          </cell>
          <cell r="AA30">
            <v>60.847499999999997</v>
          </cell>
          <cell r="AB30">
            <v>72</v>
          </cell>
          <cell r="AD30">
            <v>37.444615384615382</v>
          </cell>
          <cell r="AH30">
            <v>0</v>
          </cell>
          <cell r="AI30">
            <v>0</v>
          </cell>
          <cell r="AJ30">
            <v>0</v>
          </cell>
          <cell r="AK30">
            <v>0</v>
          </cell>
          <cell r="AL30">
            <v>74.889230769230764</v>
          </cell>
          <cell r="AM30">
            <v>112.33384615384615</v>
          </cell>
          <cell r="AN30">
            <v>27</v>
          </cell>
          <cell r="AP30">
            <v>123</v>
          </cell>
          <cell r="AQ30">
            <v>761.77519230769224</v>
          </cell>
          <cell r="AR30">
            <v>10.546899999999999</v>
          </cell>
          <cell r="AT30">
            <v>10.546899999999999</v>
          </cell>
          <cell r="AU30">
            <v>751.22829230769219</v>
          </cell>
          <cell r="AX30">
            <v>84</v>
          </cell>
          <cell r="AZ30" t="str">
            <v>Sulaiman Humaid Salim Al Yaqoubi</v>
          </cell>
          <cell r="BA30" t="str">
            <v>1010-348345</v>
          </cell>
          <cell r="BB30" t="str">
            <v>NBO</v>
          </cell>
          <cell r="BC30" t="str">
            <v>Nizwa</v>
          </cell>
          <cell r="BD30">
            <v>751.22829230769219</v>
          </cell>
        </row>
        <row r="31">
          <cell r="B31">
            <v>87</v>
          </cell>
          <cell r="C31" t="str">
            <v>Khalifa Said Ali Al Shekaili</v>
          </cell>
          <cell r="D31" t="str">
            <v>Labour</v>
          </cell>
          <cell r="E31" t="str">
            <v>07.06.04</v>
          </cell>
          <cell r="F31">
            <v>1.8623076923076924</v>
          </cell>
          <cell r="G31">
            <v>1.1639423076923077</v>
          </cell>
          <cell r="H31">
            <v>20</v>
          </cell>
          <cell r="I31">
            <v>52</v>
          </cell>
          <cell r="K31">
            <v>16</v>
          </cell>
          <cell r="L31">
            <v>14</v>
          </cell>
          <cell r="M31">
            <v>0</v>
          </cell>
          <cell r="N31">
            <v>0</v>
          </cell>
          <cell r="O31">
            <v>30</v>
          </cell>
          <cell r="P31">
            <v>58</v>
          </cell>
          <cell r="Q31">
            <v>1.74</v>
          </cell>
          <cell r="R31">
            <v>161.4</v>
          </cell>
          <cell r="S31">
            <v>85</v>
          </cell>
          <cell r="T31">
            <v>2</v>
          </cell>
          <cell r="U31">
            <v>5</v>
          </cell>
          <cell r="V31">
            <v>4.5</v>
          </cell>
          <cell r="W31">
            <v>161.4</v>
          </cell>
          <cell r="X31">
            <v>85</v>
          </cell>
          <cell r="Y31">
            <v>2</v>
          </cell>
          <cell r="Z31">
            <v>5</v>
          </cell>
          <cell r="AA31">
            <v>60.524999999999999</v>
          </cell>
          <cell r="AB31">
            <v>72</v>
          </cell>
          <cell r="AD31">
            <v>37.246153846153845</v>
          </cell>
          <cell r="AH31">
            <v>0</v>
          </cell>
          <cell r="AI31">
            <v>0</v>
          </cell>
          <cell r="AJ31">
            <v>0</v>
          </cell>
          <cell r="AK31">
            <v>0</v>
          </cell>
          <cell r="AL31">
            <v>69.836538461538453</v>
          </cell>
          <cell r="AM31">
            <v>0</v>
          </cell>
          <cell r="AN31">
            <v>0</v>
          </cell>
          <cell r="AP31">
            <v>0</v>
          </cell>
          <cell r="AQ31">
            <v>493.00769230769231</v>
          </cell>
          <cell r="AR31">
            <v>10.491000000000001</v>
          </cell>
          <cell r="AT31">
            <v>10.491000000000001</v>
          </cell>
          <cell r="AU31">
            <v>482.51669230769232</v>
          </cell>
          <cell r="AX31">
            <v>87</v>
          </cell>
          <cell r="AZ31" t="str">
            <v>Khalifa Said Ali Al Shekaili</v>
          </cell>
          <cell r="BA31" t="str">
            <v>22-090922-20</v>
          </cell>
          <cell r="BB31" t="str">
            <v>OIB</v>
          </cell>
          <cell r="BC31" t="str">
            <v>Ibri</v>
          </cell>
          <cell r="BD31">
            <v>482.51669230769232</v>
          </cell>
        </row>
        <row r="32">
          <cell r="B32">
            <v>91</v>
          </cell>
          <cell r="C32" t="str">
            <v>Salim Said Suwaid Al Shekaili</v>
          </cell>
          <cell r="D32" t="str">
            <v>Labour</v>
          </cell>
          <cell r="E32" t="str">
            <v>07.06.04</v>
          </cell>
          <cell r="F32">
            <v>1.7646923076923076</v>
          </cell>
          <cell r="G32">
            <v>1.1029326923076923</v>
          </cell>
          <cell r="H32">
            <v>24</v>
          </cell>
          <cell r="I32">
            <v>68</v>
          </cell>
          <cell r="K32">
            <v>16</v>
          </cell>
          <cell r="L32">
            <v>14</v>
          </cell>
          <cell r="M32">
            <v>0</v>
          </cell>
          <cell r="N32">
            <v>0</v>
          </cell>
          <cell r="O32">
            <v>30</v>
          </cell>
          <cell r="P32">
            <v>61</v>
          </cell>
          <cell r="Q32">
            <v>1.8299999999999998</v>
          </cell>
          <cell r="R32">
            <v>152.94</v>
          </cell>
          <cell r="S32">
            <v>85</v>
          </cell>
          <cell r="T32">
            <v>2</v>
          </cell>
          <cell r="U32">
            <v>5</v>
          </cell>
          <cell r="V32">
            <v>4.5</v>
          </cell>
          <cell r="W32">
            <v>152.94</v>
          </cell>
          <cell r="X32">
            <v>85</v>
          </cell>
          <cell r="Y32">
            <v>2</v>
          </cell>
          <cell r="Z32">
            <v>5</v>
          </cell>
          <cell r="AA32">
            <v>74.99942307692308</v>
          </cell>
          <cell r="AB32">
            <v>72</v>
          </cell>
          <cell r="AD32">
            <v>42.352615384615383</v>
          </cell>
          <cell r="AH32">
            <v>0</v>
          </cell>
          <cell r="AI32">
            <v>0</v>
          </cell>
          <cell r="AJ32">
            <v>0</v>
          </cell>
          <cell r="AK32">
            <v>0</v>
          </cell>
          <cell r="AL32">
            <v>0</v>
          </cell>
          <cell r="AM32">
            <v>127.05784615384614</v>
          </cell>
          <cell r="AN32">
            <v>27</v>
          </cell>
          <cell r="AP32">
            <v>123</v>
          </cell>
          <cell r="AQ32">
            <v>711.34988461538455</v>
          </cell>
          <cell r="AR32">
            <v>9.9411000000000005</v>
          </cell>
          <cell r="AT32">
            <v>9.9411000000000005</v>
          </cell>
          <cell r="AU32">
            <v>701.40878461538455</v>
          </cell>
          <cell r="AX32">
            <v>91</v>
          </cell>
          <cell r="AZ32" t="str">
            <v>Salim Said Suwaid Al Shekaili</v>
          </cell>
          <cell r="BA32" t="str">
            <v>22-055206-20</v>
          </cell>
          <cell r="BB32" t="str">
            <v>OIB</v>
          </cell>
          <cell r="BC32" t="str">
            <v>Ibri</v>
          </cell>
          <cell r="BD32">
            <v>701.40878461538455</v>
          </cell>
        </row>
        <row r="33">
          <cell r="B33">
            <v>96</v>
          </cell>
          <cell r="C33" t="str">
            <v>Sultan Saif Mohamed Al Daral</v>
          </cell>
          <cell r="D33" t="str">
            <v>Labour</v>
          </cell>
          <cell r="E33" t="str">
            <v>07.06.04</v>
          </cell>
          <cell r="F33">
            <v>1.9120384615384616</v>
          </cell>
          <cell r="G33">
            <v>1.1950240384615385</v>
          </cell>
          <cell r="H33">
            <v>24</v>
          </cell>
          <cell r="I33">
            <v>119</v>
          </cell>
          <cell r="K33">
            <v>23</v>
          </cell>
          <cell r="L33">
            <v>7</v>
          </cell>
          <cell r="M33">
            <v>0</v>
          </cell>
          <cell r="N33">
            <v>0</v>
          </cell>
          <cell r="O33">
            <v>30</v>
          </cell>
          <cell r="P33">
            <v>58</v>
          </cell>
          <cell r="Q33">
            <v>1.74</v>
          </cell>
          <cell r="R33">
            <v>165.71</v>
          </cell>
          <cell r="S33">
            <v>85</v>
          </cell>
          <cell r="T33">
            <v>2</v>
          </cell>
          <cell r="U33">
            <v>5</v>
          </cell>
          <cell r="V33">
            <v>4.5</v>
          </cell>
          <cell r="W33">
            <v>165.71</v>
          </cell>
          <cell r="X33">
            <v>85</v>
          </cell>
          <cell r="Y33">
            <v>2</v>
          </cell>
          <cell r="Z33">
            <v>5</v>
          </cell>
          <cell r="AA33">
            <v>142.20786057692308</v>
          </cell>
          <cell r="AB33">
            <v>103.5</v>
          </cell>
          <cell r="AD33">
            <v>45.888923076923078</v>
          </cell>
          <cell r="AH33">
            <v>0</v>
          </cell>
          <cell r="AI33">
            <v>0</v>
          </cell>
          <cell r="AJ33">
            <v>0</v>
          </cell>
          <cell r="AK33">
            <v>0</v>
          </cell>
          <cell r="AL33">
            <v>56.763641826923077</v>
          </cell>
          <cell r="AM33">
            <v>0</v>
          </cell>
          <cell r="AN33">
            <v>4.5</v>
          </cell>
          <cell r="AP33">
            <v>0</v>
          </cell>
          <cell r="AQ33">
            <v>610.57042548076925</v>
          </cell>
          <cell r="AR33">
            <v>10.77115</v>
          </cell>
          <cell r="AT33">
            <v>10.77115</v>
          </cell>
          <cell r="AU33">
            <v>599.79927548076921</v>
          </cell>
          <cell r="AX33">
            <v>96</v>
          </cell>
          <cell r="AZ33" t="str">
            <v>Sultan Saif Mohamed Al Daral</v>
          </cell>
          <cell r="BA33" t="str">
            <v>1012-241147-017</v>
          </cell>
          <cell r="BB33" t="str">
            <v>NBO</v>
          </cell>
          <cell r="BC33" t="str">
            <v>Ibri</v>
          </cell>
          <cell r="BD33">
            <v>599.79927548076921</v>
          </cell>
        </row>
        <row r="34">
          <cell r="B34">
            <v>100</v>
          </cell>
          <cell r="C34" t="str">
            <v>Marhoun Rashid Sultan Al Mamari</v>
          </cell>
          <cell r="D34" t="str">
            <v>Labour</v>
          </cell>
          <cell r="E34" t="str">
            <v>07.06.04</v>
          </cell>
          <cell r="F34">
            <v>1.9538076923076924</v>
          </cell>
          <cell r="G34">
            <v>1.2211298076923076</v>
          </cell>
          <cell r="H34">
            <v>0</v>
          </cell>
          <cell r="I34">
            <v>84</v>
          </cell>
          <cell r="K34">
            <v>21</v>
          </cell>
          <cell r="L34">
            <v>9</v>
          </cell>
          <cell r="M34">
            <v>0</v>
          </cell>
          <cell r="N34">
            <v>0</v>
          </cell>
          <cell r="O34">
            <v>30</v>
          </cell>
          <cell r="P34">
            <v>63</v>
          </cell>
          <cell r="Q34">
            <v>1.89</v>
          </cell>
          <cell r="R34">
            <v>169.33</v>
          </cell>
          <cell r="S34">
            <v>85</v>
          </cell>
          <cell r="T34">
            <v>2</v>
          </cell>
          <cell r="U34">
            <v>5</v>
          </cell>
          <cell r="V34">
            <v>4.5</v>
          </cell>
          <cell r="W34">
            <v>169.33</v>
          </cell>
          <cell r="X34">
            <v>85</v>
          </cell>
          <cell r="Y34">
            <v>2</v>
          </cell>
          <cell r="Z34">
            <v>5</v>
          </cell>
          <cell r="AA34">
            <v>102.57490384615384</v>
          </cell>
          <cell r="AB34">
            <v>94.5</v>
          </cell>
          <cell r="AD34">
            <v>0</v>
          </cell>
          <cell r="AH34">
            <v>38.235806451612909</v>
          </cell>
          <cell r="AI34">
            <v>19.193548387096772</v>
          </cell>
          <cell r="AJ34">
            <v>0.45161290322580644</v>
          </cell>
          <cell r="AK34">
            <v>1.129032258064516</v>
          </cell>
          <cell r="AL34">
            <v>34.191634615384615</v>
          </cell>
          <cell r="AM34">
            <v>0</v>
          </cell>
          <cell r="AN34">
            <v>31.5</v>
          </cell>
          <cell r="AO34">
            <v>-11.006450000000001</v>
          </cell>
          <cell r="AP34">
            <v>10</v>
          </cell>
          <cell r="AQ34">
            <v>582.10008846153858</v>
          </cell>
          <cell r="AR34">
            <v>11.006450000000001</v>
          </cell>
          <cell r="AT34">
            <v>11.006450000000001</v>
          </cell>
          <cell r="AU34">
            <v>571.0936384615386</v>
          </cell>
          <cell r="AV34" t="str">
            <v>One Month GOSI of October &amp; 10 Rials Ration of Sep &amp; Oct</v>
          </cell>
          <cell r="AX34">
            <v>100</v>
          </cell>
          <cell r="AZ34" t="str">
            <v>Marhoun Rashid Sultan Al Mamari</v>
          </cell>
          <cell r="BA34" t="str">
            <v>22-052336-20</v>
          </cell>
          <cell r="BB34" t="str">
            <v>OIB</v>
          </cell>
          <cell r="BC34" t="str">
            <v>Ibri</v>
          </cell>
          <cell r="BD34">
            <v>571.0936384615386</v>
          </cell>
        </row>
        <row r="35">
          <cell r="B35">
            <v>103</v>
          </cell>
          <cell r="C35" t="str">
            <v>Salim Humaid Rashid Al Hinai</v>
          </cell>
          <cell r="D35" t="str">
            <v>GPS Operator</v>
          </cell>
          <cell r="E35" t="str">
            <v>07.06.04</v>
          </cell>
          <cell r="F35">
            <v>2.1507230769230774</v>
          </cell>
          <cell r="G35">
            <v>1.3442019230769233</v>
          </cell>
          <cell r="H35">
            <v>21</v>
          </cell>
          <cell r="I35">
            <v>35</v>
          </cell>
          <cell r="K35">
            <v>16</v>
          </cell>
          <cell r="L35">
            <v>14</v>
          </cell>
          <cell r="M35">
            <v>0</v>
          </cell>
          <cell r="N35">
            <v>0</v>
          </cell>
          <cell r="O35">
            <v>30</v>
          </cell>
          <cell r="P35">
            <v>56</v>
          </cell>
          <cell r="Q35">
            <v>1.68</v>
          </cell>
          <cell r="R35">
            <v>186.39600000000002</v>
          </cell>
          <cell r="S35">
            <v>110</v>
          </cell>
          <cell r="T35">
            <v>2</v>
          </cell>
          <cell r="U35">
            <v>5</v>
          </cell>
          <cell r="V35">
            <v>4.5</v>
          </cell>
          <cell r="W35">
            <v>186.39600000000002</v>
          </cell>
          <cell r="X35">
            <v>110</v>
          </cell>
          <cell r="Y35">
            <v>2</v>
          </cell>
          <cell r="Z35">
            <v>5</v>
          </cell>
          <cell r="AA35">
            <v>47.047067307692316</v>
          </cell>
          <cell r="AB35">
            <v>72</v>
          </cell>
          <cell r="AD35">
            <v>45.165184615384625</v>
          </cell>
          <cell r="AH35">
            <v>0</v>
          </cell>
          <cell r="AI35">
            <v>0</v>
          </cell>
          <cell r="AJ35">
            <v>0</v>
          </cell>
          <cell r="AK35">
            <v>0</v>
          </cell>
          <cell r="AL35">
            <v>0</v>
          </cell>
          <cell r="AM35">
            <v>135.49555384615388</v>
          </cell>
          <cell r="AN35">
            <v>27</v>
          </cell>
          <cell r="AP35">
            <v>123</v>
          </cell>
          <cell r="AQ35">
            <v>753.1038057692308</v>
          </cell>
          <cell r="AR35">
            <v>12.115740000000001</v>
          </cell>
          <cell r="AT35">
            <v>12.115740000000001</v>
          </cell>
          <cell r="AU35">
            <v>740.98806576923084</v>
          </cell>
          <cell r="AX35">
            <v>103</v>
          </cell>
          <cell r="AZ35" t="str">
            <v>Salim Humaid Rashid Al Hinai</v>
          </cell>
          <cell r="BA35" t="str">
            <v>21-623160-20</v>
          </cell>
          <cell r="BB35" t="str">
            <v>OIB</v>
          </cell>
          <cell r="BC35" t="str">
            <v>Bahla</v>
          </cell>
          <cell r="BD35">
            <v>740.98806576923084</v>
          </cell>
        </row>
        <row r="36">
          <cell r="B36">
            <v>116</v>
          </cell>
          <cell r="C36" t="str">
            <v>Said Saif Said Al Ghafri</v>
          </cell>
          <cell r="D36" t="str">
            <v>Labour</v>
          </cell>
          <cell r="E36" t="str">
            <v>07.06.04</v>
          </cell>
          <cell r="F36">
            <v>1.8178846153846155</v>
          </cell>
          <cell r="G36">
            <v>1.1361778846153847</v>
          </cell>
          <cell r="H36">
            <v>20</v>
          </cell>
          <cell r="I36">
            <v>42</v>
          </cell>
          <cell r="K36">
            <v>23</v>
          </cell>
          <cell r="L36">
            <v>7</v>
          </cell>
          <cell r="M36">
            <v>0</v>
          </cell>
          <cell r="N36">
            <v>0</v>
          </cell>
          <cell r="O36">
            <v>30</v>
          </cell>
          <cell r="P36">
            <v>56</v>
          </cell>
          <cell r="Q36">
            <v>1.68</v>
          </cell>
          <cell r="R36">
            <v>157.55000000000001</v>
          </cell>
          <cell r="S36">
            <v>85</v>
          </cell>
          <cell r="T36">
            <v>2</v>
          </cell>
          <cell r="U36">
            <v>5</v>
          </cell>
          <cell r="V36">
            <v>4.5</v>
          </cell>
          <cell r="W36">
            <v>157.55000000000001</v>
          </cell>
          <cell r="X36">
            <v>85</v>
          </cell>
          <cell r="Y36">
            <v>2</v>
          </cell>
          <cell r="Z36">
            <v>5</v>
          </cell>
          <cell r="AA36">
            <v>47.719471153846158</v>
          </cell>
          <cell r="AB36">
            <v>103.5</v>
          </cell>
          <cell r="AD36">
            <v>36.357692307692311</v>
          </cell>
          <cell r="AH36">
            <v>0</v>
          </cell>
          <cell r="AI36">
            <v>0</v>
          </cell>
          <cell r="AJ36">
            <v>0</v>
          </cell>
          <cell r="AK36">
            <v>0</v>
          </cell>
          <cell r="AL36">
            <v>0</v>
          </cell>
          <cell r="AM36">
            <v>0</v>
          </cell>
          <cell r="AN36">
            <v>0</v>
          </cell>
          <cell r="AP36">
            <v>0</v>
          </cell>
          <cell r="AQ36">
            <v>437.12716346153849</v>
          </cell>
          <cell r="AR36">
            <v>10.24075</v>
          </cell>
          <cell r="AT36">
            <v>10.24075</v>
          </cell>
          <cell r="AU36">
            <v>426.8864134615385</v>
          </cell>
          <cell r="AX36">
            <v>116</v>
          </cell>
          <cell r="AZ36" t="str">
            <v>Said Saif Said Al Ghafri</v>
          </cell>
          <cell r="BA36" t="str">
            <v>22-037279-20</v>
          </cell>
          <cell r="BB36" t="str">
            <v>OIB</v>
          </cell>
          <cell r="BC36" t="str">
            <v>Ibri</v>
          </cell>
          <cell r="BD36">
            <v>426.8864134615385</v>
          </cell>
        </row>
        <row r="37">
          <cell r="B37">
            <v>120</v>
          </cell>
          <cell r="C37" t="str">
            <v>Said Khalfan Abdullah Al Hatmi</v>
          </cell>
          <cell r="D37" t="str">
            <v>Labour</v>
          </cell>
          <cell r="E37" t="str">
            <v>07.06.04</v>
          </cell>
          <cell r="F37">
            <v>1.9497692307692305</v>
          </cell>
          <cell r="G37">
            <v>1.218605769230769</v>
          </cell>
          <cell r="H37">
            <v>20</v>
          </cell>
          <cell r="I37">
            <v>28</v>
          </cell>
          <cell r="K37">
            <v>16</v>
          </cell>
          <cell r="L37">
            <v>14</v>
          </cell>
          <cell r="M37">
            <v>0</v>
          </cell>
          <cell r="N37">
            <v>0</v>
          </cell>
          <cell r="O37">
            <v>30</v>
          </cell>
          <cell r="P37">
            <v>62</v>
          </cell>
          <cell r="Q37">
            <v>1.8599999999999999</v>
          </cell>
          <cell r="R37">
            <v>168.98</v>
          </cell>
          <cell r="S37">
            <v>85</v>
          </cell>
          <cell r="T37">
            <v>2</v>
          </cell>
          <cell r="U37">
            <v>5</v>
          </cell>
          <cell r="V37">
            <v>4.5</v>
          </cell>
          <cell r="W37">
            <v>168.98</v>
          </cell>
          <cell r="X37">
            <v>85</v>
          </cell>
          <cell r="Y37">
            <v>2</v>
          </cell>
          <cell r="Z37">
            <v>5</v>
          </cell>
          <cell r="AA37">
            <v>34.120961538461529</v>
          </cell>
          <cell r="AB37">
            <v>72</v>
          </cell>
          <cell r="AD37">
            <v>38.995384615384609</v>
          </cell>
          <cell r="AH37">
            <v>0</v>
          </cell>
          <cell r="AI37">
            <v>0</v>
          </cell>
          <cell r="AJ37">
            <v>0</v>
          </cell>
          <cell r="AK37">
            <v>0</v>
          </cell>
          <cell r="AL37">
            <v>0</v>
          </cell>
          <cell r="AM37">
            <v>116.98615384615383</v>
          </cell>
          <cell r="AN37">
            <v>27</v>
          </cell>
          <cell r="AP37">
            <v>123</v>
          </cell>
          <cell r="AQ37">
            <v>673.08249999999998</v>
          </cell>
          <cell r="AR37">
            <v>10.983699999999999</v>
          </cell>
          <cell r="AT37">
            <v>10.983699999999999</v>
          </cell>
          <cell r="AU37">
            <v>662.09879999999998</v>
          </cell>
          <cell r="AX37">
            <v>120</v>
          </cell>
          <cell r="AZ37" t="str">
            <v>Said Khalfan Abdullah Al Hatmi</v>
          </cell>
          <cell r="BA37" t="str">
            <v>22-091854-29</v>
          </cell>
          <cell r="BB37" t="str">
            <v>OIB</v>
          </cell>
          <cell r="BC37" t="str">
            <v>Ibri</v>
          </cell>
          <cell r="BD37">
            <v>662.09879999999998</v>
          </cell>
        </row>
        <row r="38">
          <cell r="B38">
            <v>121</v>
          </cell>
          <cell r="C38" t="str">
            <v>Saif Nasser Ali Al Abri</v>
          </cell>
          <cell r="D38" t="str">
            <v>Labour/Cable</v>
          </cell>
          <cell r="E38" t="str">
            <v>07.06.04</v>
          </cell>
          <cell r="F38">
            <v>1.7712692307692306</v>
          </cell>
          <cell r="G38">
            <v>1.1070432692307692</v>
          </cell>
          <cell r="H38">
            <v>24</v>
          </cell>
          <cell r="I38">
            <v>56</v>
          </cell>
          <cell r="K38">
            <v>16</v>
          </cell>
          <cell r="L38">
            <v>14</v>
          </cell>
          <cell r="M38">
            <v>0</v>
          </cell>
          <cell r="N38">
            <v>0</v>
          </cell>
          <cell r="O38">
            <v>30</v>
          </cell>
          <cell r="P38">
            <v>59</v>
          </cell>
          <cell r="Q38">
            <v>1.77</v>
          </cell>
          <cell r="R38">
            <v>153.51</v>
          </cell>
          <cell r="S38">
            <v>85</v>
          </cell>
          <cell r="T38">
            <v>2</v>
          </cell>
          <cell r="U38">
            <v>5</v>
          </cell>
          <cell r="V38">
            <v>4.5</v>
          </cell>
          <cell r="W38">
            <v>153.51</v>
          </cell>
          <cell r="X38">
            <v>85</v>
          </cell>
          <cell r="Y38">
            <v>2</v>
          </cell>
          <cell r="Z38">
            <v>5</v>
          </cell>
          <cell r="AA38">
            <v>61.994423076923077</v>
          </cell>
          <cell r="AB38">
            <v>72</v>
          </cell>
          <cell r="AD38">
            <v>42.510461538461534</v>
          </cell>
          <cell r="AH38">
            <v>0</v>
          </cell>
          <cell r="AI38">
            <v>0</v>
          </cell>
          <cell r="AJ38">
            <v>0</v>
          </cell>
          <cell r="AK38">
            <v>0</v>
          </cell>
          <cell r="AL38">
            <v>45.94229567307692</v>
          </cell>
          <cell r="AM38">
            <v>127.53138461538461</v>
          </cell>
          <cell r="AN38">
            <v>4.5</v>
          </cell>
          <cell r="AP38">
            <v>123</v>
          </cell>
          <cell r="AQ38">
            <v>722.98856490384605</v>
          </cell>
          <cell r="AR38">
            <v>9.9781499999999994</v>
          </cell>
          <cell r="AT38">
            <v>9.9781499999999994</v>
          </cell>
          <cell r="AU38">
            <v>713.01041490384603</v>
          </cell>
          <cell r="AX38">
            <v>121</v>
          </cell>
          <cell r="AZ38" t="str">
            <v>Saif Nasser Ali Al Abri</v>
          </cell>
          <cell r="BA38" t="str">
            <v>22-067979-20</v>
          </cell>
          <cell r="BB38" t="str">
            <v>OIB</v>
          </cell>
          <cell r="BC38" t="str">
            <v>Ibri</v>
          </cell>
          <cell r="BD38">
            <v>713.01041490384603</v>
          </cell>
        </row>
        <row r="39">
          <cell r="B39">
            <v>126</v>
          </cell>
          <cell r="C39" t="str">
            <v>Abdullah Said Abdullah Al Ghafri</v>
          </cell>
          <cell r="D39" t="str">
            <v>Recording Group Foreman</v>
          </cell>
          <cell r="E39" t="str">
            <v>07.06.04</v>
          </cell>
          <cell r="F39">
            <v>1.8392307692307694</v>
          </cell>
          <cell r="G39">
            <v>1.149519230769231</v>
          </cell>
          <cell r="H39">
            <v>21</v>
          </cell>
          <cell r="I39">
            <v>55</v>
          </cell>
          <cell r="K39">
            <v>16</v>
          </cell>
          <cell r="L39">
            <v>14</v>
          </cell>
          <cell r="M39">
            <v>0</v>
          </cell>
          <cell r="N39">
            <v>0</v>
          </cell>
          <cell r="O39">
            <v>30</v>
          </cell>
          <cell r="P39">
            <v>48</v>
          </cell>
          <cell r="Q39">
            <v>1.44</v>
          </cell>
          <cell r="R39">
            <v>159.4</v>
          </cell>
          <cell r="S39">
            <v>85</v>
          </cell>
          <cell r="T39">
            <v>2</v>
          </cell>
          <cell r="U39">
            <v>5</v>
          </cell>
          <cell r="V39">
            <v>4.5</v>
          </cell>
          <cell r="W39">
            <v>159.4</v>
          </cell>
          <cell r="X39">
            <v>85</v>
          </cell>
          <cell r="Y39">
            <v>2</v>
          </cell>
          <cell r="Z39">
            <v>5</v>
          </cell>
          <cell r="AA39">
            <v>63.223557692307708</v>
          </cell>
          <cell r="AB39">
            <v>72</v>
          </cell>
          <cell r="AC39">
            <v>16</v>
          </cell>
          <cell r="AD39">
            <v>38.623846153846159</v>
          </cell>
          <cell r="AH39">
            <v>-15.425806451612905</v>
          </cell>
          <cell r="AI39">
            <v>-8.2258064516129021</v>
          </cell>
          <cell r="AJ39">
            <v>-0.19354838709677419</v>
          </cell>
          <cell r="AK39">
            <v>-0.4838709677419355</v>
          </cell>
          <cell r="AL39">
            <v>29.887500000000006</v>
          </cell>
          <cell r="AM39">
            <v>115.87153846153848</v>
          </cell>
          <cell r="AN39">
            <v>13.5</v>
          </cell>
          <cell r="AP39">
            <v>123</v>
          </cell>
          <cell r="AQ39">
            <v>699.17741004962772</v>
          </cell>
          <cell r="AR39">
            <v>10.361000000000001</v>
          </cell>
          <cell r="AT39">
            <v>10.361000000000001</v>
          </cell>
          <cell r="AU39">
            <v>688.81641004962773</v>
          </cell>
          <cell r="AX39">
            <v>126</v>
          </cell>
          <cell r="AZ39" t="str">
            <v>Abdullah Said Abdullah Al Ghafri</v>
          </cell>
          <cell r="BA39" t="str">
            <v>0119-125830084016</v>
          </cell>
          <cell r="BB39" t="str">
            <v>Bank Muscat</v>
          </cell>
          <cell r="BC39" t="str">
            <v>Al Dareez</v>
          </cell>
          <cell r="BD39">
            <v>688.81641004962773</v>
          </cell>
        </row>
        <row r="40">
          <cell r="B40">
            <v>132</v>
          </cell>
          <cell r="C40" t="str">
            <v>Hamad Said Mubarak Al Muqarshi</v>
          </cell>
          <cell r="D40" t="str">
            <v>Labour/Cable</v>
          </cell>
          <cell r="E40" t="str">
            <v>07.06.04</v>
          </cell>
          <cell r="F40">
            <v>1.8497307692307692</v>
          </cell>
          <cell r="G40">
            <v>1.1560817307692308</v>
          </cell>
          <cell r="H40">
            <v>24</v>
          </cell>
          <cell r="I40">
            <v>28</v>
          </cell>
          <cell r="K40">
            <v>9</v>
          </cell>
          <cell r="L40">
            <v>0</v>
          </cell>
          <cell r="M40">
            <v>0</v>
          </cell>
          <cell r="N40">
            <v>0</v>
          </cell>
          <cell r="O40">
            <v>9</v>
          </cell>
          <cell r="P40">
            <v>54</v>
          </cell>
          <cell r="Q40">
            <v>1.6199999999999999</v>
          </cell>
          <cell r="R40">
            <v>160.31</v>
          </cell>
          <cell r="S40">
            <v>85</v>
          </cell>
          <cell r="T40">
            <v>2</v>
          </cell>
          <cell r="U40">
            <v>5</v>
          </cell>
          <cell r="V40">
            <v>4.5</v>
          </cell>
          <cell r="W40">
            <v>48.092999999999996</v>
          </cell>
          <cell r="X40">
            <v>25.5</v>
          </cell>
          <cell r="Y40">
            <v>0.6</v>
          </cell>
          <cell r="Z40">
            <v>1.5</v>
          </cell>
          <cell r="AA40">
            <v>32.370288461538465</v>
          </cell>
          <cell r="AB40">
            <v>40.5</v>
          </cell>
          <cell r="AD40">
            <v>44.393538461538462</v>
          </cell>
          <cell r="AH40">
            <v>0</v>
          </cell>
          <cell r="AI40">
            <v>0</v>
          </cell>
          <cell r="AJ40">
            <v>0</v>
          </cell>
          <cell r="AK40">
            <v>0</v>
          </cell>
          <cell r="AL40">
            <v>0</v>
          </cell>
          <cell r="AM40">
            <v>133.18061538461538</v>
          </cell>
          <cell r="AN40">
            <v>27</v>
          </cell>
          <cell r="AP40">
            <v>123</v>
          </cell>
          <cell r="AQ40">
            <v>476.13744230769225</v>
          </cell>
          <cell r="AR40">
            <v>10.420150000000001</v>
          </cell>
          <cell r="AT40">
            <v>10.420150000000001</v>
          </cell>
          <cell r="AU40">
            <v>465.71729230769228</v>
          </cell>
          <cell r="AX40">
            <v>132</v>
          </cell>
          <cell r="AZ40" t="str">
            <v>Hamad Said Mubarak Al Muqarshi</v>
          </cell>
          <cell r="BA40" t="str">
            <v>002-269421-035</v>
          </cell>
          <cell r="BB40" t="str">
            <v>HSBC</v>
          </cell>
          <cell r="BC40" t="str">
            <v>Ruwi</v>
          </cell>
          <cell r="BD40">
            <v>465.71729230769228</v>
          </cell>
        </row>
        <row r="41">
          <cell r="B41">
            <v>135</v>
          </cell>
          <cell r="C41" t="str">
            <v>Saleh Haramoush Hamed</v>
          </cell>
          <cell r="D41" t="str">
            <v>Heavy Duty Driver</v>
          </cell>
          <cell r="E41" t="str">
            <v>07.06.04</v>
          </cell>
          <cell r="F41">
            <v>2.2197692307692307</v>
          </cell>
          <cell r="G41">
            <v>1.3873557692307692</v>
          </cell>
          <cell r="H41">
            <v>21</v>
          </cell>
          <cell r="I41">
            <v>72.5</v>
          </cell>
          <cell r="K41">
            <v>23</v>
          </cell>
          <cell r="L41">
            <v>7</v>
          </cell>
          <cell r="M41">
            <v>0</v>
          </cell>
          <cell r="N41">
            <v>0</v>
          </cell>
          <cell r="O41">
            <v>30</v>
          </cell>
          <cell r="P41">
            <v>54</v>
          </cell>
          <cell r="Q41">
            <v>1.6199999999999999</v>
          </cell>
          <cell r="R41">
            <v>192.38</v>
          </cell>
          <cell r="S41">
            <v>120</v>
          </cell>
          <cell r="T41">
            <v>2</v>
          </cell>
          <cell r="U41">
            <v>5</v>
          </cell>
          <cell r="V41">
            <v>4.5</v>
          </cell>
          <cell r="W41">
            <v>192.38</v>
          </cell>
          <cell r="X41">
            <v>120</v>
          </cell>
          <cell r="Y41">
            <v>2</v>
          </cell>
          <cell r="Z41">
            <v>5</v>
          </cell>
          <cell r="AA41">
            <v>100.58329326923077</v>
          </cell>
          <cell r="AB41">
            <v>103.5</v>
          </cell>
          <cell r="AD41">
            <v>46.615153846153845</v>
          </cell>
          <cell r="AH41">
            <v>0</v>
          </cell>
          <cell r="AI41">
            <v>0</v>
          </cell>
          <cell r="AJ41">
            <v>0</v>
          </cell>
          <cell r="AK41">
            <v>0</v>
          </cell>
          <cell r="AL41">
            <v>44.395384615384614</v>
          </cell>
          <cell r="AM41">
            <v>0</v>
          </cell>
          <cell r="AN41">
            <v>0</v>
          </cell>
          <cell r="AP41">
            <v>0</v>
          </cell>
          <cell r="AQ41">
            <v>614.47383173076912</v>
          </cell>
          <cell r="AR41">
            <v>12.5047</v>
          </cell>
          <cell r="AT41">
            <v>12.5047</v>
          </cell>
          <cell r="AU41">
            <v>601.96913173076916</v>
          </cell>
          <cell r="AX41">
            <v>135</v>
          </cell>
          <cell r="AZ41" t="str">
            <v>Saleh Haramoush Hamed</v>
          </cell>
          <cell r="BA41" t="str">
            <v>28-074870-20</v>
          </cell>
          <cell r="BB41" t="str">
            <v>OIB</v>
          </cell>
          <cell r="BC41" t="str">
            <v>Adam</v>
          </cell>
          <cell r="BD41">
            <v>601.96913173076916</v>
          </cell>
        </row>
        <row r="42">
          <cell r="B42">
            <v>136</v>
          </cell>
          <cell r="C42" t="str">
            <v>Al Badi Mubarak Salim Al Yaqoubi</v>
          </cell>
          <cell r="D42" t="str">
            <v>Vib Operator</v>
          </cell>
          <cell r="E42" t="str">
            <v>07.06.04</v>
          </cell>
          <cell r="F42">
            <v>2.5280769230769229</v>
          </cell>
          <cell r="G42">
            <v>1.5800480769230769</v>
          </cell>
          <cell r="H42">
            <v>34</v>
          </cell>
          <cell r="I42">
            <v>183</v>
          </cell>
          <cell r="K42">
            <v>23</v>
          </cell>
          <cell r="L42">
            <v>7</v>
          </cell>
          <cell r="M42">
            <v>0</v>
          </cell>
          <cell r="N42">
            <v>0</v>
          </cell>
          <cell r="O42">
            <v>30</v>
          </cell>
          <cell r="P42">
            <v>64</v>
          </cell>
          <cell r="Q42">
            <v>1.92</v>
          </cell>
          <cell r="R42">
            <v>219.1</v>
          </cell>
          <cell r="S42">
            <v>120</v>
          </cell>
          <cell r="T42">
            <v>2</v>
          </cell>
          <cell r="U42">
            <v>5</v>
          </cell>
          <cell r="V42">
            <v>4.5</v>
          </cell>
          <cell r="W42">
            <v>219.1</v>
          </cell>
          <cell r="X42">
            <v>120</v>
          </cell>
          <cell r="Y42">
            <v>2</v>
          </cell>
          <cell r="Z42">
            <v>5</v>
          </cell>
          <cell r="AA42">
            <v>289.14879807692307</v>
          </cell>
          <cell r="AB42">
            <v>103.5</v>
          </cell>
          <cell r="AD42">
            <v>85.95461538461538</v>
          </cell>
          <cell r="AH42">
            <v>0</v>
          </cell>
          <cell r="AI42">
            <v>0</v>
          </cell>
          <cell r="AJ42">
            <v>0</v>
          </cell>
          <cell r="AK42">
            <v>0</v>
          </cell>
          <cell r="AL42">
            <v>0</v>
          </cell>
          <cell r="AM42">
            <v>257.86384615384611</v>
          </cell>
          <cell r="AN42">
            <v>27</v>
          </cell>
          <cell r="AP42">
            <v>123</v>
          </cell>
          <cell r="AQ42">
            <v>1232.5672596153845</v>
          </cell>
          <cell r="AR42">
            <v>14.2415</v>
          </cell>
          <cell r="AT42">
            <v>14.2415</v>
          </cell>
          <cell r="AU42">
            <v>1218.3257596153844</v>
          </cell>
          <cell r="AX42">
            <v>136</v>
          </cell>
          <cell r="AZ42" t="str">
            <v>Al Badi Mubarak Salim Al Yaqoubi</v>
          </cell>
          <cell r="BA42" t="str">
            <v>169-106840084018</v>
          </cell>
          <cell r="BB42" t="str">
            <v>Bank Muscat</v>
          </cell>
          <cell r="BC42" t="str">
            <v>Murtafat</v>
          </cell>
          <cell r="BD42">
            <v>1218.3257596153844</v>
          </cell>
        </row>
        <row r="43">
          <cell r="B43">
            <v>137</v>
          </cell>
          <cell r="C43" t="str">
            <v>Salim Sulaiman Amer Al Shamli</v>
          </cell>
          <cell r="D43" t="str">
            <v>Labour</v>
          </cell>
          <cell r="E43" t="str">
            <v>07.06.04</v>
          </cell>
          <cell r="F43">
            <v>1.8790384615384614</v>
          </cell>
          <cell r="G43">
            <v>1.1743990384615384</v>
          </cell>
          <cell r="H43">
            <v>20</v>
          </cell>
          <cell r="I43">
            <v>40</v>
          </cell>
          <cell r="K43">
            <v>20</v>
          </cell>
          <cell r="L43">
            <v>10</v>
          </cell>
          <cell r="M43">
            <v>0</v>
          </cell>
          <cell r="N43">
            <v>0</v>
          </cell>
          <cell r="O43">
            <v>30</v>
          </cell>
          <cell r="P43">
            <v>55</v>
          </cell>
          <cell r="Q43">
            <v>1.65</v>
          </cell>
          <cell r="R43">
            <v>162.85</v>
          </cell>
          <cell r="S43">
            <v>85</v>
          </cell>
          <cell r="T43">
            <v>2</v>
          </cell>
          <cell r="U43">
            <v>5</v>
          </cell>
          <cell r="V43">
            <v>4.5</v>
          </cell>
          <cell r="W43">
            <v>162.85</v>
          </cell>
          <cell r="X43">
            <v>85</v>
          </cell>
          <cell r="Y43">
            <v>2</v>
          </cell>
          <cell r="Z43">
            <v>5</v>
          </cell>
          <cell r="AA43">
            <v>46.975961538461533</v>
          </cell>
          <cell r="AB43">
            <v>90</v>
          </cell>
          <cell r="AD43">
            <v>37.580769230769228</v>
          </cell>
          <cell r="AH43">
            <v>0</v>
          </cell>
          <cell r="AI43">
            <v>0</v>
          </cell>
          <cell r="AJ43">
            <v>0</v>
          </cell>
          <cell r="AK43">
            <v>0</v>
          </cell>
          <cell r="AL43">
            <v>0</v>
          </cell>
          <cell r="AM43">
            <v>112.74230769230769</v>
          </cell>
          <cell r="AN43">
            <v>27</v>
          </cell>
          <cell r="AP43">
            <v>123</v>
          </cell>
          <cell r="AQ43">
            <v>692.14903846153845</v>
          </cell>
          <cell r="AR43">
            <v>10.58525</v>
          </cell>
          <cell r="AT43">
            <v>10.58525</v>
          </cell>
          <cell r="AU43">
            <v>681.56378846153848</v>
          </cell>
          <cell r="AX43">
            <v>137</v>
          </cell>
          <cell r="AZ43" t="str">
            <v>Salim Sulaiman Amer Al Shamli</v>
          </cell>
          <cell r="BA43" t="str">
            <v>22-047666-29</v>
          </cell>
          <cell r="BB43" t="str">
            <v>OIB</v>
          </cell>
          <cell r="BC43" t="str">
            <v>Ibri</v>
          </cell>
          <cell r="BD43">
            <v>681.56378846153848</v>
          </cell>
        </row>
        <row r="44">
          <cell r="B44">
            <v>138</v>
          </cell>
          <cell r="C44" t="str">
            <v>Awadh Marzouq Salmeen Al Ghafri</v>
          </cell>
          <cell r="D44" t="str">
            <v>Labour</v>
          </cell>
          <cell r="E44" t="str">
            <v>07.06.04</v>
          </cell>
          <cell r="F44">
            <v>1.7768076923076923</v>
          </cell>
          <cell r="G44">
            <v>1.1105048076923076</v>
          </cell>
          <cell r="H44">
            <v>20</v>
          </cell>
          <cell r="I44">
            <v>74.5</v>
          </cell>
          <cell r="K44">
            <v>23</v>
          </cell>
          <cell r="L44">
            <v>7</v>
          </cell>
          <cell r="M44">
            <v>0</v>
          </cell>
          <cell r="N44">
            <v>0</v>
          </cell>
          <cell r="O44">
            <v>30</v>
          </cell>
          <cell r="P44">
            <v>57</v>
          </cell>
          <cell r="Q44">
            <v>1.71</v>
          </cell>
          <cell r="R44">
            <v>153.99</v>
          </cell>
          <cell r="S44">
            <v>85</v>
          </cell>
          <cell r="T44">
            <v>2</v>
          </cell>
          <cell r="U44">
            <v>5</v>
          </cell>
          <cell r="V44">
            <v>4.5</v>
          </cell>
          <cell r="W44">
            <v>153.99</v>
          </cell>
          <cell r="X44">
            <v>85</v>
          </cell>
          <cell r="Y44">
            <v>2</v>
          </cell>
          <cell r="Z44">
            <v>5</v>
          </cell>
          <cell r="AA44">
            <v>82.732608173076926</v>
          </cell>
          <cell r="AB44">
            <v>103.5</v>
          </cell>
          <cell r="AD44">
            <v>35.536153846153844</v>
          </cell>
          <cell r="AH44">
            <v>0</v>
          </cell>
          <cell r="AI44">
            <v>0</v>
          </cell>
          <cell r="AJ44">
            <v>0</v>
          </cell>
          <cell r="AK44">
            <v>0</v>
          </cell>
          <cell r="AL44">
            <v>35.536153846153844</v>
          </cell>
          <cell r="AM44">
            <v>106.60846153846154</v>
          </cell>
          <cell r="AN44">
            <v>27</v>
          </cell>
          <cell r="AP44">
            <v>123</v>
          </cell>
          <cell r="AQ44">
            <v>759.90337740384621</v>
          </cell>
          <cell r="AR44">
            <v>10.009350000000001</v>
          </cell>
          <cell r="AT44">
            <v>10.009350000000001</v>
          </cell>
          <cell r="AU44">
            <v>749.89402740384617</v>
          </cell>
          <cell r="AX44">
            <v>138</v>
          </cell>
          <cell r="AZ44" t="str">
            <v>Awadh Marzouq Salmeen Al Ghafri</v>
          </cell>
          <cell r="BA44" t="str">
            <v>002-253284-035</v>
          </cell>
          <cell r="BB44" t="str">
            <v>HSBC</v>
          </cell>
          <cell r="BC44" t="str">
            <v>Ruwi</v>
          </cell>
          <cell r="BD44">
            <v>749.89402740384617</v>
          </cell>
        </row>
        <row r="45">
          <cell r="B45">
            <v>139</v>
          </cell>
          <cell r="C45" t="str">
            <v>Saleh Ali Hamed Al Hinai</v>
          </cell>
          <cell r="D45" t="str">
            <v>Vib Operator</v>
          </cell>
          <cell r="E45" t="str">
            <v>07.06.04</v>
          </cell>
          <cell r="F45">
            <v>2.8406538461538458</v>
          </cell>
          <cell r="G45">
            <v>1.7754086538461535</v>
          </cell>
          <cell r="H45">
            <v>34</v>
          </cell>
          <cell r="I45">
            <v>119</v>
          </cell>
          <cell r="K45">
            <v>16</v>
          </cell>
          <cell r="L45">
            <v>14</v>
          </cell>
          <cell r="M45">
            <v>0</v>
          </cell>
          <cell r="N45">
            <v>0</v>
          </cell>
          <cell r="O45">
            <v>30</v>
          </cell>
          <cell r="P45">
            <v>64</v>
          </cell>
          <cell r="Q45">
            <v>1.92</v>
          </cell>
          <cell r="R45">
            <v>246.19</v>
          </cell>
          <cell r="S45">
            <v>120</v>
          </cell>
          <cell r="T45">
            <v>2</v>
          </cell>
          <cell r="U45">
            <v>5</v>
          </cell>
          <cell r="V45">
            <v>4.5</v>
          </cell>
          <cell r="W45">
            <v>246.19</v>
          </cell>
          <cell r="X45">
            <v>120</v>
          </cell>
          <cell r="Y45">
            <v>2</v>
          </cell>
          <cell r="Z45">
            <v>5</v>
          </cell>
          <cell r="AA45">
            <v>211.27362980769226</v>
          </cell>
          <cell r="AB45">
            <v>72</v>
          </cell>
          <cell r="AD45">
            <v>96.582230769230762</v>
          </cell>
          <cell r="AH45">
            <v>0</v>
          </cell>
          <cell r="AI45">
            <v>0</v>
          </cell>
          <cell r="AJ45">
            <v>0</v>
          </cell>
          <cell r="AK45">
            <v>0</v>
          </cell>
          <cell r="AL45">
            <v>0</v>
          </cell>
          <cell r="AM45">
            <v>289.74669230769229</v>
          </cell>
          <cell r="AN45">
            <v>27</v>
          </cell>
          <cell r="AP45">
            <v>123</v>
          </cell>
          <cell r="AQ45">
            <v>1192.7925528846154</v>
          </cell>
          <cell r="AR45">
            <v>16.00235</v>
          </cell>
          <cell r="AT45">
            <v>16.00235</v>
          </cell>
          <cell r="AU45">
            <v>1176.7902028846154</v>
          </cell>
          <cell r="AX45">
            <v>139</v>
          </cell>
          <cell r="AZ45" t="str">
            <v>Saleh Ali Hamed Al Hinai</v>
          </cell>
          <cell r="BA45" t="str">
            <v>21-608872-29</v>
          </cell>
          <cell r="BB45" t="str">
            <v>OIB</v>
          </cell>
          <cell r="BC45" t="str">
            <v>Bahla</v>
          </cell>
          <cell r="BD45">
            <v>1176.7902028846154</v>
          </cell>
        </row>
        <row r="46">
          <cell r="B46">
            <v>142</v>
          </cell>
          <cell r="C46" t="str">
            <v>Salim Huwaishal Sulaiyam Al Yaqoubi</v>
          </cell>
          <cell r="D46" t="str">
            <v>Labour</v>
          </cell>
          <cell r="E46" t="str">
            <v>07.06.04</v>
          </cell>
          <cell r="F46">
            <v>1.9011923076923078</v>
          </cell>
          <cell r="G46">
            <v>1.1882451923076924</v>
          </cell>
          <cell r="H46">
            <v>20</v>
          </cell>
          <cell r="I46">
            <v>48</v>
          </cell>
          <cell r="K46">
            <v>16</v>
          </cell>
          <cell r="L46">
            <v>14</v>
          </cell>
          <cell r="M46">
            <v>0</v>
          </cell>
          <cell r="N46">
            <v>0</v>
          </cell>
          <cell r="O46">
            <v>30</v>
          </cell>
          <cell r="P46">
            <v>55</v>
          </cell>
          <cell r="Q46">
            <v>1.65</v>
          </cell>
          <cell r="R46">
            <v>164.77</v>
          </cell>
          <cell r="S46">
            <v>85</v>
          </cell>
          <cell r="T46">
            <v>2</v>
          </cell>
          <cell r="U46">
            <v>5</v>
          </cell>
          <cell r="V46">
            <v>4.5</v>
          </cell>
          <cell r="W46">
            <v>164.77</v>
          </cell>
          <cell r="X46">
            <v>85</v>
          </cell>
          <cell r="Y46">
            <v>2</v>
          </cell>
          <cell r="Z46">
            <v>5</v>
          </cell>
          <cell r="AA46">
            <v>57.035769230769233</v>
          </cell>
          <cell r="AB46">
            <v>72</v>
          </cell>
          <cell r="AD46">
            <v>38.023846153846158</v>
          </cell>
          <cell r="AH46">
            <v>0</v>
          </cell>
          <cell r="AI46">
            <v>0</v>
          </cell>
          <cell r="AJ46">
            <v>0</v>
          </cell>
          <cell r="AK46">
            <v>0</v>
          </cell>
          <cell r="AL46">
            <v>71.294711538461542</v>
          </cell>
          <cell r="AM46">
            <v>0</v>
          </cell>
          <cell r="AN46">
            <v>0</v>
          </cell>
          <cell r="AP46">
            <v>0</v>
          </cell>
          <cell r="AQ46">
            <v>495.12432692307686</v>
          </cell>
          <cell r="AR46">
            <v>10.710050000000001</v>
          </cell>
          <cell r="AT46">
            <v>10.710050000000001</v>
          </cell>
          <cell r="AU46">
            <v>484.41427692307684</v>
          </cell>
          <cell r="AX46">
            <v>142</v>
          </cell>
          <cell r="AZ46" t="str">
            <v>Salim Huwaishal Sulaiyam Al Yaqoubi</v>
          </cell>
          <cell r="BA46" t="str">
            <v>0133004166900</v>
          </cell>
          <cell r="BB46" t="str">
            <v>Bank Dhofar</v>
          </cell>
          <cell r="BC46" t="str">
            <v>Ibri</v>
          </cell>
          <cell r="BD46">
            <v>484.41427692307684</v>
          </cell>
        </row>
        <row r="47">
          <cell r="B47">
            <v>144</v>
          </cell>
          <cell r="C47" t="str">
            <v>Mohamed Abdullah Surur Al Yaqoubi</v>
          </cell>
          <cell r="D47" t="str">
            <v>Vib Operator</v>
          </cell>
          <cell r="E47" t="str">
            <v>07.06.04</v>
          </cell>
          <cell r="F47">
            <v>2.2631538461538461</v>
          </cell>
          <cell r="G47">
            <v>1.4144711538461539</v>
          </cell>
          <cell r="H47">
            <v>0</v>
          </cell>
          <cell r="I47">
            <v>160</v>
          </cell>
          <cell r="K47">
            <v>19</v>
          </cell>
          <cell r="L47">
            <v>9</v>
          </cell>
          <cell r="M47">
            <v>0</v>
          </cell>
          <cell r="N47">
            <v>2</v>
          </cell>
          <cell r="O47">
            <v>28</v>
          </cell>
          <cell r="P47">
            <v>63</v>
          </cell>
          <cell r="Q47">
            <v>1.89</v>
          </cell>
          <cell r="R47">
            <v>196.14</v>
          </cell>
          <cell r="S47">
            <v>120</v>
          </cell>
          <cell r="T47">
            <v>2</v>
          </cell>
          <cell r="U47">
            <v>5</v>
          </cell>
          <cell r="V47">
            <v>4.5</v>
          </cell>
          <cell r="W47">
            <v>183.06399999999999</v>
          </cell>
          <cell r="X47">
            <v>112</v>
          </cell>
          <cell r="Y47">
            <v>1.8666666666666667</v>
          </cell>
          <cell r="Z47">
            <v>4.6666666666666661</v>
          </cell>
          <cell r="AA47">
            <v>226.31538461538463</v>
          </cell>
          <cell r="AB47">
            <v>85.5</v>
          </cell>
          <cell r="AD47">
            <v>0</v>
          </cell>
          <cell r="AH47">
            <v>0</v>
          </cell>
          <cell r="AI47">
            <v>0</v>
          </cell>
          <cell r="AJ47">
            <v>0</v>
          </cell>
          <cell r="AK47">
            <v>0</v>
          </cell>
          <cell r="AL47">
            <v>0</v>
          </cell>
          <cell r="AM47">
            <v>230.84169230769231</v>
          </cell>
          <cell r="AN47">
            <v>27</v>
          </cell>
          <cell r="AP47">
            <v>123</v>
          </cell>
          <cell r="AQ47">
            <v>994.25441025641021</v>
          </cell>
          <cell r="AR47">
            <v>12.7491</v>
          </cell>
          <cell r="AT47">
            <v>12.7491</v>
          </cell>
          <cell r="AU47">
            <v>981.50531025641021</v>
          </cell>
          <cell r="AX47">
            <v>144</v>
          </cell>
          <cell r="AZ47" t="str">
            <v>Mohamed Abdullah Surur Al Yaqoubi</v>
          </cell>
          <cell r="BA47" t="str">
            <v>002-711174-001</v>
          </cell>
          <cell r="BB47" t="str">
            <v>HSBC</v>
          </cell>
          <cell r="BC47" t="str">
            <v>Ruwi</v>
          </cell>
          <cell r="BD47">
            <v>981.50531025641021</v>
          </cell>
        </row>
        <row r="48">
          <cell r="B48">
            <v>151</v>
          </cell>
          <cell r="C48" t="str">
            <v>Saed Khalfan Saed Al Gharibi</v>
          </cell>
          <cell r="D48" t="str">
            <v>Heavy Duty Driver</v>
          </cell>
          <cell r="E48" t="str">
            <v>07.06.04</v>
          </cell>
          <cell r="F48">
            <v>2.4868846153846156</v>
          </cell>
          <cell r="G48">
            <v>1.5543028846153848</v>
          </cell>
          <cell r="H48">
            <v>0</v>
          </cell>
          <cell r="I48">
            <v>176</v>
          </cell>
          <cell r="K48">
            <v>21</v>
          </cell>
          <cell r="L48">
            <v>9</v>
          </cell>
          <cell r="M48">
            <v>0</v>
          </cell>
          <cell r="N48">
            <v>0</v>
          </cell>
          <cell r="O48">
            <v>30</v>
          </cell>
          <cell r="P48">
            <v>64</v>
          </cell>
          <cell r="Q48">
            <v>1.92</v>
          </cell>
          <cell r="R48">
            <v>215.53</v>
          </cell>
          <cell r="S48">
            <v>120</v>
          </cell>
          <cell r="T48">
            <v>2</v>
          </cell>
          <cell r="U48">
            <v>5</v>
          </cell>
          <cell r="V48">
            <v>4.5</v>
          </cell>
          <cell r="W48">
            <v>215.53</v>
          </cell>
          <cell r="X48">
            <v>120</v>
          </cell>
          <cell r="Y48">
            <v>2</v>
          </cell>
          <cell r="Z48">
            <v>5</v>
          </cell>
          <cell r="AA48">
            <v>273.55730769230775</v>
          </cell>
          <cell r="AB48">
            <v>94.5</v>
          </cell>
          <cell r="AD48">
            <v>0</v>
          </cell>
          <cell r="AH48">
            <v>0</v>
          </cell>
          <cell r="AI48">
            <v>0</v>
          </cell>
          <cell r="AJ48">
            <v>0</v>
          </cell>
          <cell r="AK48">
            <v>0</v>
          </cell>
          <cell r="AL48">
            <v>31.086057692307698</v>
          </cell>
          <cell r="AM48">
            <v>156.67373076923079</v>
          </cell>
          <cell r="AN48">
            <v>27</v>
          </cell>
          <cell r="AP48">
            <v>123</v>
          </cell>
          <cell r="AQ48">
            <v>1048.3470961538462</v>
          </cell>
          <cell r="AR48">
            <v>14.009450000000001</v>
          </cell>
          <cell r="AT48">
            <v>14.009450000000001</v>
          </cell>
          <cell r="AU48">
            <v>1034.3376461538462</v>
          </cell>
          <cell r="AX48">
            <v>151</v>
          </cell>
          <cell r="AZ48" t="str">
            <v>Saed Khalfan Saed Al Gharibi</v>
          </cell>
          <cell r="BA48" t="str">
            <v>22-049316-20</v>
          </cell>
          <cell r="BB48" t="str">
            <v>OIB</v>
          </cell>
          <cell r="BC48" t="str">
            <v>Ibri</v>
          </cell>
          <cell r="BD48">
            <v>1034.3376461538462</v>
          </cell>
        </row>
        <row r="49">
          <cell r="B49">
            <v>157</v>
          </cell>
          <cell r="C49" t="str">
            <v>Salim Ghanim Salam Al Ghafri</v>
          </cell>
          <cell r="D49" t="str">
            <v>Recording Foreman</v>
          </cell>
          <cell r="E49" t="str">
            <v>07.06.04</v>
          </cell>
          <cell r="F49">
            <v>2.4501923076923076</v>
          </cell>
          <cell r="G49">
            <v>1.5313701923076923</v>
          </cell>
          <cell r="H49">
            <v>0</v>
          </cell>
          <cell r="I49">
            <v>112.5</v>
          </cell>
          <cell r="K49">
            <v>21</v>
          </cell>
          <cell r="L49">
            <v>9</v>
          </cell>
          <cell r="M49">
            <v>0</v>
          </cell>
          <cell r="N49">
            <v>0</v>
          </cell>
          <cell r="O49">
            <v>30</v>
          </cell>
          <cell r="P49">
            <v>70</v>
          </cell>
          <cell r="Q49">
            <v>2.1</v>
          </cell>
          <cell r="R49">
            <v>212.35</v>
          </cell>
          <cell r="S49">
            <v>120</v>
          </cell>
          <cell r="T49">
            <v>2</v>
          </cell>
          <cell r="U49">
            <v>5</v>
          </cell>
          <cell r="V49">
            <v>4.5</v>
          </cell>
          <cell r="W49">
            <v>212.35</v>
          </cell>
          <cell r="X49">
            <v>120</v>
          </cell>
          <cell r="Y49">
            <v>2</v>
          </cell>
          <cell r="Z49">
            <v>5</v>
          </cell>
          <cell r="AA49">
            <v>172.27914663461539</v>
          </cell>
          <cell r="AB49">
            <v>94.5</v>
          </cell>
          <cell r="AD49">
            <v>0</v>
          </cell>
          <cell r="AH49">
            <v>0</v>
          </cell>
          <cell r="AI49">
            <v>0</v>
          </cell>
          <cell r="AJ49">
            <v>0</v>
          </cell>
          <cell r="AK49">
            <v>0</v>
          </cell>
          <cell r="AL49">
            <v>42.878365384615385</v>
          </cell>
          <cell r="AM49">
            <v>0</v>
          </cell>
          <cell r="AN49">
            <v>0</v>
          </cell>
          <cell r="AP49">
            <v>0</v>
          </cell>
          <cell r="AQ49">
            <v>649.00751201923072</v>
          </cell>
          <cell r="AR49">
            <v>13.80275</v>
          </cell>
          <cell r="AT49">
            <v>13.80275</v>
          </cell>
          <cell r="AU49">
            <v>635.20476201923077</v>
          </cell>
          <cell r="AX49">
            <v>157</v>
          </cell>
          <cell r="AZ49" t="str">
            <v>Salim Ghanim Salam Al Ghafri</v>
          </cell>
          <cell r="BA49" t="str">
            <v>119-122620084014</v>
          </cell>
          <cell r="BB49" t="str">
            <v>Bank Muscat</v>
          </cell>
          <cell r="BC49" t="str">
            <v>Dareez</v>
          </cell>
          <cell r="BD49">
            <v>635.20476201923077</v>
          </cell>
        </row>
        <row r="50">
          <cell r="B50">
            <v>158</v>
          </cell>
          <cell r="C50" t="str">
            <v>Khalfan Said Khalfan Al Ghafri</v>
          </cell>
          <cell r="D50" t="str">
            <v>Group Foreman/L.Driver</v>
          </cell>
          <cell r="E50" t="str">
            <v>07.06.04</v>
          </cell>
          <cell r="F50">
            <v>2.0007692307692309</v>
          </cell>
          <cell r="G50">
            <v>1.2504807692307693</v>
          </cell>
          <cell r="H50">
            <v>0</v>
          </cell>
          <cell r="I50">
            <v>124.5</v>
          </cell>
          <cell r="K50">
            <v>19</v>
          </cell>
          <cell r="L50">
            <v>11</v>
          </cell>
          <cell r="M50">
            <v>0</v>
          </cell>
          <cell r="N50">
            <v>0</v>
          </cell>
          <cell r="O50">
            <v>30</v>
          </cell>
          <cell r="P50">
            <v>55</v>
          </cell>
          <cell r="Q50">
            <v>1.65</v>
          </cell>
          <cell r="R50">
            <v>173.4</v>
          </cell>
          <cell r="S50">
            <v>85</v>
          </cell>
          <cell r="T50">
            <v>2</v>
          </cell>
          <cell r="U50">
            <v>5</v>
          </cell>
          <cell r="V50">
            <v>4.5</v>
          </cell>
          <cell r="W50">
            <v>173.4</v>
          </cell>
          <cell r="X50">
            <v>85</v>
          </cell>
          <cell r="Y50">
            <v>2</v>
          </cell>
          <cell r="Z50">
            <v>5</v>
          </cell>
          <cell r="AA50">
            <v>155.68485576923078</v>
          </cell>
          <cell r="AB50">
            <v>85.5</v>
          </cell>
          <cell r="AD50">
            <v>0</v>
          </cell>
          <cell r="AH50">
            <v>0</v>
          </cell>
          <cell r="AI50">
            <v>0</v>
          </cell>
          <cell r="AJ50">
            <v>0</v>
          </cell>
          <cell r="AK50">
            <v>0</v>
          </cell>
          <cell r="AL50">
            <v>47.518269230769235</v>
          </cell>
          <cell r="AM50">
            <v>126.04846153846154</v>
          </cell>
          <cell r="AN50">
            <v>27</v>
          </cell>
          <cell r="AP50">
            <v>123</v>
          </cell>
          <cell r="AQ50">
            <v>830.15158653846152</v>
          </cell>
          <cell r="AR50">
            <v>11.271000000000001</v>
          </cell>
          <cell r="AT50">
            <v>11.271000000000001</v>
          </cell>
          <cell r="AU50">
            <v>818.88058653846156</v>
          </cell>
          <cell r="AX50">
            <v>158</v>
          </cell>
          <cell r="AZ50" t="str">
            <v>Khalfan Said Khalfan Al Ghafri</v>
          </cell>
          <cell r="BA50" t="str">
            <v>002-254548-035</v>
          </cell>
          <cell r="BB50" t="str">
            <v>HSBC</v>
          </cell>
          <cell r="BC50" t="str">
            <v>Ruwi</v>
          </cell>
          <cell r="BD50">
            <v>818.88058653846156</v>
          </cell>
        </row>
        <row r="51">
          <cell r="B51">
            <v>159</v>
          </cell>
          <cell r="C51" t="str">
            <v>Nasser Salim Nasser Al Ghafri</v>
          </cell>
          <cell r="D51" t="str">
            <v>Line Foreman(recording)</v>
          </cell>
          <cell r="E51" t="str">
            <v>07.06.04</v>
          </cell>
          <cell r="F51">
            <v>2.0145</v>
          </cell>
          <cell r="G51">
            <v>1.2590625</v>
          </cell>
          <cell r="H51">
            <v>21</v>
          </cell>
          <cell r="I51">
            <v>59</v>
          </cell>
          <cell r="K51">
            <v>16</v>
          </cell>
          <cell r="L51">
            <v>14</v>
          </cell>
          <cell r="M51">
            <v>0</v>
          </cell>
          <cell r="N51">
            <v>0</v>
          </cell>
          <cell r="O51">
            <v>30</v>
          </cell>
          <cell r="P51">
            <v>63</v>
          </cell>
          <cell r="Q51">
            <v>1.89</v>
          </cell>
          <cell r="R51">
            <v>174.59</v>
          </cell>
          <cell r="S51">
            <v>120</v>
          </cell>
          <cell r="T51">
            <v>2</v>
          </cell>
          <cell r="U51">
            <v>5</v>
          </cell>
          <cell r="V51">
            <v>4.5</v>
          </cell>
          <cell r="W51">
            <v>174.59</v>
          </cell>
          <cell r="X51">
            <v>120</v>
          </cell>
          <cell r="Y51">
            <v>2</v>
          </cell>
          <cell r="Z51">
            <v>5</v>
          </cell>
          <cell r="AA51">
            <v>74.284687500000004</v>
          </cell>
          <cell r="AB51">
            <v>72</v>
          </cell>
          <cell r="AD51">
            <v>42.304499999999997</v>
          </cell>
          <cell r="AH51">
            <v>0</v>
          </cell>
          <cell r="AI51">
            <v>0</v>
          </cell>
          <cell r="AJ51">
            <v>0</v>
          </cell>
          <cell r="AK51">
            <v>0</v>
          </cell>
          <cell r="AL51">
            <v>60.435000000000002</v>
          </cell>
          <cell r="AM51">
            <v>0</v>
          </cell>
          <cell r="AN51">
            <v>0</v>
          </cell>
          <cell r="AP51">
            <v>0</v>
          </cell>
          <cell r="AQ51">
            <v>550.61418750000007</v>
          </cell>
          <cell r="AR51">
            <v>11.34835</v>
          </cell>
          <cell r="AT51">
            <v>11.34835</v>
          </cell>
          <cell r="AU51">
            <v>539.26583750000009</v>
          </cell>
          <cell r="AX51">
            <v>159</v>
          </cell>
          <cell r="AZ51" t="str">
            <v>Nasser Salim Nasser Al Ghafri</v>
          </cell>
          <cell r="BA51" t="str">
            <v>22-073175-20</v>
          </cell>
          <cell r="BB51" t="str">
            <v>OIB</v>
          </cell>
          <cell r="BC51" t="str">
            <v>Ibri</v>
          </cell>
          <cell r="BD51">
            <v>539.26583750000009</v>
          </cell>
        </row>
        <row r="52">
          <cell r="B52">
            <v>161</v>
          </cell>
          <cell r="C52" t="str">
            <v>Salim Abdullah Saif Al Harrasi</v>
          </cell>
          <cell r="D52" t="str">
            <v>Vib Operator</v>
          </cell>
          <cell r="E52" t="str">
            <v>09.06.04</v>
          </cell>
          <cell r="F52">
            <v>2.4126923076923075</v>
          </cell>
          <cell r="G52">
            <v>1.5079326923076921</v>
          </cell>
          <cell r="H52">
            <v>0</v>
          </cell>
          <cell r="I52">
            <v>0</v>
          </cell>
          <cell r="K52">
            <v>0</v>
          </cell>
          <cell r="L52">
            <v>0</v>
          </cell>
          <cell r="M52">
            <v>0</v>
          </cell>
          <cell r="N52">
            <v>0</v>
          </cell>
          <cell r="O52">
            <v>0</v>
          </cell>
          <cell r="P52">
            <v>66</v>
          </cell>
          <cell r="Q52">
            <v>1.98</v>
          </cell>
          <cell r="R52">
            <v>209.1</v>
          </cell>
          <cell r="S52">
            <v>120</v>
          </cell>
          <cell r="T52">
            <v>2</v>
          </cell>
          <cell r="U52">
            <v>5</v>
          </cell>
          <cell r="V52">
            <v>4.5</v>
          </cell>
          <cell r="W52">
            <v>0</v>
          </cell>
          <cell r="X52">
            <v>0</v>
          </cell>
          <cell r="Y52">
            <v>0</v>
          </cell>
          <cell r="Z52">
            <v>0</v>
          </cell>
          <cell r="AA52">
            <v>0</v>
          </cell>
          <cell r="AB52">
            <v>0</v>
          </cell>
          <cell r="AD52">
            <v>0</v>
          </cell>
          <cell r="AH52">
            <v>0</v>
          </cell>
          <cell r="AI52">
            <v>0</v>
          </cell>
          <cell r="AJ52">
            <v>0</v>
          </cell>
          <cell r="AK52">
            <v>0</v>
          </cell>
          <cell r="AL52">
            <v>0</v>
          </cell>
          <cell r="AM52">
            <v>0</v>
          </cell>
          <cell r="AN52">
            <v>0</v>
          </cell>
          <cell r="AP52">
            <v>0</v>
          </cell>
          <cell r="AQ52">
            <v>0</v>
          </cell>
          <cell r="AT52">
            <v>0</v>
          </cell>
          <cell r="AU52">
            <v>0</v>
          </cell>
          <cell r="AV52" t="str">
            <v>30 Days HLV</v>
          </cell>
          <cell r="AW52">
            <v>157</v>
          </cell>
          <cell r="AX52">
            <v>161</v>
          </cell>
          <cell r="AZ52" t="str">
            <v>Salim Abdullah Saif Al Harrasi</v>
          </cell>
          <cell r="BA52" t="str">
            <v>1010-262411-017</v>
          </cell>
          <cell r="BB52" t="str">
            <v>NBO</v>
          </cell>
          <cell r="BC52" t="str">
            <v>Nizwa</v>
          </cell>
          <cell r="BD52">
            <v>0</v>
          </cell>
        </row>
        <row r="53">
          <cell r="B53">
            <v>163</v>
          </cell>
          <cell r="C53" t="str">
            <v>Musabah Ali Saif Al Hinai</v>
          </cell>
          <cell r="D53" t="str">
            <v>Group Foreman/L.Driver</v>
          </cell>
          <cell r="E53" t="str">
            <v>07.06.04</v>
          </cell>
          <cell r="F53">
            <v>1.9263461538461537</v>
          </cell>
          <cell r="G53">
            <v>1.2039663461538461</v>
          </cell>
          <cell r="H53">
            <v>0</v>
          </cell>
          <cell r="I53">
            <v>112</v>
          </cell>
          <cell r="K53">
            <v>19</v>
          </cell>
          <cell r="L53">
            <v>11</v>
          </cell>
          <cell r="M53">
            <v>0</v>
          </cell>
          <cell r="N53">
            <v>0</v>
          </cell>
          <cell r="O53">
            <v>30</v>
          </cell>
          <cell r="P53">
            <v>63</v>
          </cell>
          <cell r="Q53">
            <v>1.89</v>
          </cell>
          <cell r="R53">
            <v>166.95</v>
          </cell>
          <cell r="S53">
            <v>85</v>
          </cell>
          <cell r="T53">
            <v>2</v>
          </cell>
          <cell r="U53">
            <v>5</v>
          </cell>
          <cell r="V53">
            <v>4.5</v>
          </cell>
          <cell r="W53">
            <v>166.95</v>
          </cell>
          <cell r="X53">
            <v>85</v>
          </cell>
          <cell r="Y53">
            <v>2</v>
          </cell>
          <cell r="Z53">
            <v>5</v>
          </cell>
          <cell r="AA53">
            <v>134.84423076923076</v>
          </cell>
          <cell r="AB53">
            <v>85.5</v>
          </cell>
          <cell r="AD53">
            <v>0</v>
          </cell>
          <cell r="AH53">
            <v>0</v>
          </cell>
          <cell r="AI53">
            <v>0</v>
          </cell>
          <cell r="AJ53">
            <v>0</v>
          </cell>
          <cell r="AK53">
            <v>0</v>
          </cell>
          <cell r="AL53">
            <v>41.536838942307689</v>
          </cell>
          <cell r="AM53">
            <v>0</v>
          </cell>
          <cell r="AN53">
            <v>0</v>
          </cell>
          <cell r="AP53">
            <v>0</v>
          </cell>
          <cell r="AQ53">
            <v>520.83106971153848</v>
          </cell>
          <cell r="AR53">
            <v>10.851749999999999</v>
          </cell>
          <cell r="AT53">
            <v>10.851749999999999</v>
          </cell>
          <cell r="AU53">
            <v>509.97931971153849</v>
          </cell>
          <cell r="AX53">
            <v>163</v>
          </cell>
          <cell r="AZ53" t="str">
            <v>Musabah Ali Saif Al Hinai</v>
          </cell>
          <cell r="BA53" t="str">
            <v>21-628003-29</v>
          </cell>
          <cell r="BB53" t="str">
            <v>OIB</v>
          </cell>
          <cell r="BC53" t="str">
            <v>Bahla</v>
          </cell>
          <cell r="BD53">
            <v>509.97931971153849</v>
          </cell>
        </row>
        <row r="54">
          <cell r="B54">
            <v>165</v>
          </cell>
          <cell r="C54" t="str">
            <v>Nasser Hamoud Yasir Al Harrasi</v>
          </cell>
          <cell r="D54" t="str">
            <v>GPS Operator</v>
          </cell>
          <cell r="E54" t="str">
            <v>12.05.04</v>
          </cell>
          <cell r="F54">
            <v>2.2956923076923075</v>
          </cell>
          <cell r="G54">
            <v>1.4348076923076922</v>
          </cell>
          <cell r="H54">
            <v>21</v>
          </cell>
          <cell r="I54">
            <v>70</v>
          </cell>
          <cell r="K54">
            <v>30</v>
          </cell>
          <cell r="L54">
            <v>0</v>
          </cell>
          <cell r="M54">
            <v>0</v>
          </cell>
          <cell r="N54">
            <v>0</v>
          </cell>
          <cell r="O54">
            <v>30</v>
          </cell>
          <cell r="P54">
            <v>64</v>
          </cell>
          <cell r="Q54">
            <v>1.92</v>
          </cell>
          <cell r="R54">
            <v>198.96</v>
          </cell>
          <cell r="S54">
            <v>120</v>
          </cell>
          <cell r="T54">
            <v>2</v>
          </cell>
          <cell r="U54">
            <v>5</v>
          </cell>
          <cell r="V54">
            <v>4.5</v>
          </cell>
          <cell r="W54">
            <v>198.96</v>
          </cell>
          <cell r="X54">
            <v>120</v>
          </cell>
          <cell r="Y54">
            <v>2</v>
          </cell>
          <cell r="Z54">
            <v>5</v>
          </cell>
          <cell r="AA54">
            <v>100.43653846153846</v>
          </cell>
          <cell r="AB54">
            <v>135</v>
          </cell>
          <cell r="AD54">
            <v>48.209538461538457</v>
          </cell>
          <cell r="AH54">
            <v>0</v>
          </cell>
          <cell r="AI54">
            <v>0</v>
          </cell>
          <cell r="AJ54">
            <v>0</v>
          </cell>
          <cell r="AK54">
            <v>0</v>
          </cell>
          <cell r="AL54">
            <v>0</v>
          </cell>
          <cell r="AM54">
            <v>144.62861538461536</v>
          </cell>
          <cell r="AN54">
            <v>27</v>
          </cell>
          <cell r="AP54">
            <v>123</v>
          </cell>
          <cell r="AQ54">
            <v>904.2346923076924</v>
          </cell>
          <cell r="AR54">
            <v>12.932400000000001</v>
          </cell>
          <cell r="AT54">
            <v>12.932400000000001</v>
          </cell>
          <cell r="AU54">
            <v>891.30229230769237</v>
          </cell>
          <cell r="AX54">
            <v>165</v>
          </cell>
          <cell r="AZ54" t="str">
            <v>Nasser Hamoud Yasir Al Harrasi</v>
          </cell>
          <cell r="BA54">
            <v>191112920084010</v>
          </cell>
          <cell r="BB54" t="str">
            <v>Bank Muscat</v>
          </cell>
          <cell r="BC54" t="str">
            <v>Bahla</v>
          </cell>
          <cell r="BD54">
            <v>891.30229230769237</v>
          </cell>
        </row>
        <row r="55">
          <cell r="B55">
            <v>167</v>
          </cell>
          <cell r="C55" t="str">
            <v>Salim Mubarak Abdullah Al Qanashiul</v>
          </cell>
          <cell r="D55" t="str">
            <v>GPS Operator</v>
          </cell>
          <cell r="E55" t="str">
            <v>12.05.04</v>
          </cell>
          <cell r="F55">
            <v>2.1</v>
          </cell>
          <cell r="G55">
            <v>1.3125</v>
          </cell>
          <cell r="H55">
            <v>21</v>
          </cell>
          <cell r="I55">
            <v>35</v>
          </cell>
          <cell r="K55">
            <v>16</v>
          </cell>
          <cell r="L55">
            <v>14</v>
          </cell>
          <cell r="M55">
            <v>0</v>
          </cell>
          <cell r="N55">
            <v>0</v>
          </cell>
          <cell r="O55">
            <v>30</v>
          </cell>
          <cell r="P55">
            <v>61</v>
          </cell>
          <cell r="Q55">
            <v>1.8299999999999998</v>
          </cell>
          <cell r="R55">
            <v>182</v>
          </cell>
          <cell r="S55">
            <v>120</v>
          </cell>
          <cell r="T55">
            <v>2</v>
          </cell>
          <cell r="U55">
            <v>5</v>
          </cell>
          <cell r="V55">
            <v>4.5</v>
          </cell>
          <cell r="W55">
            <v>182</v>
          </cell>
          <cell r="X55">
            <v>120</v>
          </cell>
          <cell r="Y55">
            <v>2</v>
          </cell>
          <cell r="Z55">
            <v>5</v>
          </cell>
          <cell r="AA55">
            <v>45.9375</v>
          </cell>
          <cell r="AB55">
            <v>72</v>
          </cell>
          <cell r="AD55">
            <v>44.1</v>
          </cell>
          <cell r="AH55">
            <v>0</v>
          </cell>
          <cell r="AI55">
            <v>0</v>
          </cell>
          <cell r="AJ55">
            <v>0</v>
          </cell>
          <cell r="AK55">
            <v>0</v>
          </cell>
          <cell r="AL55">
            <v>59.0625</v>
          </cell>
          <cell r="AM55">
            <v>132.30000000000001</v>
          </cell>
          <cell r="AN55">
            <v>27</v>
          </cell>
          <cell r="AP55">
            <v>123</v>
          </cell>
          <cell r="AQ55">
            <v>812.40000000000009</v>
          </cell>
          <cell r="AR55">
            <v>11.83</v>
          </cell>
          <cell r="AT55">
            <v>11.83</v>
          </cell>
          <cell r="AU55">
            <v>800.57</v>
          </cell>
          <cell r="AX55">
            <v>167</v>
          </cell>
          <cell r="AZ55" t="str">
            <v>Salim Mubarak Abdullah Al Qanashiul</v>
          </cell>
          <cell r="BA55" t="str">
            <v>22-045538-29</v>
          </cell>
          <cell r="BB55" t="str">
            <v>OIB</v>
          </cell>
          <cell r="BC55" t="str">
            <v>Ibri</v>
          </cell>
          <cell r="BD55">
            <v>800.57</v>
          </cell>
        </row>
        <row r="56">
          <cell r="B56">
            <v>168</v>
          </cell>
          <cell r="C56" t="str">
            <v>Lahimar Sulaiyam Haid Al Darai</v>
          </cell>
          <cell r="D56" t="str">
            <v>Heavy Duty Driver</v>
          </cell>
          <cell r="E56" t="str">
            <v>07.06.04</v>
          </cell>
          <cell r="F56">
            <v>2.2344230769230773</v>
          </cell>
          <cell r="G56">
            <v>1.3965144230769233</v>
          </cell>
          <cell r="H56">
            <v>21</v>
          </cell>
          <cell r="I56">
            <v>42</v>
          </cell>
          <cell r="K56">
            <v>18</v>
          </cell>
          <cell r="L56">
            <v>9</v>
          </cell>
          <cell r="M56">
            <v>0</v>
          </cell>
          <cell r="N56">
            <v>0</v>
          </cell>
          <cell r="O56">
            <v>27</v>
          </cell>
          <cell r="P56">
            <v>54</v>
          </cell>
          <cell r="Q56">
            <v>1.6199999999999999</v>
          </cell>
          <cell r="R56">
            <v>193.65</v>
          </cell>
          <cell r="S56">
            <v>120</v>
          </cell>
          <cell r="T56">
            <v>2</v>
          </cell>
          <cell r="U56">
            <v>5</v>
          </cell>
          <cell r="V56">
            <v>4.5</v>
          </cell>
          <cell r="W56">
            <v>174.285</v>
          </cell>
          <cell r="X56">
            <v>108</v>
          </cell>
          <cell r="Y56">
            <v>1.8</v>
          </cell>
          <cell r="Z56">
            <v>4.5</v>
          </cell>
          <cell r="AA56">
            <v>58.653605769230779</v>
          </cell>
          <cell r="AB56">
            <v>81</v>
          </cell>
          <cell r="AD56">
            <v>46.922884615384625</v>
          </cell>
          <cell r="AH56">
            <v>0</v>
          </cell>
          <cell r="AI56">
            <v>0</v>
          </cell>
          <cell r="AJ56">
            <v>0</v>
          </cell>
          <cell r="AK56">
            <v>0</v>
          </cell>
          <cell r="AL56">
            <v>0</v>
          </cell>
          <cell r="AM56">
            <v>140.76865384615388</v>
          </cell>
          <cell r="AN56">
            <v>27</v>
          </cell>
          <cell r="AP56">
            <v>123</v>
          </cell>
          <cell r="AQ56">
            <v>765.9301442307692</v>
          </cell>
          <cell r="AR56">
            <v>12.587250000000001</v>
          </cell>
          <cell r="AT56">
            <v>12.587250000000001</v>
          </cell>
          <cell r="AU56">
            <v>753.34289423076916</v>
          </cell>
          <cell r="AX56">
            <v>168</v>
          </cell>
          <cell r="AZ56" t="str">
            <v>Lahimar Sulaiyam Haid Al Darai</v>
          </cell>
          <cell r="BA56" t="str">
            <v>0062 20184 0084 012</v>
          </cell>
          <cell r="BB56" t="str">
            <v>Bank Muscat</v>
          </cell>
          <cell r="BC56" t="str">
            <v>Bahla</v>
          </cell>
          <cell r="BD56">
            <v>753.34289423076916</v>
          </cell>
        </row>
        <row r="57">
          <cell r="B57">
            <v>171</v>
          </cell>
          <cell r="C57" t="str">
            <v>Rashid Khalfan Khamis Al Ghafri</v>
          </cell>
          <cell r="D57" t="str">
            <v>Asst Mech</v>
          </cell>
          <cell r="E57" t="str">
            <v>07.06.04</v>
          </cell>
          <cell r="F57">
            <v>2.1183461538461539</v>
          </cell>
          <cell r="G57">
            <v>1.3239663461538462</v>
          </cell>
          <cell r="H57">
            <v>0</v>
          </cell>
          <cell r="I57">
            <v>42</v>
          </cell>
          <cell r="K57">
            <v>21</v>
          </cell>
          <cell r="L57">
            <v>9</v>
          </cell>
          <cell r="M57">
            <v>0</v>
          </cell>
          <cell r="N57">
            <v>0</v>
          </cell>
          <cell r="O57">
            <v>30</v>
          </cell>
          <cell r="P57">
            <v>66</v>
          </cell>
          <cell r="Q57">
            <v>1.98</v>
          </cell>
          <cell r="R57">
            <v>183.59</v>
          </cell>
          <cell r="S57">
            <v>110</v>
          </cell>
          <cell r="T57">
            <v>2</v>
          </cell>
          <cell r="U57">
            <v>5</v>
          </cell>
          <cell r="V57">
            <v>4.5</v>
          </cell>
          <cell r="W57">
            <v>183.59</v>
          </cell>
          <cell r="X57">
            <v>110</v>
          </cell>
          <cell r="Y57">
            <v>2</v>
          </cell>
          <cell r="Z57">
            <v>5</v>
          </cell>
          <cell r="AA57">
            <v>55.606586538461542</v>
          </cell>
          <cell r="AB57">
            <v>94.5</v>
          </cell>
          <cell r="AD57">
            <v>0</v>
          </cell>
          <cell r="AH57">
            <v>0</v>
          </cell>
          <cell r="AI57">
            <v>0</v>
          </cell>
          <cell r="AJ57">
            <v>0</v>
          </cell>
          <cell r="AK57">
            <v>0</v>
          </cell>
          <cell r="AL57">
            <v>66.198317307692307</v>
          </cell>
          <cell r="AM57">
            <v>0</v>
          </cell>
          <cell r="AN57">
            <v>0</v>
          </cell>
          <cell r="AP57">
            <v>0</v>
          </cell>
          <cell r="AQ57">
            <v>516.89490384615385</v>
          </cell>
          <cell r="AR57">
            <v>11.933350000000001</v>
          </cell>
          <cell r="AT57">
            <v>11.933350000000001</v>
          </cell>
          <cell r="AU57">
            <v>504.96155384615383</v>
          </cell>
          <cell r="AX57">
            <v>171</v>
          </cell>
          <cell r="AZ57" t="str">
            <v>Rashid Khalfan Khamis Al Ghafri</v>
          </cell>
          <cell r="BA57" t="str">
            <v>22 073761 29</v>
          </cell>
          <cell r="BB57" t="str">
            <v>OIB</v>
          </cell>
          <cell r="BC57" t="str">
            <v>Ibri</v>
          </cell>
          <cell r="BD57">
            <v>504.96155384615383</v>
          </cell>
        </row>
        <row r="58">
          <cell r="B58">
            <v>178</v>
          </cell>
          <cell r="C58" t="str">
            <v>Hamoud Yasir Nasser Al Harrasi</v>
          </cell>
          <cell r="D58" t="str">
            <v>Asst Mech</v>
          </cell>
          <cell r="E58" t="str">
            <v>07.06.04</v>
          </cell>
          <cell r="F58">
            <v>2.3949230769230772</v>
          </cell>
          <cell r="G58">
            <v>1.4968269230769233</v>
          </cell>
          <cell r="H58">
            <v>20</v>
          </cell>
          <cell r="I58">
            <v>28</v>
          </cell>
          <cell r="K58">
            <v>16</v>
          </cell>
          <cell r="L58">
            <v>14</v>
          </cell>
          <cell r="M58">
            <v>0</v>
          </cell>
          <cell r="N58">
            <v>0</v>
          </cell>
          <cell r="O58">
            <v>30</v>
          </cell>
          <cell r="P58">
            <v>64</v>
          </cell>
          <cell r="Q58">
            <v>1.92</v>
          </cell>
          <cell r="R58">
            <v>207.56</v>
          </cell>
          <cell r="S58">
            <v>120</v>
          </cell>
          <cell r="T58">
            <v>2</v>
          </cell>
          <cell r="U58">
            <v>5</v>
          </cell>
          <cell r="V58">
            <v>4.5</v>
          </cell>
          <cell r="W58">
            <v>207.56</v>
          </cell>
          <cell r="X58">
            <v>120</v>
          </cell>
          <cell r="Y58">
            <v>2</v>
          </cell>
          <cell r="Z58">
            <v>5</v>
          </cell>
          <cell r="AA58">
            <v>41.911153846153852</v>
          </cell>
          <cell r="AB58">
            <v>72</v>
          </cell>
          <cell r="AD58">
            <v>47.898461538461547</v>
          </cell>
          <cell r="AH58">
            <v>0</v>
          </cell>
          <cell r="AI58">
            <v>0</v>
          </cell>
          <cell r="AJ58">
            <v>0</v>
          </cell>
          <cell r="AK58">
            <v>0</v>
          </cell>
          <cell r="AL58">
            <v>284.39711538461546</v>
          </cell>
          <cell r="AM58">
            <v>0</v>
          </cell>
          <cell r="AN58">
            <v>0</v>
          </cell>
          <cell r="AP58">
            <v>0</v>
          </cell>
          <cell r="AQ58">
            <v>780.76673076923089</v>
          </cell>
          <cell r="AR58">
            <v>13.491400000000001</v>
          </cell>
          <cell r="AT58">
            <v>13.491400000000001</v>
          </cell>
          <cell r="AU58">
            <v>767.27533076923089</v>
          </cell>
          <cell r="AX58">
            <v>178</v>
          </cell>
          <cell r="AZ58" t="str">
            <v>Hamoud Yasir Nasser Al Harrasi</v>
          </cell>
          <cell r="BA58" t="str">
            <v>21-614102-20</v>
          </cell>
          <cell r="BB58" t="str">
            <v>OIB</v>
          </cell>
          <cell r="BC58" t="str">
            <v>Bahla</v>
          </cell>
          <cell r="BD58">
            <v>767.27533076923089</v>
          </cell>
        </row>
        <row r="59">
          <cell r="B59">
            <v>181</v>
          </cell>
          <cell r="C59" t="str">
            <v>Salim Ali Musabah Al Busaidi</v>
          </cell>
          <cell r="D59" t="str">
            <v>Group Foreman/L.Driver</v>
          </cell>
          <cell r="E59" t="str">
            <v>07.06.04</v>
          </cell>
          <cell r="F59">
            <v>1.8454615384615385</v>
          </cell>
          <cell r="G59">
            <v>1.1534134615384615</v>
          </cell>
          <cell r="H59">
            <v>0</v>
          </cell>
          <cell r="I59">
            <v>81</v>
          </cell>
          <cell r="K59">
            <v>19</v>
          </cell>
          <cell r="L59">
            <v>9</v>
          </cell>
          <cell r="M59">
            <v>2</v>
          </cell>
          <cell r="N59">
            <v>0</v>
          </cell>
          <cell r="O59">
            <v>30</v>
          </cell>
          <cell r="P59">
            <v>62</v>
          </cell>
          <cell r="Q59">
            <v>1.8599999999999999</v>
          </cell>
          <cell r="R59">
            <v>159.94</v>
          </cell>
          <cell r="S59">
            <v>85</v>
          </cell>
          <cell r="T59">
            <v>2</v>
          </cell>
          <cell r="U59">
            <v>5</v>
          </cell>
          <cell r="V59">
            <v>4.5</v>
          </cell>
          <cell r="W59">
            <v>159.94</v>
          </cell>
          <cell r="X59">
            <v>85</v>
          </cell>
          <cell r="Y59">
            <v>2</v>
          </cell>
          <cell r="Z59">
            <v>5</v>
          </cell>
          <cell r="AA59">
            <v>93.426490384615377</v>
          </cell>
          <cell r="AB59">
            <v>85.5</v>
          </cell>
          <cell r="AD59">
            <v>0</v>
          </cell>
          <cell r="AH59">
            <v>0</v>
          </cell>
          <cell r="AI59">
            <v>0</v>
          </cell>
          <cell r="AJ59">
            <v>0</v>
          </cell>
          <cell r="AK59">
            <v>0</v>
          </cell>
          <cell r="AL59">
            <v>32.295576923076922</v>
          </cell>
          <cell r="AM59">
            <v>0</v>
          </cell>
          <cell r="AN59">
            <v>0</v>
          </cell>
          <cell r="AP59">
            <v>0</v>
          </cell>
          <cell r="AQ59">
            <v>463.16206730769227</v>
          </cell>
          <cell r="AR59">
            <v>10.396100000000001</v>
          </cell>
          <cell r="AT59">
            <v>10.396100000000001</v>
          </cell>
          <cell r="AU59">
            <v>452.76596730769228</v>
          </cell>
          <cell r="AX59">
            <v>181</v>
          </cell>
          <cell r="AZ59" t="str">
            <v>Salim Ali Musabah Al Busaidi</v>
          </cell>
          <cell r="BA59" t="str">
            <v>129-224370084013</v>
          </cell>
          <cell r="BB59" t="str">
            <v>Bank Muscat</v>
          </cell>
          <cell r="BC59" t="str">
            <v>Adam</v>
          </cell>
          <cell r="BD59">
            <v>452.76596730769228</v>
          </cell>
        </row>
        <row r="60">
          <cell r="B60">
            <v>182</v>
          </cell>
          <cell r="C60" t="str">
            <v>Sulaiman Salim Dhahi Al Ghafri</v>
          </cell>
          <cell r="D60" t="str">
            <v>Labour/Cable</v>
          </cell>
          <cell r="E60" t="str">
            <v>07.06.04</v>
          </cell>
          <cell r="F60">
            <v>1.798153846153846</v>
          </cell>
          <cell r="G60">
            <v>1.1238461538461537</v>
          </cell>
          <cell r="H60">
            <v>0</v>
          </cell>
          <cell r="I60">
            <v>188.5</v>
          </cell>
          <cell r="K60">
            <v>21</v>
          </cell>
          <cell r="L60">
            <v>9</v>
          </cell>
          <cell r="M60">
            <v>0</v>
          </cell>
          <cell r="N60">
            <v>0</v>
          </cell>
          <cell r="O60">
            <v>30</v>
          </cell>
          <cell r="P60">
            <v>55</v>
          </cell>
          <cell r="Q60">
            <v>1.65</v>
          </cell>
          <cell r="R60">
            <v>155.84</v>
          </cell>
          <cell r="S60">
            <v>85</v>
          </cell>
          <cell r="T60">
            <v>2</v>
          </cell>
          <cell r="U60">
            <v>5</v>
          </cell>
          <cell r="V60">
            <v>4.5</v>
          </cell>
          <cell r="W60">
            <v>155.84</v>
          </cell>
          <cell r="X60">
            <v>85</v>
          </cell>
          <cell r="Y60">
            <v>2</v>
          </cell>
          <cell r="Z60">
            <v>5</v>
          </cell>
          <cell r="AA60">
            <v>211.84499999999997</v>
          </cell>
          <cell r="AB60">
            <v>94.5</v>
          </cell>
          <cell r="AD60">
            <v>0</v>
          </cell>
          <cell r="AH60">
            <v>0</v>
          </cell>
          <cell r="AI60">
            <v>0</v>
          </cell>
          <cell r="AJ60">
            <v>0</v>
          </cell>
          <cell r="AK60">
            <v>0</v>
          </cell>
          <cell r="AL60">
            <v>35.963076923076919</v>
          </cell>
          <cell r="AM60">
            <v>129.46707692307692</v>
          </cell>
          <cell r="AN60">
            <v>27</v>
          </cell>
          <cell r="AP60">
            <v>123</v>
          </cell>
          <cell r="AQ60">
            <v>869.6151538461537</v>
          </cell>
          <cell r="AR60">
            <v>10.1296</v>
          </cell>
          <cell r="AT60">
            <v>10.1296</v>
          </cell>
          <cell r="AU60">
            <v>859.48555384615372</v>
          </cell>
          <cell r="AW60">
            <v>98</v>
          </cell>
          <cell r="AX60">
            <v>182</v>
          </cell>
          <cell r="AZ60" t="str">
            <v>Sulaiman Salim Dhahi Al Ghafri</v>
          </cell>
          <cell r="BA60" t="str">
            <v>0141147201700</v>
          </cell>
          <cell r="BB60" t="str">
            <v>Bank Dhofar</v>
          </cell>
          <cell r="BC60" t="str">
            <v>Bahla</v>
          </cell>
          <cell r="BD60">
            <v>859.48555384615372</v>
          </cell>
        </row>
        <row r="61">
          <cell r="B61">
            <v>184</v>
          </cell>
          <cell r="C61" t="str">
            <v>Habib Mohamed Harib Al Daral</v>
          </cell>
          <cell r="D61" t="str">
            <v>Group Foreman/L.Driver</v>
          </cell>
          <cell r="E61" t="str">
            <v>07.06.04</v>
          </cell>
          <cell r="F61">
            <v>1.8900000000000001</v>
          </cell>
          <cell r="G61">
            <v>1.1812500000000001</v>
          </cell>
          <cell r="H61">
            <v>21</v>
          </cell>
          <cell r="I61">
            <v>53</v>
          </cell>
          <cell r="K61">
            <v>16</v>
          </cell>
          <cell r="L61">
            <v>14</v>
          </cell>
          <cell r="M61">
            <v>0</v>
          </cell>
          <cell r="N61">
            <v>0</v>
          </cell>
          <cell r="O61">
            <v>30</v>
          </cell>
          <cell r="P61">
            <v>58</v>
          </cell>
          <cell r="Q61">
            <v>1.74</v>
          </cell>
          <cell r="R61">
            <v>163.80000000000001</v>
          </cell>
          <cell r="S61">
            <v>85</v>
          </cell>
          <cell r="T61">
            <v>2</v>
          </cell>
          <cell r="U61">
            <v>5</v>
          </cell>
          <cell r="V61">
            <v>4.5</v>
          </cell>
          <cell r="W61">
            <v>163.80000000000001</v>
          </cell>
          <cell r="X61">
            <v>85</v>
          </cell>
          <cell r="Y61">
            <v>2</v>
          </cell>
          <cell r="Z61">
            <v>5</v>
          </cell>
          <cell r="AA61">
            <v>62.60625000000001</v>
          </cell>
          <cell r="AB61">
            <v>72</v>
          </cell>
          <cell r="AD61">
            <v>39.690000000000005</v>
          </cell>
          <cell r="AH61">
            <v>0</v>
          </cell>
          <cell r="AI61">
            <v>0</v>
          </cell>
          <cell r="AJ61">
            <v>0</v>
          </cell>
          <cell r="AK61">
            <v>0</v>
          </cell>
          <cell r="AL61">
            <v>56.7</v>
          </cell>
          <cell r="AM61">
            <v>0</v>
          </cell>
          <cell r="AN61">
            <v>0</v>
          </cell>
          <cell r="AP61">
            <v>0</v>
          </cell>
          <cell r="AQ61">
            <v>486.79624999999999</v>
          </cell>
          <cell r="AR61">
            <v>10.647</v>
          </cell>
          <cell r="AT61">
            <v>10.647</v>
          </cell>
          <cell r="AU61">
            <v>476.14924999999999</v>
          </cell>
          <cell r="AX61">
            <v>184</v>
          </cell>
          <cell r="AZ61" t="str">
            <v>Habib Mohamed Harib Al Daral</v>
          </cell>
          <cell r="BA61" t="str">
            <v>062-196890084012</v>
          </cell>
          <cell r="BB61" t="str">
            <v>Bank Muscat</v>
          </cell>
          <cell r="BC61" t="str">
            <v>Bahla</v>
          </cell>
          <cell r="BD61">
            <v>476.14924999999999</v>
          </cell>
        </row>
        <row r="62">
          <cell r="B62">
            <v>185</v>
          </cell>
          <cell r="C62" t="str">
            <v>Musallam Hamdan Salim Al Hinai</v>
          </cell>
          <cell r="D62" t="str">
            <v>Asst Mech</v>
          </cell>
          <cell r="E62" t="str">
            <v>07.06.04</v>
          </cell>
          <cell r="F62">
            <v>2.0465769230769233</v>
          </cell>
          <cell r="G62">
            <v>1.2791105769230771</v>
          </cell>
          <cell r="H62">
            <v>0</v>
          </cell>
          <cell r="I62">
            <v>0</v>
          </cell>
          <cell r="K62">
            <v>0</v>
          </cell>
          <cell r="L62">
            <v>0</v>
          </cell>
          <cell r="M62">
            <v>0</v>
          </cell>
          <cell r="N62">
            <v>0</v>
          </cell>
          <cell r="O62">
            <v>0</v>
          </cell>
          <cell r="P62">
            <v>66</v>
          </cell>
          <cell r="Q62">
            <v>1.98</v>
          </cell>
          <cell r="R62">
            <v>177.37</v>
          </cell>
          <cell r="S62">
            <v>120</v>
          </cell>
          <cell r="T62">
            <v>2</v>
          </cell>
          <cell r="U62">
            <v>5</v>
          </cell>
          <cell r="V62">
            <v>4.5</v>
          </cell>
          <cell r="W62">
            <v>0</v>
          </cell>
          <cell r="X62">
            <v>0</v>
          </cell>
          <cell r="Y62">
            <v>0</v>
          </cell>
          <cell r="Z62">
            <v>0</v>
          </cell>
          <cell r="AA62">
            <v>0</v>
          </cell>
          <cell r="AB62">
            <v>0</v>
          </cell>
          <cell r="AD62">
            <v>0</v>
          </cell>
          <cell r="AH62">
            <v>0</v>
          </cell>
          <cell r="AI62">
            <v>0</v>
          </cell>
          <cell r="AJ62">
            <v>0</v>
          </cell>
          <cell r="AK62">
            <v>0</v>
          </cell>
          <cell r="AL62">
            <v>0</v>
          </cell>
          <cell r="AM62">
            <v>0</v>
          </cell>
          <cell r="AN62">
            <v>0</v>
          </cell>
          <cell r="AP62">
            <v>0</v>
          </cell>
          <cell r="AQ62">
            <v>0</v>
          </cell>
          <cell r="AT62">
            <v>0</v>
          </cell>
          <cell r="AU62">
            <v>0</v>
          </cell>
          <cell r="AV62" t="str">
            <v>30 Days HLV</v>
          </cell>
          <cell r="AX62">
            <v>185</v>
          </cell>
          <cell r="AZ62" t="str">
            <v>Musallam Hamdan Salim Al Hinai</v>
          </cell>
          <cell r="BA62" t="str">
            <v>1019-177661-017</v>
          </cell>
          <cell r="BB62" t="str">
            <v>NBO</v>
          </cell>
          <cell r="BC62" t="str">
            <v>Bahla</v>
          </cell>
          <cell r="BD62">
            <v>0</v>
          </cell>
        </row>
        <row r="63">
          <cell r="B63">
            <v>189</v>
          </cell>
          <cell r="C63" t="str">
            <v>Sulaiman Sulaiyam Hamdan Al Hinai</v>
          </cell>
          <cell r="D63" t="str">
            <v>Heavy Duty Driver</v>
          </cell>
          <cell r="E63" t="str">
            <v>07.06.04</v>
          </cell>
          <cell r="F63">
            <v>2.0413846153846151</v>
          </cell>
          <cell r="G63">
            <v>1.2758653846153845</v>
          </cell>
          <cell r="H63">
            <v>21</v>
          </cell>
          <cell r="I63">
            <v>73.5</v>
          </cell>
          <cell r="K63">
            <v>16</v>
          </cell>
          <cell r="L63">
            <v>14</v>
          </cell>
          <cell r="M63">
            <v>0</v>
          </cell>
          <cell r="N63">
            <v>0</v>
          </cell>
          <cell r="O63">
            <v>30</v>
          </cell>
          <cell r="P63">
            <v>60</v>
          </cell>
          <cell r="Q63">
            <v>1.7999999999999998</v>
          </cell>
          <cell r="R63">
            <v>176.92</v>
          </cell>
          <cell r="S63">
            <v>110</v>
          </cell>
          <cell r="T63">
            <v>2</v>
          </cell>
          <cell r="U63">
            <v>5</v>
          </cell>
          <cell r="V63">
            <v>4.5</v>
          </cell>
          <cell r="W63">
            <v>176.92</v>
          </cell>
          <cell r="X63">
            <v>110</v>
          </cell>
          <cell r="Y63">
            <v>2</v>
          </cell>
          <cell r="Z63">
            <v>5</v>
          </cell>
          <cell r="AA63">
            <v>93.776105769230753</v>
          </cell>
          <cell r="AB63">
            <v>72</v>
          </cell>
          <cell r="AD63">
            <v>42.869076923076918</v>
          </cell>
          <cell r="AH63">
            <v>0</v>
          </cell>
          <cell r="AI63">
            <v>0</v>
          </cell>
          <cell r="AJ63">
            <v>0</v>
          </cell>
          <cell r="AK63">
            <v>0</v>
          </cell>
          <cell r="AL63">
            <v>86.12091346153845</v>
          </cell>
          <cell r="AM63">
            <v>0</v>
          </cell>
          <cell r="AN63">
            <v>0</v>
          </cell>
          <cell r="AP63">
            <v>0</v>
          </cell>
          <cell r="AQ63">
            <v>588.68609615384605</v>
          </cell>
          <cell r="AR63">
            <v>11.4998</v>
          </cell>
          <cell r="AT63">
            <v>11.4998</v>
          </cell>
          <cell r="AU63">
            <v>577.186296153846</v>
          </cell>
          <cell r="AX63">
            <v>189</v>
          </cell>
          <cell r="AZ63" t="str">
            <v>Sulaiman Sulaiyam Hamdan Al Hinai</v>
          </cell>
          <cell r="BA63" t="str">
            <v>062-19179008401-0</v>
          </cell>
          <cell r="BB63" t="str">
            <v>Bank Muscat</v>
          </cell>
          <cell r="BC63" t="str">
            <v>Bahla</v>
          </cell>
          <cell r="BD63">
            <v>577.186296153846</v>
          </cell>
        </row>
        <row r="64">
          <cell r="B64">
            <v>194</v>
          </cell>
          <cell r="C64" t="str">
            <v>Ahmed Mohamed Ahmed Al Mahrouqi</v>
          </cell>
          <cell r="D64" t="str">
            <v>Mechanic</v>
          </cell>
          <cell r="E64" t="str">
            <v>07.06.04</v>
          </cell>
          <cell r="F64">
            <v>3.3928846153846157</v>
          </cell>
          <cell r="G64">
            <v>2.1205528846153849</v>
          </cell>
          <cell r="H64">
            <v>20</v>
          </cell>
          <cell r="I64">
            <v>38</v>
          </cell>
          <cell r="K64">
            <v>21</v>
          </cell>
          <cell r="L64">
            <v>9</v>
          </cell>
          <cell r="M64">
            <v>0</v>
          </cell>
          <cell r="N64">
            <v>0</v>
          </cell>
          <cell r="O64">
            <v>30</v>
          </cell>
          <cell r="P64">
            <v>66</v>
          </cell>
          <cell r="Q64">
            <v>1.98</v>
          </cell>
          <cell r="R64">
            <v>294.05</v>
          </cell>
          <cell r="S64">
            <v>120</v>
          </cell>
          <cell r="T64">
            <v>2</v>
          </cell>
          <cell r="U64">
            <v>5</v>
          </cell>
          <cell r="V64">
            <v>4.5</v>
          </cell>
          <cell r="W64">
            <v>294.05</v>
          </cell>
          <cell r="X64">
            <v>120</v>
          </cell>
          <cell r="Y64">
            <v>2</v>
          </cell>
          <cell r="Z64">
            <v>5</v>
          </cell>
          <cell r="AA64">
            <v>80.58100961538463</v>
          </cell>
          <cell r="AB64">
            <v>94.5</v>
          </cell>
          <cell r="AD64">
            <v>67.857692307692318</v>
          </cell>
          <cell r="AH64">
            <v>0</v>
          </cell>
          <cell r="AI64">
            <v>0</v>
          </cell>
          <cell r="AJ64">
            <v>0</v>
          </cell>
          <cell r="AK64">
            <v>0</v>
          </cell>
          <cell r="AL64">
            <v>239.6224759615385</v>
          </cell>
          <cell r="AM64">
            <v>203.57307692307694</v>
          </cell>
          <cell r="AN64">
            <v>27</v>
          </cell>
          <cell r="AP64">
            <v>123</v>
          </cell>
          <cell r="AQ64">
            <v>1257.1842548076925</v>
          </cell>
          <cell r="AR64">
            <v>19.113250000000001</v>
          </cell>
          <cell r="AT64">
            <v>19.113250000000001</v>
          </cell>
          <cell r="AU64">
            <v>1238.0710048076924</v>
          </cell>
          <cell r="AX64">
            <v>194</v>
          </cell>
          <cell r="AZ64" t="str">
            <v>Ahmed Mohamed Ahmed Al Mahrouqi</v>
          </cell>
          <cell r="BA64" t="str">
            <v>129-231200084014</v>
          </cell>
          <cell r="BB64" t="str">
            <v>Bank Muscat</v>
          </cell>
          <cell r="BC64" t="str">
            <v>Adam</v>
          </cell>
          <cell r="BD64">
            <v>1238.0710048076924</v>
          </cell>
        </row>
        <row r="65">
          <cell r="B65">
            <v>196</v>
          </cell>
          <cell r="C65" t="str">
            <v>Ali Said Salim Al Busaidi</v>
          </cell>
          <cell r="D65" t="str">
            <v>Vib Operator</v>
          </cell>
          <cell r="E65" t="str">
            <v>07.06.04</v>
          </cell>
          <cell r="F65">
            <v>2.5067307692307694</v>
          </cell>
          <cell r="G65">
            <v>1.5667067307692308</v>
          </cell>
          <cell r="H65">
            <v>0</v>
          </cell>
          <cell r="I65">
            <v>176</v>
          </cell>
          <cell r="K65">
            <v>21</v>
          </cell>
          <cell r="L65">
            <v>9</v>
          </cell>
          <cell r="M65">
            <v>0</v>
          </cell>
          <cell r="N65">
            <v>0</v>
          </cell>
          <cell r="O65">
            <v>30</v>
          </cell>
          <cell r="P65">
            <v>64</v>
          </cell>
          <cell r="Q65">
            <v>1.92</v>
          </cell>
          <cell r="R65">
            <v>217.25</v>
          </cell>
          <cell r="S65">
            <v>120</v>
          </cell>
          <cell r="T65">
            <v>2</v>
          </cell>
          <cell r="U65">
            <v>5</v>
          </cell>
          <cell r="V65">
            <v>4.5</v>
          </cell>
          <cell r="W65">
            <v>217.25</v>
          </cell>
          <cell r="X65">
            <v>120</v>
          </cell>
          <cell r="Y65">
            <v>2</v>
          </cell>
          <cell r="Z65">
            <v>5</v>
          </cell>
          <cell r="AA65">
            <v>275.74038461538464</v>
          </cell>
          <cell r="AB65">
            <v>94.5</v>
          </cell>
          <cell r="AD65">
            <v>0</v>
          </cell>
          <cell r="AH65">
            <v>0</v>
          </cell>
          <cell r="AI65">
            <v>0</v>
          </cell>
          <cell r="AJ65">
            <v>0</v>
          </cell>
          <cell r="AK65">
            <v>0</v>
          </cell>
          <cell r="AL65">
            <v>175.47115384615387</v>
          </cell>
          <cell r="AM65">
            <v>0</v>
          </cell>
          <cell r="AN65">
            <v>63</v>
          </cell>
          <cell r="AP65">
            <v>0</v>
          </cell>
          <cell r="AQ65">
            <v>952.96153846153857</v>
          </cell>
          <cell r="AR65">
            <v>14.12125</v>
          </cell>
          <cell r="AT65">
            <v>14.12125</v>
          </cell>
          <cell r="AU65">
            <v>938.84028846153853</v>
          </cell>
          <cell r="AX65">
            <v>196</v>
          </cell>
          <cell r="AZ65" t="str">
            <v>Ali Said Salim Al Busaidi</v>
          </cell>
          <cell r="BA65" t="str">
            <v>129-108030084015</v>
          </cell>
          <cell r="BB65" t="str">
            <v>Bank Muscat</v>
          </cell>
          <cell r="BC65" t="str">
            <v>Adam</v>
          </cell>
          <cell r="BD65">
            <v>938.84028846153853</v>
          </cell>
        </row>
        <row r="66">
          <cell r="B66">
            <v>197</v>
          </cell>
          <cell r="C66" t="str">
            <v>Sulaiman Said Ali Al Mahrouqi</v>
          </cell>
          <cell r="D66" t="str">
            <v>Vib Operator</v>
          </cell>
          <cell r="E66" t="str">
            <v>07.06.04</v>
          </cell>
          <cell r="F66">
            <v>2.5067307692307694</v>
          </cell>
          <cell r="G66">
            <v>1.5667067307692308</v>
          </cell>
          <cell r="H66">
            <v>0</v>
          </cell>
          <cell r="I66">
            <v>160</v>
          </cell>
          <cell r="K66">
            <v>19</v>
          </cell>
          <cell r="L66">
            <v>10</v>
          </cell>
          <cell r="M66">
            <v>1</v>
          </cell>
          <cell r="N66">
            <v>0</v>
          </cell>
          <cell r="O66">
            <v>30</v>
          </cell>
          <cell r="P66">
            <v>63</v>
          </cell>
          <cell r="Q66">
            <v>1.89</v>
          </cell>
          <cell r="R66">
            <v>217.25</v>
          </cell>
          <cell r="S66">
            <v>120</v>
          </cell>
          <cell r="T66">
            <v>2</v>
          </cell>
          <cell r="U66">
            <v>5</v>
          </cell>
          <cell r="V66">
            <v>4.5</v>
          </cell>
          <cell r="W66">
            <v>217.25</v>
          </cell>
          <cell r="X66">
            <v>120</v>
          </cell>
          <cell r="Y66">
            <v>2</v>
          </cell>
          <cell r="Z66">
            <v>5</v>
          </cell>
          <cell r="AA66">
            <v>250.67307692307693</v>
          </cell>
          <cell r="AB66">
            <v>85.5</v>
          </cell>
          <cell r="AD66">
            <v>0</v>
          </cell>
          <cell r="AH66">
            <v>0</v>
          </cell>
          <cell r="AI66">
            <v>0</v>
          </cell>
          <cell r="AJ66">
            <v>0</v>
          </cell>
          <cell r="AK66">
            <v>0</v>
          </cell>
          <cell r="AL66">
            <v>0</v>
          </cell>
          <cell r="AM66">
            <v>0</v>
          </cell>
          <cell r="AN66">
            <v>0</v>
          </cell>
          <cell r="AP66">
            <v>0</v>
          </cell>
          <cell r="AQ66">
            <v>680.42307692307691</v>
          </cell>
          <cell r="AR66">
            <v>14.12125</v>
          </cell>
          <cell r="AT66">
            <v>14.12125</v>
          </cell>
          <cell r="AU66">
            <v>666.30182692307687</v>
          </cell>
          <cell r="AX66">
            <v>197</v>
          </cell>
          <cell r="AZ66" t="str">
            <v>Sulaiman Said Ali Al Mahrouqi</v>
          </cell>
          <cell r="BA66" t="str">
            <v>129-102870081012</v>
          </cell>
          <cell r="BB66" t="str">
            <v>Bank Muscat</v>
          </cell>
          <cell r="BC66" t="str">
            <v>Adam</v>
          </cell>
          <cell r="BD66">
            <v>666.30182692307687</v>
          </cell>
        </row>
        <row r="67">
          <cell r="B67">
            <v>198</v>
          </cell>
          <cell r="C67" t="str">
            <v>Ali Ahmed Hamed Al Mahrouqi</v>
          </cell>
          <cell r="D67" t="str">
            <v>Vib Operator</v>
          </cell>
          <cell r="E67" t="str">
            <v>07.06.04</v>
          </cell>
          <cell r="F67">
            <v>2.5175769230769229</v>
          </cell>
          <cell r="G67">
            <v>1.5734855769230769</v>
          </cell>
          <cell r="H67">
            <v>0</v>
          </cell>
          <cell r="I67">
            <v>24</v>
          </cell>
          <cell r="K67">
            <v>4</v>
          </cell>
          <cell r="L67">
            <v>10</v>
          </cell>
          <cell r="M67">
            <v>16</v>
          </cell>
          <cell r="N67">
            <v>0</v>
          </cell>
          <cell r="O67">
            <v>30</v>
          </cell>
          <cell r="P67">
            <v>62</v>
          </cell>
          <cell r="Q67">
            <v>1.8599999999999999</v>
          </cell>
          <cell r="R67">
            <v>218.19</v>
          </cell>
          <cell r="S67">
            <v>120</v>
          </cell>
          <cell r="T67">
            <v>2</v>
          </cell>
          <cell r="U67">
            <v>5</v>
          </cell>
          <cell r="V67">
            <v>4.5</v>
          </cell>
          <cell r="W67">
            <v>209.09875</v>
          </cell>
          <cell r="X67">
            <v>115</v>
          </cell>
          <cell r="Y67">
            <v>1.9166666666666667</v>
          </cell>
          <cell r="Z67">
            <v>4.4166666666666661</v>
          </cell>
          <cell r="AA67">
            <v>37.763653846153844</v>
          </cell>
          <cell r="AB67">
            <v>18</v>
          </cell>
          <cell r="AD67">
            <v>0</v>
          </cell>
          <cell r="AH67">
            <v>0</v>
          </cell>
          <cell r="AI67">
            <v>0</v>
          </cell>
          <cell r="AJ67">
            <v>0</v>
          </cell>
          <cell r="AK67">
            <v>0</v>
          </cell>
          <cell r="AL67">
            <v>-37.763653846153844</v>
          </cell>
          <cell r="AM67">
            <v>256.79284615384614</v>
          </cell>
          <cell r="AN67">
            <v>13.5</v>
          </cell>
          <cell r="AP67">
            <v>123</v>
          </cell>
          <cell r="AQ67">
            <v>741.72492948717945</v>
          </cell>
          <cell r="AR67">
            <v>14.18235</v>
          </cell>
          <cell r="AT67">
            <v>14.18235</v>
          </cell>
          <cell r="AU67">
            <v>727.54257948717941</v>
          </cell>
          <cell r="AV67" t="str">
            <v>03 days sick in October &amp; 16 Days in November so 5 day(19-14) is paid @ 75%.</v>
          </cell>
          <cell r="AW67">
            <v>122</v>
          </cell>
          <cell r="AX67">
            <v>198</v>
          </cell>
          <cell r="AZ67" t="str">
            <v>Ali Ahmed Hamed Al Mahrouqi</v>
          </cell>
          <cell r="BA67" t="str">
            <v>129-104760084010</v>
          </cell>
          <cell r="BB67" t="str">
            <v>Bank Muscat</v>
          </cell>
          <cell r="BC67" t="str">
            <v>Adam</v>
          </cell>
          <cell r="BD67">
            <v>727.54257948717941</v>
          </cell>
        </row>
        <row r="68">
          <cell r="B68">
            <v>199</v>
          </cell>
          <cell r="C68" t="str">
            <v>Ahmed Saed Khalfan Al Gharibi</v>
          </cell>
          <cell r="D68" t="str">
            <v>Vib Operator</v>
          </cell>
          <cell r="E68" t="str">
            <v>07.06.04</v>
          </cell>
          <cell r="F68">
            <v>2.3740384615384613</v>
          </cell>
          <cell r="G68">
            <v>1.4837740384615383</v>
          </cell>
          <cell r="H68">
            <v>34</v>
          </cell>
          <cell r="I68">
            <v>119</v>
          </cell>
          <cell r="K68">
            <v>16</v>
          </cell>
          <cell r="L68">
            <v>14</v>
          </cell>
          <cell r="M68">
            <v>0</v>
          </cell>
          <cell r="N68">
            <v>0</v>
          </cell>
          <cell r="O68">
            <v>30</v>
          </cell>
          <cell r="P68">
            <v>65</v>
          </cell>
          <cell r="Q68">
            <v>1.95</v>
          </cell>
          <cell r="R68">
            <v>205.75</v>
          </cell>
          <cell r="S68">
            <v>120</v>
          </cell>
          <cell r="T68">
            <v>2</v>
          </cell>
          <cell r="U68">
            <v>5</v>
          </cell>
          <cell r="V68">
            <v>4.5</v>
          </cell>
          <cell r="W68">
            <v>205.75</v>
          </cell>
          <cell r="X68">
            <v>120</v>
          </cell>
          <cell r="Y68">
            <v>2</v>
          </cell>
          <cell r="Z68">
            <v>5</v>
          </cell>
          <cell r="AA68">
            <v>176.56911057692307</v>
          </cell>
          <cell r="AB68">
            <v>72</v>
          </cell>
          <cell r="AD68">
            <v>80.717307692307685</v>
          </cell>
          <cell r="AH68">
            <v>0</v>
          </cell>
          <cell r="AI68">
            <v>0</v>
          </cell>
          <cell r="AJ68">
            <v>0</v>
          </cell>
          <cell r="AK68">
            <v>0</v>
          </cell>
          <cell r="AL68">
            <v>0</v>
          </cell>
          <cell r="AM68">
            <v>0</v>
          </cell>
          <cell r="AN68">
            <v>0</v>
          </cell>
          <cell r="AP68">
            <v>0</v>
          </cell>
          <cell r="AQ68">
            <v>662.03641826923081</v>
          </cell>
          <cell r="AR68">
            <v>13.373750000000001</v>
          </cell>
          <cell r="AT68">
            <v>13.373750000000001</v>
          </cell>
          <cell r="AU68">
            <v>648.66266826923083</v>
          </cell>
          <cell r="AX68">
            <v>199</v>
          </cell>
          <cell r="AZ68" t="str">
            <v>Ahmed Saed Khalfan Al Gharibi</v>
          </cell>
          <cell r="BA68" t="str">
            <v>22-092043-20</v>
          </cell>
          <cell r="BB68" t="str">
            <v>OIB</v>
          </cell>
          <cell r="BC68" t="str">
            <v>Ibri</v>
          </cell>
          <cell r="BD68">
            <v>648.66266826923083</v>
          </cell>
        </row>
        <row r="69">
          <cell r="B69">
            <v>200</v>
          </cell>
          <cell r="C69" t="str">
            <v>Salim Humaid Ali Al Hinai</v>
          </cell>
          <cell r="D69" t="str">
            <v>Group Foreman/L.Driver</v>
          </cell>
          <cell r="E69" t="str">
            <v>09.06.04</v>
          </cell>
          <cell r="F69">
            <v>1.8572307692307692</v>
          </cell>
          <cell r="G69">
            <v>1.1607692307692308</v>
          </cell>
          <cell r="H69">
            <v>0</v>
          </cell>
          <cell r="I69">
            <v>52.5</v>
          </cell>
          <cell r="K69">
            <v>21</v>
          </cell>
          <cell r="L69">
            <v>9</v>
          </cell>
          <cell r="M69">
            <v>0</v>
          </cell>
          <cell r="N69">
            <v>0</v>
          </cell>
          <cell r="O69">
            <v>30</v>
          </cell>
          <cell r="P69">
            <v>61</v>
          </cell>
          <cell r="Q69">
            <v>1.8299999999999998</v>
          </cell>
          <cell r="R69">
            <v>160.96</v>
          </cell>
          <cell r="S69">
            <v>85</v>
          </cell>
          <cell r="T69">
            <v>2</v>
          </cell>
          <cell r="U69">
            <v>5</v>
          </cell>
          <cell r="V69">
            <v>4.5</v>
          </cell>
          <cell r="W69">
            <v>160.96</v>
          </cell>
          <cell r="X69">
            <v>85</v>
          </cell>
          <cell r="Y69">
            <v>2</v>
          </cell>
          <cell r="Z69">
            <v>5</v>
          </cell>
          <cell r="AA69">
            <v>60.940384615384616</v>
          </cell>
          <cell r="AB69">
            <v>94.5</v>
          </cell>
          <cell r="AD69">
            <v>0</v>
          </cell>
          <cell r="AH69">
            <v>0</v>
          </cell>
          <cell r="AI69">
            <v>0</v>
          </cell>
          <cell r="AJ69">
            <v>0</v>
          </cell>
          <cell r="AK69">
            <v>0</v>
          </cell>
          <cell r="AL69">
            <v>100.40653846153846</v>
          </cell>
          <cell r="AM69">
            <v>0</v>
          </cell>
          <cell r="AN69">
            <v>0</v>
          </cell>
          <cell r="AP69">
            <v>0</v>
          </cell>
          <cell r="AQ69">
            <v>508.80692307692306</v>
          </cell>
          <cell r="AR69">
            <v>10.462400000000001</v>
          </cell>
          <cell r="AT69">
            <v>10.462400000000001</v>
          </cell>
          <cell r="AU69">
            <v>498.34452307692305</v>
          </cell>
          <cell r="AX69">
            <v>200</v>
          </cell>
          <cell r="AZ69" t="str">
            <v>Salim Humaid Ali Al Hinai</v>
          </cell>
          <cell r="BA69" t="str">
            <v>1012-2057176</v>
          </cell>
          <cell r="BB69" t="str">
            <v>NBO</v>
          </cell>
          <cell r="BC69" t="str">
            <v>Ibri</v>
          </cell>
          <cell r="BD69">
            <v>498.34452307692305</v>
          </cell>
        </row>
        <row r="70">
          <cell r="B70">
            <v>204</v>
          </cell>
          <cell r="C70" t="str">
            <v>Mohamed Abdullah Said Al Mahrouqi</v>
          </cell>
          <cell r="D70" t="str">
            <v>Vib Operator</v>
          </cell>
          <cell r="E70" t="str">
            <v>07.06.04</v>
          </cell>
          <cell r="F70">
            <v>2.5059230769230769</v>
          </cell>
          <cell r="G70">
            <v>1.5662019230769231</v>
          </cell>
          <cell r="H70">
            <v>34</v>
          </cell>
          <cell r="I70">
            <v>183</v>
          </cell>
          <cell r="K70">
            <v>23</v>
          </cell>
          <cell r="L70">
            <v>7</v>
          </cell>
          <cell r="M70">
            <v>0</v>
          </cell>
          <cell r="N70">
            <v>0</v>
          </cell>
          <cell r="O70">
            <v>30</v>
          </cell>
          <cell r="P70">
            <v>65</v>
          </cell>
          <cell r="Q70">
            <v>1.95</v>
          </cell>
          <cell r="R70">
            <v>217.18</v>
          </cell>
          <cell r="S70">
            <v>120</v>
          </cell>
          <cell r="T70">
            <v>2</v>
          </cell>
          <cell r="U70">
            <v>5</v>
          </cell>
          <cell r="V70">
            <v>4.5</v>
          </cell>
          <cell r="W70">
            <v>217.18</v>
          </cell>
          <cell r="X70">
            <v>120</v>
          </cell>
          <cell r="Y70">
            <v>2</v>
          </cell>
          <cell r="Z70">
            <v>5</v>
          </cell>
          <cell r="AA70">
            <v>286.61495192307694</v>
          </cell>
          <cell r="AB70">
            <v>103.5</v>
          </cell>
          <cell r="AD70">
            <v>85.201384615384612</v>
          </cell>
          <cell r="AH70">
            <v>0</v>
          </cell>
          <cell r="AI70">
            <v>0</v>
          </cell>
          <cell r="AJ70">
            <v>0</v>
          </cell>
          <cell r="AK70">
            <v>0</v>
          </cell>
          <cell r="AL70">
            <v>0</v>
          </cell>
          <cell r="AM70">
            <v>255.60415384615385</v>
          </cell>
          <cell r="AN70">
            <v>27</v>
          </cell>
          <cell r="AP70">
            <v>123</v>
          </cell>
          <cell r="AQ70">
            <v>1225.1004903846156</v>
          </cell>
          <cell r="AR70">
            <v>14.116700000000002</v>
          </cell>
          <cell r="AT70">
            <v>14.116700000000002</v>
          </cell>
          <cell r="AU70">
            <v>1210.9837903846155</v>
          </cell>
          <cell r="AX70">
            <v>204</v>
          </cell>
          <cell r="AZ70" t="str">
            <v>Mohamed Abdullah Said Al Mahrouqi</v>
          </cell>
          <cell r="BA70" t="str">
            <v>28-024420-29</v>
          </cell>
          <cell r="BB70" t="str">
            <v>OIB</v>
          </cell>
          <cell r="BC70" t="str">
            <v>Adam</v>
          </cell>
          <cell r="BD70">
            <v>1210.9837903846155</v>
          </cell>
        </row>
        <row r="71">
          <cell r="B71">
            <v>206</v>
          </cell>
          <cell r="C71" t="str">
            <v>Azan Sulaiman Mohamed</v>
          </cell>
          <cell r="D71" t="str">
            <v>GPS Operator</v>
          </cell>
          <cell r="E71" t="str">
            <v>07.06.04</v>
          </cell>
          <cell r="F71">
            <v>2.0145</v>
          </cell>
          <cell r="G71">
            <v>1.2590625</v>
          </cell>
          <cell r="H71">
            <v>21</v>
          </cell>
          <cell r="I71">
            <v>35</v>
          </cell>
          <cell r="K71">
            <v>16</v>
          </cell>
          <cell r="L71">
            <v>14</v>
          </cell>
          <cell r="M71">
            <v>0</v>
          </cell>
          <cell r="N71">
            <v>0</v>
          </cell>
          <cell r="O71">
            <v>30</v>
          </cell>
          <cell r="P71">
            <v>57</v>
          </cell>
          <cell r="Q71">
            <v>1.71</v>
          </cell>
          <cell r="R71">
            <v>174.59</v>
          </cell>
          <cell r="S71">
            <v>120</v>
          </cell>
          <cell r="T71">
            <v>2</v>
          </cell>
          <cell r="U71">
            <v>5</v>
          </cell>
          <cell r="V71">
            <v>4.5</v>
          </cell>
          <cell r="W71">
            <v>174.59</v>
          </cell>
          <cell r="X71">
            <v>120</v>
          </cell>
          <cell r="Y71">
            <v>2</v>
          </cell>
          <cell r="Z71">
            <v>5</v>
          </cell>
          <cell r="AA71">
            <v>44.067187499999996</v>
          </cell>
          <cell r="AB71">
            <v>72</v>
          </cell>
          <cell r="AD71">
            <v>42.304499999999997</v>
          </cell>
          <cell r="AH71">
            <v>0</v>
          </cell>
          <cell r="AI71">
            <v>0</v>
          </cell>
          <cell r="AJ71">
            <v>0</v>
          </cell>
          <cell r="AK71">
            <v>0</v>
          </cell>
          <cell r="AL71">
            <v>15.108750000000001</v>
          </cell>
          <cell r="AM71">
            <v>126.9135</v>
          </cell>
          <cell r="AN71">
            <v>27</v>
          </cell>
          <cell r="AO71">
            <v>-11.34835</v>
          </cell>
          <cell r="AP71">
            <v>128</v>
          </cell>
          <cell r="AQ71">
            <v>745.63558750000004</v>
          </cell>
          <cell r="AR71">
            <v>11.34835</v>
          </cell>
          <cell r="AT71">
            <v>11.34835</v>
          </cell>
          <cell r="AU71">
            <v>734.28723750000006</v>
          </cell>
          <cell r="AV71" t="str">
            <v>One Month GOSI of October &amp; 5 Rials Ration of Oct</v>
          </cell>
          <cell r="AX71">
            <v>206</v>
          </cell>
          <cell r="AZ71" t="str">
            <v>Azan Sulaiman Mohamed</v>
          </cell>
          <cell r="BA71">
            <v>2037912929</v>
          </cell>
          <cell r="BB71" t="str">
            <v>OIB</v>
          </cell>
          <cell r="BC71" t="str">
            <v>Nizwa</v>
          </cell>
          <cell r="BD71">
            <v>734.28723750000006</v>
          </cell>
        </row>
        <row r="72">
          <cell r="B72">
            <v>207</v>
          </cell>
          <cell r="C72" t="str">
            <v>Seif Abdullah Seif</v>
          </cell>
          <cell r="D72" t="str">
            <v>Group Foreman/L.Driver</v>
          </cell>
          <cell r="E72" t="str">
            <v>07.06.04</v>
          </cell>
          <cell r="F72">
            <v>1.9055769230769233</v>
          </cell>
          <cell r="G72">
            <v>1.190985576923077</v>
          </cell>
          <cell r="H72">
            <v>21</v>
          </cell>
          <cell r="I72">
            <v>107.5</v>
          </cell>
          <cell r="K72">
            <v>23</v>
          </cell>
          <cell r="L72">
            <v>7</v>
          </cell>
          <cell r="M72">
            <v>0</v>
          </cell>
          <cell r="N72">
            <v>0</v>
          </cell>
          <cell r="O72">
            <v>30</v>
          </cell>
          <cell r="P72">
            <v>55</v>
          </cell>
          <cell r="Q72">
            <v>1.65</v>
          </cell>
          <cell r="R72">
            <v>165.15</v>
          </cell>
          <cell r="S72">
            <v>85</v>
          </cell>
          <cell r="T72">
            <v>2</v>
          </cell>
          <cell r="U72">
            <v>5</v>
          </cell>
          <cell r="V72">
            <v>4.5</v>
          </cell>
          <cell r="W72">
            <v>165.15</v>
          </cell>
          <cell r="X72">
            <v>85</v>
          </cell>
          <cell r="Y72">
            <v>2</v>
          </cell>
          <cell r="Z72">
            <v>5</v>
          </cell>
          <cell r="AA72">
            <v>128.03094951923077</v>
          </cell>
          <cell r="AB72">
            <v>103.5</v>
          </cell>
          <cell r="AD72">
            <v>40.017115384615387</v>
          </cell>
          <cell r="AH72">
            <v>0</v>
          </cell>
          <cell r="AI72">
            <v>0</v>
          </cell>
          <cell r="AJ72">
            <v>0</v>
          </cell>
          <cell r="AK72">
            <v>0</v>
          </cell>
          <cell r="AL72">
            <v>0</v>
          </cell>
          <cell r="AM72">
            <v>0</v>
          </cell>
          <cell r="AN72">
            <v>0</v>
          </cell>
          <cell r="AP72">
            <v>0</v>
          </cell>
          <cell r="AQ72">
            <v>528.6980649038461</v>
          </cell>
          <cell r="AR72">
            <v>10.73475</v>
          </cell>
          <cell r="AT72">
            <v>10.73475</v>
          </cell>
          <cell r="AU72">
            <v>517.96331490384614</v>
          </cell>
          <cell r="AX72">
            <v>207</v>
          </cell>
          <cell r="AZ72" t="str">
            <v>Seif Abdullah Seif</v>
          </cell>
          <cell r="BA72" t="str">
            <v>1010-262417-017</v>
          </cell>
          <cell r="BB72" t="str">
            <v>NBO</v>
          </cell>
          <cell r="BC72" t="str">
            <v>Nizwa</v>
          </cell>
          <cell r="BD72">
            <v>517.96331490384614</v>
          </cell>
        </row>
        <row r="73">
          <cell r="B73">
            <v>208</v>
          </cell>
          <cell r="C73" t="str">
            <v>Salim Said Saloum Al Ghafri</v>
          </cell>
          <cell r="D73" t="str">
            <v>Labour</v>
          </cell>
          <cell r="E73" t="str">
            <v>07.06.04</v>
          </cell>
          <cell r="F73">
            <v>1.788692307692308</v>
          </cell>
          <cell r="G73">
            <v>1.1179326923076924</v>
          </cell>
          <cell r="H73">
            <v>20</v>
          </cell>
          <cell r="I73">
            <v>74</v>
          </cell>
          <cell r="K73">
            <v>23</v>
          </cell>
          <cell r="L73">
            <v>7</v>
          </cell>
          <cell r="M73">
            <v>0</v>
          </cell>
          <cell r="N73">
            <v>0</v>
          </cell>
          <cell r="O73">
            <v>30</v>
          </cell>
          <cell r="P73">
            <v>56</v>
          </cell>
          <cell r="Q73">
            <v>1.68</v>
          </cell>
          <cell r="R73">
            <v>155.02000000000001</v>
          </cell>
          <cell r="S73">
            <v>85</v>
          </cell>
          <cell r="T73">
            <v>2</v>
          </cell>
          <cell r="U73">
            <v>5</v>
          </cell>
          <cell r="V73">
            <v>4.5</v>
          </cell>
          <cell r="W73">
            <v>155.02000000000001</v>
          </cell>
          <cell r="X73">
            <v>85</v>
          </cell>
          <cell r="Y73">
            <v>2</v>
          </cell>
          <cell r="Z73">
            <v>5</v>
          </cell>
          <cell r="AA73">
            <v>82.727019230769244</v>
          </cell>
          <cell r="AB73">
            <v>103.5</v>
          </cell>
          <cell r="AD73">
            <v>35.773846153846158</v>
          </cell>
          <cell r="AH73">
            <v>0</v>
          </cell>
          <cell r="AI73">
            <v>0</v>
          </cell>
          <cell r="AJ73">
            <v>0</v>
          </cell>
          <cell r="AK73">
            <v>0</v>
          </cell>
          <cell r="AL73">
            <v>8.9434615384615395</v>
          </cell>
          <cell r="AM73">
            <v>107.32153846153848</v>
          </cell>
          <cell r="AN73">
            <v>4.5</v>
          </cell>
          <cell r="AP73">
            <v>123</v>
          </cell>
          <cell r="AQ73">
            <v>712.78586538461536</v>
          </cell>
          <cell r="AR73">
            <v>10.076300000000002</v>
          </cell>
          <cell r="AT73">
            <v>10.076300000000002</v>
          </cell>
          <cell r="AU73">
            <v>702.70956538461542</v>
          </cell>
          <cell r="AX73">
            <v>208</v>
          </cell>
          <cell r="AZ73" t="str">
            <v>Salim Said Saloum Al Ghafri</v>
          </cell>
          <cell r="BA73" t="str">
            <v>22-090377-20</v>
          </cell>
          <cell r="BB73" t="str">
            <v>OIB</v>
          </cell>
          <cell r="BC73" t="str">
            <v>Ibri</v>
          </cell>
          <cell r="BD73">
            <v>702.70956538461542</v>
          </cell>
        </row>
        <row r="74">
          <cell r="B74">
            <v>210</v>
          </cell>
          <cell r="C74" t="str">
            <v>Musallam Salim Said Al Hinai</v>
          </cell>
          <cell r="D74" t="str">
            <v>Labour</v>
          </cell>
          <cell r="E74" t="str">
            <v>07.06.04</v>
          </cell>
          <cell r="F74">
            <v>1.7338846153846157</v>
          </cell>
          <cell r="G74">
            <v>1.0836778846153847</v>
          </cell>
          <cell r="H74">
            <v>21</v>
          </cell>
          <cell r="I74">
            <v>85</v>
          </cell>
          <cell r="K74">
            <v>16</v>
          </cell>
          <cell r="L74">
            <v>14</v>
          </cell>
          <cell r="M74">
            <v>0</v>
          </cell>
          <cell r="N74">
            <v>0</v>
          </cell>
          <cell r="O74">
            <v>30</v>
          </cell>
          <cell r="P74">
            <v>58</v>
          </cell>
          <cell r="Q74">
            <v>1.74</v>
          </cell>
          <cell r="R74">
            <v>150.27000000000001</v>
          </cell>
          <cell r="S74">
            <v>85</v>
          </cell>
          <cell r="T74">
            <v>2</v>
          </cell>
          <cell r="U74">
            <v>5</v>
          </cell>
          <cell r="V74">
            <v>4.5</v>
          </cell>
          <cell r="W74">
            <v>150.27000000000001</v>
          </cell>
          <cell r="X74">
            <v>85</v>
          </cell>
          <cell r="Y74">
            <v>2</v>
          </cell>
          <cell r="Z74">
            <v>5</v>
          </cell>
          <cell r="AA74">
            <v>92.112620192307702</v>
          </cell>
          <cell r="AB74">
            <v>72</v>
          </cell>
          <cell r="AD74">
            <v>36.411576923076929</v>
          </cell>
          <cell r="AH74">
            <v>0</v>
          </cell>
          <cell r="AI74">
            <v>0</v>
          </cell>
          <cell r="AJ74">
            <v>0</v>
          </cell>
          <cell r="AK74">
            <v>0</v>
          </cell>
          <cell r="AL74">
            <v>85.610552884615387</v>
          </cell>
          <cell r="AM74">
            <v>0</v>
          </cell>
          <cell r="AN74">
            <v>0</v>
          </cell>
          <cell r="AP74">
            <v>0</v>
          </cell>
          <cell r="AQ74">
            <v>528.40475000000004</v>
          </cell>
          <cell r="AR74">
            <v>9.7675500000000017</v>
          </cell>
          <cell r="AT74">
            <v>9.7675500000000017</v>
          </cell>
          <cell r="AU74">
            <v>518.63720000000001</v>
          </cell>
          <cell r="AX74">
            <v>210</v>
          </cell>
          <cell r="AZ74" t="str">
            <v>Musallam Salim Said Al Hinai</v>
          </cell>
          <cell r="BA74" t="str">
            <v>21-006762-29</v>
          </cell>
          <cell r="BB74" t="str">
            <v>OIB</v>
          </cell>
          <cell r="BC74" t="str">
            <v>Bahla</v>
          </cell>
          <cell r="BD74">
            <v>518.63720000000001</v>
          </cell>
        </row>
        <row r="75">
          <cell r="B75">
            <v>216</v>
          </cell>
          <cell r="C75" t="str">
            <v>Abdullah Sulaiman Taeeb Al Hinai</v>
          </cell>
          <cell r="D75" t="str">
            <v>Geophysical Asst/Cable</v>
          </cell>
          <cell r="E75" t="str">
            <v>07.06.04</v>
          </cell>
          <cell r="F75">
            <v>1.9663846153846154</v>
          </cell>
          <cell r="G75">
            <v>1.2289903846153847</v>
          </cell>
          <cell r="H75">
            <v>0</v>
          </cell>
          <cell r="I75">
            <v>84</v>
          </cell>
          <cell r="K75">
            <v>21</v>
          </cell>
          <cell r="L75">
            <v>9</v>
          </cell>
          <cell r="M75">
            <v>0</v>
          </cell>
          <cell r="N75">
            <v>0</v>
          </cell>
          <cell r="O75">
            <v>30</v>
          </cell>
          <cell r="P75">
            <v>58</v>
          </cell>
          <cell r="Q75">
            <v>1.74</v>
          </cell>
          <cell r="R75">
            <v>170.42</v>
          </cell>
          <cell r="S75">
            <v>85</v>
          </cell>
          <cell r="T75">
            <v>2</v>
          </cell>
          <cell r="U75">
            <v>5</v>
          </cell>
          <cell r="V75">
            <v>4.5</v>
          </cell>
          <cell r="W75">
            <v>170.42</v>
          </cell>
          <cell r="X75">
            <v>85</v>
          </cell>
          <cell r="Y75">
            <v>2</v>
          </cell>
          <cell r="Z75">
            <v>5</v>
          </cell>
          <cell r="AA75">
            <v>103.23519230769232</v>
          </cell>
          <cell r="AB75">
            <v>94.5</v>
          </cell>
          <cell r="AD75">
            <v>0</v>
          </cell>
          <cell r="AH75">
            <v>0</v>
          </cell>
          <cell r="AI75">
            <v>0</v>
          </cell>
          <cell r="AJ75">
            <v>0</v>
          </cell>
          <cell r="AK75">
            <v>0</v>
          </cell>
          <cell r="AL75">
            <v>54.075576923076923</v>
          </cell>
          <cell r="AM75">
            <v>141.57969230769231</v>
          </cell>
          <cell r="AN75">
            <v>27</v>
          </cell>
          <cell r="AP75">
            <v>123</v>
          </cell>
          <cell r="AQ75">
            <v>805.81046153846148</v>
          </cell>
          <cell r="AR75">
            <v>11.077299999999999</v>
          </cell>
          <cell r="AT75">
            <v>11.077299999999999</v>
          </cell>
          <cell r="AU75">
            <v>794.73316153846145</v>
          </cell>
          <cell r="AX75">
            <v>216</v>
          </cell>
          <cell r="AZ75" t="str">
            <v>Abdullah Sulaiman Taeeb Al Hinai</v>
          </cell>
          <cell r="BA75" t="str">
            <v>1012-246551-017</v>
          </cell>
          <cell r="BB75" t="str">
            <v>NBO</v>
          </cell>
          <cell r="BC75" t="str">
            <v>Ibri</v>
          </cell>
          <cell r="BD75">
            <v>794.73316153846145</v>
          </cell>
        </row>
        <row r="76">
          <cell r="B76">
            <v>217</v>
          </cell>
          <cell r="C76" t="str">
            <v>Salim Sulaiman Taeeb Al Hinai</v>
          </cell>
          <cell r="D76" t="str">
            <v>Vib Operator</v>
          </cell>
          <cell r="E76" t="str">
            <v>07.06.04</v>
          </cell>
          <cell r="F76">
            <v>2.3282307692307693</v>
          </cell>
          <cell r="G76">
            <v>1.4551442307692308</v>
          </cell>
          <cell r="H76">
            <v>0</v>
          </cell>
          <cell r="I76">
            <v>176</v>
          </cell>
          <cell r="K76">
            <v>21</v>
          </cell>
          <cell r="L76">
            <v>9</v>
          </cell>
          <cell r="M76">
            <v>0</v>
          </cell>
          <cell r="N76">
            <v>0</v>
          </cell>
          <cell r="O76">
            <v>30</v>
          </cell>
          <cell r="P76">
            <v>65</v>
          </cell>
          <cell r="Q76">
            <v>1.95</v>
          </cell>
          <cell r="R76">
            <v>201.78</v>
          </cell>
          <cell r="S76">
            <v>120</v>
          </cell>
          <cell r="T76">
            <v>2</v>
          </cell>
          <cell r="U76">
            <v>5</v>
          </cell>
          <cell r="V76">
            <v>4.5</v>
          </cell>
          <cell r="W76">
            <v>201.78</v>
          </cell>
          <cell r="X76">
            <v>120</v>
          </cell>
          <cell r="Y76">
            <v>2</v>
          </cell>
          <cell r="Z76">
            <v>5</v>
          </cell>
          <cell r="AA76">
            <v>256.10538461538465</v>
          </cell>
          <cell r="AB76">
            <v>94.5</v>
          </cell>
          <cell r="AD76">
            <v>0</v>
          </cell>
          <cell r="AH76">
            <v>0</v>
          </cell>
          <cell r="AI76">
            <v>0</v>
          </cell>
          <cell r="AJ76">
            <v>0</v>
          </cell>
          <cell r="AK76">
            <v>0</v>
          </cell>
          <cell r="AL76">
            <v>0</v>
          </cell>
          <cell r="AM76">
            <v>237.47953846153848</v>
          </cell>
          <cell r="AN76">
            <v>27</v>
          </cell>
          <cell r="AP76">
            <v>123</v>
          </cell>
          <cell r="AQ76">
            <v>1066.8649230769231</v>
          </cell>
          <cell r="AR76">
            <v>13.1157</v>
          </cell>
          <cell r="AT76">
            <v>13.1157</v>
          </cell>
          <cell r="AU76">
            <v>1053.749223076923</v>
          </cell>
          <cell r="AX76">
            <v>217</v>
          </cell>
          <cell r="AZ76" t="str">
            <v>Salim Sulaiman Taeeb Al Hinai</v>
          </cell>
          <cell r="BA76" t="str">
            <v>27-031814-20</v>
          </cell>
          <cell r="BB76" t="str">
            <v>OIB</v>
          </cell>
          <cell r="BC76" t="str">
            <v>Sleef</v>
          </cell>
          <cell r="BD76">
            <v>1053.749223076923</v>
          </cell>
        </row>
        <row r="77">
          <cell r="B77">
            <v>229</v>
          </cell>
          <cell r="C77" t="str">
            <v>Said Marhoun Said Al Hattali</v>
          </cell>
          <cell r="D77" t="str">
            <v>Vib Operator</v>
          </cell>
          <cell r="E77" t="str">
            <v>07.06.04</v>
          </cell>
          <cell r="F77">
            <v>2.5141153846153843</v>
          </cell>
          <cell r="G77">
            <v>1.5713221153846151</v>
          </cell>
          <cell r="H77">
            <v>34</v>
          </cell>
          <cell r="I77">
            <v>183</v>
          </cell>
          <cell r="K77">
            <v>23</v>
          </cell>
          <cell r="L77">
            <v>7</v>
          </cell>
          <cell r="M77">
            <v>0</v>
          </cell>
          <cell r="N77">
            <v>0</v>
          </cell>
          <cell r="O77">
            <v>30</v>
          </cell>
          <cell r="P77">
            <v>64</v>
          </cell>
          <cell r="Q77">
            <v>1.92</v>
          </cell>
          <cell r="R77">
            <v>217.89</v>
          </cell>
          <cell r="S77">
            <v>120</v>
          </cell>
          <cell r="T77">
            <v>2</v>
          </cell>
          <cell r="U77">
            <v>5</v>
          </cell>
          <cell r="V77">
            <v>4.5</v>
          </cell>
          <cell r="W77">
            <v>217.89</v>
          </cell>
          <cell r="X77">
            <v>120</v>
          </cell>
          <cell r="Y77">
            <v>2</v>
          </cell>
          <cell r="Z77">
            <v>5</v>
          </cell>
          <cell r="AA77">
            <v>287.55194711538456</v>
          </cell>
          <cell r="AB77">
            <v>103.5</v>
          </cell>
          <cell r="AD77">
            <v>85.479923076923072</v>
          </cell>
          <cell r="AH77">
            <v>0</v>
          </cell>
          <cell r="AI77">
            <v>0</v>
          </cell>
          <cell r="AJ77">
            <v>0</v>
          </cell>
          <cell r="AK77">
            <v>0</v>
          </cell>
          <cell r="AL77">
            <v>0</v>
          </cell>
          <cell r="AM77">
            <v>256.43976923076917</v>
          </cell>
          <cell r="AN77">
            <v>27</v>
          </cell>
          <cell r="AP77">
            <v>123</v>
          </cell>
          <cell r="AQ77">
            <v>1227.8616394230769</v>
          </cell>
          <cell r="AR77">
            <v>14.162849999999999</v>
          </cell>
          <cell r="AT77">
            <v>14.162849999999999</v>
          </cell>
          <cell r="AU77">
            <v>1213.698789423077</v>
          </cell>
          <cell r="AX77">
            <v>229</v>
          </cell>
          <cell r="AZ77" t="str">
            <v>Said Marhoun Said Al Hattali</v>
          </cell>
          <cell r="BA77" t="str">
            <v>129-10515-0084-018</v>
          </cell>
          <cell r="BB77" t="str">
            <v>Bank Muscat</v>
          </cell>
          <cell r="BC77" t="str">
            <v>Adam</v>
          </cell>
          <cell r="BD77">
            <v>1213.698789423077</v>
          </cell>
        </row>
        <row r="78">
          <cell r="B78">
            <v>230</v>
          </cell>
          <cell r="C78" t="str">
            <v>Sammi Eid Khamis Al Sawafi</v>
          </cell>
          <cell r="D78" t="str">
            <v>Labour</v>
          </cell>
          <cell r="E78" t="str">
            <v>07.06.04</v>
          </cell>
          <cell r="F78">
            <v>1.7066538461538463</v>
          </cell>
          <cell r="G78">
            <v>1.066658653846154</v>
          </cell>
          <cell r="H78">
            <v>24</v>
          </cell>
          <cell r="I78">
            <v>83</v>
          </cell>
          <cell r="K78">
            <v>16</v>
          </cell>
          <cell r="L78">
            <v>14</v>
          </cell>
          <cell r="M78">
            <v>0</v>
          </cell>
          <cell r="N78">
            <v>0</v>
          </cell>
          <cell r="O78">
            <v>30</v>
          </cell>
          <cell r="P78">
            <v>61</v>
          </cell>
          <cell r="Q78">
            <v>1.8299999999999998</v>
          </cell>
          <cell r="R78">
            <v>147.91</v>
          </cell>
          <cell r="S78">
            <v>85</v>
          </cell>
          <cell r="T78">
            <v>2</v>
          </cell>
          <cell r="U78">
            <v>5</v>
          </cell>
          <cell r="V78">
            <v>4.5</v>
          </cell>
          <cell r="W78">
            <v>147.91</v>
          </cell>
          <cell r="X78">
            <v>85</v>
          </cell>
          <cell r="Y78">
            <v>2</v>
          </cell>
          <cell r="Z78">
            <v>5</v>
          </cell>
          <cell r="AA78">
            <v>88.532668269230783</v>
          </cell>
          <cell r="AB78">
            <v>72</v>
          </cell>
          <cell r="AD78">
            <v>40.959692307692308</v>
          </cell>
          <cell r="AH78">
            <v>0</v>
          </cell>
          <cell r="AI78">
            <v>0</v>
          </cell>
          <cell r="AJ78">
            <v>0</v>
          </cell>
          <cell r="AK78">
            <v>0</v>
          </cell>
          <cell r="AL78">
            <v>124.79906250000002</v>
          </cell>
          <cell r="AM78">
            <v>0</v>
          </cell>
          <cell r="AN78">
            <v>0</v>
          </cell>
          <cell r="AP78">
            <v>0</v>
          </cell>
          <cell r="AQ78">
            <v>566.20142307692311</v>
          </cell>
          <cell r="AR78">
            <v>9.6141500000000004</v>
          </cell>
          <cell r="AT78">
            <v>9.6141500000000004</v>
          </cell>
          <cell r="AU78">
            <v>556.58727307692311</v>
          </cell>
          <cell r="AX78">
            <v>230</v>
          </cell>
          <cell r="AZ78" t="str">
            <v>Sammi Eid Khamis Al Sawafi</v>
          </cell>
          <cell r="BA78" t="str">
            <v>0119-133790084012</v>
          </cell>
          <cell r="BB78" t="str">
            <v>Bank Muscat</v>
          </cell>
          <cell r="BC78" t="str">
            <v>Al Dareez</v>
          </cell>
          <cell r="BD78">
            <v>556.58727307692311</v>
          </cell>
        </row>
        <row r="79">
          <cell r="B79">
            <v>231</v>
          </cell>
          <cell r="C79" t="str">
            <v>Nasser Sulaiyam Humaid Al Sawafi</v>
          </cell>
          <cell r="D79" t="str">
            <v>Labour / Driver</v>
          </cell>
          <cell r="E79" t="str">
            <v>07.06.04</v>
          </cell>
          <cell r="F79">
            <v>1.7511923076923079</v>
          </cell>
          <cell r="G79">
            <v>1.0944951923076924</v>
          </cell>
          <cell r="H79">
            <v>20</v>
          </cell>
          <cell r="I79">
            <v>46</v>
          </cell>
          <cell r="K79">
            <v>16</v>
          </cell>
          <cell r="L79">
            <v>14</v>
          </cell>
          <cell r="M79">
            <v>0</v>
          </cell>
          <cell r="N79">
            <v>0</v>
          </cell>
          <cell r="O79">
            <v>30</v>
          </cell>
          <cell r="P79">
            <v>55</v>
          </cell>
          <cell r="Q79">
            <v>1.65</v>
          </cell>
          <cell r="R79">
            <v>151.77000000000001</v>
          </cell>
          <cell r="S79">
            <v>85</v>
          </cell>
          <cell r="T79">
            <v>2</v>
          </cell>
          <cell r="U79">
            <v>5</v>
          </cell>
          <cell r="V79">
            <v>4.5</v>
          </cell>
          <cell r="W79">
            <v>151.77000000000001</v>
          </cell>
          <cell r="X79">
            <v>85</v>
          </cell>
          <cell r="Y79">
            <v>2</v>
          </cell>
          <cell r="Z79">
            <v>5</v>
          </cell>
          <cell r="AA79">
            <v>50.346778846153853</v>
          </cell>
          <cell r="AB79">
            <v>72</v>
          </cell>
          <cell r="AD79">
            <v>35.023846153846158</v>
          </cell>
          <cell r="AH79">
            <v>0</v>
          </cell>
          <cell r="AI79">
            <v>0</v>
          </cell>
          <cell r="AJ79">
            <v>0</v>
          </cell>
          <cell r="AK79">
            <v>0</v>
          </cell>
          <cell r="AL79">
            <v>52.535769230769233</v>
          </cell>
          <cell r="AM79">
            <v>105.07153846153848</v>
          </cell>
          <cell r="AN79">
            <v>22.5</v>
          </cell>
          <cell r="AP79">
            <v>123</v>
          </cell>
          <cell r="AQ79">
            <v>704.2479326923077</v>
          </cell>
          <cell r="AR79">
            <v>9.8650500000000019</v>
          </cell>
          <cell r="AT79">
            <v>9.8650500000000019</v>
          </cell>
          <cell r="AU79">
            <v>694.3828826923077</v>
          </cell>
          <cell r="AX79">
            <v>231</v>
          </cell>
          <cell r="AZ79" t="str">
            <v>Nasser Sulaiyam Humaid Al Sawafi</v>
          </cell>
          <cell r="BA79" t="str">
            <v>0119-133780084013</v>
          </cell>
          <cell r="BB79" t="str">
            <v>Bank Muscat</v>
          </cell>
          <cell r="BC79" t="str">
            <v>Al Dareez</v>
          </cell>
          <cell r="BD79">
            <v>694.3828826923077</v>
          </cell>
        </row>
        <row r="80">
          <cell r="B80">
            <v>234</v>
          </cell>
          <cell r="C80" t="str">
            <v>Humaid Hamoud Humaid Al Hinai</v>
          </cell>
          <cell r="D80" t="str">
            <v>Vib Operator</v>
          </cell>
          <cell r="E80" t="str">
            <v>07.06.04</v>
          </cell>
          <cell r="F80">
            <v>2.2817307692307693</v>
          </cell>
          <cell r="G80">
            <v>1.4260817307692308</v>
          </cell>
          <cell r="H80">
            <v>0</v>
          </cell>
          <cell r="I80">
            <v>176</v>
          </cell>
          <cell r="K80">
            <v>21</v>
          </cell>
          <cell r="L80">
            <v>9</v>
          </cell>
          <cell r="M80">
            <v>0</v>
          </cell>
          <cell r="N80">
            <v>0</v>
          </cell>
          <cell r="O80">
            <v>30</v>
          </cell>
          <cell r="P80">
            <v>66</v>
          </cell>
          <cell r="Q80">
            <v>1.98</v>
          </cell>
          <cell r="R80">
            <v>197.75</v>
          </cell>
          <cell r="S80">
            <v>120</v>
          </cell>
          <cell r="T80">
            <v>2</v>
          </cell>
          <cell r="U80">
            <v>5</v>
          </cell>
          <cell r="V80">
            <v>4.5</v>
          </cell>
          <cell r="W80">
            <v>197.75</v>
          </cell>
          <cell r="X80">
            <v>120</v>
          </cell>
          <cell r="Y80">
            <v>2</v>
          </cell>
          <cell r="Z80">
            <v>5</v>
          </cell>
          <cell r="AA80">
            <v>250.99038461538464</v>
          </cell>
          <cell r="AB80">
            <v>94.5</v>
          </cell>
          <cell r="AD80">
            <v>0</v>
          </cell>
          <cell r="AH80">
            <v>0</v>
          </cell>
          <cell r="AI80">
            <v>0</v>
          </cell>
          <cell r="AJ80">
            <v>0</v>
          </cell>
          <cell r="AK80">
            <v>0</v>
          </cell>
          <cell r="AL80">
            <v>-22.817307692307693</v>
          </cell>
          <cell r="AM80">
            <v>232.73653846153849</v>
          </cell>
          <cell r="AN80">
            <v>18</v>
          </cell>
          <cell r="AP80">
            <v>123</v>
          </cell>
          <cell r="AQ80">
            <v>1021.1596153846153</v>
          </cell>
          <cell r="AR80">
            <v>12.85375</v>
          </cell>
          <cell r="AT80">
            <v>12.85375</v>
          </cell>
          <cell r="AU80">
            <v>1008.3058653846153</v>
          </cell>
          <cell r="AX80">
            <v>234</v>
          </cell>
          <cell r="AZ80" t="str">
            <v>Humaid Hamoud Humaid Al Hinai</v>
          </cell>
          <cell r="BA80" t="str">
            <v>0052 16335 0084 018</v>
          </cell>
          <cell r="BB80" t="str">
            <v>Bank Muscat</v>
          </cell>
          <cell r="BC80" t="str">
            <v>Al Hamra</v>
          </cell>
          <cell r="BD80">
            <v>1008.3058653846153</v>
          </cell>
        </row>
        <row r="81">
          <cell r="B81">
            <v>235</v>
          </cell>
          <cell r="C81" t="str">
            <v>Nasser Hamed Suleiman Al Shaibani</v>
          </cell>
          <cell r="D81" t="str">
            <v>Vib Operator</v>
          </cell>
          <cell r="E81" t="str">
            <v>07.06.04</v>
          </cell>
          <cell r="F81">
            <v>2.2799999999999998</v>
          </cell>
          <cell r="G81">
            <v>1.4249999999999998</v>
          </cell>
          <cell r="H81">
            <v>0</v>
          </cell>
          <cell r="I81">
            <v>176</v>
          </cell>
          <cell r="K81">
            <v>21</v>
          </cell>
          <cell r="L81">
            <v>9</v>
          </cell>
          <cell r="M81">
            <v>0</v>
          </cell>
          <cell r="N81">
            <v>0</v>
          </cell>
          <cell r="O81">
            <v>30</v>
          </cell>
          <cell r="P81">
            <v>63</v>
          </cell>
          <cell r="Q81">
            <v>1.89</v>
          </cell>
          <cell r="R81">
            <v>197.6</v>
          </cell>
          <cell r="S81">
            <v>120</v>
          </cell>
          <cell r="T81">
            <v>2</v>
          </cell>
          <cell r="U81">
            <v>5</v>
          </cell>
          <cell r="V81">
            <v>4.5</v>
          </cell>
          <cell r="W81">
            <v>197.6</v>
          </cell>
          <cell r="X81">
            <v>120</v>
          </cell>
          <cell r="Y81">
            <v>2</v>
          </cell>
          <cell r="Z81">
            <v>5</v>
          </cell>
          <cell r="AA81">
            <v>250.79999999999995</v>
          </cell>
          <cell r="AB81">
            <v>94.5</v>
          </cell>
          <cell r="AD81">
            <v>0</v>
          </cell>
          <cell r="AH81">
            <v>0</v>
          </cell>
          <cell r="AI81">
            <v>0</v>
          </cell>
          <cell r="AJ81">
            <v>0</v>
          </cell>
          <cell r="AK81">
            <v>0</v>
          </cell>
          <cell r="AL81">
            <v>0</v>
          </cell>
          <cell r="AM81">
            <v>232.55999999999997</v>
          </cell>
          <cell r="AN81">
            <v>27</v>
          </cell>
          <cell r="AP81">
            <v>123</v>
          </cell>
          <cell r="AQ81">
            <v>1052.46</v>
          </cell>
          <cell r="AR81">
            <v>12.843999999999999</v>
          </cell>
          <cell r="AT81">
            <v>12.843999999999999</v>
          </cell>
          <cell r="AU81">
            <v>1039.616</v>
          </cell>
          <cell r="AX81">
            <v>235</v>
          </cell>
          <cell r="AZ81" t="str">
            <v>Nasser Hamed Suleiman Al Shaibani</v>
          </cell>
          <cell r="BA81" t="str">
            <v>1050-265925</v>
          </cell>
          <cell r="BB81" t="str">
            <v>NBO</v>
          </cell>
          <cell r="BC81" t="str">
            <v>Mabella</v>
          </cell>
          <cell r="BD81">
            <v>1039.616</v>
          </cell>
        </row>
        <row r="82">
          <cell r="B82">
            <v>236</v>
          </cell>
          <cell r="C82" t="str">
            <v>Sulaiman Mohamed Salman Al Hinai</v>
          </cell>
          <cell r="D82" t="str">
            <v>Labour</v>
          </cell>
          <cell r="E82" t="str">
            <v>12.05.04</v>
          </cell>
          <cell r="F82">
            <v>1.6885384615384615</v>
          </cell>
          <cell r="G82">
            <v>1.0553365384615385</v>
          </cell>
          <cell r="H82">
            <v>20</v>
          </cell>
          <cell r="I82">
            <v>38</v>
          </cell>
          <cell r="K82">
            <v>13</v>
          </cell>
          <cell r="L82">
            <v>17</v>
          </cell>
          <cell r="M82">
            <v>0</v>
          </cell>
          <cell r="N82">
            <v>0</v>
          </cell>
          <cell r="O82">
            <v>30</v>
          </cell>
          <cell r="P82">
            <v>56</v>
          </cell>
          <cell r="Q82">
            <v>1.68</v>
          </cell>
          <cell r="R82">
            <v>146.34</v>
          </cell>
          <cell r="S82">
            <v>85</v>
          </cell>
          <cell r="T82">
            <v>2</v>
          </cell>
          <cell r="U82">
            <v>5</v>
          </cell>
          <cell r="V82">
            <v>4.5</v>
          </cell>
          <cell r="W82">
            <v>146.34</v>
          </cell>
          <cell r="X82">
            <v>85</v>
          </cell>
          <cell r="Y82">
            <v>2</v>
          </cell>
          <cell r="Z82">
            <v>5</v>
          </cell>
          <cell r="AA82">
            <v>40.102788461538466</v>
          </cell>
          <cell r="AB82">
            <v>58.5</v>
          </cell>
          <cell r="AD82">
            <v>33.770769230769233</v>
          </cell>
          <cell r="AH82">
            <v>0</v>
          </cell>
          <cell r="AI82">
            <v>0</v>
          </cell>
          <cell r="AJ82">
            <v>0</v>
          </cell>
          <cell r="AK82">
            <v>0</v>
          </cell>
          <cell r="AL82">
            <v>67.541538461538465</v>
          </cell>
          <cell r="AM82">
            <v>0</v>
          </cell>
          <cell r="AN82">
            <v>0</v>
          </cell>
          <cell r="AP82">
            <v>0</v>
          </cell>
          <cell r="AQ82">
            <v>438.25509615384624</v>
          </cell>
          <cell r="AR82">
            <v>9.5121000000000002</v>
          </cell>
          <cell r="AT82">
            <v>9.5121000000000002</v>
          </cell>
          <cell r="AU82">
            <v>428.74299615384626</v>
          </cell>
          <cell r="AX82">
            <v>236</v>
          </cell>
          <cell r="AZ82" t="str">
            <v>Sulaiman Mohamed Salman Al Hinai</v>
          </cell>
          <cell r="BA82" t="str">
            <v>062-19180008401-8</v>
          </cell>
          <cell r="BB82" t="str">
            <v>Bank Muscat</v>
          </cell>
          <cell r="BC82" t="str">
            <v>Bahla</v>
          </cell>
          <cell r="BD82">
            <v>428.74299615384626</v>
          </cell>
        </row>
        <row r="83">
          <cell r="B83">
            <v>239</v>
          </cell>
          <cell r="C83" t="str">
            <v>Ahmed Ali Khamis Al Azri</v>
          </cell>
          <cell r="D83" t="str">
            <v>Light Drv / Bus Drv</v>
          </cell>
          <cell r="E83" t="str">
            <v>07.06.04</v>
          </cell>
          <cell r="F83">
            <v>1.7672307692307694</v>
          </cell>
          <cell r="G83">
            <v>1.1045192307692309</v>
          </cell>
          <cell r="H83">
            <v>21</v>
          </cell>
          <cell r="I83">
            <v>35</v>
          </cell>
          <cell r="K83">
            <v>16</v>
          </cell>
          <cell r="L83">
            <v>14</v>
          </cell>
          <cell r="M83">
            <v>0</v>
          </cell>
          <cell r="N83">
            <v>0</v>
          </cell>
          <cell r="O83">
            <v>30</v>
          </cell>
          <cell r="P83">
            <v>63</v>
          </cell>
          <cell r="Q83">
            <v>1.89</v>
          </cell>
          <cell r="R83">
            <v>153.16</v>
          </cell>
          <cell r="S83">
            <v>85</v>
          </cell>
          <cell r="T83">
            <v>2</v>
          </cell>
          <cell r="U83">
            <v>5</v>
          </cell>
          <cell r="V83">
            <v>4.5</v>
          </cell>
          <cell r="W83">
            <v>153.16</v>
          </cell>
          <cell r="X83">
            <v>85</v>
          </cell>
          <cell r="Y83">
            <v>2</v>
          </cell>
          <cell r="Z83">
            <v>5</v>
          </cell>
          <cell r="AA83">
            <v>38.658173076923077</v>
          </cell>
          <cell r="AB83">
            <v>72</v>
          </cell>
          <cell r="AD83">
            <v>37.111846153846159</v>
          </cell>
          <cell r="AH83">
            <v>0</v>
          </cell>
          <cell r="AI83">
            <v>0</v>
          </cell>
          <cell r="AJ83">
            <v>0</v>
          </cell>
          <cell r="AK83">
            <v>0</v>
          </cell>
          <cell r="AL83">
            <v>93.884134615384625</v>
          </cell>
          <cell r="AM83">
            <v>111.33553846153848</v>
          </cell>
          <cell r="AN83">
            <v>27</v>
          </cell>
          <cell r="AP83">
            <v>123</v>
          </cell>
          <cell r="AQ83">
            <v>748.14969230769236</v>
          </cell>
          <cell r="AR83">
            <v>9.9554000000000009</v>
          </cell>
          <cell r="AT83">
            <v>9.9554000000000009</v>
          </cell>
          <cell r="AU83">
            <v>738.19429230769231</v>
          </cell>
          <cell r="AX83">
            <v>239</v>
          </cell>
          <cell r="AZ83" t="str">
            <v>Ahmed Ali Khamis Al Azri</v>
          </cell>
          <cell r="BA83" t="str">
            <v>22-150437-20</v>
          </cell>
          <cell r="BB83" t="str">
            <v>OIB</v>
          </cell>
          <cell r="BC83" t="str">
            <v>Ibri</v>
          </cell>
          <cell r="BD83">
            <v>738.19429230769231</v>
          </cell>
        </row>
        <row r="84">
          <cell r="B84">
            <v>243</v>
          </cell>
          <cell r="C84" t="str">
            <v>Hilal Mohamed Nasser Al Kindi</v>
          </cell>
          <cell r="D84" t="str">
            <v>Asst.Journy Manager</v>
          </cell>
          <cell r="E84" t="str">
            <v>07.06.04</v>
          </cell>
          <cell r="F84">
            <v>1.7342307692307695</v>
          </cell>
          <cell r="G84">
            <v>1.083894230769231</v>
          </cell>
          <cell r="H84">
            <v>20</v>
          </cell>
          <cell r="I84">
            <v>65.5</v>
          </cell>
          <cell r="K84">
            <v>16</v>
          </cell>
          <cell r="L84">
            <v>14</v>
          </cell>
          <cell r="M84">
            <v>0</v>
          </cell>
          <cell r="N84">
            <v>0</v>
          </cell>
          <cell r="O84">
            <v>30</v>
          </cell>
          <cell r="P84">
            <v>85</v>
          </cell>
          <cell r="Q84">
            <v>2.5499999999999998</v>
          </cell>
          <cell r="R84">
            <v>150.30000000000001</v>
          </cell>
          <cell r="S84">
            <v>110</v>
          </cell>
          <cell r="T84">
            <v>2</v>
          </cell>
          <cell r="U84">
            <v>5</v>
          </cell>
          <cell r="V84">
            <v>4.5</v>
          </cell>
          <cell r="W84">
            <v>150.30000000000001</v>
          </cell>
          <cell r="X84">
            <v>110</v>
          </cell>
          <cell r="Y84">
            <v>2</v>
          </cell>
          <cell r="Z84">
            <v>5</v>
          </cell>
          <cell r="AA84">
            <v>70.99507211538463</v>
          </cell>
          <cell r="AB84">
            <v>72</v>
          </cell>
          <cell r="AD84">
            <v>34.684615384615391</v>
          </cell>
          <cell r="AH84">
            <v>0</v>
          </cell>
          <cell r="AI84">
            <v>0</v>
          </cell>
          <cell r="AJ84">
            <v>0</v>
          </cell>
          <cell r="AK84">
            <v>0</v>
          </cell>
          <cell r="AL84">
            <v>173.42307692307696</v>
          </cell>
          <cell r="AM84">
            <v>104.05384615384617</v>
          </cell>
          <cell r="AN84">
            <v>27</v>
          </cell>
          <cell r="AP84">
            <v>123</v>
          </cell>
          <cell r="AQ84">
            <v>872.45661057692314</v>
          </cell>
          <cell r="AR84">
            <v>9.7695000000000007</v>
          </cell>
          <cell r="AT84">
            <v>9.7695000000000007</v>
          </cell>
          <cell r="AU84">
            <v>862.68711057692315</v>
          </cell>
          <cell r="AV84" t="str">
            <v>Housing Allowance revised to 110 from 1/11/2008</v>
          </cell>
          <cell r="AX84">
            <v>243</v>
          </cell>
          <cell r="AZ84" t="str">
            <v>Hilal Mohamed Nasser Al Kindi</v>
          </cell>
          <cell r="BA84" t="str">
            <v>002-255826-035</v>
          </cell>
          <cell r="BB84" t="str">
            <v>HSBC</v>
          </cell>
          <cell r="BC84" t="str">
            <v>Ruwi</v>
          </cell>
          <cell r="BD84">
            <v>862.68711057692315</v>
          </cell>
        </row>
        <row r="85">
          <cell r="B85">
            <v>244</v>
          </cell>
          <cell r="C85" t="str">
            <v>Shihab Sulaiman Rashid Al Gharibi</v>
          </cell>
          <cell r="D85" t="str">
            <v>Vib Operator</v>
          </cell>
          <cell r="E85" t="str">
            <v>09.06.04</v>
          </cell>
          <cell r="F85">
            <v>2.4466153846153844</v>
          </cell>
          <cell r="G85">
            <v>1.5291346153846153</v>
          </cell>
          <cell r="H85">
            <v>34</v>
          </cell>
          <cell r="I85">
            <v>119</v>
          </cell>
          <cell r="K85">
            <v>16</v>
          </cell>
          <cell r="L85">
            <v>14</v>
          </cell>
          <cell r="M85">
            <v>0</v>
          </cell>
          <cell r="N85">
            <v>0</v>
          </cell>
          <cell r="O85">
            <v>30</v>
          </cell>
          <cell r="P85">
            <v>64</v>
          </cell>
          <cell r="Q85">
            <v>1.92</v>
          </cell>
          <cell r="R85">
            <v>212.04</v>
          </cell>
          <cell r="S85">
            <v>120</v>
          </cell>
          <cell r="T85">
            <v>2</v>
          </cell>
          <cell r="U85">
            <v>5</v>
          </cell>
          <cell r="V85">
            <v>4.5</v>
          </cell>
          <cell r="W85">
            <v>212.04</v>
          </cell>
          <cell r="X85">
            <v>120</v>
          </cell>
          <cell r="Y85">
            <v>2</v>
          </cell>
          <cell r="Z85">
            <v>5</v>
          </cell>
          <cell r="AA85">
            <v>181.96701923076921</v>
          </cell>
          <cell r="AB85">
            <v>72</v>
          </cell>
          <cell r="AD85">
            <v>83.18492307692307</v>
          </cell>
          <cell r="AH85">
            <v>0</v>
          </cell>
          <cell r="AI85">
            <v>0</v>
          </cell>
          <cell r="AJ85">
            <v>0</v>
          </cell>
          <cell r="AK85">
            <v>0</v>
          </cell>
          <cell r="AL85">
            <v>-36.699230769230766</v>
          </cell>
          <cell r="AM85">
            <v>249.55476923076921</v>
          </cell>
          <cell r="AN85">
            <v>13.5</v>
          </cell>
          <cell r="AP85">
            <v>123</v>
          </cell>
          <cell r="AQ85">
            <v>1025.5474807692308</v>
          </cell>
          <cell r="AR85">
            <v>13.7826</v>
          </cell>
          <cell r="AT85">
            <v>13.7826</v>
          </cell>
          <cell r="AU85">
            <v>1011.7648807692308</v>
          </cell>
          <cell r="AX85">
            <v>244</v>
          </cell>
          <cell r="AZ85" t="str">
            <v>Shihab Sulaiman Rashid Al Gharibi</v>
          </cell>
          <cell r="BA85" t="str">
            <v>0119-131250084019</v>
          </cell>
          <cell r="BB85" t="str">
            <v>Bank Muscat</v>
          </cell>
          <cell r="BC85" t="str">
            <v>Dareez</v>
          </cell>
          <cell r="BD85">
            <v>1011.7648807692308</v>
          </cell>
        </row>
        <row r="86">
          <cell r="B86">
            <v>245</v>
          </cell>
          <cell r="C86" t="str">
            <v>Mahmoud Mohammed Said Al Hashmi</v>
          </cell>
          <cell r="D86" t="str">
            <v>GPS Operator</v>
          </cell>
          <cell r="E86" t="str">
            <v>12.05.04</v>
          </cell>
          <cell r="F86">
            <v>1.974346153846154</v>
          </cell>
          <cell r="G86">
            <v>1.2339663461538461</v>
          </cell>
          <cell r="H86">
            <v>0</v>
          </cell>
          <cell r="I86">
            <v>56.5</v>
          </cell>
          <cell r="K86">
            <v>21</v>
          </cell>
          <cell r="L86">
            <v>9</v>
          </cell>
          <cell r="M86">
            <v>0</v>
          </cell>
          <cell r="N86">
            <v>0</v>
          </cell>
          <cell r="O86">
            <v>30</v>
          </cell>
          <cell r="P86">
            <v>55</v>
          </cell>
          <cell r="Q86">
            <v>1.65</v>
          </cell>
          <cell r="R86">
            <v>171.11</v>
          </cell>
          <cell r="S86">
            <v>120</v>
          </cell>
          <cell r="T86">
            <v>2</v>
          </cell>
          <cell r="U86">
            <v>5</v>
          </cell>
          <cell r="V86">
            <v>4.5</v>
          </cell>
          <cell r="W86">
            <v>171.11</v>
          </cell>
          <cell r="X86">
            <v>120</v>
          </cell>
          <cell r="Y86">
            <v>2</v>
          </cell>
          <cell r="Z86">
            <v>5</v>
          </cell>
          <cell r="AA86">
            <v>69.719098557692305</v>
          </cell>
          <cell r="AB86">
            <v>94.5</v>
          </cell>
          <cell r="AD86">
            <v>0</v>
          </cell>
          <cell r="AH86">
            <v>0</v>
          </cell>
          <cell r="AI86">
            <v>0</v>
          </cell>
          <cell r="AJ86">
            <v>0</v>
          </cell>
          <cell r="AK86">
            <v>0</v>
          </cell>
          <cell r="AL86">
            <v>0</v>
          </cell>
          <cell r="AM86">
            <v>124.3838076923077</v>
          </cell>
          <cell r="AN86">
            <v>27</v>
          </cell>
          <cell r="AP86">
            <v>123</v>
          </cell>
          <cell r="AQ86">
            <v>736.71290625000006</v>
          </cell>
          <cell r="AR86">
            <v>11.122150000000001</v>
          </cell>
          <cell r="AT86">
            <v>11.122150000000001</v>
          </cell>
          <cell r="AU86">
            <v>725.59075625000003</v>
          </cell>
          <cell r="AX86">
            <v>245</v>
          </cell>
          <cell r="AZ86" t="str">
            <v>Mahmoud Mohammed Said Al Hashmi</v>
          </cell>
          <cell r="BA86" t="str">
            <v>28-035822-29</v>
          </cell>
          <cell r="BB86" t="str">
            <v>OIB</v>
          </cell>
          <cell r="BC86" t="str">
            <v>Adam</v>
          </cell>
          <cell r="BD86">
            <v>725.59075625000003</v>
          </cell>
        </row>
        <row r="87">
          <cell r="B87">
            <v>248</v>
          </cell>
          <cell r="C87" t="str">
            <v>Salem Sultan Muhanna Al Amri</v>
          </cell>
          <cell r="D87" t="str">
            <v>Bus Driver</v>
          </cell>
          <cell r="E87" t="str">
            <v>07.06.04</v>
          </cell>
          <cell r="F87">
            <v>1.9538076923076924</v>
          </cell>
          <cell r="G87">
            <v>1.2211298076923076</v>
          </cell>
          <cell r="H87">
            <v>21</v>
          </cell>
          <cell r="I87">
            <v>66</v>
          </cell>
          <cell r="K87">
            <v>22</v>
          </cell>
          <cell r="L87">
            <v>8</v>
          </cell>
          <cell r="M87">
            <v>0</v>
          </cell>
          <cell r="N87">
            <v>0</v>
          </cell>
          <cell r="O87">
            <v>30</v>
          </cell>
          <cell r="P87">
            <v>63</v>
          </cell>
          <cell r="Q87">
            <v>1.89</v>
          </cell>
          <cell r="R87">
            <v>169.33</v>
          </cell>
          <cell r="S87">
            <v>85</v>
          </cell>
          <cell r="T87">
            <v>2</v>
          </cell>
          <cell r="U87">
            <v>5</v>
          </cell>
          <cell r="V87">
            <v>4.5</v>
          </cell>
          <cell r="W87">
            <v>169.33</v>
          </cell>
          <cell r="X87">
            <v>85</v>
          </cell>
          <cell r="Y87">
            <v>2</v>
          </cell>
          <cell r="Z87">
            <v>5</v>
          </cell>
          <cell r="AA87">
            <v>80.594567307692301</v>
          </cell>
          <cell r="AB87">
            <v>99</v>
          </cell>
          <cell r="AD87">
            <v>41.029961538461542</v>
          </cell>
          <cell r="AH87">
            <v>0</v>
          </cell>
          <cell r="AI87">
            <v>0</v>
          </cell>
          <cell r="AJ87">
            <v>0</v>
          </cell>
          <cell r="AK87">
            <v>0</v>
          </cell>
          <cell r="AL87">
            <v>155.08348557692307</v>
          </cell>
          <cell r="AM87">
            <v>0</v>
          </cell>
          <cell r="AN87">
            <v>0</v>
          </cell>
          <cell r="AP87">
            <v>0</v>
          </cell>
          <cell r="AQ87">
            <v>637.0380144230769</v>
          </cell>
          <cell r="AR87">
            <v>11.006450000000001</v>
          </cell>
          <cell r="AT87">
            <v>11.006450000000001</v>
          </cell>
          <cell r="AU87">
            <v>626.03156442307693</v>
          </cell>
          <cell r="AX87">
            <v>248</v>
          </cell>
          <cell r="AZ87" t="str">
            <v>Salem Sultan Muhanna Al Amri</v>
          </cell>
          <cell r="BA87" t="str">
            <v>21-741970-20</v>
          </cell>
          <cell r="BB87" t="str">
            <v>OIB</v>
          </cell>
          <cell r="BC87" t="str">
            <v>Bahla</v>
          </cell>
          <cell r="BD87">
            <v>626.03156442307693</v>
          </cell>
        </row>
        <row r="88">
          <cell r="B88">
            <v>249</v>
          </cell>
          <cell r="C88" t="str">
            <v>Saeed Hamed Said Al Gharibi</v>
          </cell>
          <cell r="D88" t="str">
            <v>Labour</v>
          </cell>
          <cell r="E88" t="str">
            <v>07.06.04</v>
          </cell>
          <cell r="F88">
            <v>1.8566538461538462</v>
          </cell>
          <cell r="G88">
            <v>1.160408653846154</v>
          </cell>
          <cell r="H88">
            <v>0</v>
          </cell>
          <cell r="I88">
            <v>0</v>
          </cell>
          <cell r="K88">
            <v>0</v>
          </cell>
          <cell r="L88">
            <v>0</v>
          </cell>
          <cell r="M88">
            <v>0</v>
          </cell>
          <cell r="N88">
            <v>0</v>
          </cell>
          <cell r="O88">
            <v>0</v>
          </cell>
          <cell r="P88">
            <v>57</v>
          </cell>
          <cell r="Q88">
            <v>1.71</v>
          </cell>
          <cell r="R88">
            <v>160.91</v>
          </cell>
          <cell r="S88">
            <v>85</v>
          </cell>
          <cell r="T88">
            <v>2</v>
          </cell>
          <cell r="U88">
            <v>5</v>
          </cell>
          <cell r="V88">
            <v>4.5</v>
          </cell>
          <cell r="W88">
            <v>0</v>
          </cell>
          <cell r="X88">
            <v>0</v>
          </cell>
          <cell r="Y88">
            <v>0</v>
          </cell>
          <cell r="Z88">
            <v>0</v>
          </cell>
          <cell r="AA88">
            <v>0</v>
          </cell>
          <cell r="AB88">
            <v>0</v>
          </cell>
          <cell r="AD88">
            <v>0</v>
          </cell>
          <cell r="AH88">
            <v>0</v>
          </cell>
          <cell r="AI88">
            <v>0</v>
          </cell>
          <cell r="AJ88">
            <v>0</v>
          </cell>
          <cell r="AK88">
            <v>0</v>
          </cell>
          <cell r="AL88">
            <v>0</v>
          </cell>
          <cell r="AM88">
            <v>0</v>
          </cell>
          <cell r="AN88">
            <v>0</v>
          </cell>
          <cell r="AP88">
            <v>0</v>
          </cell>
          <cell r="AQ88">
            <v>0</v>
          </cell>
          <cell r="AT88">
            <v>0</v>
          </cell>
          <cell r="AU88">
            <v>0</v>
          </cell>
          <cell r="AV88" t="str">
            <v>30 Days HLV</v>
          </cell>
          <cell r="AX88">
            <v>249</v>
          </cell>
          <cell r="AZ88" t="str">
            <v>Saeed Hamed Said Al Gharibi</v>
          </cell>
          <cell r="BA88" t="str">
            <v>0119-106680084017</v>
          </cell>
          <cell r="BB88" t="str">
            <v>Bank Muscat</v>
          </cell>
          <cell r="BC88" t="str">
            <v>Dareez</v>
          </cell>
          <cell r="BD88">
            <v>0</v>
          </cell>
        </row>
        <row r="89">
          <cell r="B89">
            <v>252</v>
          </cell>
          <cell r="C89" t="str">
            <v>Salem Masood Khalfan</v>
          </cell>
          <cell r="D89" t="str">
            <v>Labour</v>
          </cell>
          <cell r="E89" t="str">
            <v>07.06.04</v>
          </cell>
          <cell r="F89">
            <v>1.8132230769230768</v>
          </cell>
          <cell r="G89">
            <v>1.1332644230769231</v>
          </cell>
          <cell r="H89">
            <v>28</v>
          </cell>
          <cell r="I89">
            <v>120</v>
          </cell>
          <cell r="K89">
            <v>22</v>
          </cell>
          <cell r="L89">
            <v>8</v>
          </cell>
          <cell r="M89">
            <v>0</v>
          </cell>
          <cell r="N89">
            <v>0</v>
          </cell>
          <cell r="O89">
            <v>30</v>
          </cell>
          <cell r="P89">
            <v>67</v>
          </cell>
          <cell r="Q89">
            <v>2.0099999999999998</v>
          </cell>
          <cell r="R89">
            <v>157.14599999999999</v>
          </cell>
          <cell r="S89">
            <v>85</v>
          </cell>
          <cell r="T89">
            <v>2</v>
          </cell>
          <cell r="U89">
            <v>5</v>
          </cell>
          <cell r="V89">
            <v>4.5</v>
          </cell>
          <cell r="W89">
            <v>157.14599999999999</v>
          </cell>
          <cell r="X89">
            <v>85</v>
          </cell>
          <cell r="Y89">
            <v>2</v>
          </cell>
          <cell r="Z89">
            <v>5</v>
          </cell>
          <cell r="AA89">
            <v>135.99173076923077</v>
          </cell>
          <cell r="AB89">
            <v>99</v>
          </cell>
          <cell r="AD89">
            <v>50.770246153846152</v>
          </cell>
          <cell r="AH89">
            <v>0</v>
          </cell>
          <cell r="AI89">
            <v>0</v>
          </cell>
          <cell r="AJ89">
            <v>0</v>
          </cell>
          <cell r="AK89">
            <v>0</v>
          </cell>
          <cell r="AL89">
            <v>0</v>
          </cell>
          <cell r="AM89">
            <v>130.55206153846154</v>
          </cell>
          <cell r="AN89">
            <v>27</v>
          </cell>
          <cell r="AP89">
            <v>123</v>
          </cell>
          <cell r="AQ89">
            <v>815.46003846153849</v>
          </cell>
          <cell r="AR89">
            <v>10.21449</v>
          </cell>
          <cell r="AT89">
            <v>10.21449</v>
          </cell>
          <cell r="AU89">
            <v>805.24554846153853</v>
          </cell>
          <cell r="AX89">
            <v>252</v>
          </cell>
          <cell r="AZ89" t="str">
            <v>Salem Masood Khalfan</v>
          </cell>
          <cell r="BA89" t="str">
            <v>27-054477-20</v>
          </cell>
          <cell r="BB89" t="str">
            <v>OIB</v>
          </cell>
          <cell r="BC89" t="str">
            <v>Sleef-Ibri</v>
          </cell>
          <cell r="BD89">
            <v>805.24554846153853</v>
          </cell>
        </row>
        <row r="90">
          <cell r="B90">
            <v>253</v>
          </cell>
          <cell r="C90" t="str">
            <v>Suliyam Hamad Khalfan Al Yaqoubi</v>
          </cell>
          <cell r="D90" t="str">
            <v>Chain Crew Foreman</v>
          </cell>
          <cell r="E90" t="str">
            <v>03.06.04</v>
          </cell>
          <cell r="F90">
            <v>1.938576923076923</v>
          </cell>
          <cell r="G90">
            <v>1.2116105769230769</v>
          </cell>
          <cell r="H90">
            <v>21</v>
          </cell>
          <cell r="I90">
            <v>100.5</v>
          </cell>
          <cell r="K90">
            <v>23</v>
          </cell>
          <cell r="L90">
            <v>7</v>
          </cell>
          <cell r="M90">
            <v>0</v>
          </cell>
          <cell r="N90">
            <v>0</v>
          </cell>
          <cell r="O90">
            <v>30</v>
          </cell>
          <cell r="P90">
            <v>51</v>
          </cell>
          <cell r="Q90">
            <v>1.53</v>
          </cell>
          <cell r="R90">
            <v>168.01</v>
          </cell>
          <cell r="S90">
            <v>110</v>
          </cell>
          <cell r="T90">
            <v>2</v>
          </cell>
          <cell r="U90">
            <v>5</v>
          </cell>
          <cell r="V90">
            <v>4.5</v>
          </cell>
          <cell r="W90">
            <v>168.01</v>
          </cell>
          <cell r="X90">
            <v>110</v>
          </cell>
          <cell r="Y90">
            <v>2</v>
          </cell>
          <cell r="Z90">
            <v>5</v>
          </cell>
          <cell r="AA90">
            <v>121.76686298076923</v>
          </cell>
          <cell r="AB90">
            <v>103.5</v>
          </cell>
          <cell r="AD90">
            <v>40.710115384615385</v>
          </cell>
          <cell r="AH90">
            <v>0</v>
          </cell>
          <cell r="AI90">
            <v>0</v>
          </cell>
          <cell r="AJ90">
            <v>0</v>
          </cell>
          <cell r="AK90">
            <v>0</v>
          </cell>
          <cell r="AL90">
            <v>63.003750000000004</v>
          </cell>
          <cell r="AM90">
            <v>0</v>
          </cell>
          <cell r="AN90">
            <v>0</v>
          </cell>
          <cell r="AP90">
            <v>0</v>
          </cell>
          <cell r="AQ90">
            <v>613.9907283653846</v>
          </cell>
          <cell r="AR90">
            <v>10.92065</v>
          </cell>
          <cell r="AT90">
            <v>10.92065</v>
          </cell>
          <cell r="AU90">
            <v>603.07007836538457</v>
          </cell>
          <cell r="AX90">
            <v>253</v>
          </cell>
          <cell r="AZ90" t="str">
            <v>Suliyam Hamad Khalfan Al Yaqoubi</v>
          </cell>
          <cell r="BA90" t="str">
            <v>27-054469-20</v>
          </cell>
          <cell r="BB90" t="str">
            <v>OIB</v>
          </cell>
          <cell r="BC90" t="str">
            <v>Sleef</v>
          </cell>
          <cell r="BD90">
            <v>603.07007836538457</v>
          </cell>
        </row>
        <row r="91">
          <cell r="B91">
            <v>257</v>
          </cell>
          <cell r="C91" t="str">
            <v>Zayed Suliyam Said Al Hashmi</v>
          </cell>
          <cell r="D91" t="str">
            <v>Labour</v>
          </cell>
          <cell r="E91" t="str">
            <v>07.06.04</v>
          </cell>
          <cell r="F91">
            <v>1.8023076923076922</v>
          </cell>
          <cell r="G91">
            <v>1.1264423076923076</v>
          </cell>
          <cell r="H91">
            <v>0</v>
          </cell>
          <cell r="I91">
            <v>98</v>
          </cell>
          <cell r="K91">
            <v>21</v>
          </cell>
          <cell r="L91">
            <v>9</v>
          </cell>
          <cell r="M91">
            <v>0</v>
          </cell>
          <cell r="N91">
            <v>0</v>
          </cell>
          <cell r="O91">
            <v>30</v>
          </cell>
          <cell r="P91">
            <v>57</v>
          </cell>
          <cell r="Q91">
            <v>1.71</v>
          </cell>
          <cell r="R91">
            <v>156.19999999999999</v>
          </cell>
          <cell r="S91">
            <v>85</v>
          </cell>
          <cell r="T91">
            <v>2</v>
          </cell>
          <cell r="U91">
            <v>5</v>
          </cell>
          <cell r="V91">
            <v>4.5</v>
          </cell>
          <cell r="W91">
            <v>156.19999999999999</v>
          </cell>
          <cell r="X91">
            <v>85</v>
          </cell>
          <cell r="Y91">
            <v>2</v>
          </cell>
          <cell r="Z91">
            <v>5</v>
          </cell>
          <cell r="AA91">
            <v>110.39134615384614</v>
          </cell>
          <cell r="AB91">
            <v>94.5</v>
          </cell>
          <cell r="AD91">
            <v>0</v>
          </cell>
          <cell r="AH91">
            <v>0</v>
          </cell>
          <cell r="AI91">
            <v>0</v>
          </cell>
          <cell r="AJ91">
            <v>0</v>
          </cell>
          <cell r="AK91">
            <v>0</v>
          </cell>
          <cell r="AL91">
            <v>45.057692307692307</v>
          </cell>
          <cell r="AM91">
            <v>108.13846153846153</v>
          </cell>
          <cell r="AN91">
            <v>27</v>
          </cell>
          <cell r="AP91">
            <v>123</v>
          </cell>
          <cell r="AQ91">
            <v>756.28750000000002</v>
          </cell>
          <cell r="AR91">
            <v>10.153</v>
          </cell>
          <cell r="AT91">
            <v>10.153</v>
          </cell>
          <cell r="AU91">
            <v>746.1345</v>
          </cell>
          <cell r="AX91">
            <v>257</v>
          </cell>
          <cell r="AZ91" t="str">
            <v>Zayed Suliyam Said Al Hashmi</v>
          </cell>
          <cell r="BA91" t="str">
            <v>129-225800084018</v>
          </cell>
          <cell r="BB91" t="str">
            <v>Bank Muscat</v>
          </cell>
          <cell r="BC91" t="str">
            <v>Adam</v>
          </cell>
          <cell r="BD91">
            <v>746.1345</v>
          </cell>
        </row>
        <row r="92">
          <cell r="B92">
            <v>258</v>
          </cell>
          <cell r="C92" t="str">
            <v>Saleem Said Salmee Al Khusaibi</v>
          </cell>
          <cell r="D92" t="str">
            <v>Labour</v>
          </cell>
          <cell r="E92" t="str">
            <v>07.06.04</v>
          </cell>
          <cell r="F92">
            <v>1.7338846153846157</v>
          </cell>
          <cell r="G92">
            <v>1.0836778846153847</v>
          </cell>
          <cell r="H92">
            <v>0</v>
          </cell>
          <cell r="I92">
            <v>102</v>
          </cell>
          <cell r="K92">
            <v>21</v>
          </cell>
          <cell r="L92">
            <v>9</v>
          </cell>
          <cell r="M92">
            <v>0</v>
          </cell>
          <cell r="N92">
            <v>0</v>
          </cell>
          <cell r="O92">
            <v>30</v>
          </cell>
          <cell r="P92">
            <v>55</v>
          </cell>
          <cell r="Q92">
            <v>1.65</v>
          </cell>
          <cell r="R92">
            <v>150.27000000000001</v>
          </cell>
          <cell r="S92">
            <v>85</v>
          </cell>
          <cell r="T92">
            <v>2</v>
          </cell>
          <cell r="U92">
            <v>5</v>
          </cell>
          <cell r="V92">
            <v>4.5</v>
          </cell>
          <cell r="W92">
            <v>150.27000000000001</v>
          </cell>
          <cell r="X92">
            <v>85</v>
          </cell>
          <cell r="Y92">
            <v>2</v>
          </cell>
          <cell r="Z92">
            <v>5</v>
          </cell>
          <cell r="AA92">
            <v>110.53514423076925</v>
          </cell>
          <cell r="AB92">
            <v>94.5</v>
          </cell>
          <cell r="AD92">
            <v>0</v>
          </cell>
          <cell r="AH92">
            <v>0</v>
          </cell>
          <cell r="AI92">
            <v>0</v>
          </cell>
          <cell r="AJ92">
            <v>0</v>
          </cell>
          <cell r="AK92">
            <v>0</v>
          </cell>
          <cell r="AL92">
            <v>8.6694230769230778</v>
          </cell>
          <cell r="AM92">
            <v>0</v>
          </cell>
          <cell r="AN92">
            <v>0</v>
          </cell>
          <cell r="AP92">
            <v>0</v>
          </cell>
          <cell r="AQ92">
            <v>455.97456730769233</v>
          </cell>
          <cell r="AR92">
            <v>9.7675500000000017</v>
          </cell>
          <cell r="AT92">
            <v>9.7675500000000017</v>
          </cell>
          <cell r="AU92">
            <v>446.2070173076923</v>
          </cell>
          <cell r="AX92">
            <v>258</v>
          </cell>
          <cell r="AZ92" t="str">
            <v>Saleem Said Salmee Al Khusaibi</v>
          </cell>
          <cell r="BA92" t="str">
            <v>28-003325-20</v>
          </cell>
          <cell r="BB92" t="str">
            <v>OIB</v>
          </cell>
          <cell r="BC92" t="str">
            <v>Adam</v>
          </cell>
          <cell r="BD92">
            <v>446.2070173076923</v>
          </cell>
        </row>
        <row r="93">
          <cell r="B93">
            <v>260</v>
          </cell>
          <cell r="C93" t="str">
            <v>Qasam Khamis Sulaiyam</v>
          </cell>
          <cell r="D93" t="str">
            <v>GPS Operator</v>
          </cell>
          <cell r="E93" t="str">
            <v>12.05.04</v>
          </cell>
          <cell r="F93">
            <v>1.8176538461538463</v>
          </cell>
          <cell r="G93">
            <v>1.136033653846154</v>
          </cell>
          <cell r="H93">
            <v>21</v>
          </cell>
          <cell r="I93">
            <v>52.5</v>
          </cell>
          <cell r="K93">
            <v>23</v>
          </cell>
          <cell r="L93">
            <v>7</v>
          </cell>
          <cell r="M93">
            <v>0</v>
          </cell>
          <cell r="N93">
            <v>0</v>
          </cell>
          <cell r="O93">
            <v>30</v>
          </cell>
          <cell r="P93">
            <v>53</v>
          </cell>
          <cell r="Q93">
            <v>1.5899999999999999</v>
          </cell>
          <cell r="R93">
            <v>157.53</v>
          </cell>
          <cell r="S93">
            <v>120</v>
          </cell>
          <cell r="T93">
            <v>2</v>
          </cell>
          <cell r="U93">
            <v>5</v>
          </cell>
          <cell r="V93">
            <v>4.5</v>
          </cell>
          <cell r="W93">
            <v>157.53</v>
          </cell>
          <cell r="X93">
            <v>120</v>
          </cell>
          <cell r="Y93">
            <v>2</v>
          </cell>
          <cell r="Z93">
            <v>5</v>
          </cell>
          <cell r="AA93">
            <v>59.641766826923082</v>
          </cell>
          <cell r="AB93">
            <v>103.5</v>
          </cell>
          <cell r="AD93">
            <v>38.170730769230772</v>
          </cell>
          <cell r="AH93">
            <v>0</v>
          </cell>
          <cell r="AI93">
            <v>0</v>
          </cell>
          <cell r="AJ93">
            <v>0</v>
          </cell>
          <cell r="AK93">
            <v>0</v>
          </cell>
          <cell r="AL93">
            <v>5.1121514423076926</v>
          </cell>
          <cell r="AM93">
            <v>0</v>
          </cell>
          <cell r="AN93">
            <v>4.5</v>
          </cell>
          <cell r="AP93">
            <v>0</v>
          </cell>
          <cell r="AQ93">
            <v>495.45464903846153</v>
          </cell>
          <cell r="AR93">
            <v>10.23945</v>
          </cell>
          <cell r="AT93">
            <v>10.23945</v>
          </cell>
          <cell r="AU93">
            <v>485.21519903846155</v>
          </cell>
          <cell r="AX93">
            <v>260</v>
          </cell>
          <cell r="AZ93" t="str">
            <v>Qasam Khamis Sulaiyam</v>
          </cell>
          <cell r="BA93" t="str">
            <v>169-104460084-017</v>
          </cell>
          <cell r="BB93" t="str">
            <v>Bank Muscat</v>
          </cell>
          <cell r="BC93" t="str">
            <v>Murtafat</v>
          </cell>
          <cell r="BD93">
            <v>485.21519903846155</v>
          </cell>
        </row>
        <row r="94">
          <cell r="B94">
            <v>265</v>
          </cell>
          <cell r="C94" t="str">
            <v>Nasser Mohammed Said Al Rashdi</v>
          </cell>
          <cell r="D94" t="str">
            <v>Asst.HSE Advisor</v>
          </cell>
          <cell r="E94" t="str">
            <v>07.06.04</v>
          </cell>
          <cell r="F94">
            <v>1.7815384615384617</v>
          </cell>
          <cell r="G94">
            <v>1.1134615384615385</v>
          </cell>
          <cell r="H94">
            <v>0</v>
          </cell>
          <cell r="I94">
            <v>42</v>
          </cell>
          <cell r="K94">
            <v>21</v>
          </cell>
          <cell r="L94">
            <v>9</v>
          </cell>
          <cell r="M94">
            <v>0</v>
          </cell>
          <cell r="N94">
            <v>0</v>
          </cell>
          <cell r="O94">
            <v>30</v>
          </cell>
          <cell r="P94">
            <v>66</v>
          </cell>
          <cell r="Q94">
            <v>1.98</v>
          </cell>
          <cell r="R94">
            <v>154.4</v>
          </cell>
          <cell r="S94">
            <v>110</v>
          </cell>
          <cell r="T94">
            <v>2</v>
          </cell>
          <cell r="U94">
            <v>5</v>
          </cell>
          <cell r="V94">
            <v>4.5</v>
          </cell>
          <cell r="W94">
            <v>154.4</v>
          </cell>
          <cell r="X94">
            <v>110</v>
          </cell>
          <cell r="Y94">
            <v>2</v>
          </cell>
          <cell r="Z94">
            <v>5</v>
          </cell>
          <cell r="AA94">
            <v>46.765384615384619</v>
          </cell>
          <cell r="AB94">
            <v>94.5</v>
          </cell>
          <cell r="AD94">
            <v>0</v>
          </cell>
          <cell r="AH94">
            <v>0</v>
          </cell>
          <cell r="AI94">
            <v>0</v>
          </cell>
          <cell r="AJ94">
            <v>0</v>
          </cell>
          <cell r="AK94">
            <v>0</v>
          </cell>
          <cell r="AL94">
            <v>0</v>
          </cell>
          <cell r="AM94">
            <v>106.89230769230771</v>
          </cell>
          <cell r="AN94">
            <v>27</v>
          </cell>
          <cell r="AP94">
            <v>123</v>
          </cell>
          <cell r="AQ94">
            <v>669.55769230769226</v>
          </cell>
          <cell r="AR94">
            <v>10.036000000000001</v>
          </cell>
          <cell r="AT94">
            <v>10.036000000000001</v>
          </cell>
          <cell r="AU94">
            <v>659.52169230769232</v>
          </cell>
          <cell r="AV94" t="str">
            <v>Housing Allowance revised to 110 from 1/11/2008</v>
          </cell>
          <cell r="AX94">
            <v>265</v>
          </cell>
          <cell r="AZ94" t="str">
            <v>Nasser Mohammed Said Al Rashdi</v>
          </cell>
          <cell r="BA94" t="str">
            <v>0075184030084011</v>
          </cell>
          <cell r="BB94" t="str">
            <v>Bank Muscat</v>
          </cell>
          <cell r="BC94" t="str">
            <v>Al Amerat</v>
          </cell>
          <cell r="BD94">
            <v>659.52169230769232</v>
          </cell>
        </row>
        <row r="95">
          <cell r="B95">
            <v>266</v>
          </cell>
          <cell r="C95" t="str">
            <v>Hamoud Saif Bashar Al Sabqi</v>
          </cell>
          <cell r="D95" t="str">
            <v>Line Foreman(recording)</v>
          </cell>
          <cell r="E95" t="str">
            <v>07.06.04</v>
          </cell>
          <cell r="F95">
            <v>1.9646538461538463</v>
          </cell>
          <cell r="G95">
            <v>1.2279086538461539</v>
          </cell>
          <cell r="H95">
            <v>21</v>
          </cell>
          <cell r="I95">
            <v>61</v>
          </cell>
          <cell r="K95">
            <v>20</v>
          </cell>
          <cell r="L95">
            <v>10</v>
          </cell>
          <cell r="M95">
            <v>0</v>
          </cell>
          <cell r="N95">
            <v>0</v>
          </cell>
          <cell r="O95">
            <v>30</v>
          </cell>
          <cell r="P95">
            <v>65</v>
          </cell>
          <cell r="Q95">
            <v>1.95</v>
          </cell>
          <cell r="R95">
            <v>170.27</v>
          </cell>
          <cell r="S95">
            <v>120</v>
          </cell>
          <cell r="T95">
            <v>2</v>
          </cell>
          <cell r="U95">
            <v>5</v>
          </cell>
          <cell r="V95">
            <v>4.5</v>
          </cell>
          <cell r="W95">
            <v>170.27</v>
          </cell>
          <cell r="X95">
            <v>120</v>
          </cell>
          <cell r="Y95">
            <v>2</v>
          </cell>
          <cell r="Z95">
            <v>5</v>
          </cell>
          <cell r="AA95">
            <v>74.902427884615392</v>
          </cell>
          <cell r="AB95">
            <v>90</v>
          </cell>
          <cell r="AD95">
            <v>41.257730769230776</v>
          </cell>
          <cell r="AH95">
            <v>0</v>
          </cell>
          <cell r="AI95">
            <v>0</v>
          </cell>
          <cell r="AJ95">
            <v>0</v>
          </cell>
          <cell r="AK95">
            <v>0</v>
          </cell>
          <cell r="AL95">
            <v>47.274483173076923</v>
          </cell>
          <cell r="AM95">
            <v>0</v>
          </cell>
          <cell r="AN95">
            <v>4.5</v>
          </cell>
          <cell r="AP95">
            <v>0</v>
          </cell>
          <cell r="AQ95">
            <v>555.20464182692308</v>
          </cell>
          <cell r="AR95">
            <v>11.067550000000001</v>
          </cell>
          <cell r="AT95">
            <v>11.067550000000001</v>
          </cell>
          <cell r="AU95">
            <v>544.1370918269231</v>
          </cell>
          <cell r="AX95">
            <v>266</v>
          </cell>
          <cell r="AZ95" t="str">
            <v>Hamoud Saif Bashar Al Sabqi</v>
          </cell>
          <cell r="BA95" t="str">
            <v>21-618913-20</v>
          </cell>
          <cell r="BB95" t="str">
            <v>OIB</v>
          </cell>
          <cell r="BC95" t="str">
            <v>Bahla</v>
          </cell>
          <cell r="BD95">
            <v>544.1370918269231</v>
          </cell>
        </row>
        <row r="96">
          <cell r="B96">
            <v>268</v>
          </cell>
          <cell r="C96" t="str">
            <v>Mohammed Said Mehad Al Amri</v>
          </cell>
          <cell r="D96" t="str">
            <v>GPS Operator</v>
          </cell>
          <cell r="E96" t="str">
            <v>07.06.04</v>
          </cell>
          <cell r="F96">
            <v>1.9010769230769229</v>
          </cell>
          <cell r="G96">
            <v>1.1881730769230767</v>
          </cell>
          <cell r="H96">
            <v>0</v>
          </cell>
          <cell r="I96">
            <v>74.5</v>
          </cell>
          <cell r="K96">
            <v>20</v>
          </cell>
          <cell r="L96">
            <v>9</v>
          </cell>
          <cell r="M96">
            <v>0</v>
          </cell>
          <cell r="N96">
            <v>1</v>
          </cell>
          <cell r="O96">
            <v>29</v>
          </cell>
          <cell r="P96">
            <v>59</v>
          </cell>
          <cell r="Q96">
            <v>1.77</v>
          </cell>
          <cell r="R96">
            <v>164.76</v>
          </cell>
          <cell r="S96">
            <v>85</v>
          </cell>
          <cell r="T96">
            <v>2</v>
          </cell>
          <cell r="U96">
            <v>5</v>
          </cell>
          <cell r="V96">
            <v>4.5</v>
          </cell>
          <cell r="W96">
            <v>159.268</v>
          </cell>
          <cell r="X96">
            <v>82.166666666666671</v>
          </cell>
          <cell r="Y96">
            <v>1.9333333333333333</v>
          </cell>
          <cell r="Z96">
            <v>4.833333333333333</v>
          </cell>
          <cell r="AA96">
            <v>88.51889423076922</v>
          </cell>
          <cell r="AB96">
            <v>90</v>
          </cell>
          <cell r="AD96">
            <v>0</v>
          </cell>
          <cell r="AH96">
            <v>0</v>
          </cell>
          <cell r="AI96">
            <v>0</v>
          </cell>
          <cell r="AJ96">
            <v>0</v>
          </cell>
          <cell r="AK96">
            <v>0</v>
          </cell>
          <cell r="AL96">
            <v>11.881730769230767</v>
          </cell>
          <cell r="AM96">
            <v>119.76784615384614</v>
          </cell>
          <cell r="AN96">
            <v>45</v>
          </cell>
          <cell r="AP96">
            <v>123</v>
          </cell>
          <cell r="AQ96">
            <v>726.36980448717952</v>
          </cell>
          <cell r="AR96">
            <v>10.7094</v>
          </cell>
          <cell r="AT96">
            <v>10.7094</v>
          </cell>
          <cell r="AU96">
            <v>715.66040448717956</v>
          </cell>
          <cell r="AX96">
            <v>268</v>
          </cell>
          <cell r="AZ96" t="str">
            <v>Mohammed Said Mehad Al Amri</v>
          </cell>
          <cell r="BA96" t="str">
            <v>129-223540084012</v>
          </cell>
          <cell r="BB96" t="str">
            <v>Bank Muscat</v>
          </cell>
          <cell r="BC96" t="str">
            <v>Adam</v>
          </cell>
          <cell r="BD96">
            <v>715.66040448717956</v>
          </cell>
        </row>
        <row r="97">
          <cell r="B97">
            <v>272</v>
          </cell>
          <cell r="C97" t="str">
            <v>Jaber Musalem Salim Al Hinai</v>
          </cell>
          <cell r="D97" t="str">
            <v>Heavy Duty Driver</v>
          </cell>
          <cell r="E97" t="str">
            <v>07.06.04</v>
          </cell>
          <cell r="F97">
            <v>2.0319230769230767</v>
          </cell>
          <cell r="G97">
            <v>1.269951923076923</v>
          </cell>
          <cell r="H97">
            <v>0</v>
          </cell>
          <cell r="I97">
            <v>176</v>
          </cell>
          <cell r="K97">
            <v>21</v>
          </cell>
          <cell r="L97">
            <v>9</v>
          </cell>
          <cell r="M97">
            <v>0</v>
          </cell>
          <cell r="N97">
            <v>0</v>
          </cell>
          <cell r="O97">
            <v>30</v>
          </cell>
          <cell r="P97">
            <v>61</v>
          </cell>
          <cell r="Q97">
            <v>1.8299999999999998</v>
          </cell>
          <cell r="R97">
            <v>176.1</v>
          </cell>
          <cell r="S97">
            <v>120</v>
          </cell>
          <cell r="T97">
            <v>2</v>
          </cell>
          <cell r="U97">
            <v>5</v>
          </cell>
          <cell r="V97">
            <v>4.5</v>
          </cell>
          <cell r="W97">
            <v>176.1</v>
          </cell>
          <cell r="X97">
            <v>120</v>
          </cell>
          <cell r="Y97">
            <v>2</v>
          </cell>
          <cell r="Z97">
            <v>5</v>
          </cell>
          <cell r="AA97">
            <v>223.51153846153844</v>
          </cell>
          <cell r="AB97">
            <v>94.5</v>
          </cell>
          <cell r="AD97">
            <v>0</v>
          </cell>
          <cell r="AH97">
            <v>0</v>
          </cell>
          <cell r="AI97">
            <v>0</v>
          </cell>
          <cell r="AJ97">
            <v>0</v>
          </cell>
          <cell r="AK97">
            <v>0</v>
          </cell>
          <cell r="AL97">
            <v>52.068028846153844</v>
          </cell>
          <cell r="AM97">
            <v>128.01115384615383</v>
          </cell>
          <cell r="AN97">
            <v>31.5</v>
          </cell>
          <cell r="AP97">
            <v>123</v>
          </cell>
          <cell r="AQ97">
            <v>955.6907211538462</v>
          </cell>
          <cell r="AR97">
            <v>11.4465</v>
          </cell>
          <cell r="AT97">
            <v>11.4465</v>
          </cell>
          <cell r="AU97">
            <v>944.24422115384618</v>
          </cell>
          <cell r="AX97">
            <v>272</v>
          </cell>
          <cell r="AZ97" t="str">
            <v>Jaber Musalem Salim Al Hinai</v>
          </cell>
          <cell r="BA97" t="str">
            <v>002-077188-035</v>
          </cell>
          <cell r="BB97" t="str">
            <v>HSBC</v>
          </cell>
          <cell r="BC97" t="str">
            <v>Ruwi</v>
          </cell>
          <cell r="BD97">
            <v>944.24422115384618</v>
          </cell>
        </row>
        <row r="98">
          <cell r="B98">
            <v>273</v>
          </cell>
          <cell r="C98" t="str">
            <v>Zayed Said Khamis Al Qassabi</v>
          </cell>
          <cell r="D98" t="str">
            <v>Asst Junior Observer</v>
          </cell>
          <cell r="E98" t="str">
            <v>07.06.04</v>
          </cell>
          <cell r="F98">
            <v>1.988192307692308</v>
          </cell>
          <cell r="G98">
            <v>1.2426201923076925</v>
          </cell>
          <cell r="H98">
            <v>24</v>
          </cell>
          <cell r="I98">
            <v>128</v>
          </cell>
          <cell r="K98">
            <v>23</v>
          </cell>
          <cell r="L98">
            <v>7</v>
          </cell>
          <cell r="M98">
            <v>0</v>
          </cell>
          <cell r="N98">
            <v>0</v>
          </cell>
          <cell r="O98">
            <v>30</v>
          </cell>
          <cell r="P98">
            <v>70</v>
          </cell>
          <cell r="Q98">
            <v>2.1</v>
          </cell>
          <cell r="R98">
            <v>172.31</v>
          </cell>
          <cell r="S98">
            <v>120</v>
          </cell>
          <cell r="T98">
            <v>2</v>
          </cell>
          <cell r="U98">
            <v>5</v>
          </cell>
          <cell r="V98">
            <v>4.5</v>
          </cell>
          <cell r="W98">
            <v>172.31</v>
          </cell>
          <cell r="X98">
            <v>120</v>
          </cell>
          <cell r="Y98">
            <v>2</v>
          </cell>
          <cell r="Z98">
            <v>5</v>
          </cell>
          <cell r="AA98">
            <v>159.05538461538464</v>
          </cell>
          <cell r="AB98">
            <v>103.5</v>
          </cell>
          <cell r="AD98">
            <v>47.716615384615395</v>
          </cell>
          <cell r="AH98">
            <v>0</v>
          </cell>
          <cell r="AI98">
            <v>0</v>
          </cell>
          <cell r="AJ98">
            <v>0</v>
          </cell>
          <cell r="AK98">
            <v>0</v>
          </cell>
          <cell r="AL98">
            <v>106.24402644230771</v>
          </cell>
          <cell r="AM98">
            <v>143.14984615384617</v>
          </cell>
          <cell r="AN98">
            <v>27</v>
          </cell>
          <cell r="AP98">
            <v>123</v>
          </cell>
          <cell r="AQ98">
            <v>1008.9758725961539</v>
          </cell>
          <cell r="AR98">
            <v>11.200150000000001</v>
          </cell>
          <cell r="AT98">
            <v>11.200150000000001</v>
          </cell>
          <cell r="AU98">
            <v>997.77572259615386</v>
          </cell>
          <cell r="AX98">
            <v>273</v>
          </cell>
          <cell r="AZ98" t="str">
            <v>Zayed Said Khamis Al Qassabi</v>
          </cell>
          <cell r="BA98" t="str">
            <v>002-270502-035</v>
          </cell>
          <cell r="BB98" t="str">
            <v>HSBC</v>
          </cell>
          <cell r="BC98" t="str">
            <v>Ruwi</v>
          </cell>
          <cell r="BD98">
            <v>997.77572259615386</v>
          </cell>
        </row>
        <row r="99">
          <cell r="B99">
            <v>277</v>
          </cell>
          <cell r="C99" t="str">
            <v>Musabah Muslem Salim Al Hinai</v>
          </cell>
          <cell r="D99" t="str">
            <v>Labour</v>
          </cell>
          <cell r="E99" t="str">
            <v>07.06.04</v>
          </cell>
          <cell r="F99">
            <v>1.6659230769230768</v>
          </cell>
          <cell r="G99">
            <v>1.0412019230769229</v>
          </cell>
          <cell r="H99">
            <v>24</v>
          </cell>
          <cell r="I99">
            <v>90</v>
          </cell>
          <cell r="K99">
            <v>16</v>
          </cell>
          <cell r="L99">
            <v>14</v>
          </cell>
          <cell r="M99">
            <v>0</v>
          </cell>
          <cell r="N99">
            <v>0</v>
          </cell>
          <cell r="O99">
            <v>30</v>
          </cell>
          <cell r="P99">
            <v>54</v>
          </cell>
          <cell r="Q99">
            <v>1.6199999999999999</v>
          </cell>
          <cell r="R99">
            <v>144.38</v>
          </cell>
          <cell r="S99">
            <v>85</v>
          </cell>
          <cell r="T99">
            <v>2</v>
          </cell>
          <cell r="U99">
            <v>5</v>
          </cell>
          <cell r="V99">
            <v>4.5</v>
          </cell>
          <cell r="W99">
            <v>144.38</v>
          </cell>
          <cell r="X99">
            <v>85</v>
          </cell>
          <cell r="Y99">
            <v>2</v>
          </cell>
          <cell r="Z99">
            <v>5</v>
          </cell>
          <cell r="AA99">
            <v>93.70817307692306</v>
          </cell>
          <cell r="AB99">
            <v>72</v>
          </cell>
          <cell r="AD99">
            <v>39.982153846153842</v>
          </cell>
          <cell r="AH99">
            <v>0</v>
          </cell>
          <cell r="AI99">
            <v>0</v>
          </cell>
          <cell r="AJ99">
            <v>0</v>
          </cell>
          <cell r="AK99">
            <v>0</v>
          </cell>
          <cell r="AL99">
            <v>54.142499999999991</v>
          </cell>
          <cell r="AM99">
            <v>0</v>
          </cell>
          <cell r="AN99">
            <v>0</v>
          </cell>
          <cell r="AP99">
            <v>0</v>
          </cell>
          <cell r="AQ99">
            <v>496.21282692307688</v>
          </cell>
          <cell r="AR99">
            <v>9.3847000000000005</v>
          </cell>
          <cell r="AT99">
            <v>9.3847000000000005</v>
          </cell>
          <cell r="AU99">
            <v>486.82812692307687</v>
          </cell>
          <cell r="AX99">
            <v>277</v>
          </cell>
          <cell r="AZ99" t="str">
            <v>Musabah Muslem Salim Al Hinai</v>
          </cell>
          <cell r="BA99" t="str">
            <v>1019-234692-017</v>
          </cell>
          <cell r="BB99" t="str">
            <v>NBO</v>
          </cell>
          <cell r="BC99" t="str">
            <v>Bahla</v>
          </cell>
          <cell r="BD99">
            <v>486.82812692307687</v>
          </cell>
        </row>
        <row r="100">
          <cell r="B100">
            <v>278</v>
          </cell>
          <cell r="C100" t="str">
            <v>Ali Suleiman Saif Al Hashemi</v>
          </cell>
          <cell r="D100" t="str">
            <v>Labour</v>
          </cell>
          <cell r="E100" t="str">
            <v>07.06.04</v>
          </cell>
          <cell r="F100">
            <v>1.6568076923076922</v>
          </cell>
          <cell r="G100">
            <v>1.0355048076923077</v>
          </cell>
          <cell r="H100">
            <v>0</v>
          </cell>
          <cell r="I100">
            <v>112.5</v>
          </cell>
          <cell r="K100">
            <v>21</v>
          </cell>
          <cell r="L100">
            <v>9</v>
          </cell>
          <cell r="M100">
            <v>0</v>
          </cell>
          <cell r="N100">
            <v>0</v>
          </cell>
          <cell r="O100">
            <v>30</v>
          </cell>
          <cell r="P100">
            <v>55</v>
          </cell>
          <cell r="Q100">
            <v>1.65</v>
          </cell>
          <cell r="R100">
            <v>143.59</v>
          </cell>
          <cell r="S100">
            <v>85</v>
          </cell>
          <cell r="T100">
            <v>2</v>
          </cell>
          <cell r="U100">
            <v>5</v>
          </cell>
          <cell r="V100">
            <v>4.5</v>
          </cell>
          <cell r="W100">
            <v>143.59</v>
          </cell>
          <cell r="X100">
            <v>85</v>
          </cell>
          <cell r="Y100">
            <v>2</v>
          </cell>
          <cell r="Z100">
            <v>5</v>
          </cell>
          <cell r="AA100">
            <v>116.49429086538461</v>
          </cell>
          <cell r="AB100">
            <v>94.5</v>
          </cell>
          <cell r="AC100">
            <v>21</v>
          </cell>
          <cell r="AD100">
            <v>0</v>
          </cell>
          <cell r="AH100">
            <v>0</v>
          </cell>
          <cell r="AI100">
            <v>0</v>
          </cell>
          <cell r="AJ100">
            <v>0</v>
          </cell>
          <cell r="AK100">
            <v>0</v>
          </cell>
          <cell r="AL100">
            <v>28.994134615384617</v>
          </cell>
          <cell r="AM100">
            <v>0</v>
          </cell>
          <cell r="AN100">
            <v>0</v>
          </cell>
          <cell r="AP100">
            <v>0</v>
          </cell>
          <cell r="AQ100">
            <v>496.57842548076923</v>
          </cell>
          <cell r="AR100">
            <v>9.3333500000000011</v>
          </cell>
          <cell r="AT100">
            <v>9.3333500000000011</v>
          </cell>
          <cell r="AU100">
            <v>487.24507548076923</v>
          </cell>
          <cell r="AX100">
            <v>278</v>
          </cell>
          <cell r="AZ100" t="str">
            <v>Ali Suleiman Saif Al Hashemi</v>
          </cell>
          <cell r="BA100" t="str">
            <v>21-700810-29</v>
          </cell>
          <cell r="BB100" t="str">
            <v>OIB</v>
          </cell>
          <cell r="BC100" t="str">
            <v>Bahla</v>
          </cell>
          <cell r="BD100">
            <v>487.24507548076923</v>
          </cell>
        </row>
        <row r="101">
          <cell r="B101">
            <v>284</v>
          </cell>
          <cell r="C101" t="str">
            <v>Hamed Mohammed Nasser Al Muqbali</v>
          </cell>
          <cell r="D101" t="str">
            <v>Labour</v>
          </cell>
          <cell r="E101" t="str">
            <v>07.06.04</v>
          </cell>
          <cell r="F101">
            <v>1.6768846153846155</v>
          </cell>
          <cell r="G101">
            <v>1.0480528846153847</v>
          </cell>
          <cell r="H101">
            <v>0</v>
          </cell>
          <cell r="I101">
            <v>112</v>
          </cell>
          <cell r="K101">
            <v>21</v>
          </cell>
          <cell r="L101">
            <v>9</v>
          </cell>
          <cell r="M101">
            <v>0</v>
          </cell>
          <cell r="N101">
            <v>0</v>
          </cell>
          <cell r="O101">
            <v>30</v>
          </cell>
          <cell r="P101">
            <v>52</v>
          </cell>
          <cell r="Q101">
            <v>1.56</v>
          </cell>
          <cell r="R101">
            <v>145.33000000000001</v>
          </cell>
          <cell r="S101">
            <v>85</v>
          </cell>
          <cell r="T101">
            <v>2</v>
          </cell>
          <cell r="U101">
            <v>5</v>
          </cell>
          <cell r="V101">
            <v>4.5</v>
          </cell>
          <cell r="W101">
            <v>145.33000000000001</v>
          </cell>
          <cell r="X101">
            <v>85</v>
          </cell>
          <cell r="Y101">
            <v>2</v>
          </cell>
          <cell r="Z101">
            <v>5</v>
          </cell>
          <cell r="AA101">
            <v>117.38192307692309</v>
          </cell>
          <cell r="AB101">
            <v>94.5</v>
          </cell>
          <cell r="AD101">
            <v>0</v>
          </cell>
          <cell r="AH101">
            <v>0</v>
          </cell>
          <cell r="AI101">
            <v>0</v>
          </cell>
          <cell r="AJ101">
            <v>0</v>
          </cell>
          <cell r="AK101">
            <v>0</v>
          </cell>
          <cell r="AL101">
            <v>30.917560096153849</v>
          </cell>
          <cell r="AM101">
            <v>100.61307692307693</v>
          </cell>
          <cell r="AN101">
            <v>27</v>
          </cell>
          <cell r="AP101">
            <v>123</v>
          </cell>
          <cell r="AQ101">
            <v>730.74256009615385</v>
          </cell>
          <cell r="AR101">
            <v>9.4464500000000005</v>
          </cell>
          <cell r="AT101">
            <v>9.4464500000000005</v>
          </cell>
          <cell r="AU101">
            <v>721.29611009615382</v>
          </cell>
          <cell r="AX101">
            <v>284</v>
          </cell>
          <cell r="AZ101" t="str">
            <v>Hamed Mohammed Nasser Al Muqbali</v>
          </cell>
          <cell r="BA101" t="str">
            <v>1012-346301-017</v>
          </cell>
          <cell r="BB101" t="str">
            <v>NBO</v>
          </cell>
          <cell r="BC101" t="str">
            <v>Ibri</v>
          </cell>
          <cell r="BD101">
            <v>721.29611009615382</v>
          </cell>
        </row>
        <row r="102">
          <cell r="B102">
            <v>285</v>
          </cell>
          <cell r="C102" t="str">
            <v>Youseph Said Masoud Al Gharibi</v>
          </cell>
          <cell r="D102" t="str">
            <v>Labour</v>
          </cell>
          <cell r="E102" t="str">
            <v>07.06.04</v>
          </cell>
          <cell r="F102">
            <v>1.6796538461538462</v>
          </cell>
          <cell r="G102">
            <v>1.0497836538461538</v>
          </cell>
          <cell r="H102">
            <v>24</v>
          </cell>
          <cell r="I102">
            <v>147</v>
          </cell>
          <cell r="K102">
            <v>23</v>
          </cell>
          <cell r="L102">
            <v>7</v>
          </cell>
          <cell r="M102">
            <v>0</v>
          </cell>
          <cell r="N102">
            <v>0</v>
          </cell>
          <cell r="O102">
            <v>30</v>
          </cell>
          <cell r="P102">
            <v>55</v>
          </cell>
          <cell r="Q102">
            <v>1.65</v>
          </cell>
          <cell r="R102">
            <v>145.57</v>
          </cell>
          <cell r="S102">
            <v>85</v>
          </cell>
          <cell r="T102">
            <v>2</v>
          </cell>
          <cell r="U102">
            <v>5</v>
          </cell>
          <cell r="V102">
            <v>4.5</v>
          </cell>
          <cell r="W102">
            <v>145.57</v>
          </cell>
          <cell r="X102">
            <v>85</v>
          </cell>
          <cell r="Y102">
            <v>2</v>
          </cell>
          <cell r="Z102">
            <v>5</v>
          </cell>
          <cell r="AA102">
            <v>154.31819711538461</v>
          </cell>
          <cell r="AB102">
            <v>103.5</v>
          </cell>
          <cell r="AD102">
            <v>40.311692307692311</v>
          </cell>
          <cell r="AH102">
            <v>0</v>
          </cell>
          <cell r="AI102">
            <v>0</v>
          </cell>
          <cell r="AJ102">
            <v>0</v>
          </cell>
          <cell r="AK102">
            <v>0</v>
          </cell>
          <cell r="AL102">
            <v>39.891778846153841</v>
          </cell>
          <cell r="AM102">
            <v>0</v>
          </cell>
          <cell r="AN102">
            <v>0</v>
          </cell>
          <cell r="AP102">
            <v>0</v>
          </cell>
          <cell r="AQ102">
            <v>575.59166826923069</v>
          </cell>
          <cell r="AR102">
            <v>9.4620499999999996</v>
          </cell>
          <cell r="AT102">
            <v>9.4620499999999996</v>
          </cell>
          <cell r="AU102">
            <v>566.12961826923072</v>
          </cell>
          <cell r="AX102">
            <v>285</v>
          </cell>
          <cell r="AZ102" t="str">
            <v>Youseph Said Masoud Al Gharibi</v>
          </cell>
          <cell r="BA102" t="str">
            <v>119-110280084011</v>
          </cell>
          <cell r="BB102" t="str">
            <v>Bank Muscat</v>
          </cell>
          <cell r="BC102" t="str">
            <v>Dareez</v>
          </cell>
          <cell r="BD102">
            <v>566.12961826923072</v>
          </cell>
        </row>
        <row r="103">
          <cell r="B103">
            <v>287</v>
          </cell>
          <cell r="C103" t="str">
            <v>Fadhal Khamis Rashid Al Ghafri</v>
          </cell>
          <cell r="D103" t="str">
            <v>Asst Junior Observer</v>
          </cell>
          <cell r="E103" t="str">
            <v>07.06.04</v>
          </cell>
          <cell r="F103">
            <v>1.7837307692307691</v>
          </cell>
          <cell r="G103">
            <v>1.1148317307692306</v>
          </cell>
          <cell r="H103">
            <v>24</v>
          </cell>
          <cell r="I103">
            <v>174</v>
          </cell>
          <cell r="K103">
            <v>23</v>
          </cell>
          <cell r="L103">
            <v>7</v>
          </cell>
          <cell r="M103">
            <v>0</v>
          </cell>
          <cell r="N103">
            <v>0</v>
          </cell>
          <cell r="O103">
            <v>30</v>
          </cell>
          <cell r="P103">
            <v>67</v>
          </cell>
          <cell r="Q103">
            <v>2.0099999999999998</v>
          </cell>
          <cell r="R103">
            <v>154.59</v>
          </cell>
          <cell r="S103">
            <v>110</v>
          </cell>
          <cell r="T103">
            <v>2</v>
          </cell>
          <cell r="U103">
            <v>5</v>
          </cell>
          <cell r="V103">
            <v>4.5</v>
          </cell>
          <cell r="W103">
            <v>154.59</v>
          </cell>
          <cell r="X103">
            <v>110</v>
          </cell>
          <cell r="Y103">
            <v>2</v>
          </cell>
          <cell r="Z103">
            <v>5</v>
          </cell>
          <cell r="AA103">
            <v>193.98072115384613</v>
          </cell>
          <cell r="AB103">
            <v>103.5</v>
          </cell>
          <cell r="AD103">
            <v>42.809538461538459</v>
          </cell>
          <cell r="AH103">
            <v>0</v>
          </cell>
          <cell r="AI103">
            <v>0</v>
          </cell>
          <cell r="AJ103">
            <v>0</v>
          </cell>
          <cell r="AK103">
            <v>0</v>
          </cell>
          <cell r="AL103">
            <v>111.48317307692307</v>
          </cell>
          <cell r="AM103">
            <v>0</v>
          </cell>
          <cell r="AN103">
            <v>0</v>
          </cell>
          <cell r="AP103">
            <v>0</v>
          </cell>
          <cell r="AQ103">
            <v>723.3634326923077</v>
          </cell>
          <cell r="AR103">
            <v>10.048350000000001</v>
          </cell>
          <cell r="AT103">
            <v>10.048350000000001</v>
          </cell>
          <cell r="AU103">
            <v>713.31508269230767</v>
          </cell>
          <cell r="AV103" t="str">
            <v>Housing Allowance revised to 110 from 1/11/2008</v>
          </cell>
          <cell r="AX103">
            <v>287</v>
          </cell>
          <cell r="AZ103" t="str">
            <v>Fadhal Khamis Rashid Al Ghafri</v>
          </cell>
          <cell r="BA103" t="str">
            <v>0119-129270084010</v>
          </cell>
          <cell r="BB103" t="str">
            <v>Bank Muscat</v>
          </cell>
          <cell r="BC103" t="str">
            <v>Dareez</v>
          </cell>
          <cell r="BD103">
            <v>713.31508269230767</v>
          </cell>
        </row>
        <row r="104">
          <cell r="B104">
            <v>288</v>
          </cell>
          <cell r="C104" t="str">
            <v>Hamdan Hussein Obaid Al Daral</v>
          </cell>
          <cell r="D104" t="str">
            <v>Labour</v>
          </cell>
          <cell r="E104" t="str">
            <v>07.06.04</v>
          </cell>
          <cell r="F104">
            <v>1.657846153846154</v>
          </cell>
          <cell r="G104">
            <v>1.0361538461538462</v>
          </cell>
          <cell r="H104">
            <v>0</v>
          </cell>
          <cell r="I104">
            <v>52.5</v>
          </cell>
          <cell r="K104">
            <v>21</v>
          </cell>
          <cell r="L104">
            <v>9</v>
          </cell>
          <cell r="M104">
            <v>0</v>
          </cell>
          <cell r="N104">
            <v>0</v>
          </cell>
          <cell r="O104">
            <v>30</v>
          </cell>
          <cell r="P104">
            <v>57</v>
          </cell>
          <cell r="Q104">
            <v>1.71</v>
          </cell>
          <cell r="R104">
            <v>143.68</v>
          </cell>
          <cell r="S104">
            <v>85</v>
          </cell>
          <cell r="T104">
            <v>2</v>
          </cell>
          <cell r="U104">
            <v>5</v>
          </cell>
          <cell r="V104">
            <v>4.5</v>
          </cell>
          <cell r="W104">
            <v>143.68</v>
          </cell>
          <cell r="X104">
            <v>85</v>
          </cell>
          <cell r="Y104">
            <v>2</v>
          </cell>
          <cell r="Z104">
            <v>5</v>
          </cell>
          <cell r="AA104">
            <v>54.398076923076928</v>
          </cell>
          <cell r="AB104">
            <v>94.5</v>
          </cell>
          <cell r="AC104">
            <v>21</v>
          </cell>
          <cell r="AD104">
            <v>0</v>
          </cell>
          <cell r="AH104">
            <v>0</v>
          </cell>
          <cell r="AI104">
            <v>0</v>
          </cell>
          <cell r="AJ104">
            <v>0</v>
          </cell>
          <cell r="AK104">
            <v>0</v>
          </cell>
          <cell r="AL104">
            <v>0</v>
          </cell>
          <cell r="AM104">
            <v>0</v>
          </cell>
          <cell r="AN104">
            <v>0</v>
          </cell>
          <cell r="AP104">
            <v>0</v>
          </cell>
          <cell r="AQ104">
            <v>405.57807692307694</v>
          </cell>
          <cell r="AR104">
            <v>9.3391999999999999</v>
          </cell>
          <cell r="AT104">
            <v>9.3391999999999999</v>
          </cell>
          <cell r="AU104">
            <v>396.23887692307693</v>
          </cell>
          <cell r="AX104">
            <v>288</v>
          </cell>
          <cell r="AZ104" t="str">
            <v>Hamdan Hussein Obaid Al Daral</v>
          </cell>
          <cell r="BA104" t="str">
            <v>27-098789-01</v>
          </cell>
          <cell r="BB104" t="str">
            <v>OIB</v>
          </cell>
          <cell r="BC104" t="str">
            <v>Sleef</v>
          </cell>
          <cell r="BD104">
            <v>396.23887692307693</v>
          </cell>
        </row>
        <row r="105">
          <cell r="B105">
            <v>290</v>
          </cell>
          <cell r="C105" t="str">
            <v>Salim Ali Salim Al Gharibi</v>
          </cell>
          <cell r="D105" t="str">
            <v>Labour</v>
          </cell>
          <cell r="E105" t="str">
            <v>07.06.04</v>
          </cell>
          <cell r="F105">
            <v>1.6581923076923077</v>
          </cell>
          <cell r="G105">
            <v>1.0363701923076922</v>
          </cell>
          <cell r="H105">
            <v>0</v>
          </cell>
          <cell r="I105">
            <v>0</v>
          </cell>
          <cell r="K105">
            <v>0</v>
          </cell>
          <cell r="L105">
            <v>0</v>
          </cell>
          <cell r="M105">
            <v>0</v>
          </cell>
          <cell r="N105">
            <v>0</v>
          </cell>
          <cell r="O105">
            <v>0</v>
          </cell>
          <cell r="P105">
            <v>57</v>
          </cell>
          <cell r="Q105">
            <v>1.71</v>
          </cell>
          <cell r="R105">
            <v>143.71</v>
          </cell>
          <cell r="S105">
            <v>85</v>
          </cell>
          <cell r="T105">
            <v>2</v>
          </cell>
          <cell r="U105">
            <v>5</v>
          </cell>
          <cell r="V105">
            <v>4.5</v>
          </cell>
          <cell r="W105">
            <v>0</v>
          </cell>
          <cell r="X105">
            <v>0</v>
          </cell>
          <cell r="Y105">
            <v>0</v>
          </cell>
          <cell r="Z105">
            <v>0</v>
          </cell>
          <cell r="AA105">
            <v>0</v>
          </cell>
          <cell r="AB105">
            <v>0</v>
          </cell>
          <cell r="AD105">
            <v>0</v>
          </cell>
          <cell r="AH105">
            <v>0</v>
          </cell>
          <cell r="AI105">
            <v>0</v>
          </cell>
          <cell r="AJ105">
            <v>0</v>
          </cell>
          <cell r="AK105">
            <v>0</v>
          </cell>
          <cell r="AL105">
            <v>0</v>
          </cell>
          <cell r="AM105">
            <v>0</v>
          </cell>
          <cell r="AN105">
            <v>0</v>
          </cell>
          <cell r="AP105">
            <v>0</v>
          </cell>
          <cell r="AQ105">
            <v>0</v>
          </cell>
          <cell r="AT105">
            <v>0</v>
          </cell>
          <cell r="AU105">
            <v>0</v>
          </cell>
          <cell r="AV105" t="str">
            <v>30 Days HLV</v>
          </cell>
          <cell r="AX105">
            <v>290</v>
          </cell>
          <cell r="AZ105" t="str">
            <v>Salim Ali Salim Al Gharibi</v>
          </cell>
          <cell r="BA105" t="str">
            <v>002-254340-035</v>
          </cell>
          <cell r="BB105" t="str">
            <v>HSBC</v>
          </cell>
          <cell r="BC105" t="str">
            <v>Ruwi</v>
          </cell>
          <cell r="BD105">
            <v>0</v>
          </cell>
        </row>
        <row r="106">
          <cell r="B106">
            <v>292</v>
          </cell>
          <cell r="C106" t="str">
            <v>Suleman Ali Suleman Al Mahrouqi</v>
          </cell>
          <cell r="D106" t="str">
            <v>Heavy Duty Drv / W.T</v>
          </cell>
          <cell r="E106" t="str">
            <v>07.06.04</v>
          </cell>
          <cell r="F106">
            <v>2.3770384615384614</v>
          </cell>
          <cell r="G106">
            <v>1.4856490384615384</v>
          </cell>
          <cell r="H106">
            <v>24</v>
          </cell>
          <cell r="I106">
            <v>84</v>
          </cell>
          <cell r="K106">
            <v>23</v>
          </cell>
          <cell r="L106">
            <v>7</v>
          </cell>
          <cell r="M106">
            <v>0</v>
          </cell>
          <cell r="N106">
            <v>0</v>
          </cell>
          <cell r="O106">
            <v>30</v>
          </cell>
          <cell r="P106">
            <v>62</v>
          </cell>
          <cell r="Q106">
            <v>1.8599999999999999</v>
          </cell>
          <cell r="R106">
            <v>206.01</v>
          </cell>
          <cell r="S106">
            <v>120</v>
          </cell>
          <cell r="T106">
            <v>2</v>
          </cell>
          <cell r="U106">
            <v>5</v>
          </cell>
          <cell r="V106">
            <v>4.5</v>
          </cell>
          <cell r="W106">
            <v>206.01</v>
          </cell>
          <cell r="X106">
            <v>120</v>
          </cell>
          <cell r="Y106">
            <v>2</v>
          </cell>
          <cell r="Z106">
            <v>5</v>
          </cell>
          <cell r="AA106">
            <v>124.79451923076923</v>
          </cell>
          <cell r="AB106">
            <v>103.5</v>
          </cell>
          <cell r="AD106">
            <v>57.048923076923074</v>
          </cell>
          <cell r="AH106">
            <v>0</v>
          </cell>
          <cell r="AI106">
            <v>0</v>
          </cell>
          <cell r="AJ106">
            <v>0</v>
          </cell>
          <cell r="AK106">
            <v>0</v>
          </cell>
          <cell r="AL106">
            <v>0</v>
          </cell>
          <cell r="AM106">
            <v>171.14676923076922</v>
          </cell>
          <cell r="AN106">
            <v>27</v>
          </cell>
          <cell r="AP106">
            <v>123</v>
          </cell>
          <cell r="AQ106">
            <v>939.50021153846149</v>
          </cell>
          <cell r="AR106">
            <v>13.390649999999999</v>
          </cell>
          <cell r="AT106">
            <v>13.390649999999999</v>
          </cell>
          <cell r="AU106">
            <v>926.10956153846143</v>
          </cell>
          <cell r="AX106">
            <v>292</v>
          </cell>
          <cell r="AZ106" t="str">
            <v>Suleman Ali Suleman Al Mahrouqi</v>
          </cell>
          <cell r="BA106" t="str">
            <v>28-022267-20</v>
          </cell>
          <cell r="BB106" t="str">
            <v>OIB</v>
          </cell>
          <cell r="BC106" t="str">
            <v>Adam</v>
          </cell>
          <cell r="BD106">
            <v>926.10956153846143</v>
          </cell>
        </row>
        <row r="107">
          <cell r="B107">
            <v>293</v>
          </cell>
          <cell r="C107" t="str">
            <v>Qahtan Zaher Nasser Al Gharibi</v>
          </cell>
          <cell r="D107" t="str">
            <v>Vib Operator</v>
          </cell>
          <cell r="E107" t="str">
            <v>07.06.04</v>
          </cell>
          <cell r="F107">
            <v>1.9225384615384615</v>
          </cell>
          <cell r="G107">
            <v>1.2015865384615385</v>
          </cell>
          <cell r="H107">
            <v>34</v>
          </cell>
          <cell r="I107">
            <v>119</v>
          </cell>
          <cell r="K107">
            <v>16</v>
          </cell>
          <cell r="L107">
            <v>14</v>
          </cell>
          <cell r="M107">
            <v>0</v>
          </cell>
          <cell r="N107">
            <v>0</v>
          </cell>
          <cell r="O107">
            <v>30</v>
          </cell>
          <cell r="P107">
            <v>66</v>
          </cell>
          <cell r="Q107">
            <v>1.98</v>
          </cell>
          <cell r="R107">
            <v>166.62</v>
          </cell>
          <cell r="S107">
            <v>120</v>
          </cell>
          <cell r="T107">
            <v>2</v>
          </cell>
          <cell r="U107">
            <v>5</v>
          </cell>
          <cell r="V107">
            <v>4.5</v>
          </cell>
          <cell r="W107">
            <v>166.62</v>
          </cell>
          <cell r="X107">
            <v>120</v>
          </cell>
          <cell r="Y107">
            <v>2</v>
          </cell>
          <cell r="Z107">
            <v>5</v>
          </cell>
          <cell r="AA107">
            <v>142.98879807692308</v>
          </cell>
          <cell r="AB107">
            <v>72</v>
          </cell>
          <cell r="AD107">
            <v>65.366307692307686</v>
          </cell>
          <cell r="AH107">
            <v>0</v>
          </cell>
          <cell r="AI107">
            <v>0</v>
          </cell>
          <cell r="AJ107">
            <v>0</v>
          </cell>
          <cell r="AK107">
            <v>0</v>
          </cell>
          <cell r="AL107">
            <v>0</v>
          </cell>
          <cell r="AM107">
            <v>196.09892307692309</v>
          </cell>
          <cell r="AN107">
            <v>27</v>
          </cell>
          <cell r="AP107">
            <v>123</v>
          </cell>
          <cell r="AQ107">
            <v>920.07402884615385</v>
          </cell>
          <cell r="AR107">
            <v>10.830300000000001</v>
          </cell>
          <cell r="AT107">
            <v>10.830300000000001</v>
          </cell>
          <cell r="AU107">
            <v>909.24372884615389</v>
          </cell>
          <cell r="AX107">
            <v>293</v>
          </cell>
          <cell r="AZ107" t="str">
            <v>Qahtan Zaher Nasser Al Gharibi</v>
          </cell>
          <cell r="BA107" t="str">
            <v>11911141 0084 014</v>
          </cell>
          <cell r="BB107" t="str">
            <v>Bank Muscat</v>
          </cell>
          <cell r="BC107" t="str">
            <v>Dareez</v>
          </cell>
          <cell r="BD107">
            <v>909.24372884615389</v>
          </cell>
        </row>
        <row r="108">
          <cell r="B108">
            <v>295</v>
          </cell>
          <cell r="C108" t="str">
            <v>Ibrahim Salim Said Al Ghafri</v>
          </cell>
          <cell r="D108" t="str">
            <v>Labour</v>
          </cell>
          <cell r="E108" t="str">
            <v>07.06.04</v>
          </cell>
          <cell r="F108">
            <v>1.4953846153846153</v>
          </cell>
          <cell r="G108">
            <v>0.93461538461538463</v>
          </cell>
          <cell r="H108">
            <v>20</v>
          </cell>
          <cell r="I108">
            <v>74</v>
          </cell>
          <cell r="K108">
            <v>23</v>
          </cell>
          <cell r="L108">
            <v>7</v>
          </cell>
          <cell r="M108">
            <v>0</v>
          </cell>
          <cell r="N108">
            <v>0</v>
          </cell>
          <cell r="O108">
            <v>30</v>
          </cell>
          <cell r="P108">
            <v>57</v>
          </cell>
          <cell r="Q108">
            <v>1.71</v>
          </cell>
          <cell r="R108">
            <v>129.6</v>
          </cell>
          <cell r="S108">
            <v>85</v>
          </cell>
          <cell r="T108">
            <v>2</v>
          </cell>
          <cell r="U108">
            <v>5</v>
          </cell>
          <cell r="V108">
            <v>4.5</v>
          </cell>
          <cell r="W108">
            <v>129.6</v>
          </cell>
          <cell r="X108">
            <v>85</v>
          </cell>
          <cell r="Y108">
            <v>2</v>
          </cell>
          <cell r="Z108">
            <v>5</v>
          </cell>
          <cell r="AA108">
            <v>69.161538461538456</v>
          </cell>
          <cell r="AB108">
            <v>103.5</v>
          </cell>
          <cell r="AD108">
            <v>29.907692307692308</v>
          </cell>
          <cell r="AH108">
            <v>0</v>
          </cell>
          <cell r="AI108">
            <v>0</v>
          </cell>
          <cell r="AJ108">
            <v>0</v>
          </cell>
          <cell r="AK108">
            <v>0</v>
          </cell>
          <cell r="AL108">
            <v>29.907692307692308</v>
          </cell>
          <cell r="AM108">
            <v>0</v>
          </cell>
          <cell r="AN108">
            <v>0</v>
          </cell>
          <cell r="AP108">
            <v>0</v>
          </cell>
          <cell r="AQ108">
            <v>454.07692307692304</v>
          </cell>
          <cell r="AR108">
            <v>8.4239999999999995</v>
          </cell>
          <cell r="AT108">
            <v>8.4239999999999995</v>
          </cell>
          <cell r="AU108">
            <v>445.65292307692306</v>
          </cell>
          <cell r="AX108">
            <v>295</v>
          </cell>
          <cell r="AZ108" t="str">
            <v>Ibrahim Salim Said Al Ghafri</v>
          </cell>
          <cell r="BA108" t="str">
            <v>002-248763-035</v>
          </cell>
          <cell r="BB108" t="str">
            <v>HSBC</v>
          </cell>
          <cell r="BC108" t="str">
            <v>Ruwi</v>
          </cell>
          <cell r="BD108">
            <v>445.65292307692306</v>
          </cell>
        </row>
        <row r="109">
          <cell r="B109">
            <v>297</v>
          </cell>
          <cell r="C109" t="str">
            <v>Mohamed Saif Salim Al Sawafi</v>
          </cell>
          <cell r="D109" t="str">
            <v>Heavy Duty Driver</v>
          </cell>
          <cell r="E109" t="str">
            <v>07.06.04</v>
          </cell>
          <cell r="F109">
            <v>1.6880769230769233</v>
          </cell>
          <cell r="G109">
            <v>1.055048076923077</v>
          </cell>
          <cell r="H109">
            <v>21</v>
          </cell>
          <cell r="I109">
            <v>62</v>
          </cell>
          <cell r="K109">
            <v>23</v>
          </cell>
          <cell r="L109">
            <v>7</v>
          </cell>
          <cell r="M109">
            <v>0</v>
          </cell>
          <cell r="N109">
            <v>0</v>
          </cell>
          <cell r="O109">
            <v>30</v>
          </cell>
          <cell r="P109">
            <v>65</v>
          </cell>
          <cell r="Q109">
            <v>1.95</v>
          </cell>
          <cell r="R109">
            <v>146.30000000000001</v>
          </cell>
          <cell r="S109">
            <v>85</v>
          </cell>
          <cell r="T109">
            <v>2</v>
          </cell>
          <cell r="U109">
            <v>5</v>
          </cell>
          <cell r="V109">
            <v>4.5</v>
          </cell>
          <cell r="W109">
            <v>146.30000000000001</v>
          </cell>
          <cell r="X109">
            <v>85</v>
          </cell>
          <cell r="Y109">
            <v>2</v>
          </cell>
          <cell r="Z109">
            <v>5</v>
          </cell>
          <cell r="AA109">
            <v>65.412980769230771</v>
          </cell>
          <cell r="AB109">
            <v>103.5</v>
          </cell>
          <cell r="AD109">
            <v>35.449615384615392</v>
          </cell>
          <cell r="AH109">
            <v>0</v>
          </cell>
          <cell r="AI109">
            <v>0</v>
          </cell>
          <cell r="AJ109">
            <v>0</v>
          </cell>
          <cell r="AK109">
            <v>0</v>
          </cell>
          <cell r="AL109">
            <v>34.816586538461543</v>
          </cell>
          <cell r="AM109">
            <v>0</v>
          </cell>
          <cell r="AN109">
            <v>0</v>
          </cell>
          <cell r="AP109">
            <v>0</v>
          </cell>
          <cell r="AQ109">
            <v>477.47918269230775</v>
          </cell>
          <cell r="AR109">
            <v>9.509500000000001</v>
          </cell>
          <cell r="AT109">
            <v>9.509500000000001</v>
          </cell>
          <cell r="AU109">
            <v>467.96968269230774</v>
          </cell>
          <cell r="AX109">
            <v>297</v>
          </cell>
          <cell r="AZ109" t="str">
            <v>Mohamed Saif Salim Al Sawafi</v>
          </cell>
          <cell r="BA109" t="str">
            <v>002-254530-035</v>
          </cell>
          <cell r="BB109" t="str">
            <v>HSBC</v>
          </cell>
          <cell r="BC109" t="str">
            <v>Ruwi</v>
          </cell>
          <cell r="BD109">
            <v>467.96968269230774</v>
          </cell>
        </row>
        <row r="110">
          <cell r="B110">
            <v>299</v>
          </cell>
          <cell r="C110" t="str">
            <v xml:space="preserve">Ashraf Khanfar Bukheit Al Shukeily </v>
          </cell>
          <cell r="D110" t="str">
            <v>Labour</v>
          </cell>
          <cell r="E110" t="str">
            <v>07.06.04</v>
          </cell>
          <cell r="F110">
            <v>1.4912307692307694</v>
          </cell>
          <cell r="G110">
            <v>0.93201923076923088</v>
          </cell>
          <cell r="H110">
            <v>20</v>
          </cell>
          <cell r="I110">
            <v>74</v>
          </cell>
          <cell r="K110">
            <v>23</v>
          </cell>
          <cell r="L110">
            <v>7</v>
          </cell>
          <cell r="M110">
            <v>0</v>
          </cell>
          <cell r="N110">
            <v>0</v>
          </cell>
          <cell r="O110">
            <v>30</v>
          </cell>
          <cell r="P110">
            <v>52</v>
          </cell>
          <cell r="Q110">
            <v>1.56</v>
          </cell>
          <cell r="R110">
            <v>129.24</v>
          </cell>
          <cell r="S110">
            <v>85</v>
          </cell>
          <cell r="T110">
            <v>2</v>
          </cell>
          <cell r="U110">
            <v>5</v>
          </cell>
          <cell r="V110">
            <v>4.5</v>
          </cell>
          <cell r="W110">
            <v>129.24</v>
          </cell>
          <cell r="X110">
            <v>85</v>
          </cell>
          <cell r="Y110">
            <v>2</v>
          </cell>
          <cell r="Z110">
            <v>5</v>
          </cell>
          <cell r="AA110">
            <v>68.969423076923078</v>
          </cell>
          <cell r="AB110">
            <v>103.5</v>
          </cell>
          <cell r="AD110">
            <v>29.824615384615388</v>
          </cell>
          <cell r="AH110">
            <v>0</v>
          </cell>
          <cell r="AI110">
            <v>0</v>
          </cell>
          <cell r="AJ110">
            <v>0</v>
          </cell>
          <cell r="AK110">
            <v>0</v>
          </cell>
          <cell r="AL110">
            <v>0</v>
          </cell>
          <cell r="AM110">
            <v>0</v>
          </cell>
          <cell r="AN110">
            <v>0</v>
          </cell>
          <cell r="AP110">
            <v>0</v>
          </cell>
          <cell r="AQ110">
            <v>423.5340384615385</v>
          </cell>
          <cell r="AR110">
            <v>8.4006000000000007</v>
          </cell>
          <cell r="AT110">
            <v>8.4006000000000007</v>
          </cell>
          <cell r="AU110">
            <v>415.1334384615385</v>
          </cell>
          <cell r="AX110">
            <v>299</v>
          </cell>
          <cell r="AZ110" t="str">
            <v xml:space="preserve">Ashraf Khanfar Bukheit Al Shukeily </v>
          </cell>
          <cell r="BA110" t="str">
            <v>0062133220084010</v>
          </cell>
          <cell r="BB110" t="str">
            <v>Bank Muscat</v>
          </cell>
          <cell r="BC110" t="str">
            <v>Bahla</v>
          </cell>
          <cell r="BD110">
            <v>415.1334384615385</v>
          </cell>
        </row>
        <row r="111">
          <cell r="B111">
            <v>309</v>
          </cell>
          <cell r="C111" t="str">
            <v>Badar Khamis Salim Al Hattali</v>
          </cell>
          <cell r="D111" t="str">
            <v>Labour</v>
          </cell>
          <cell r="E111" t="str">
            <v>07.06.04</v>
          </cell>
          <cell r="F111">
            <v>1.4555769230769233</v>
          </cell>
          <cell r="G111">
            <v>0.90973557692307705</v>
          </cell>
          <cell r="H111">
            <v>24</v>
          </cell>
          <cell r="I111">
            <v>28</v>
          </cell>
          <cell r="K111">
            <v>9</v>
          </cell>
          <cell r="L111">
            <v>14</v>
          </cell>
          <cell r="M111">
            <v>0</v>
          </cell>
          <cell r="N111">
            <v>0</v>
          </cell>
          <cell r="O111">
            <v>23</v>
          </cell>
          <cell r="P111">
            <v>54</v>
          </cell>
          <cell r="Q111">
            <v>1.6199999999999999</v>
          </cell>
          <cell r="R111">
            <v>126.15</v>
          </cell>
          <cell r="S111">
            <v>85</v>
          </cell>
          <cell r="T111">
            <v>2</v>
          </cell>
          <cell r="U111">
            <v>5</v>
          </cell>
          <cell r="V111">
            <v>4.5</v>
          </cell>
          <cell r="W111">
            <v>96.715000000000003</v>
          </cell>
          <cell r="X111">
            <v>65.166666666666671</v>
          </cell>
          <cell r="Y111">
            <v>1.5333333333333332</v>
          </cell>
          <cell r="Z111">
            <v>3.833333333333333</v>
          </cell>
          <cell r="AA111">
            <v>25.472596153846158</v>
          </cell>
          <cell r="AB111">
            <v>40.5</v>
          </cell>
          <cell r="AD111">
            <v>34.933846153846162</v>
          </cell>
          <cell r="AH111">
            <v>0</v>
          </cell>
          <cell r="AI111">
            <v>0</v>
          </cell>
          <cell r="AJ111">
            <v>0</v>
          </cell>
          <cell r="AK111">
            <v>0</v>
          </cell>
          <cell r="AL111">
            <v>0</v>
          </cell>
          <cell r="AM111">
            <v>104.80153846153848</v>
          </cell>
          <cell r="AN111">
            <v>27</v>
          </cell>
          <cell r="AP111">
            <v>123</v>
          </cell>
          <cell r="AQ111">
            <v>522.95631410256419</v>
          </cell>
          <cell r="AR111">
            <v>8.1997499999999999</v>
          </cell>
          <cell r="AT111">
            <v>8.1997499999999999</v>
          </cell>
          <cell r="AU111">
            <v>514.7565641025642</v>
          </cell>
          <cell r="AX111">
            <v>309</v>
          </cell>
          <cell r="AZ111" t="str">
            <v>Badar Khamis Salim Al Hattali</v>
          </cell>
          <cell r="BA111" t="str">
            <v>002-279404-035</v>
          </cell>
          <cell r="BB111" t="str">
            <v>HSBC</v>
          </cell>
          <cell r="BC111" t="str">
            <v>Ruwi</v>
          </cell>
          <cell r="BD111">
            <v>514.7565641025642</v>
          </cell>
        </row>
        <row r="112">
          <cell r="B112">
            <v>314</v>
          </cell>
          <cell r="C112" t="str">
            <v>Tariq Said Saif Al Musalhi</v>
          </cell>
          <cell r="D112" t="str">
            <v>Vib Operator</v>
          </cell>
          <cell r="E112" t="str">
            <v>17.06.04</v>
          </cell>
          <cell r="F112">
            <v>1.9403076923076923</v>
          </cell>
          <cell r="G112">
            <v>1.2126923076923077</v>
          </cell>
          <cell r="H112">
            <v>34</v>
          </cell>
          <cell r="I112">
            <v>183</v>
          </cell>
          <cell r="K112">
            <v>23</v>
          </cell>
          <cell r="L112">
            <v>7</v>
          </cell>
          <cell r="M112">
            <v>0</v>
          </cell>
          <cell r="N112">
            <v>0</v>
          </cell>
          <cell r="O112">
            <v>30</v>
          </cell>
          <cell r="P112">
            <v>64</v>
          </cell>
          <cell r="Q112">
            <v>1.92</v>
          </cell>
          <cell r="R112">
            <v>168.16</v>
          </cell>
          <cell r="S112">
            <v>120</v>
          </cell>
          <cell r="T112">
            <v>2</v>
          </cell>
          <cell r="U112">
            <v>5</v>
          </cell>
          <cell r="V112">
            <v>4.5</v>
          </cell>
          <cell r="W112">
            <v>168.16</v>
          </cell>
          <cell r="X112">
            <v>120</v>
          </cell>
          <cell r="Y112">
            <v>2</v>
          </cell>
          <cell r="Z112">
            <v>5</v>
          </cell>
          <cell r="AA112">
            <v>221.92269230769233</v>
          </cell>
          <cell r="AB112">
            <v>103.5</v>
          </cell>
          <cell r="AD112">
            <v>65.970461538461535</v>
          </cell>
          <cell r="AH112">
            <v>0</v>
          </cell>
          <cell r="AI112">
            <v>0</v>
          </cell>
          <cell r="AJ112">
            <v>0</v>
          </cell>
          <cell r="AK112">
            <v>0</v>
          </cell>
          <cell r="AL112">
            <v>0</v>
          </cell>
          <cell r="AM112">
            <v>197.91138461538461</v>
          </cell>
          <cell r="AN112">
            <v>27</v>
          </cell>
          <cell r="AP112">
            <v>123</v>
          </cell>
          <cell r="AQ112">
            <v>1034.4645384615383</v>
          </cell>
          <cell r="AR112">
            <v>10.930400000000001</v>
          </cell>
          <cell r="AT112">
            <v>10.930400000000001</v>
          </cell>
          <cell r="AU112">
            <v>1023.5341384615383</v>
          </cell>
          <cell r="AX112">
            <v>314</v>
          </cell>
          <cell r="AZ112" t="str">
            <v>Tariq Said Saif Al Musalhi</v>
          </cell>
          <cell r="BA112" t="str">
            <v>06-312086-20</v>
          </cell>
          <cell r="BB112" t="str">
            <v>OIB</v>
          </cell>
          <cell r="BC112" t="str">
            <v>Quarum</v>
          </cell>
          <cell r="BD112">
            <v>1023.5341384615383</v>
          </cell>
        </row>
        <row r="113">
          <cell r="B113">
            <v>316</v>
          </cell>
          <cell r="C113" t="str">
            <v>Najeeb Salim Yaqoout Al Hattali</v>
          </cell>
          <cell r="D113" t="str">
            <v>Labour</v>
          </cell>
          <cell r="E113" t="str">
            <v>17.06.04</v>
          </cell>
          <cell r="F113">
            <v>1.4718461538461538</v>
          </cell>
          <cell r="G113">
            <v>0.91990384615384613</v>
          </cell>
          <cell r="H113">
            <v>20</v>
          </cell>
          <cell r="I113">
            <v>79.5</v>
          </cell>
          <cell r="K113">
            <v>23</v>
          </cell>
          <cell r="L113">
            <v>7</v>
          </cell>
          <cell r="M113">
            <v>0</v>
          </cell>
          <cell r="N113">
            <v>0</v>
          </cell>
          <cell r="O113">
            <v>30</v>
          </cell>
          <cell r="P113">
            <v>53</v>
          </cell>
          <cell r="Q113">
            <v>1.5899999999999999</v>
          </cell>
          <cell r="R113">
            <v>127.56</v>
          </cell>
          <cell r="S113">
            <v>85</v>
          </cell>
          <cell r="T113">
            <v>2</v>
          </cell>
          <cell r="U113">
            <v>5</v>
          </cell>
          <cell r="V113">
            <v>4.5</v>
          </cell>
          <cell r="W113">
            <v>127.55999999999999</v>
          </cell>
          <cell r="X113">
            <v>85</v>
          </cell>
          <cell r="Y113">
            <v>2</v>
          </cell>
          <cell r="Z113">
            <v>5</v>
          </cell>
          <cell r="AA113">
            <v>73.13235576923077</v>
          </cell>
          <cell r="AB113">
            <v>103.5</v>
          </cell>
          <cell r="AD113">
            <v>29.436923076923076</v>
          </cell>
          <cell r="AH113">
            <v>0</v>
          </cell>
          <cell r="AI113">
            <v>0</v>
          </cell>
          <cell r="AJ113">
            <v>0</v>
          </cell>
          <cell r="AK113">
            <v>0</v>
          </cell>
          <cell r="AL113">
            <v>-5.5194230769230765</v>
          </cell>
          <cell r="AM113">
            <v>88.310769230769225</v>
          </cell>
          <cell r="AN113">
            <v>13.5</v>
          </cell>
          <cell r="AP113">
            <v>123</v>
          </cell>
          <cell r="AQ113">
            <v>644.92062499999997</v>
          </cell>
          <cell r="AR113">
            <v>8.2914000000000012</v>
          </cell>
          <cell r="AT113">
            <v>8.2914000000000012</v>
          </cell>
          <cell r="AU113">
            <v>636.62922500000002</v>
          </cell>
          <cell r="AX113">
            <v>316</v>
          </cell>
          <cell r="AZ113" t="str">
            <v>Najeeb Salim Yaqoout Al Hattali</v>
          </cell>
          <cell r="BA113" t="str">
            <v>001083534035</v>
          </cell>
          <cell r="BB113" t="str">
            <v>HSBC</v>
          </cell>
          <cell r="BC113" t="str">
            <v>Al Qurum</v>
          </cell>
          <cell r="BD113">
            <v>636.62922500000002</v>
          </cell>
        </row>
        <row r="114">
          <cell r="B114">
            <v>317</v>
          </cell>
          <cell r="C114" t="str">
            <v>Dawoud Sulaiman Said Al Marhouqi</v>
          </cell>
          <cell r="D114" t="str">
            <v>Labour</v>
          </cell>
          <cell r="E114" t="str">
            <v>17.06.04</v>
          </cell>
          <cell r="F114">
            <v>1.4749615384615384</v>
          </cell>
          <cell r="G114">
            <v>0.92185096153846158</v>
          </cell>
          <cell r="H114">
            <v>21</v>
          </cell>
          <cell r="I114">
            <v>52.5</v>
          </cell>
          <cell r="K114">
            <v>23</v>
          </cell>
          <cell r="L114">
            <v>7</v>
          </cell>
          <cell r="M114">
            <v>0</v>
          </cell>
          <cell r="N114">
            <v>0</v>
          </cell>
          <cell r="O114">
            <v>30</v>
          </cell>
          <cell r="P114">
            <v>58</v>
          </cell>
          <cell r="Q114">
            <v>1.74</v>
          </cell>
          <cell r="R114">
            <v>127.83</v>
          </cell>
          <cell r="S114">
            <v>85</v>
          </cell>
          <cell r="T114">
            <v>2</v>
          </cell>
          <cell r="U114">
            <v>5</v>
          </cell>
          <cell r="V114">
            <v>4.5</v>
          </cell>
          <cell r="W114">
            <v>127.83</v>
          </cell>
          <cell r="X114">
            <v>85</v>
          </cell>
          <cell r="Y114">
            <v>2</v>
          </cell>
          <cell r="Z114">
            <v>5</v>
          </cell>
          <cell r="AA114">
            <v>48.397175480769235</v>
          </cell>
          <cell r="AB114">
            <v>103.5</v>
          </cell>
          <cell r="AC114">
            <v>23</v>
          </cell>
          <cell r="AD114">
            <v>30.974192307692306</v>
          </cell>
          <cell r="AH114">
            <v>0</v>
          </cell>
          <cell r="AI114">
            <v>0</v>
          </cell>
          <cell r="AJ114">
            <v>0</v>
          </cell>
          <cell r="AK114">
            <v>0</v>
          </cell>
          <cell r="AL114">
            <v>26.272752403846155</v>
          </cell>
          <cell r="AM114">
            <v>0</v>
          </cell>
          <cell r="AN114">
            <v>0</v>
          </cell>
          <cell r="AP114">
            <v>0</v>
          </cell>
          <cell r="AQ114">
            <v>451.97412019230768</v>
          </cell>
          <cell r="AR114">
            <v>8.3089499999999994</v>
          </cell>
          <cell r="AT114">
            <v>8.3089499999999994</v>
          </cell>
          <cell r="AU114">
            <v>443.6651701923077</v>
          </cell>
          <cell r="AX114">
            <v>317</v>
          </cell>
          <cell r="AZ114" t="str">
            <v>Dawoud Sulaiman Said Al Marhouqi</v>
          </cell>
          <cell r="BA114" t="str">
            <v>129208920084015</v>
          </cell>
          <cell r="BB114" t="str">
            <v>Bank Muscat</v>
          </cell>
          <cell r="BC114" t="str">
            <v>Adam</v>
          </cell>
          <cell r="BD114">
            <v>443.6651701923077</v>
          </cell>
        </row>
        <row r="115">
          <cell r="B115">
            <v>320</v>
          </cell>
          <cell r="C115" t="str">
            <v>Mohammed Saleh Ali Al Hina'i</v>
          </cell>
          <cell r="D115" t="str">
            <v>Asst.Junior Observer</v>
          </cell>
          <cell r="E115" t="str">
            <v>17.06.04</v>
          </cell>
          <cell r="F115">
            <v>1.5</v>
          </cell>
          <cell r="G115">
            <v>0.9375</v>
          </cell>
          <cell r="H115">
            <v>0</v>
          </cell>
          <cell r="I115">
            <v>187</v>
          </cell>
          <cell r="K115">
            <v>21</v>
          </cell>
          <cell r="L115">
            <v>9</v>
          </cell>
          <cell r="M115">
            <v>0</v>
          </cell>
          <cell r="N115">
            <v>0</v>
          </cell>
          <cell r="O115">
            <v>30</v>
          </cell>
          <cell r="P115">
            <v>67</v>
          </cell>
          <cell r="Q115">
            <v>2.0099999999999998</v>
          </cell>
          <cell r="R115">
            <v>130</v>
          </cell>
          <cell r="S115">
            <v>110</v>
          </cell>
          <cell r="T115">
            <v>2</v>
          </cell>
          <cell r="U115">
            <v>5</v>
          </cell>
          <cell r="V115">
            <v>4.5</v>
          </cell>
          <cell r="W115">
            <v>130</v>
          </cell>
          <cell r="X115">
            <v>110</v>
          </cell>
          <cell r="Y115">
            <v>2</v>
          </cell>
          <cell r="Z115">
            <v>5</v>
          </cell>
          <cell r="AA115">
            <v>175.3125</v>
          </cell>
          <cell r="AB115">
            <v>94.5</v>
          </cell>
          <cell r="AD115">
            <v>0</v>
          </cell>
          <cell r="AH115">
            <v>0</v>
          </cell>
          <cell r="AI115">
            <v>0</v>
          </cell>
          <cell r="AJ115">
            <v>0</v>
          </cell>
          <cell r="AK115">
            <v>0</v>
          </cell>
          <cell r="AL115">
            <v>52.5</v>
          </cell>
          <cell r="AM115">
            <v>0</v>
          </cell>
          <cell r="AN115">
            <v>0</v>
          </cell>
          <cell r="AP115">
            <v>0</v>
          </cell>
          <cell r="AQ115">
            <v>569.3125</v>
          </cell>
          <cell r="AR115">
            <v>8.4500000000000011</v>
          </cell>
          <cell r="AT115">
            <v>8.4500000000000011</v>
          </cell>
          <cell r="AU115">
            <v>560.86249999999995</v>
          </cell>
          <cell r="AV115" t="str">
            <v>Housing Allowance revised to 110 Basic 130 from 1/11/2008</v>
          </cell>
          <cell r="AX115">
            <v>320</v>
          </cell>
          <cell r="AZ115" t="str">
            <v>Mohammed Saleh Ali Al Hina'i</v>
          </cell>
          <cell r="BA115" t="str">
            <v>27-148857-20</v>
          </cell>
          <cell r="BB115" t="str">
            <v>OIB</v>
          </cell>
          <cell r="BC115" t="str">
            <v>Sleef</v>
          </cell>
          <cell r="BD115">
            <v>560.86249999999995</v>
          </cell>
        </row>
        <row r="116">
          <cell r="B116">
            <v>321</v>
          </cell>
          <cell r="C116" t="str">
            <v>Hamoud Ali Salim Al Hina'i</v>
          </cell>
          <cell r="D116" t="str">
            <v>Labour</v>
          </cell>
          <cell r="E116" t="str">
            <v>17.06.04</v>
          </cell>
          <cell r="F116">
            <v>1.4721923076923076</v>
          </cell>
          <cell r="G116">
            <v>0.92012019230769226</v>
          </cell>
          <cell r="H116">
            <v>0</v>
          </cell>
          <cell r="I116">
            <v>119.5</v>
          </cell>
          <cell r="K116">
            <v>21</v>
          </cell>
          <cell r="L116">
            <v>9</v>
          </cell>
          <cell r="M116">
            <v>0</v>
          </cell>
          <cell r="N116">
            <v>0</v>
          </cell>
          <cell r="O116">
            <v>30</v>
          </cell>
          <cell r="P116">
            <v>53</v>
          </cell>
          <cell r="Q116">
            <v>1.5899999999999999</v>
          </cell>
          <cell r="R116">
            <v>127.59</v>
          </cell>
          <cell r="S116">
            <v>85</v>
          </cell>
          <cell r="T116">
            <v>2</v>
          </cell>
          <cell r="U116">
            <v>5</v>
          </cell>
          <cell r="V116">
            <v>4.5</v>
          </cell>
          <cell r="W116">
            <v>127.59</v>
          </cell>
          <cell r="X116">
            <v>85</v>
          </cell>
          <cell r="Y116">
            <v>2</v>
          </cell>
          <cell r="Z116">
            <v>5</v>
          </cell>
          <cell r="AA116">
            <v>109.95436298076922</v>
          </cell>
          <cell r="AB116">
            <v>94.5</v>
          </cell>
          <cell r="AD116">
            <v>0</v>
          </cell>
          <cell r="AH116">
            <v>0</v>
          </cell>
          <cell r="AI116">
            <v>0</v>
          </cell>
          <cell r="AJ116">
            <v>0</v>
          </cell>
          <cell r="AK116">
            <v>0</v>
          </cell>
          <cell r="AL116">
            <v>21.162764423076922</v>
          </cell>
          <cell r="AM116">
            <v>88.331538461538457</v>
          </cell>
          <cell r="AN116">
            <v>27</v>
          </cell>
          <cell r="AP116">
            <v>123</v>
          </cell>
          <cell r="AQ116">
            <v>683.53866586538459</v>
          </cell>
          <cell r="AR116">
            <v>8.2933500000000002</v>
          </cell>
          <cell r="AT116">
            <v>8.2933500000000002</v>
          </cell>
          <cell r="AU116">
            <v>675.24531586538455</v>
          </cell>
          <cell r="AX116">
            <v>321</v>
          </cell>
          <cell r="AZ116" t="str">
            <v>Hamoud Ali Salim Al Hina'i</v>
          </cell>
          <cell r="BA116" t="str">
            <v>062-199280084013</v>
          </cell>
          <cell r="BB116" t="str">
            <v>Bank Muscat</v>
          </cell>
          <cell r="BC116" t="str">
            <v>Bahla</v>
          </cell>
          <cell r="BD116">
            <v>675.24531586538455</v>
          </cell>
        </row>
        <row r="117">
          <cell r="B117">
            <v>322</v>
          </cell>
          <cell r="C117" t="str">
            <v>Mustafa Khanfar Bukheit Al Shekili</v>
          </cell>
          <cell r="D117" t="str">
            <v>Labour</v>
          </cell>
          <cell r="E117" t="str">
            <v>17.06.04</v>
          </cell>
          <cell r="F117">
            <v>1.4791153846153846</v>
          </cell>
          <cell r="G117">
            <v>0.92444711538461544</v>
          </cell>
          <cell r="H117">
            <v>24</v>
          </cell>
          <cell r="I117">
            <v>91.5</v>
          </cell>
          <cell r="K117">
            <v>26</v>
          </cell>
          <cell r="L117">
            <v>4</v>
          </cell>
          <cell r="M117">
            <v>0</v>
          </cell>
          <cell r="N117">
            <v>0</v>
          </cell>
          <cell r="O117">
            <v>30</v>
          </cell>
          <cell r="P117">
            <v>68</v>
          </cell>
          <cell r="Q117">
            <v>2.04</v>
          </cell>
          <cell r="R117">
            <v>128.19</v>
          </cell>
          <cell r="S117">
            <v>85</v>
          </cell>
          <cell r="T117">
            <v>2</v>
          </cell>
          <cell r="U117">
            <v>5</v>
          </cell>
          <cell r="V117">
            <v>4.5</v>
          </cell>
          <cell r="W117">
            <v>128.19</v>
          </cell>
          <cell r="X117">
            <v>85</v>
          </cell>
          <cell r="Y117">
            <v>2</v>
          </cell>
          <cell r="Z117">
            <v>5</v>
          </cell>
          <cell r="AA117">
            <v>84.586911057692319</v>
          </cell>
          <cell r="AB117">
            <v>117</v>
          </cell>
          <cell r="AD117">
            <v>35.498769230769227</v>
          </cell>
          <cell r="AH117">
            <v>0</v>
          </cell>
          <cell r="AI117">
            <v>0</v>
          </cell>
          <cell r="AJ117">
            <v>0</v>
          </cell>
          <cell r="AK117">
            <v>0</v>
          </cell>
          <cell r="AL117">
            <v>60.089062500000004</v>
          </cell>
          <cell r="AM117">
            <v>106.4963076923077</v>
          </cell>
          <cell r="AN117">
            <v>13.5</v>
          </cell>
          <cell r="AP117">
            <v>123</v>
          </cell>
          <cell r="AQ117">
            <v>760.36105048076922</v>
          </cell>
          <cell r="AR117">
            <v>8.3323499999999999</v>
          </cell>
          <cell r="AT117">
            <v>8.3323499999999999</v>
          </cell>
          <cell r="AU117">
            <v>752.0287004807692</v>
          </cell>
          <cell r="AX117">
            <v>322</v>
          </cell>
          <cell r="AZ117" t="str">
            <v>Mustafa Khanfar Bukheit Al Shekili</v>
          </cell>
          <cell r="BA117" t="str">
            <v>62-145710084015</v>
          </cell>
          <cell r="BB117" t="str">
            <v>Bank Muscat</v>
          </cell>
          <cell r="BC117" t="str">
            <v>Bahla</v>
          </cell>
          <cell r="BD117">
            <v>752.0287004807692</v>
          </cell>
        </row>
        <row r="118">
          <cell r="B118">
            <v>323</v>
          </cell>
          <cell r="C118" t="str">
            <v>Said Batti Ziyad Al Ghfri</v>
          </cell>
          <cell r="D118" t="str">
            <v>Labour</v>
          </cell>
          <cell r="E118" t="str">
            <v>17.06.04</v>
          </cell>
          <cell r="F118">
            <v>1.4735769230769231</v>
          </cell>
          <cell r="G118">
            <v>0.92098557692307692</v>
          </cell>
          <cell r="H118">
            <v>0</v>
          </cell>
          <cell r="I118">
            <v>84</v>
          </cell>
          <cell r="K118">
            <v>21</v>
          </cell>
          <cell r="L118">
            <v>9</v>
          </cell>
          <cell r="M118">
            <v>0</v>
          </cell>
          <cell r="N118">
            <v>0</v>
          </cell>
          <cell r="O118">
            <v>30</v>
          </cell>
          <cell r="P118">
            <v>55</v>
          </cell>
          <cell r="Q118">
            <v>1.65</v>
          </cell>
          <cell r="R118">
            <v>127.71</v>
          </cell>
          <cell r="S118">
            <v>85</v>
          </cell>
          <cell r="T118">
            <v>2</v>
          </cell>
          <cell r="U118">
            <v>5</v>
          </cell>
          <cell r="V118">
            <v>4.5</v>
          </cell>
          <cell r="W118">
            <v>127.71</v>
          </cell>
          <cell r="X118">
            <v>85</v>
          </cell>
          <cell r="Y118">
            <v>2</v>
          </cell>
          <cell r="Z118">
            <v>5</v>
          </cell>
          <cell r="AA118">
            <v>77.362788461538457</v>
          </cell>
          <cell r="AB118">
            <v>94.5</v>
          </cell>
          <cell r="AD118">
            <v>0</v>
          </cell>
          <cell r="AH118">
            <v>0</v>
          </cell>
          <cell r="AI118">
            <v>0</v>
          </cell>
          <cell r="AJ118">
            <v>0</v>
          </cell>
          <cell r="AK118">
            <v>0</v>
          </cell>
          <cell r="AL118">
            <v>40.523365384615381</v>
          </cell>
          <cell r="AM118">
            <v>0</v>
          </cell>
          <cell r="AN118">
            <v>0</v>
          </cell>
          <cell r="AP118">
            <v>0</v>
          </cell>
          <cell r="AQ118">
            <v>432.09615384615381</v>
          </cell>
          <cell r="AR118">
            <v>8.3011499999999998</v>
          </cell>
          <cell r="AT118">
            <v>8.3011499999999998</v>
          </cell>
          <cell r="AU118">
            <v>423.7950038461538</v>
          </cell>
          <cell r="AX118">
            <v>323</v>
          </cell>
          <cell r="AZ118" t="str">
            <v>Said Batti Ziyad Al Ghfri</v>
          </cell>
          <cell r="BA118">
            <v>2257285320</v>
          </cell>
          <cell r="BB118" t="str">
            <v>OIB</v>
          </cell>
          <cell r="BC118" t="str">
            <v>Ibri</v>
          </cell>
          <cell r="BD118">
            <v>423.7950038461538</v>
          </cell>
        </row>
        <row r="119">
          <cell r="B119">
            <v>326</v>
          </cell>
          <cell r="C119" t="str">
            <v>Mohammed Salim Ghanim Al Ghafri</v>
          </cell>
          <cell r="D119" t="str">
            <v>Asst.Junior Observer</v>
          </cell>
          <cell r="E119" t="str">
            <v>17.06.04</v>
          </cell>
          <cell r="F119">
            <v>1.5941538461538463</v>
          </cell>
          <cell r="G119">
            <v>0.99634615384615388</v>
          </cell>
          <cell r="H119">
            <v>0</v>
          </cell>
          <cell r="I119">
            <v>264</v>
          </cell>
          <cell r="K119">
            <v>21</v>
          </cell>
          <cell r="L119">
            <v>9</v>
          </cell>
          <cell r="M119">
            <v>0</v>
          </cell>
          <cell r="N119">
            <v>0</v>
          </cell>
          <cell r="O119">
            <v>30</v>
          </cell>
          <cell r="P119">
            <v>67</v>
          </cell>
          <cell r="Q119">
            <v>2.0099999999999998</v>
          </cell>
          <cell r="R119">
            <v>138.16</v>
          </cell>
          <cell r="S119">
            <v>110</v>
          </cell>
          <cell r="T119">
            <v>2</v>
          </cell>
          <cell r="U119">
            <v>5</v>
          </cell>
          <cell r="V119">
            <v>4.5</v>
          </cell>
          <cell r="W119">
            <v>138.16</v>
          </cell>
          <cell r="X119">
            <v>110</v>
          </cell>
          <cell r="Y119">
            <v>2</v>
          </cell>
          <cell r="Z119">
            <v>5</v>
          </cell>
          <cell r="AA119">
            <v>263.0353846153846</v>
          </cell>
          <cell r="AB119">
            <v>94.5</v>
          </cell>
          <cell r="AD119">
            <v>0</v>
          </cell>
          <cell r="AH119">
            <v>0</v>
          </cell>
          <cell r="AI119">
            <v>0</v>
          </cell>
          <cell r="AJ119">
            <v>0</v>
          </cell>
          <cell r="AK119">
            <v>0</v>
          </cell>
          <cell r="AL119">
            <v>107.60538461538462</v>
          </cell>
          <cell r="AM119">
            <v>0</v>
          </cell>
          <cell r="AN119">
            <v>18</v>
          </cell>
          <cell r="AP119">
            <v>0</v>
          </cell>
          <cell r="AQ119">
            <v>738.30076923076922</v>
          </cell>
          <cell r="AR119">
            <v>8.9803999999999995</v>
          </cell>
          <cell r="AT119">
            <v>8.9803999999999995</v>
          </cell>
          <cell r="AU119">
            <v>729.32036923076919</v>
          </cell>
          <cell r="AV119" t="str">
            <v>Housing Allowance revised to 110 from 1/11/2008</v>
          </cell>
          <cell r="AX119">
            <v>326</v>
          </cell>
          <cell r="AZ119" t="str">
            <v>Mohammed Salim Ghanim Al Ghafri</v>
          </cell>
          <cell r="BA119" t="str">
            <v>119-120980084013</v>
          </cell>
          <cell r="BB119" t="str">
            <v>Bank Muscat</v>
          </cell>
          <cell r="BC119" t="str">
            <v>Al-Dareeze</v>
          </cell>
          <cell r="BD119">
            <v>729.32036923076919</v>
          </cell>
        </row>
        <row r="120">
          <cell r="B120">
            <v>328</v>
          </cell>
          <cell r="C120" t="str">
            <v>Khalid Yassir Talib Al Nassri</v>
          </cell>
          <cell r="D120" t="str">
            <v>Asst.Junior Observer</v>
          </cell>
          <cell r="E120" t="str">
            <v>23.06.04</v>
          </cell>
          <cell r="F120">
            <v>1.5938076923076923</v>
          </cell>
          <cell r="G120">
            <v>0.99612980769230763</v>
          </cell>
          <cell r="H120">
            <v>24</v>
          </cell>
          <cell r="I120">
            <v>110</v>
          </cell>
          <cell r="K120">
            <v>16</v>
          </cell>
          <cell r="L120">
            <v>14</v>
          </cell>
          <cell r="M120">
            <v>0</v>
          </cell>
          <cell r="N120">
            <v>0</v>
          </cell>
          <cell r="O120">
            <v>30</v>
          </cell>
          <cell r="P120">
            <v>68</v>
          </cell>
          <cell r="Q120">
            <v>2.04</v>
          </cell>
          <cell r="R120">
            <v>138.13</v>
          </cell>
          <cell r="S120">
            <v>85</v>
          </cell>
          <cell r="T120">
            <v>2</v>
          </cell>
          <cell r="U120">
            <v>5</v>
          </cell>
          <cell r="V120">
            <v>4.5</v>
          </cell>
          <cell r="W120">
            <v>138.13</v>
          </cell>
          <cell r="X120">
            <v>85</v>
          </cell>
          <cell r="Y120">
            <v>2</v>
          </cell>
          <cell r="Z120">
            <v>5</v>
          </cell>
          <cell r="AA120">
            <v>109.57427884615385</v>
          </cell>
          <cell r="AB120">
            <v>72</v>
          </cell>
          <cell r="AD120">
            <v>38.251384615384616</v>
          </cell>
          <cell r="AH120">
            <v>0</v>
          </cell>
          <cell r="AI120">
            <v>0</v>
          </cell>
          <cell r="AJ120">
            <v>0</v>
          </cell>
          <cell r="AK120">
            <v>0</v>
          </cell>
          <cell r="AL120">
            <v>112.06460336538461</v>
          </cell>
          <cell r="AM120">
            <v>0</v>
          </cell>
          <cell r="AN120">
            <v>0</v>
          </cell>
          <cell r="AP120">
            <v>0</v>
          </cell>
          <cell r="AQ120">
            <v>562.02026682692303</v>
          </cell>
          <cell r="AR120">
            <v>8.9784500000000005</v>
          </cell>
          <cell r="AT120">
            <v>8.9784500000000005</v>
          </cell>
          <cell r="AU120">
            <v>553.04181682692308</v>
          </cell>
          <cell r="AX120">
            <v>328</v>
          </cell>
          <cell r="AZ120" t="str">
            <v>Khalid Yassir Talib Al Nassri</v>
          </cell>
          <cell r="BA120" t="str">
            <v>62-140820084018</v>
          </cell>
          <cell r="BB120" t="str">
            <v>Bank Muscat</v>
          </cell>
          <cell r="BC120" t="str">
            <v>Bahla</v>
          </cell>
          <cell r="BD120">
            <v>553.04181682692308</v>
          </cell>
        </row>
        <row r="121">
          <cell r="B121">
            <v>329</v>
          </cell>
          <cell r="C121" t="str">
            <v>Said Salim Aamir Al Harrsi</v>
          </cell>
          <cell r="D121" t="str">
            <v>Labour</v>
          </cell>
          <cell r="E121" t="str">
            <v>23.06.04</v>
          </cell>
          <cell r="F121">
            <v>1.4728846153846156</v>
          </cell>
          <cell r="G121">
            <v>0.92055288461538476</v>
          </cell>
          <cell r="H121">
            <v>20</v>
          </cell>
          <cell r="I121">
            <v>58</v>
          </cell>
          <cell r="K121">
            <v>16</v>
          </cell>
          <cell r="L121">
            <v>14</v>
          </cell>
          <cell r="M121">
            <v>0</v>
          </cell>
          <cell r="N121">
            <v>0</v>
          </cell>
          <cell r="O121">
            <v>30</v>
          </cell>
          <cell r="P121">
            <v>54</v>
          </cell>
          <cell r="Q121">
            <v>1.6199999999999999</v>
          </cell>
          <cell r="R121">
            <v>127.65</v>
          </cell>
          <cell r="S121">
            <v>85</v>
          </cell>
          <cell r="T121">
            <v>2</v>
          </cell>
          <cell r="U121">
            <v>5</v>
          </cell>
          <cell r="V121">
            <v>4.5</v>
          </cell>
          <cell r="W121">
            <v>127.64999999999999</v>
          </cell>
          <cell r="X121">
            <v>85</v>
          </cell>
          <cell r="Y121">
            <v>2</v>
          </cell>
          <cell r="Z121">
            <v>5</v>
          </cell>
          <cell r="AA121">
            <v>53.392067307692315</v>
          </cell>
          <cell r="AB121">
            <v>72</v>
          </cell>
          <cell r="AD121">
            <v>29.457692307692312</v>
          </cell>
          <cell r="AH121">
            <v>0</v>
          </cell>
          <cell r="AI121">
            <v>0</v>
          </cell>
          <cell r="AJ121">
            <v>0</v>
          </cell>
          <cell r="AK121">
            <v>0</v>
          </cell>
          <cell r="AL121">
            <v>55.233173076923087</v>
          </cell>
          <cell r="AM121">
            <v>88.373076923076937</v>
          </cell>
          <cell r="AN121">
            <v>27</v>
          </cell>
          <cell r="AP121">
            <v>123</v>
          </cell>
          <cell r="AQ121">
            <v>668.10600961538455</v>
          </cell>
          <cell r="AR121">
            <v>8.29725</v>
          </cell>
          <cell r="AT121">
            <v>8.29725</v>
          </cell>
          <cell r="AU121">
            <v>659.80875961538459</v>
          </cell>
          <cell r="AX121">
            <v>329</v>
          </cell>
          <cell r="AZ121" t="str">
            <v>Said Salim Aamir Al Harrsi</v>
          </cell>
          <cell r="BA121" t="str">
            <v>21-734769-20</v>
          </cell>
          <cell r="BB121" t="str">
            <v>OIB</v>
          </cell>
          <cell r="BC121" t="str">
            <v>Bahla</v>
          </cell>
          <cell r="BD121">
            <v>659.80875961538459</v>
          </cell>
        </row>
        <row r="122">
          <cell r="B122">
            <v>331</v>
          </cell>
          <cell r="C122" t="str">
            <v>Zaid Abdullah Salim Al Attabi</v>
          </cell>
          <cell r="D122" t="str">
            <v>Labour</v>
          </cell>
          <cell r="E122" t="str">
            <v>28.07.04</v>
          </cell>
          <cell r="F122">
            <v>1.4739230769230769</v>
          </cell>
          <cell r="G122">
            <v>0.92120192307692306</v>
          </cell>
          <cell r="H122">
            <v>20</v>
          </cell>
          <cell r="I122">
            <v>28</v>
          </cell>
          <cell r="K122">
            <v>16</v>
          </cell>
          <cell r="L122">
            <v>14</v>
          </cell>
          <cell r="M122">
            <v>0</v>
          </cell>
          <cell r="N122">
            <v>0</v>
          </cell>
          <cell r="O122">
            <v>30</v>
          </cell>
          <cell r="P122">
            <v>55</v>
          </cell>
          <cell r="Q122">
            <v>1.65</v>
          </cell>
          <cell r="R122">
            <v>127.74</v>
          </cell>
          <cell r="S122">
            <v>85</v>
          </cell>
          <cell r="T122">
            <v>2</v>
          </cell>
          <cell r="U122">
            <v>5</v>
          </cell>
          <cell r="V122">
            <v>4.5</v>
          </cell>
          <cell r="W122">
            <v>127.74</v>
          </cell>
          <cell r="X122">
            <v>85</v>
          </cell>
          <cell r="Y122">
            <v>2</v>
          </cell>
          <cell r="Z122">
            <v>5</v>
          </cell>
          <cell r="AA122">
            <v>25.793653846153845</v>
          </cell>
          <cell r="AB122">
            <v>72</v>
          </cell>
          <cell r="AD122">
            <v>29.478461538461538</v>
          </cell>
          <cell r="AH122">
            <v>0</v>
          </cell>
          <cell r="AI122">
            <v>0</v>
          </cell>
          <cell r="AJ122">
            <v>0</v>
          </cell>
          <cell r="AK122">
            <v>0</v>
          </cell>
          <cell r="AL122">
            <v>0</v>
          </cell>
          <cell r="AM122">
            <v>0</v>
          </cell>
          <cell r="AN122">
            <v>0</v>
          </cell>
          <cell r="AP122">
            <v>0</v>
          </cell>
          <cell r="AQ122">
            <v>347.01211538461541</v>
          </cell>
          <cell r="AR122">
            <v>8.3031000000000006</v>
          </cell>
          <cell r="AT122">
            <v>8.3031000000000006</v>
          </cell>
          <cell r="AU122">
            <v>338.70901538461544</v>
          </cell>
          <cell r="AX122">
            <v>331</v>
          </cell>
          <cell r="AZ122" t="str">
            <v>Zaid Abdullah Salim Al Attabi</v>
          </cell>
          <cell r="BA122" t="str">
            <v>62-14912 008401-4</v>
          </cell>
          <cell r="BB122" t="str">
            <v>Bank Muscat</v>
          </cell>
          <cell r="BC122" t="str">
            <v>Bahla</v>
          </cell>
          <cell r="BD122">
            <v>338.70901538461544</v>
          </cell>
        </row>
        <row r="123">
          <cell r="B123">
            <v>336</v>
          </cell>
          <cell r="C123" t="str">
            <v>Suliman Suliyum Salim Al Daral</v>
          </cell>
          <cell r="D123" t="str">
            <v>Vib Operator</v>
          </cell>
          <cell r="E123" t="str">
            <v>17-07-04</v>
          </cell>
          <cell r="F123">
            <v>2.4707307692307694</v>
          </cell>
          <cell r="G123">
            <v>1.5442067307692309</v>
          </cell>
          <cell r="H123">
            <v>34</v>
          </cell>
          <cell r="I123">
            <v>119</v>
          </cell>
          <cell r="K123">
            <v>16</v>
          </cell>
          <cell r="L123">
            <v>14</v>
          </cell>
          <cell r="M123">
            <v>0</v>
          </cell>
          <cell r="N123">
            <v>0</v>
          </cell>
          <cell r="O123">
            <v>30</v>
          </cell>
          <cell r="P123">
            <v>62</v>
          </cell>
          <cell r="Q123">
            <v>1.8599999999999999</v>
          </cell>
          <cell r="R123">
            <v>214.13</v>
          </cell>
          <cell r="S123">
            <v>120</v>
          </cell>
          <cell r="T123">
            <v>2</v>
          </cell>
          <cell r="U123">
            <v>5</v>
          </cell>
          <cell r="V123">
            <v>4.5</v>
          </cell>
          <cell r="W123">
            <v>214.13</v>
          </cell>
          <cell r="X123">
            <v>120</v>
          </cell>
          <cell r="Y123">
            <v>2</v>
          </cell>
          <cell r="Z123">
            <v>5</v>
          </cell>
          <cell r="AA123">
            <v>183.76060096153847</v>
          </cell>
          <cell r="AB123">
            <v>72</v>
          </cell>
          <cell r="AD123">
            <v>84.004846153846159</v>
          </cell>
          <cell r="AH123">
            <v>0</v>
          </cell>
          <cell r="AI123">
            <v>0</v>
          </cell>
          <cell r="AJ123">
            <v>0</v>
          </cell>
          <cell r="AK123">
            <v>0</v>
          </cell>
          <cell r="AL123">
            <v>0</v>
          </cell>
          <cell r="AM123">
            <v>0</v>
          </cell>
          <cell r="AN123">
            <v>0</v>
          </cell>
          <cell r="AP123">
            <v>0</v>
          </cell>
          <cell r="AQ123">
            <v>680.89544711538463</v>
          </cell>
          <cell r="AR123">
            <v>13.91845</v>
          </cell>
          <cell r="AT123">
            <v>13.91845</v>
          </cell>
          <cell r="AU123">
            <v>666.97699711538462</v>
          </cell>
          <cell r="AX123">
            <v>336</v>
          </cell>
          <cell r="AZ123" t="str">
            <v>Suliman Suliyum Salim Al Daral</v>
          </cell>
          <cell r="BA123" t="str">
            <v>27-002518-20</v>
          </cell>
          <cell r="BB123" t="str">
            <v>OIB</v>
          </cell>
          <cell r="BC123" t="str">
            <v>Sleef</v>
          </cell>
          <cell r="BD123">
            <v>666.97699711538462</v>
          </cell>
        </row>
        <row r="124">
          <cell r="B124">
            <v>338</v>
          </cell>
          <cell r="C124" t="str">
            <v>Ahmed Saif Muhana Al Hashmy</v>
          </cell>
          <cell r="D124" t="str">
            <v>Auto Electrician</v>
          </cell>
          <cell r="E124" t="str">
            <v>28/07/04</v>
          </cell>
          <cell r="F124">
            <v>1.5</v>
          </cell>
          <cell r="G124">
            <v>0.9375</v>
          </cell>
          <cell r="H124">
            <v>20</v>
          </cell>
          <cell r="I124">
            <v>28</v>
          </cell>
          <cell r="K124">
            <v>16</v>
          </cell>
          <cell r="L124">
            <v>14</v>
          </cell>
          <cell r="M124">
            <v>0</v>
          </cell>
          <cell r="N124">
            <v>0</v>
          </cell>
          <cell r="O124">
            <v>30</v>
          </cell>
          <cell r="P124">
            <v>67</v>
          </cell>
          <cell r="Q124">
            <v>2.0099999999999998</v>
          </cell>
          <cell r="R124">
            <v>130</v>
          </cell>
          <cell r="S124">
            <v>110</v>
          </cell>
          <cell r="T124">
            <v>2</v>
          </cell>
          <cell r="U124">
            <v>5</v>
          </cell>
          <cell r="V124">
            <v>4.5</v>
          </cell>
          <cell r="W124">
            <v>130</v>
          </cell>
          <cell r="X124">
            <v>110</v>
          </cell>
          <cell r="Y124">
            <v>2</v>
          </cell>
          <cell r="Z124">
            <v>5</v>
          </cell>
          <cell r="AA124">
            <v>26.25</v>
          </cell>
          <cell r="AB124">
            <v>72</v>
          </cell>
          <cell r="AD124">
            <v>30</v>
          </cell>
          <cell r="AH124">
            <v>0</v>
          </cell>
          <cell r="AI124">
            <v>0</v>
          </cell>
          <cell r="AJ124">
            <v>0</v>
          </cell>
          <cell r="AK124">
            <v>0</v>
          </cell>
          <cell r="AL124">
            <v>117.1875</v>
          </cell>
          <cell r="AM124">
            <v>90</v>
          </cell>
          <cell r="AN124">
            <v>27</v>
          </cell>
          <cell r="AP124">
            <v>123</v>
          </cell>
          <cell r="AQ124">
            <v>732.4375</v>
          </cell>
          <cell r="AR124">
            <v>8.4500000000000011</v>
          </cell>
          <cell r="AT124">
            <v>8.4500000000000011</v>
          </cell>
          <cell r="AU124">
            <v>723.98749999999995</v>
          </cell>
          <cell r="AX124">
            <v>338</v>
          </cell>
          <cell r="AZ124" t="str">
            <v>Ahmed Saif Muhana Al Hashmy</v>
          </cell>
          <cell r="BA124" t="str">
            <v>041-234920084021</v>
          </cell>
          <cell r="BB124" t="str">
            <v>Bank Muscat</v>
          </cell>
          <cell r="BC124" t="str">
            <v xml:space="preserve"> Al Rustaq</v>
          </cell>
          <cell r="BD124">
            <v>723.98749999999995</v>
          </cell>
        </row>
        <row r="125">
          <cell r="B125">
            <v>339</v>
          </cell>
          <cell r="C125" t="str">
            <v>Soud Salim Ali Abri</v>
          </cell>
          <cell r="D125" t="str">
            <v>Auto Electrician</v>
          </cell>
          <cell r="E125" t="str">
            <v>28-07-04</v>
          </cell>
          <cell r="F125">
            <v>1.5</v>
          </cell>
          <cell r="G125">
            <v>0.9375</v>
          </cell>
          <cell r="H125">
            <v>0</v>
          </cell>
          <cell r="I125">
            <v>38</v>
          </cell>
          <cell r="K125">
            <v>20</v>
          </cell>
          <cell r="L125">
            <v>9</v>
          </cell>
          <cell r="M125">
            <v>0</v>
          </cell>
          <cell r="N125">
            <v>1</v>
          </cell>
          <cell r="O125">
            <v>29</v>
          </cell>
          <cell r="P125">
            <v>64</v>
          </cell>
          <cell r="Q125">
            <v>1.92</v>
          </cell>
          <cell r="R125">
            <v>130</v>
          </cell>
          <cell r="S125">
            <v>110</v>
          </cell>
          <cell r="T125">
            <v>2</v>
          </cell>
          <cell r="U125">
            <v>5</v>
          </cell>
          <cell r="V125">
            <v>4.5</v>
          </cell>
          <cell r="W125">
            <v>125.66666666666666</v>
          </cell>
          <cell r="X125">
            <v>106.33333333333333</v>
          </cell>
          <cell r="Y125">
            <v>1.9333333333333333</v>
          </cell>
          <cell r="Z125">
            <v>4.833333333333333</v>
          </cell>
          <cell r="AA125">
            <v>35.625</v>
          </cell>
          <cell r="AB125">
            <v>90</v>
          </cell>
          <cell r="AD125">
            <v>0</v>
          </cell>
          <cell r="AH125">
            <v>0</v>
          </cell>
          <cell r="AI125">
            <v>0</v>
          </cell>
          <cell r="AJ125">
            <v>0</v>
          </cell>
          <cell r="AK125">
            <v>0</v>
          </cell>
          <cell r="AL125">
            <v>50.625</v>
          </cell>
          <cell r="AM125">
            <v>0</v>
          </cell>
          <cell r="AN125">
            <v>0</v>
          </cell>
          <cell r="AP125">
            <v>0</v>
          </cell>
          <cell r="AQ125">
            <v>415.01666666666665</v>
          </cell>
          <cell r="AR125">
            <v>8.4500000000000011</v>
          </cell>
          <cell r="AT125">
            <v>8.4500000000000011</v>
          </cell>
          <cell r="AU125">
            <v>406.56666666666666</v>
          </cell>
          <cell r="AX125">
            <v>339</v>
          </cell>
          <cell r="AZ125" t="str">
            <v>Soud Salim Ali Abri</v>
          </cell>
          <cell r="BA125" t="str">
            <v>133-131200084015</v>
          </cell>
          <cell r="BB125" t="str">
            <v>Bank Muscat</v>
          </cell>
          <cell r="BC125" t="str">
            <v>Firq</v>
          </cell>
          <cell r="BD125">
            <v>406.56666666666666</v>
          </cell>
        </row>
        <row r="126">
          <cell r="B126">
            <v>348</v>
          </cell>
          <cell r="C126" t="str">
            <v>Ali Saleh Hamood Al Amri</v>
          </cell>
          <cell r="D126" t="str">
            <v>GPS Operator</v>
          </cell>
          <cell r="E126" t="str">
            <v>13-12-04</v>
          </cell>
          <cell r="F126">
            <v>1.8200769230769231</v>
          </cell>
          <cell r="G126">
            <v>1.137548076923077</v>
          </cell>
          <cell r="H126">
            <v>0</v>
          </cell>
          <cell r="I126">
            <v>39.5</v>
          </cell>
          <cell r="K126">
            <v>18</v>
          </cell>
          <cell r="L126">
            <v>12</v>
          </cell>
          <cell r="M126">
            <v>0</v>
          </cell>
          <cell r="N126">
            <v>0</v>
          </cell>
          <cell r="O126">
            <v>30</v>
          </cell>
          <cell r="P126">
            <v>57</v>
          </cell>
          <cell r="Q126">
            <v>1.71</v>
          </cell>
          <cell r="R126">
            <v>157.74</v>
          </cell>
          <cell r="S126">
            <v>110</v>
          </cell>
          <cell r="T126">
            <v>2</v>
          </cell>
          <cell r="U126">
            <v>5</v>
          </cell>
          <cell r="V126">
            <v>4.5</v>
          </cell>
          <cell r="W126">
            <v>157.74</v>
          </cell>
          <cell r="X126">
            <v>110</v>
          </cell>
          <cell r="Y126">
            <v>2</v>
          </cell>
          <cell r="Z126">
            <v>5</v>
          </cell>
          <cell r="AA126">
            <v>44.933149038461544</v>
          </cell>
          <cell r="AB126">
            <v>81</v>
          </cell>
          <cell r="AD126">
            <v>0</v>
          </cell>
          <cell r="AH126">
            <v>0</v>
          </cell>
          <cell r="AI126">
            <v>0</v>
          </cell>
          <cell r="AJ126">
            <v>0</v>
          </cell>
          <cell r="AK126">
            <v>0</v>
          </cell>
          <cell r="AL126">
            <v>35.26399038461539</v>
          </cell>
          <cell r="AM126">
            <v>114.66484615384616</v>
          </cell>
          <cell r="AN126">
            <v>27</v>
          </cell>
          <cell r="AO126">
            <v>-10.253100000000002</v>
          </cell>
          <cell r="AP126">
            <v>128</v>
          </cell>
          <cell r="AQ126">
            <v>695.34888557692307</v>
          </cell>
          <cell r="AR126">
            <v>10.253100000000002</v>
          </cell>
          <cell r="AT126">
            <v>10.253100000000002</v>
          </cell>
          <cell r="AU126">
            <v>685.09578557692305</v>
          </cell>
          <cell r="AV126" t="str">
            <v>One Month GOSI of October &amp; 5 Rials Ration of Oct</v>
          </cell>
          <cell r="AX126">
            <v>348</v>
          </cell>
          <cell r="AZ126" t="str">
            <v>Ali Saleh Hamood Al Amri</v>
          </cell>
          <cell r="BA126" t="str">
            <v>67-104927-01</v>
          </cell>
          <cell r="BB126" t="str">
            <v>OIB</v>
          </cell>
          <cell r="BC126" t="str">
            <v>Mudhaibi</v>
          </cell>
          <cell r="BD126">
            <v>685.09578557692305</v>
          </cell>
        </row>
        <row r="127">
          <cell r="B127">
            <v>354</v>
          </cell>
          <cell r="C127" t="str">
            <v>Suliman Humaid Zaher Al Madi</v>
          </cell>
          <cell r="D127" t="str">
            <v>Labour</v>
          </cell>
          <cell r="E127" t="str">
            <v>01-12-2005</v>
          </cell>
          <cell r="F127">
            <v>1.424076923076923</v>
          </cell>
          <cell r="G127">
            <v>0.89004807692307686</v>
          </cell>
          <cell r="H127">
            <v>0</v>
          </cell>
          <cell r="I127">
            <v>108.5</v>
          </cell>
          <cell r="K127">
            <v>21</v>
          </cell>
          <cell r="L127">
            <v>9</v>
          </cell>
          <cell r="M127">
            <v>0</v>
          </cell>
          <cell r="N127">
            <v>0</v>
          </cell>
          <cell r="O127">
            <v>30</v>
          </cell>
          <cell r="P127">
            <v>61</v>
          </cell>
          <cell r="Q127">
            <v>1.8299999999999998</v>
          </cell>
          <cell r="R127">
            <v>123.42</v>
          </cell>
          <cell r="S127">
            <v>85</v>
          </cell>
          <cell r="T127">
            <v>2</v>
          </cell>
          <cell r="U127">
            <v>5</v>
          </cell>
          <cell r="V127">
            <v>4.5</v>
          </cell>
          <cell r="W127">
            <v>123.42</v>
          </cell>
          <cell r="X127">
            <v>85</v>
          </cell>
          <cell r="Y127">
            <v>2</v>
          </cell>
          <cell r="Z127">
            <v>5</v>
          </cell>
          <cell r="AA127">
            <v>96.570216346153842</v>
          </cell>
          <cell r="AB127">
            <v>94.5</v>
          </cell>
          <cell r="AC127">
            <v>21</v>
          </cell>
          <cell r="AD127">
            <v>0</v>
          </cell>
          <cell r="AH127">
            <v>0</v>
          </cell>
          <cell r="AI127">
            <v>0</v>
          </cell>
          <cell r="AJ127">
            <v>0</v>
          </cell>
          <cell r="AK127">
            <v>0</v>
          </cell>
          <cell r="AL127">
            <v>-2.225120192307692</v>
          </cell>
          <cell r="AM127">
            <v>89.716846153846149</v>
          </cell>
          <cell r="AN127">
            <v>27</v>
          </cell>
          <cell r="AP127">
            <v>123</v>
          </cell>
          <cell r="AQ127">
            <v>664.98194230769229</v>
          </cell>
          <cell r="AR127">
            <v>8.0222999999999995</v>
          </cell>
          <cell r="AT127">
            <v>8.0222999999999995</v>
          </cell>
          <cell r="AU127">
            <v>656.95964230769232</v>
          </cell>
          <cell r="AX127" t="str">
            <v>354</v>
          </cell>
          <cell r="AZ127" t="str">
            <v>Suliman Humaid Zaher Al Madi</v>
          </cell>
          <cell r="BA127" t="str">
            <v>014316289 0084014</v>
          </cell>
          <cell r="BB127" t="str">
            <v>Bank Muscat</v>
          </cell>
          <cell r="BC127" t="str">
            <v>Mabella</v>
          </cell>
          <cell r="BD127">
            <v>656.95964230769232</v>
          </cell>
        </row>
        <row r="128">
          <cell r="B128">
            <v>355</v>
          </cell>
          <cell r="C128" t="str">
            <v>Abdullah Khamis Salim Al Harrrasi</v>
          </cell>
          <cell r="D128" t="str">
            <v>Labour</v>
          </cell>
          <cell r="E128" t="str">
            <v>01-12-2005</v>
          </cell>
          <cell r="F128">
            <v>1.4213076923076924</v>
          </cell>
          <cell r="G128">
            <v>0.88831730769230777</v>
          </cell>
          <cell r="H128">
            <v>0</v>
          </cell>
          <cell r="I128">
            <v>84.5</v>
          </cell>
          <cell r="K128">
            <v>19</v>
          </cell>
          <cell r="L128">
            <v>9</v>
          </cell>
          <cell r="M128">
            <v>0</v>
          </cell>
          <cell r="N128">
            <v>2</v>
          </cell>
          <cell r="O128">
            <v>28</v>
          </cell>
          <cell r="P128">
            <v>55</v>
          </cell>
          <cell r="Q128">
            <v>1.65</v>
          </cell>
          <cell r="R128">
            <v>123.18</v>
          </cell>
          <cell r="S128">
            <v>85</v>
          </cell>
          <cell r="T128">
            <v>2</v>
          </cell>
          <cell r="U128">
            <v>5</v>
          </cell>
          <cell r="V128">
            <v>4.5</v>
          </cell>
          <cell r="W128">
            <v>114.96799999999999</v>
          </cell>
          <cell r="X128">
            <v>79.333333333333343</v>
          </cell>
          <cell r="Y128">
            <v>1.8666666666666667</v>
          </cell>
          <cell r="Z128">
            <v>4.6666666666666661</v>
          </cell>
          <cell r="AA128">
            <v>75.062812500000007</v>
          </cell>
          <cell r="AB128">
            <v>85.5</v>
          </cell>
          <cell r="AD128">
            <v>0</v>
          </cell>
          <cell r="AH128">
            <v>0</v>
          </cell>
          <cell r="AI128">
            <v>0</v>
          </cell>
          <cell r="AJ128">
            <v>0</v>
          </cell>
          <cell r="AK128">
            <v>0</v>
          </cell>
          <cell r="AL128">
            <v>0</v>
          </cell>
          <cell r="AM128">
            <v>85.278461538461542</v>
          </cell>
          <cell r="AN128">
            <v>27</v>
          </cell>
          <cell r="AP128">
            <v>123</v>
          </cell>
          <cell r="AQ128">
            <v>596.67594070512826</v>
          </cell>
          <cell r="AR128">
            <v>8.0067000000000004</v>
          </cell>
          <cell r="AT128">
            <v>8.0067000000000004</v>
          </cell>
          <cell r="AU128">
            <v>588.66924070512823</v>
          </cell>
          <cell r="AX128" t="str">
            <v>355</v>
          </cell>
          <cell r="AZ128" t="str">
            <v>Abdullah Khamis Salim Al Harrrasi</v>
          </cell>
          <cell r="BA128" t="str">
            <v>049-189910084018</v>
          </cell>
          <cell r="BB128" t="str">
            <v>Bank Muscat</v>
          </cell>
          <cell r="BC128" t="str">
            <v>Nizwa-Firq</v>
          </cell>
          <cell r="BD128">
            <v>588.66924070512823</v>
          </cell>
        </row>
        <row r="129">
          <cell r="B129">
            <v>356</v>
          </cell>
          <cell r="C129" t="str">
            <v>Adil Khalfan Salim Al Rijbi</v>
          </cell>
          <cell r="D129" t="str">
            <v>Labour</v>
          </cell>
          <cell r="E129" t="str">
            <v>01-12-2005</v>
          </cell>
          <cell r="F129">
            <v>1.4206153846153846</v>
          </cell>
          <cell r="G129">
            <v>0.88788461538461538</v>
          </cell>
          <cell r="H129">
            <v>20</v>
          </cell>
          <cell r="I129">
            <v>52</v>
          </cell>
          <cell r="K129">
            <v>16</v>
          </cell>
          <cell r="L129">
            <v>14</v>
          </cell>
          <cell r="M129">
            <v>0</v>
          </cell>
          <cell r="N129">
            <v>0</v>
          </cell>
          <cell r="O129">
            <v>30</v>
          </cell>
          <cell r="P129">
            <v>54</v>
          </cell>
          <cell r="Q129">
            <v>1.6199999999999999</v>
          </cell>
          <cell r="R129">
            <v>123.12</v>
          </cell>
          <cell r="S129">
            <v>85</v>
          </cell>
          <cell r="T129">
            <v>2</v>
          </cell>
          <cell r="U129">
            <v>5</v>
          </cell>
          <cell r="V129">
            <v>4.5</v>
          </cell>
          <cell r="W129">
            <v>123.12</v>
          </cell>
          <cell r="X129">
            <v>85</v>
          </cell>
          <cell r="Y129">
            <v>2</v>
          </cell>
          <cell r="Z129">
            <v>5</v>
          </cell>
          <cell r="AA129">
            <v>46.17</v>
          </cell>
          <cell r="AB129">
            <v>72</v>
          </cell>
          <cell r="AD129">
            <v>28.412307692307692</v>
          </cell>
          <cell r="AH129">
            <v>0</v>
          </cell>
          <cell r="AI129">
            <v>0</v>
          </cell>
          <cell r="AJ129">
            <v>0</v>
          </cell>
          <cell r="AK129">
            <v>0</v>
          </cell>
          <cell r="AL129">
            <v>53.273076923076921</v>
          </cell>
          <cell r="AM129">
            <v>85.236923076923077</v>
          </cell>
          <cell r="AN129">
            <v>27</v>
          </cell>
          <cell r="AP129">
            <v>123</v>
          </cell>
          <cell r="AQ129">
            <v>650.21230769230772</v>
          </cell>
          <cell r="AR129">
            <v>8.0028000000000006</v>
          </cell>
          <cell r="AT129">
            <v>8.0028000000000006</v>
          </cell>
          <cell r="AU129">
            <v>642.20950769230774</v>
          </cell>
          <cell r="AX129" t="str">
            <v>356</v>
          </cell>
          <cell r="AZ129" t="str">
            <v>Adil Khalfan Salim Al Rijbi</v>
          </cell>
          <cell r="BA129" t="str">
            <v>1019-403489-017</v>
          </cell>
          <cell r="BB129" t="str">
            <v>NBO</v>
          </cell>
          <cell r="BC129" t="str">
            <v>Bahla</v>
          </cell>
          <cell r="BD129">
            <v>642.20950769230774</v>
          </cell>
        </row>
        <row r="130">
          <cell r="B130">
            <v>359</v>
          </cell>
          <cell r="C130" t="str">
            <v>Hamed Ali Saif Al Hinai</v>
          </cell>
          <cell r="D130" t="str">
            <v>Asst.Junior Observer</v>
          </cell>
          <cell r="E130" t="str">
            <v>01-12-2005</v>
          </cell>
          <cell r="F130">
            <v>1.5</v>
          </cell>
          <cell r="G130">
            <v>0.9375</v>
          </cell>
          <cell r="H130">
            <v>0</v>
          </cell>
          <cell r="I130">
            <v>219</v>
          </cell>
          <cell r="K130">
            <v>21</v>
          </cell>
          <cell r="L130">
            <v>9</v>
          </cell>
          <cell r="M130">
            <v>0</v>
          </cell>
          <cell r="N130">
            <v>0</v>
          </cell>
          <cell r="O130">
            <v>30</v>
          </cell>
          <cell r="P130">
            <v>67</v>
          </cell>
          <cell r="Q130">
            <v>2.0099999999999998</v>
          </cell>
          <cell r="R130">
            <v>130</v>
          </cell>
          <cell r="S130">
            <v>110</v>
          </cell>
          <cell r="T130">
            <v>2</v>
          </cell>
          <cell r="U130">
            <v>5</v>
          </cell>
          <cell r="V130">
            <v>4.5</v>
          </cell>
          <cell r="W130">
            <v>130</v>
          </cell>
          <cell r="X130">
            <v>110</v>
          </cell>
          <cell r="Y130">
            <v>2</v>
          </cell>
          <cell r="Z130">
            <v>5</v>
          </cell>
          <cell r="AA130">
            <v>205.3125</v>
          </cell>
          <cell r="AB130">
            <v>94.5</v>
          </cell>
          <cell r="AD130">
            <v>0</v>
          </cell>
          <cell r="AH130">
            <v>0</v>
          </cell>
          <cell r="AI130">
            <v>0</v>
          </cell>
          <cell r="AJ130">
            <v>0</v>
          </cell>
          <cell r="AK130">
            <v>0</v>
          </cell>
          <cell r="AL130">
            <v>52.5</v>
          </cell>
          <cell r="AM130">
            <v>0</v>
          </cell>
          <cell r="AN130">
            <v>0</v>
          </cell>
          <cell r="AP130">
            <v>0</v>
          </cell>
          <cell r="AQ130">
            <v>599.3125</v>
          </cell>
          <cell r="AR130">
            <v>8.4500000000000011</v>
          </cell>
          <cell r="AT130">
            <v>8.4500000000000011</v>
          </cell>
          <cell r="AU130">
            <v>590.86249999999995</v>
          </cell>
          <cell r="AV130" t="str">
            <v>Housing Allowance revised to 110 &amp; Basic 130 from 1/11/2008</v>
          </cell>
          <cell r="AX130" t="str">
            <v>359</v>
          </cell>
          <cell r="AZ130" t="str">
            <v>Hamed Ali Saif Al Hinai</v>
          </cell>
          <cell r="BA130" t="str">
            <v>20-382545-01</v>
          </cell>
          <cell r="BB130" t="str">
            <v>OIB</v>
          </cell>
          <cell r="BC130" t="str">
            <v>Nizwa</v>
          </cell>
          <cell r="BD130">
            <v>590.86249999999995</v>
          </cell>
        </row>
        <row r="131">
          <cell r="B131">
            <v>360</v>
          </cell>
          <cell r="C131" t="str">
            <v>Hani Salim Abdullah Al Sharouqi</v>
          </cell>
          <cell r="D131" t="str">
            <v>Labour</v>
          </cell>
          <cell r="E131" t="str">
            <v>01-12-2005</v>
          </cell>
          <cell r="F131">
            <v>1.4223461538461539</v>
          </cell>
          <cell r="G131">
            <v>0.88896634615384618</v>
          </cell>
          <cell r="H131">
            <v>20</v>
          </cell>
          <cell r="I131">
            <v>42</v>
          </cell>
          <cell r="K131">
            <v>23</v>
          </cell>
          <cell r="L131">
            <v>7</v>
          </cell>
          <cell r="M131">
            <v>0</v>
          </cell>
          <cell r="N131">
            <v>0</v>
          </cell>
          <cell r="O131">
            <v>30</v>
          </cell>
          <cell r="P131">
            <v>56</v>
          </cell>
          <cell r="Q131">
            <v>1.68</v>
          </cell>
          <cell r="R131">
            <v>123.27</v>
          </cell>
          <cell r="S131">
            <v>85</v>
          </cell>
          <cell r="T131">
            <v>2</v>
          </cell>
          <cell r="U131">
            <v>5</v>
          </cell>
          <cell r="V131">
            <v>4.5</v>
          </cell>
          <cell r="W131">
            <v>123.27</v>
          </cell>
          <cell r="X131">
            <v>85</v>
          </cell>
          <cell r="Y131">
            <v>2</v>
          </cell>
          <cell r="Z131">
            <v>5</v>
          </cell>
          <cell r="AA131">
            <v>37.336586538461539</v>
          </cell>
          <cell r="AB131">
            <v>103.5</v>
          </cell>
          <cell r="AD131">
            <v>28.446923076923078</v>
          </cell>
          <cell r="AH131">
            <v>0</v>
          </cell>
          <cell r="AI131">
            <v>0</v>
          </cell>
          <cell r="AJ131">
            <v>0</v>
          </cell>
          <cell r="AK131">
            <v>0</v>
          </cell>
          <cell r="AL131">
            <v>0</v>
          </cell>
          <cell r="AM131">
            <v>85.34076923076924</v>
          </cell>
          <cell r="AN131">
            <v>27</v>
          </cell>
          <cell r="AP131">
            <v>123</v>
          </cell>
          <cell r="AQ131">
            <v>619.89427884615384</v>
          </cell>
          <cell r="AR131">
            <v>8.0125499999999992</v>
          </cell>
          <cell r="AT131">
            <v>8.0125499999999992</v>
          </cell>
          <cell r="AU131">
            <v>611.88172884615381</v>
          </cell>
          <cell r="AX131" t="str">
            <v>360</v>
          </cell>
          <cell r="AZ131" t="str">
            <v>Hani Salim Abdullah Al Sharouqi</v>
          </cell>
          <cell r="BA131" t="str">
            <v>028-25487-0084-015</v>
          </cell>
          <cell r="BB131" t="str">
            <v>Bank Muscat</v>
          </cell>
          <cell r="BC131" t="str">
            <v>Al Khoudh</v>
          </cell>
          <cell r="BD131">
            <v>611.88172884615381</v>
          </cell>
        </row>
        <row r="132">
          <cell r="B132">
            <v>361</v>
          </cell>
          <cell r="C132" t="str">
            <v>Hassan Mohammed Johar Al Ghafri</v>
          </cell>
          <cell r="D132" t="str">
            <v>Labour</v>
          </cell>
          <cell r="E132" t="str">
            <v>01-12-2005</v>
          </cell>
          <cell r="F132">
            <v>1.4233846153846152</v>
          </cell>
          <cell r="G132">
            <v>0.88961538461538447</v>
          </cell>
          <cell r="H132">
            <v>20</v>
          </cell>
          <cell r="I132">
            <v>58</v>
          </cell>
          <cell r="K132">
            <v>23</v>
          </cell>
          <cell r="L132">
            <v>7</v>
          </cell>
          <cell r="M132">
            <v>0</v>
          </cell>
          <cell r="N132">
            <v>0</v>
          </cell>
          <cell r="O132">
            <v>30</v>
          </cell>
          <cell r="P132">
            <v>56</v>
          </cell>
          <cell r="Q132">
            <v>1.68</v>
          </cell>
          <cell r="R132">
            <v>123.36</v>
          </cell>
          <cell r="S132">
            <v>85</v>
          </cell>
          <cell r="T132">
            <v>2</v>
          </cell>
          <cell r="U132">
            <v>5</v>
          </cell>
          <cell r="V132">
            <v>4.5</v>
          </cell>
          <cell r="W132">
            <v>123.36</v>
          </cell>
          <cell r="X132">
            <v>85</v>
          </cell>
          <cell r="Y132">
            <v>2</v>
          </cell>
          <cell r="Z132">
            <v>5</v>
          </cell>
          <cell r="AA132">
            <v>51.597692307692299</v>
          </cell>
          <cell r="AB132">
            <v>103.5</v>
          </cell>
          <cell r="AD132">
            <v>28.467692307692303</v>
          </cell>
          <cell r="AH132">
            <v>0</v>
          </cell>
          <cell r="AI132">
            <v>0</v>
          </cell>
          <cell r="AJ132">
            <v>0</v>
          </cell>
          <cell r="AK132">
            <v>0</v>
          </cell>
          <cell r="AL132">
            <v>0</v>
          </cell>
          <cell r="AM132">
            <v>0</v>
          </cell>
          <cell r="AN132">
            <v>0</v>
          </cell>
          <cell r="AP132">
            <v>0</v>
          </cell>
          <cell r="AQ132">
            <v>398.92538461538459</v>
          </cell>
          <cell r="AR132">
            <v>8.0183999999999997</v>
          </cell>
          <cell r="AT132">
            <v>8.0183999999999997</v>
          </cell>
          <cell r="AU132">
            <v>390.9069846153846</v>
          </cell>
          <cell r="AX132" t="str">
            <v>361</v>
          </cell>
          <cell r="AZ132" t="str">
            <v>Hassan Mohammed Johar Al Ghafri</v>
          </cell>
          <cell r="BA132" t="str">
            <v>062-142770084012</v>
          </cell>
          <cell r="BB132" t="str">
            <v>Bank Muscat</v>
          </cell>
          <cell r="BC132" t="str">
            <v>Bahla</v>
          </cell>
          <cell r="BD132">
            <v>390.9069846153846</v>
          </cell>
        </row>
        <row r="133">
          <cell r="B133">
            <v>362</v>
          </cell>
          <cell r="C133" t="str">
            <v>Hilal Hamed Said Al Faraqani</v>
          </cell>
          <cell r="D133" t="str">
            <v>Labour</v>
          </cell>
          <cell r="E133" t="str">
            <v>01-12-2005</v>
          </cell>
          <cell r="F133">
            <v>1.4230384615384615</v>
          </cell>
          <cell r="G133">
            <v>0.88939903846153845</v>
          </cell>
          <cell r="H133">
            <v>21</v>
          </cell>
          <cell r="I133">
            <v>52.5</v>
          </cell>
          <cell r="K133">
            <v>23</v>
          </cell>
          <cell r="L133">
            <v>7</v>
          </cell>
          <cell r="M133">
            <v>0</v>
          </cell>
          <cell r="N133">
            <v>0</v>
          </cell>
          <cell r="O133">
            <v>30</v>
          </cell>
          <cell r="P133">
            <v>57</v>
          </cell>
          <cell r="Q133">
            <v>1.71</v>
          </cell>
          <cell r="R133">
            <v>123.33</v>
          </cell>
          <cell r="S133">
            <v>85</v>
          </cell>
          <cell r="T133">
            <v>2</v>
          </cell>
          <cell r="U133">
            <v>5</v>
          </cell>
          <cell r="V133">
            <v>4.5</v>
          </cell>
          <cell r="W133">
            <v>123.33</v>
          </cell>
          <cell r="X133">
            <v>85</v>
          </cell>
          <cell r="Y133">
            <v>2</v>
          </cell>
          <cell r="Z133">
            <v>5</v>
          </cell>
          <cell r="AA133">
            <v>46.693449519230768</v>
          </cell>
          <cell r="AB133">
            <v>103.5</v>
          </cell>
          <cell r="AC133">
            <v>23</v>
          </cell>
          <cell r="AD133">
            <v>29.883807692307691</v>
          </cell>
          <cell r="AH133">
            <v>0</v>
          </cell>
          <cell r="AI133">
            <v>0</v>
          </cell>
          <cell r="AJ133">
            <v>0</v>
          </cell>
          <cell r="AK133">
            <v>0</v>
          </cell>
          <cell r="AL133">
            <v>0</v>
          </cell>
          <cell r="AM133">
            <v>89.651423076923066</v>
          </cell>
          <cell r="AN133">
            <v>27</v>
          </cell>
          <cell r="AP133">
            <v>123</v>
          </cell>
          <cell r="AQ133">
            <v>658.05868028846157</v>
          </cell>
          <cell r="AR133">
            <v>8.0164500000000007</v>
          </cell>
          <cell r="AT133">
            <v>8.0164500000000007</v>
          </cell>
          <cell r="AU133">
            <v>650.04223028846161</v>
          </cell>
          <cell r="AV133" t="str">
            <v>Account No Changed</v>
          </cell>
          <cell r="AX133" t="str">
            <v>362</v>
          </cell>
          <cell r="AZ133" t="str">
            <v>Hilal Hamed Said Al Faraqani</v>
          </cell>
          <cell r="BA133" t="str">
            <v>0128-16729-0084-011</v>
          </cell>
          <cell r="BB133" t="str">
            <v>Bank Muscat</v>
          </cell>
          <cell r="BC133" t="str">
            <v>Nizwa Souq</v>
          </cell>
          <cell r="BD133">
            <v>650.04223028846161</v>
          </cell>
        </row>
        <row r="134">
          <cell r="B134">
            <v>363</v>
          </cell>
          <cell r="C134" t="str">
            <v>Imad Musabah Ziyad Al Ghafri</v>
          </cell>
          <cell r="D134" t="str">
            <v>Labour</v>
          </cell>
          <cell r="E134" t="str">
            <v>01-12-2005</v>
          </cell>
          <cell r="F134">
            <v>1.4192307692307693</v>
          </cell>
          <cell r="G134">
            <v>0.88701923076923084</v>
          </cell>
          <cell r="H134">
            <v>20</v>
          </cell>
          <cell r="I134">
            <v>74</v>
          </cell>
          <cell r="K134">
            <v>23</v>
          </cell>
          <cell r="L134">
            <v>7</v>
          </cell>
          <cell r="M134">
            <v>0</v>
          </cell>
          <cell r="N134">
            <v>0</v>
          </cell>
          <cell r="O134">
            <v>30</v>
          </cell>
          <cell r="P134">
            <v>51</v>
          </cell>
          <cell r="Q134">
            <v>1.53</v>
          </cell>
          <cell r="R134">
            <v>123</v>
          </cell>
          <cell r="S134">
            <v>85</v>
          </cell>
          <cell r="T134">
            <v>2</v>
          </cell>
          <cell r="U134">
            <v>5</v>
          </cell>
          <cell r="V134">
            <v>4.5</v>
          </cell>
          <cell r="W134">
            <v>122.99999999999999</v>
          </cell>
          <cell r="X134">
            <v>85</v>
          </cell>
          <cell r="Y134">
            <v>2</v>
          </cell>
          <cell r="Z134">
            <v>5</v>
          </cell>
          <cell r="AA134">
            <v>65.63942307692308</v>
          </cell>
          <cell r="AB134">
            <v>103.5</v>
          </cell>
          <cell r="AD134">
            <v>28.384615384615387</v>
          </cell>
          <cell r="AH134">
            <v>0</v>
          </cell>
          <cell r="AI134">
            <v>0</v>
          </cell>
          <cell r="AJ134">
            <v>0</v>
          </cell>
          <cell r="AK134">
            <v>0</v>
          </cell>
          <cell r="AL134">
            <v>28.384615384615387</v>
          </cell>
          <cell r="AM134">
            <v>0</v>
          </cell>
          <cell r="AN134">
            <v>0</v>
          </cell>
          <cell r="AP134">
            <v>0</v>
          </cell>
          <cell r="AQ134">
            <v>440.90865384615381</v>
          </cell>
          <cell r="AR134">
            <v>7.9950000000000001</v>
          </cell>
          <cell r="AT134">
            <v>7.9950000000000001</v>
          </cell>
          <cell r="AU134">
            <v>432.91365384615381</v>
          </cell>
          <cell r="AV134" t="str">
            <v>Account No Changed</v>
          </cell>
          <cell r="AX134" t="str">
            <v>363</v>
          </cell>
          <cell r="AZ134" t="str">
            <v>Imad Musabah Ziyad Al Ghafri</v>
          </cell>
          <cell r="BA134" t="str">
            <v>002-306397-035</v>
          </cell>
          <cell r="BB134" t="str">
            <v>HSBC</v>
          </cell>
          <cell r="BC134" t="str">
            <v>Ruwi</v>
          </cell>
          <cell r="BD134">
            <v>432.91365384615381</v>
          </cell>
        </row>
        <row r="135">
          <cell r="B135">
            <v>364</v>
          </cell>
          <cell r="C135" t="str">
            <v>Issa Abdullah Muftah Al Ghafri</v>
          </cell>
          <cell r="D135" t="str">
            <v>Labour</v>
          </cell>
          <cell r="E135" t="str">
            <v>01-12-2005</v>
          </cell>
          <cell r="F135">
            <v>1.4185384615384615</v>
          </cell>
          <cell r="G135">
            <v>0.88658653846153845</v>
          </cell>
          <cell r="H135">
            <v>20</v>
          </cell>
          <cell r="I135">
            <v>14</v>
          </cell>
          <cell r="K135">
            <v>9</v>
          </cell>
          <cell r="L135">
            <v>21</v>
          </cell>
          <cell r="M135">
            <v>0</v>
          </cell>
          <cell r="N135">
            <v>0</v>
          </cell>
          <cell r="O135">
            <v>30</v>
          </cell>
          <cell r="P135">
            <v>46</v>
          </cell>
          <cell r="Q135">
            <v>1.38</v>
          </cell>
          <cell r="R135">
            <v>122.94</v>
          </cell>
          <cell r="S135">
            <v>85</v>
          </cell>
          <cell r="T135">
            <v>2</v>
          </cell>
          <cell r="U135">
            <v>5</v>
          </cell>
          <cell r="V135">
            <v>4.5</v>
          </cell>
          <cell r="W135">
            <v>122.94</v>
          </cell>
          <cell r="X135">
            <v>85</v>
          </cell>
          <cell r="Y135">
            <v>2</v>
          </cell>
          <cell r="Z135">
            <v>5</v>
          </cell>
          <cell r="AA135">
            <v>12.412211538461538</v>
          </cell>
          <cell r="AB135">
            <v>40.5</v>
          </cell>
          <cell r="AD135">
            <v>28.370769230769231</v>
          </cell>
          <cell r="AH135">
            <v>0</v>
          </cell>
          <cell r="AI135">
            <v>0</v>
          </cell>
          <cell r="AJ135">
            <v>0</v>
          </cell>
          <cell r="AK135">
            <v>0</v>
          </cell>
          <cell r="AL135">
            <v>0</v>
          </cell>
          <cell r="AM135">
            <v>0</v>
          </cell>
          <cell r="AN135">
            <v>0</v>
          </cell>
          <cell r="AP135">
            <v>0</v>
          </cell>
          <cell r="AQ135">
            <v>296.22298076923079</v>
          </cell>
          <cell r="AR135">
            <v>7.9911000000000003</v>
          </cell>
          <cell r="AT135">
            <v>7.9911000000000003</v>
          </cell>
          <cell r="AU135">
            <v>288.23188076923077</v>
          </cell>
          <cell r="AX135" t="str">
            <v>364</v>
          </cell>
          <cell r="AZ135" t="str">
            <v>Issa Abdullah Muftah Al Ghafri</v>
          </cell>
          <cell r="BA135" t="str">
            <v>062-17386-0084-013</v>
          </cell>
          <cell r="BB135" t="str">
            <v>Bank Muscat</v>
          </cell>
          <cell r="BC135" t="str">
            <v>Bahla</v>
          </cell>
          <cell r="BD135">
            <v>288.23188076923077</v>
          </cell>
        </row>
        <row r="136">
          <cell r="B136">
            <v>365</v>
          </cell>
          <cell r="C136" t="str">
            <v>Mahmoud Nasser Ali Al Hinai</v>
          </cell>
          <cell r="D136" t="str">
            <v>Labour</v>
          </cell>
          <cell r="E136" t="str">
            <v>01-12-2005</v>
          </cell>
          <cell r="F136">
            <v>1.4209615384615386</v>
          </cell>
          <cell r="G136">
            <v>0.88810096153846163</v>
          </cell>
          <cell r="H136">
            <v>0</v>
          </cell>
          <cell r="I136">
            <v>116.5</v>
          </cell>
          <cell r="K136">
            <v>21</v>
          </cell>
          <cell r="L136">
            <v>9</v>
          </cell>
          <cell r="M136">
            <v>0</v>
          </cell>
          <cell r="N136">
            <v>0</v>
          </cell>
          <cell r="O136">
            <v>30</v>
          </cell>
          <cell r="P136">
            <v>54</v>
          </cell>
          <cell r="Q136">
            <v>1.6199999999999999</v>
          </cell>
          <cell r="R136">
            <v>123.15</v>
          </cell>
          <cell r="S136">
            <v>85</v>
          </cell>
          <cell r="T136">
            <v>2</v>
          </cell>
          <cell r="U136">
            <v>5</v>
          </cell>
          <cell r="V136">
            <v>4.5</v>
          </cell>
          <cell r="W136">
            <v>123.15</v>
          </cell>
          <cell r="X136">
            <v>85</v>
          </cell>
          <cell r="Y136">
            <v>2</v>
          </cell>
          <cell r="Z136">
            <v>5</v>
          </cell>
          <cell r="AA136">
            <v>103.46376201923078</v>
          </cell>
          <cell r="AB136">
            <v>94.5</v>
          </cell>
          <cell r="AD136">
            <v>0</v>
          </cell>
          <cell r="AH136">
            <v>0</v>
          </cell>
          <cell r="AI136">
            <v>0</v>
          </cell>
          <cell r="AJ136">
            <v>0</v>
          </cell>
          <cell r="AK136">
            <v>0</v>
          </cell>
          <cell r="AL136">
            <v>40.852644230769236</v>
          </cell>
          <cell r="AM136">
            <v>85.257692307692309</v>
          </cell>
          <cell r="AN136">
            <v>27</v>
          </cell>
          <cell r="AP136">
            <v>123</v>
          </cell>
          <cell r="AQ136">
            <v>689.22409855769229</v>
          </cell>
          <cell r="AR136">
            <v>8.0047500000000014</v>
          </cell>
          <cell r="AT136">
            <v>8.0047500000000014</v>
          </cell>
          <cell r="AU136">
            <v>681.21934855769223</v>
          </cell>
          <cell r="AX136" t="str">
            <v>365</v>
          </cell>
          <cell r="AZ136" t="str">
            <v>Mahmoud Nasser Ali Al Hinai</v>
          </cell>
          <cell r="BA136" t="str">
            <v>27-162874-20</v>
          </cell>
          <cell r="BB136" t="str">
            <v>OIB</v>
          </cell>
          <cell r="BC136" t="str">
            <v>Ibri-Sleef</v>
          </cell>
          <cell r="BD136">
            <v>681.21934855769223</v>
          </cell>
        </row>
        <row r="137">
          <cell r="B137">
            <v>366</v>
          </cell>
          <cell r="C137" t="str">
            <v>Khalid Yaqoub Mohammed Al Housni</v>
          </cell>
          <cell r="D137" t="str">
            <v>Labour</v>
          </cell>
          <cell r="E137" t="str">
            <v>01-12-2005</v>
          </cell>
          <cell r="F137">
            <v>1.4247692307692308</v>
          </cell>
          <cell r="G137">
            <v>0.89048076923076924</v>
          </cell>
          <cell r="H137">
            <v>21</v>
          </cell>
          <cell r="I137">
            <v>52.5</v>
          </cell>
          <cell r="K137">
            <v>23</v>
          </cell>
          <cell r="L137">
            <v>7</v>
          </cell>
          <cell r="M137">
            <v>0</v>
          </cell>
          <cell r="N137">
            <v>0</v>
          </cell>
          <cell r="O137">
            <v>30</v>
          </cell>
          <cell r="P137">
            <v>58</v>
          </cell>
          <cell r="Q137">
            <v>1.74</v>
          </cell>
          <cell r="R137">
            <v>123.48</v>
          </cell>
          <cell r="S137">
            <v>85</v>
          </cell>
          <cell r="T137">
            <v>2</v>
          </cell>
          <cell r="U137">
            <v>5</v>
          </cell>
          <cell r="V137">
            <v>4.5</v>
          </cell>
          <cell r="W137">
            <v>123.48000000000002</v>
          </cell>
          <cell r="X137">
            <v>85</v>
          </cell>
          <cell r="Y137">
            <v>2</v>
          </cell>
          <cell r="Z137">
            <v>5</v>
          </cell>
          <cell r="AA137">
            <v>46.750240384615388</v>
          </cell>
          <cell r="AB137">
            <v>103.5</v>
          </cell>
          <cell r="AC137">
            <v>23</v>
          </cell>
          <cell r="AD137">
            <v>29.920153846153845</v>
          </cell>
          <cell r="AH137">
            <v>0</v>
          </cell>
          <cell r="AI137">
            <v>0</v>
          </cell>
          <cell r="AJ137">
            <v>0</v>
          </cell>
          <cell r="AK137">
            <v>0</v>
          </cell>
          <cell r="AL137">
            <v>-2.226201923076923</v>
          </cell>
          <cell r="AM137">
            <v>89.760461538461541</v>
          </cell>
          <cell r="AN137">
            <v>27</v>
          </cell>
          <cell r="AP137">
            <v>123</v>
          </cell>
          <cell r="AQ137">
            <v>656.18465384615388</v>
          </cell>
          <cell r="AR137">
            <v>8.0262000000000011</v>
          </cell>
          <cell r="AT137">
            <v>8.0262000000000011</v>
          </cell>
          <cell r="AU137">
            <v>648.15845384615386</v>
          </cell>
          <cell r="AX137" t="str">
            <v>366</v>
          </cell>
          <cell r="AZ137" t="str">
            <v>Khalid Yaqoub Mohammed Al Housni</v>
          </cell>
          <cell r="BA137" t="str">
            <v>49-190310084019</v>
          </cell>
          <cell r="BB137" t="str">
            <v>Bank Muscat</v>
          </cell>
          <cell r="BC137" t="str">
            <v>Firq</v>
          </cell>
          <cell r="BD137">
            <v>648.15845384615386</v>
          </cell>
        </row>
        <row r="138">
          <cell r="B138">
            <v>367</v>
          </cell>
          <cell r="C138" t="str">
            <v>Waleed Khamis Mohammed Al Yaqoubi</v>
          </cell>
          <cell r="D138" t="str">
            <v>Labour</v>
          </cell>
          <cell r="E138" t="str">
            <v>01-12-2005</v>
          </cell>
          <cell r="F138">
            <v>1.4216538461538462</v>
          </cell>
          <cell r="G138">
            <v>0.8885336538461539</v>
          </cell>
          <cell r="H138">
            <v>20</v>
          </cell>
          <cell r="I138">
            <v>22</v>
          </cell>
          <cell r="K138">
            <v>14</v>
          </cell>
          <cell r="L138">
            <v>14</v>
          </cell>
          <cell r="M138">
            <v>0</v>
          </cell>
          <cell r="N138">
            <v>2</v>
          </cell>
          <cell r="O138">
            <v>28</v>
          </cell>
          <cell r="P138">
            <v>55</v>
          </cell>
          <cell r="Q138">
            <v>1.65</v>
          </cell>
          <cell r="R138">
            <v>123.21</v>
          </cell>
          <cell r="S138">
            <v>85</v>
          </cell>
          <cell r="T138">
            <v>2</v>
          </cell>
          <cell r="U138">
            <v>5</v>
          </cell>
          <cell r="V138">
            <v>4.5</v>
          </cell>
          <cell r="W138">
            <v>114.99600000000001</v>
          </cell>
          <cell r="X138">
            <v>79.333333333333343</v>
          </cell>
          <cell r="Y138">
            <v>1.8666666666666667</v>
          </cell>
          <cell r="Z138">
            <v>4.6666666666666661</v>
          </cell>
          <cell r="AA138">
            <v>19.547740384615388</v>
          </cell>
          <cell r="AB138">
            <v>63</v>
          </cell>
          <cell r="AD138">
            <v>28.433076923076925</v>
          </cell>
          <cell r="AH138">
            <v>0</v>
          </cell>
          <cell r="AI138">
            <v>0</v>
          </cell>
          <cell r="AJ138">
            <v>0</v>
          </cell>
          <cell r="AK138">
            <v>0</v>
          </cell>
          <cell r="AL138">
            <v>0</v>
          </cell>
          <cell r="AM138">
            <v>0</v>
          </cell>
          <cell r="AN138">
            <v>0</v>
          </cell>
          <cell r="AP138">
            <v>0</v>
          </cell>
          <cell r="AQ138">
            <v>311.84348397435895</v>
          </cell>
          <cell r="AR138">
            <v>8.0086499999999994</v>
          </cell>
          <cell r="AT138">
            <v>8.0086499999999994</v>
          </cell>
          <cell r="AU138">
            <v>303.83483397435896</v>
          </cell>
          <cell r="AX138" t="str">
            <v>367</v>
          </cell>
          <cell r="AZ138" t="str">
            <v>Waleed Khamis Mohammed Al Yaqoubi</v>
          </cell>
          <cell r="BA138" t="str">
            <v>002- 251270-035</v>
          </cell>
          <cell r="BB138" t="str">
            <v>HSBC</v>
          </cell>
          <cell r="BC138" t="str">
            <v>Ruwi</v>
          </cell>
          <cell r="BD138">
            <v>303.83483397435896</v>
          </cell>
        </row>
        <row r="139">
          <cell r="B139">
            <v>368</v>
          </cell>
          <cell r="C139" t="str">
            <v>Saleh Ali Amur Al Hinai</v>
          </cell>
          <cell r="D139" t="str">
            <v>Labour</v>
          </cell>
          <cell r="E139" t="str">
            <v>01-12-2005</v>
          </cell>
          <cell r="F139">
            <v>1.4230384615384615</v>
          </cell>
          <cell r="G139">
            <v>0.88939903846153845</v>
          </cell>
          <cell r="H139">
            <v>24</v>
          </cell>
          <cell r="I139">
            <v>56</v>
          </cell>
          <cell r="K139">
            <v>16</v>
          </cell>
          <cell r="L139">
            <v>14</v>
          </cell>
          <cell r="M139">
            <v>0</v>
          </cell>
          <cell r="N139">
            <v>0</v>
          </cell>
          <cell r="O139">
            <v>30</v>
          </cell>
          <cell r="P139">
            <v>58</v>
          </cell>
          <cell r="Q139">
            <v>1.74</v>
          </cell>
          <cell r="R139">
            <v>123.33</v>
          </cell>
          <cell r="S139">
            <v>85</v>
          </cell>
          <cell r="T139">
            <v>2</v>
          </cell>
          <cell r="U139">
            <v>5</v>
          </cell>
          <cell r="V139">
            <v>4.5</v>
          </cell>
          <cell r="W139">
            <v>123.33</v>
          </cell>
          <cell r="X139">
            <v>85</v>
          </cell>
          <cell r="Y139">
            <v>2</v>
          </cell>
          <cell r="Z139">
            <v>5</v>
          </cell>
          <cell r="AA139">
            <v>49.80634615384615</v>
          </cell>
          <cell r="AB139">
            <v>72</v>
          </cell>
          <cell r="AD139">
            <v>34.152923076923074</v>
          </cell>
          <cell r="AH139">
            <v>0</v>
          </cell>
          <cell r="AI139">
            <v>0</v>
          </cell>
          <cell r="AJ139">
            <v>0</v>
          </cell>
          <cell r="AK139">
            <v>0</v>
          </cell>
          <cell r="AL139">
            <v>78.711814903846147</v>
          </cell>
          <cell r="AM139">
            <v>102.45876923076922</v>
          </cell>
          <cell r="AN139">
            <v>27</v>
          </cell>
          <cell r="AP139">
            <v>123</v>
          </cell>
          <cell r="AQ139">
            <v>702.45985336538456</v>
          </cell>
          <cell r="AR139">
            <v>8.0164500000000007</v>
          </cell>
          <cell r="AT139">
            <v>8.0164500000000007</v>
          </cell>
          <cell r="AU139">
            <v>694.4434033653846</v>
          </cell>
          <cell r="AX139" t="str">
            <v>368</v>
          </cell>
          <cell r="AZ139" t="str">
            <v>Saleh Ali Amur Al Hinai</v>
          </cell>
          <cell r="BA139" t="str">
            <v>062-191590084015</v>
          </cell>
          <cell r="BB139" t="str">
            <v>Bank Muscat</v>
          </cell>
          <cell r="BC139" t="str">
            <v>Bahla</v>
          </cell>
          <cell r="BD139">
            <v>694.4434033653846</v>
          </cell>
        </row>
        <row r="140">
          <cell r="B140">
            <v>369</v>
          </cell>
          <cell r="C140" t="str">
            <v>Suleiman Salam Manin Al Rashid</v>
          </cell>
          <cell r="D140" t="str">
            <v>Labour</v>
          </cell>
          <cell r="E140" t="str">
            <v>01-12-2005</v>
          </cell>
          <cell r="F140">
            <v>1.4258076923076923</v>
          </cell>
          <cell r="G140">
            <v>0.89112980769230776</v>
          </cell>
          <cell r="H140">
            <v>24</v>
          </cell>
          <cell r="I140">
            <v>110</v>
          </cell>
          <cell r="K140">
            <v>16</v>
          </cell>
          <cell r="L140">
            <v>14</v>
          </cell>
          <cell r="M140">
            <v>0</v>
          </cell>
          <cell r="N140">
            <v>0</v>
          </cell>
          <cell r="O140">
            <v>30</v>
          </cell>
          <cell r="P140">
            <v>67</v>
          </cell>
          <cell r="Q140">
            <v>2.0099999999999998</v>
          </cell>
          <cell r="R140">
            <v>123.57</v>
          </cell>
          <cell r="S140">
            <v>85</v>
          </cell>
          <cell r="T140">
            <v>2</v>
          </cell>
          <cell r="U140">
            <v>5</v>
          </cell>
          <cell r="V140">
            <v>4.5</v>
          </cell>
          <cell r="W140">
            <v>123.57</v>
          </cell>
          <cell r="X140">
            <v>85</v>
          </cell>
          <cell r="Y140">
            <v>2</v>
          </cell>
          <cell r="Z140">
            <v>5</v>
          </cell>
          <cell r="AA140">
            <v>98.024278846153848</v>
          </cell>
          <cell r="AB140">
            <v>72</v>
          </cell>
          <cell r="AD140">
            <v>34.219384615384612</v>
          </cell>
          <cell r="AH140">
            <v>0</v>
          </cell>
          <cell r="AI140">
            <v>0</v>
          </cell>
          <cell r="AJ140">
            <v>0</v>
          </cell>
          <cell r="AK140">
            <v>0</v>
          </cell>
          <cell r="AL140">
            <v>0</v>
          </cell>
          <cell r="AM140">
            <v>102.65815384615385</v>
          </cell>
          <cell r="AN140">
            <v>27</v>
          </cell>
          <cell r="AO140">
            <v>-8.0320499999999999</v>
          </cell>
          <cell r="AP140">
            <v>128</v>
          </cell>
          <cell r="AQ140">
            <v>669.43976730769225</v>
          </cell>
          <cell r="AR140">
            <v>8.0320499999999999</v>
          </cell>
          <cell r="AT140">
            <v>8.0320499999999999</v>
          </cell>
          <cell r="AU140">
            <v>661.40771730769222</v>
          </cell>
          <cell r="AV140" t="str">
            <v>One Month GOSI of October &amp; 5 Rials Ration of Oct</v>
          </cell>
          <cell r="AX140" t="str">
            <v>369</v>
          </cell>
          <cell r="AZ140" t="str">
            <v>Suleiman Salam Manin Al Rashid</v>
          </cell>
          <cell r="BA140" t="str">
            <v>049-179530084017</v>
          </cell>
          <cell r="BB140" t="str">
            <v>Bank Muscat</v>
          </cell>
          <cell r="BC140" t="str">
            <v>Nizwa-Firq</v>
          </cell>
          <cell r="BD140">
            <v>661.40771730769222</v>
          </cell>
        </row>
        <row r="141">
          <cell r="B141">
            <v>370</v>
          </cell>
          <cell r="C141" t="str">
            <v>Taqi Obaid Khadoom</v>
          </cell>
          <cell r="D141" t="str">
            <v>Labour/Camp</v>
          </cell>
          <cell r="E141" t="str">
            <v>01-12-2005</v>
          </cell>
          <cell r="F141">
            <v>1.4199230769230768</v>
          </cell>
          <cell r="G141">
            <v>0.887451923076923</v>
          </cell>
          <cell r="H141">
            <v>20</v>
          </cell>
          <cell r="I141">
            <v>28</v>
          </cell>
          <cell r="K141">
            <v>12</v>
          </cell>
          <cell r="L141">
            <v>18</v>
          </cell>
          <cell r="M141">
            <v>0</v>
          </cell>
          <cell r="N141">
            <v>0</v>
          </cell>
          <cell r="O141">
            <v>30</v>
          </cell>
          <cell r="P141">
            <v>48</v>
          </cell>
          <cell r="Q141">
            <v>1.44</v>
          </cell>
          <cell r="R141">
            <v>123.06</v>
          </cell>
          <cell r="S141">
            <v>85</v>
          </cell>
          <cell r="T141">
            <v>2</v>
          </cell>
          <cell r="U141">
            <v>5</v>
          </cell>
          <cell r="V141">
            <v>4.5</v>
          </cell>
          <cell r="W141">
            <v>123.06</v>
          </cell>
          <cell r="X141">
            <v>85</v>
          </cell>
          <cell r="Y141">
            <v>2</v>
          </cell>
          <cell r="Z141">
            <v>5</v>
          </cell>
          <cell r="AA141">
            <v>24.848653846153844</v>
          </cell>
          <cell r="AB141">
            <v>54</v>
          </cell>
          <cell r="AD141">
            <v>28.398461538461536</v>
          </cell>
          <cell r="AH141">
            <v>-7.9393548387096775</v>
          </cell>
          <cell r="AI141">
            <v>-5.4838709677419351</v>
          </cell>
          <cell r="AJ141">
            <v>-0.12903225806451613</v>
          </cell>
          <cell r="AK141">
            <v>-0.32258064516129031</v>
          </cell>
          <cell r="AL141">
            <v>15.974134615384614</v>
          </cell>
          <cell r="AM141">
            <v>0</v>
          </cell>
          <cell r="AN141">
            <v>-13.5</v>
          </cell>
          <cell r="AP141">
            <v>0</v>
          </cell>
          <cell r="AQ141">
            <v>310.90641129032258</v>
          </cell>
          <cell r="AR141">
            <v>7.9989000000000008</v>
          </cell>
          <cell r="AT141">
            <v>7.9989000000000008</v>
          </cell>
          <cell r="AU141">
            <v>302.90751129032259</v>
          </cell>
          <cell r="AX141" t="str">
            <v>370</v>
          </cell>
          <cell r="AZ141" t="str">
            <v>Taqi Obaid Khadoom</v>
          </cell>
          <cell r="BA141" t="str">
            <v>10-121416-20</v>
          </cell>
          <cell r="BB141" t="str">
            <v>OIB</v>
          </cell>
          <cell r="BC141" t="str">
            <v>Seeb</v>
          </cell>
          <cell r="BD141">
            <v>302.90751129032259</v>
          </cell>
        </row>
        <row r="142">
          <cell r="B142">
            <v>371</v>
          </cell>
          <cell r="C142" t="str">
            <v>Hilal Marzouq Salmeen Al Ghafri</v>
          </cell>
          <cell r="D142" t="str">
            <v>Labour</v>
          </cell>
          <cell r="E142" t="str">
            <v>01-12-2005</v>
          </cell>
          <cell r="F142">
            <v>1.4192307692307693</v>
          </cell>
          <cell r="G142">
            <v>0.88701923076923084</v>
          </cell>
          <cell r="H142">
            <v>20</v>
          </cell>
          <cell r="I142">
            <v>28</v>
          </cell>
          <cell r="K142">
            <v>16</v>
          </cell>
          <cell r="L142">
            <v>14</v>
          </cell>
          <cell r="M142">
            <v>0</v>
          </cell>
          <cell r="N142">
            <v>0</v>
          </cell>
          <cell r="O142">
            <v>30</v>
          </cell>
          <cell r="P142">
            <v>48</v>
          </cell>
          <cell r="Q142">
            <v>1.44</v>
          </cell>
          <cell r="R142">
            <v>123</v>
          </cell>
          <cell r="S142">
            <v>85</v>
          </cell>
          <cell r="T142">
            <v>2</v>
          </cell>
          <cell r="U142">
            <v>5</v>
          </cell>
          <cell r="V142">
            <v>4.5</v>
          </cell>
          <cell r="W142">
            <v>122.99999999999999</v>
          </cell>
          <cell r="X142">
            <v>85</v>
          </cell>
          <cell r="Y142">
            <v>2</v>
          </cell>
          <cell r="Z142">
            <v>5</v>
          </cell>
          <cell r="AA142">
            <v>24.836538461538463</v>
          </cell>
          <cell r="AB142">
            <v>72</v>
          </cell>
          <cell r="AD142">
            <v>28.384615384615387</v>
          </cell>
          <cell r="AH142">
            <v>0</v>
          </cell>
          <cell r="AI142">
            <v>0</v>
          </cell>
          <cell r="AJ142">
            <v>0</v>
          </cell>
          <cell r="AK142">
            <v>0</v>
          </cell>
          <cell r="AL142">
            <v>0</v>
          </cell>
          <cell r="AM142">
            <v>0</v>
          </cell>
          <cell r="AN142">
            <v>0</v>
          </cell>
          <cell r="AP142">
            <v>0</v>
          </cell>
          <cell r="AQ142">
            <v>340.22115384615381</v>
          </cell>
          <cell r="AR142">
            <v>7.9950000000000001</v>
          </cell>
          <cell r="AT142">
            <v>7.9950000000000001</v>
          </cell>
          <cell r="AU142">
            <v>332.22615384615381</v>
          </cell>
          <cell r="AX142" t="str">
            <v>371</v>
          </cell>
          <cell r="AZ142" t="str">
            <v>Hilal Marzouq Salmeen Al Ghafri</v>
          </cell>
          <cell r="BA142" t="str">
            <v>119-120200084018</v>
          </cell>
          <cell r="BB142" t="str">
            <v>Bank Muscat</v>
          </cell>
          <cell r="BC142" t="str">
            <v>Ibri-Dareeze</v>
          </cell>
          <cell r="BD142">
            <v>332.22615384615381</v>
          </cell>
        </row>
        <row r="143">
          <cell r="B143">
            <v>372</v>
          </cell>
          <cell r="C143" t="str">
            <v>Ismail Ali Said Al Busaidi</v>
          </cell>
          <cell r="D143" t="str">
            <v>Labour</v>
          </cell>
          <cell r="E143" t="str">
            <v>01-12-2005</v>
          </cell>
          <cell r="F143">
            <v>1.4233846153846152</v>
          </cell>
          <cell r="G143">
            <v>0.88961538461538447</v>
          </cell>
          <cell r="H143">
            <v>0</v>
          </cell>
          <cell r="I143">
            <v>52.5</v>
          </cell>
          <cell r="K143">
            <v>21</v>
          </cell>
          <cell r="L143">
            <v>9</v>
          </cell>
          <cell r="M143">
            <v>0</v>
          </cell>
          <cell r="N143">
            <v>0</v>
          </cell>
          <cell r="O143">
            <v>30</v>
          </cell>
          <cell r="P143">
            <v>54</v>
          </cell>
          <cell r="Q143">
            <v>1.6199999999999999</v>
          </cell>
          <cell r="R143">
            <v>123.36</v>
          </cell>
          <cell r="S143">
            <v>85</v>
          </cell>
          <cell r="T143">
            <v>2</v>
          </cell>
          <cell r="U143">
            <v>5</v>
          </cell>
          <cell r="V143">
            <v>4.5</v>
          </cell>
          <cell r="W143">
            <v>123.36</v>
          </cell>
          <cell r="X143">
            <v>85</v>
          </cell>
          <cell r="Y143">
            <v>2</v>
          </cell>
          <cell r="Z143">
            <v>5</v>
          </cell>
          <cell r="AA143">
            <v>46.704807692307682</v>
          </cell>
          <cell r="AB143">
            <v>94.5</v>
          </cell>
          <cell r="AC143">
            <v>21</v>
          </cell>
          <cell r="AD143">
            <v>0</v>
          </cell>
          <cell r="AH143">
            <v>0</v>
          </cell>
          <cell r="AI143">
            <v>0</v>
          </cell>
          <cell r="AJ143">
            <v>0</v>
          </cell>
          <cell r="AK143">
            <v>0</v>
          </cell>
          <cell r="AL143">
            <v>0</v>
          </cell>
          <cell r="AM143">
            <v>89.673230769230756</v>
          </cell>
          <cell r="AN143">
            <v>27</v>
          </cell>
          <cell r="AP143">
            <v>123</v>
          </cell>
          <cell r="AQ143">
            <v>617.23803846153851</v>
          </cell>
          <cell r="AR143">
            <v>8.0183999999999997</v>
          </cell>
          <cell r="AT143">
            <v>8.0183999999999997</v>
          </cell>
          <cell r="AU143">
            <v>609.21963846153847</v>
          </cell>
          <cell r="AX143" t="str">
            <v>372</v>
          </cell>
          <cell r="AZ143" t="str">
            <v>Ismail Ali Said Al Busaidi</v>
          </cell>
          <cell r="BA143" t="str">
            <v>133-142330084015</v>
          </cell>
          <cell r="BB143" t="str">
            <v>Bank Muscat</v>
          </cell>
          <cell r="BC143" t="str">
            <v>Firq</v>
          </cell>
          <cell r="BD143">
            <v>609.21963846153847</v>
          </cell>
        </row>
        <row r="144">
          <cell r="B144">
            <v>373</v>
          </cell>
          <cell r="C144" t="str">
            <v>Ahmed Suleiman Said Al Mahrouqi</v>
          </cell>
          <cell r="D144" t="str">
            <v>Heavy Duty Driver</v>
          </cell>
          <cell r="E144" t="str">
            <v>01-12-2005</v>
          </cell>
          <cell r="F144">
            <v>1.5373846153846156</v>
          </cell>
          <cell r="G144">
            <v>0.96086538461538473</v>
          </cell>
          <cell r="H144">
            <v>21</v>
          </cell>
          <cell r="I144">
            <v>132.5</v>
          </cell>
          <cell r="K144">
            <v>23</v>
          </cell>
          <cell r="L144">
            <v>7</v>
          </cell>
          <cell r="M144">
            <v>0</v>
          </cell>
          <cell r="N144">
            <v>0</v>
          </cell>
          <cell r="O144">
            <v>30</v>
          </cell>
          <cell r="P144">
            <v>54</v>
          </cell>
          <cell r="Q144">
            <v>1.6199999999999999</v>
          </cell>
          <cell r="R144">
            <v>133.24</v>
          </cell>
          <cell r="S144">
            <v>85</v>
          </cell>
          <cell r="T144">
            <v>2</v>
          </cell>
          <cell r="U144">
            <v>5</v>
          </cell>
          <cell r="V144">
            <v>4.5</v>
          </cell>
          <cell r="W144">
            <v>133.24</v>
          </cell>
          <cell r="X144">
            <v>85</v>
          </cell>
          <cell r="Y144">
            <v>2</v>
          </cell>
          <cell r="Z144">
            <v>5</v>
          </cell>
          <cell r="AA144">
            <v>127.31466346153847</v>
          </cell>
          <cell r="AB144">
            <v>103.5</v>
          </cell>
          <cell r="AD144">
            <v>32.285076923076929</v>
          </cell>
          <cell r="AH144">
            <v>0</v>
          </cell>
          <cell r="AI144">
            <v>0</v>
          </cell>
          <cell r="AJ144">
            <v>0</v>
          </cell>
          <cell r="AK144">
            <v>0</v>
          </cell>
          <cell r="AL144">
            <v>19.217307692307696</v>
          </cell>
          <cell r="AM144">
            <v>0</v>
          </cell>
          <cell r="AN144">
            <v>0</v>
          </cell>
          <cell r="AP144">
            <v>0</v>
          </cell>
          <cell r="AQ144">
            <v>507.55704807692314</v>
          </cell>
          <cell r="AR144">
            <v>8.6606000000000005</v>
          </cell>
          <cell r="AT144">
            <v>8.6606000000000005</v>
          </cell>
          <cell r="AU144">
            <v>498.89644807692315</v>
          </cell>
          <cell r="AX144" t="str">
            <v>373</v>
          </cell>
          <cell r="AZ144" t="str">
            <v>Ahmed Suleiman Said Al Mahrouqi</v>
          </cell>
          <cell r="BA144" t="str">
            <v>129-106550084014</v>
          </cell>
          <cell r="BB144" t="str">
            <v>Bank Muscat</v>
          </cell>
          <cell r="BC144" t="str">
            <v>Adam</v>
          </cell>
          <cell r="BD144">
            <v>498.89644807692315</v>
          </cell>
        </row>
        <row r="145">
          <cell r="B145">
            <v>374</v>
          </cell>
          <cell r="C145" t="str">
            <v>Dawood Mohammed Azan Al Qasmi</v>
          </cell>
          <cell r="D145" t="str">
            <v>Asst Junior Observer</v>
          </cell>
          <cell r="E145" t="str">
            <v>01-12-2005</v>
          </cell>
          <cell r="F145">
            <v>1.5422307692307693</v>
          </cell>
          <cell r="G145">
            <v>0.96389423076923086</v>
          </cell>
          <cell r="H145">
            <v>24</v>
          </cell>
          <cell r="I145">
            <v>192.5</v>
          </cell>
          <cell r="K145">
            <v>23</v>
          </cell>
          <cell r="L145">
            <v>7</v>
          </cell>
          <cell r="M145">
            <v>0</v>
          </cell>
          <cell r="N145">
            <v>0</v>
          </cell>
          <cell r="O145">
            <v>30</v>
          </cell>
          <cell r="P145">
            <v>67</v>
          </cell>
          <cell r="Q145">
            <v>2.0099999999999998</v>
          </cell>
          <cell r="R145">
            <v>133.66</v>
          </cell>
          <cell r="S145">
            <v>85</v>
          </cell>
          <cell r="T145">
            <v>2</v>
          </cell>
          <cell r="U145">
            <v>5</v>
          </cell>
          <cell r="V145">
            <v>4.5</v>
          </cell>
          <cell r="W145">
            <v>133.66</v>
          </cell>
          <cell r="X145">
            <v>85</v>
          </cell>
          <cell r="Y145">
            <v>2</v>
          </cell>
          <cell r="Z145">
            <v>5</v>
          </cell>
          <cell r="AA145">
            <v>185.54963942307694</v>
          </cell>
          <cell r="AB145">
            <v>103.5</v>
          </cell>
          <cell r="AD145">
            <v>37.01353846153846</v>
          </cell>
          <cell r="AH145">
            <v>0</v>
          </cell>
          <cell r="AI145">
            <v>0</v>
          </cell>
          <cell r="AJ145">
            <v>0</v>
          </cell>
          <cell r="AK145">
            <v>0</v>
          </cell>
          <cell r="AL145">
            <v>40.483557692307699</v>
          </cell>
          <cell r="AM145">
            <v>0</v>
          </cell>
          <cell r="AN145">
            <v>0</v>
          </cell>
          <cell r="AP145">
            <v>0</v>
          </cell>
          <cell r="AQ145">
            <v>592.20673557692317</v>
          </cell>
          <cell r="AR145">
            <v>8.6879000000000008</v>
          </cell>
          <cell r="AT145">
            <v>8.6879000000000008</v>
          </cell>
          <cell r="AU145">
            <v>583.51883557692315</v>
          </cell>
          <cell r="AX145" t="str">
            <v>374</v>
          </cell>
          <cell r="AZ145" t="str">
            <v>Dawood Mohammed Azan Al Qasmi</v>
          </cell>
          <cell r="BA145" t="str">
            <v>002-254464-035</v>
          </cell>
          <cell r="BB145" t="str">
            <v>HSBC</v>
          </cell>
          <cell r="BC145" t="str">
            <v>Ruwi</v>
          </cell>
          <cell r="BD145">
            <v>583.51883557692315</v>
          </cell>
        </row>
        <row r="146">
          <cell r="B146">
            <v>377</v>
          </cell>
          <cell r="C146" t="str">
            <v>Salim Khalfan Salim Al Rajibi</v>
          </cell>
          <cell r="D146" t="str">
            <v>Labour</v>
          </cell>
          <cell r="E146">
            <v>38724</v>
          </cell>
          <cell r="F146">
            <v>1.4226923076923077</v>
          </cell>
          <cell r="G146">
            <v>0.88918269230769231</v>
          </cell>
          <cell r="H146">
            <v>21</v>
          </cell>
          <cell r="I146">
            <v>55</v>
          </cell>
          <cell r="K146">
            <v>16</v>
          </cell>
          <cell r="L146">
            <v>14</v>
          </cell>
          <cell r="M146">
            <v>0</v>
          </cell>
          <cell r="N146">
            <v>0</v>
          </cell>
          <cell r="O146">
            <v>30</v>
          </cell>
          <cell r="P146">
            <v>56</v>
          </cell>
          <cell r="Q146">
            <v>1.68</v>
          </cell>
          <cell r="R146">
            <v>123.3</v>
          </cell>
          <cell r="S146">
            <v>85</v>
          </cell>
          <cell r="T146">
            <v>2</v>
          </cell>
          <cell r="U146">
            <v>5</v>
          </cell>
          <cell r="V146">
            <v>4.5</v>
          </cell>
          <cell r="W146">
            <v>123.30000000000001</v>
          </cell>
          <cell r="X146">
            <v>85</v>
          </cell>
          <cell r="Y146">
            <v>2</v>
          </cell>
          <cell r="Z146">
            <v>5</v>
          </cell>
          <cell r="AA146">
            <v>48.90504807692308</v>
          </cell>
          <cell r="AB146">
            <v>72</v>
          </cell>
          <cell r="AC146">
            <v>16</v>
          </cell>
          <cell r="AD146">
            <v>29.876538461538463</v>
          </cell>
          <cell r="AH146">
            <v>0</v>
          </cell>
          <cell r="AI146">
            <v>0</v>
          </cell>
          <cell r="AJ146">
            <v>0</v>
          </cell>
          <cell r="AK146">
            <v>0</v>
          </cell>
          <cell r="AL146">
            <v>39.568629807692311</v>
          </cell>
          <cell r="AM146">
            <v>89.629615384615391</v>
          </cell>
          <cell r="AN146">
            <v>18</v>
          </cell>
          <cell r="AP146">
            <v>123</v>
          </cell>
          <cell r="AQ146">
            <v>652.27983173076927</v>
          </cell>
          <cell r="AR146">
            <v>8.0145</v>
          </cell>
          <cell r="AT146">
            <v>8.0145</v>
          </cell>
          <cell r="AU146">
            <v>644.26533173076928</v>
          </cell>
          <cell r="AX146">
            <v>377</v>
          </cell>
          <cell r="AZ146" t="str">
            <v>Salim Khalfan Salim Al Rajibi</v>
          </cell>
          <cell r="BA146" t="str">
            <v>002-254522-035</v>
          </cell>
          <cell r="BB146" t="str">
            <v>HSBC</v>
          </cell>
          <cell r="BC146" t="str">
            <v>Ruwi</v>
          </cell>
          <cell r="BD146">
            <v>644.26533173076928</v>
          </cell>
        </row>
        <row r="147">
          <cell r="B147">
            <v>378</v>
          </cell>
          <cell r="C147" t="str">
            <v>Al Sabaa Juma Al Sabaa Al Jadeedi</v>
          </cell>
          <cell r="D147" t="str">
            <v>Labour</v>
          </cell>
          <cell r="E147">
            <v>38724</v>
          </cell>
          <cell r="F147">
            <v>1.4223461538461539</v>
          </cell>
          <cell r="G147">
            <v>0.88896634615384618</v>
          </cell>
          <cell r="H147">
            <v>20</v>
          </cell>
          <cell r="I147">
            <v>28</v>
          </cell>
          <cell r="K147">
            <v>16</v>
          </cell>
          <cell r="L147">
            <v>0</v>
          </cell>
          <cell r="M147">
            <v>0</v>
          </cell>
          <cell r="N147">
            <v>0</v>
          </cell>
          <cell r="O147">
            <v>16</v>
          </cell>
          <cell r="P147">
            <v>58</v>
          </cell>
          <cell r="Q147">
            <v>1.74</v>
          </cell>
          <cell r="R147">
            <v>123.27</v>
          </cell>
          <cell r="S147">
            <v>85</v>
          </cell>
          <cell r="T147">
            <v>2</v>
          </cell>
          <cell r="U147">
            <v>5</v>
          </cell>
          <cell r="V147">
            <v>4.5</v>
          </cell>
          <cell r="W147">
            <v>65.744</v>
          </cell>
          <cell r="X147">
            <v>45.333333333333336</v>
          </cell>
          <cell r="Y147">
            <v>1.0666666666666667</v>
          </cell>
          <cell r="Z147">
            <v>2.6666666666666665</v>
          </cell>
          <cell r="AA147">
            <v>24.891057692307694</v>
          </cell>
          <cell r="AB147">
            <v>72</v>
          </cell>
          <cell r="AD147">
            <v>28.446923076923078</v>
          </cell>
          <cell r="AH147">
            <v>0</v>
          </cell>
          <cell r="AI147">
            <v>0</v>
          </cell>
          <cell r="AJ147">
            <v>0</v>
          </cell>
          <cell r="AK147">
            <v>0</v>
          </cell>
          <cell r="AL147">
            <v>0</v>
          </cell>
          <cell r="AM147">
            <v>85.34076923076924</v>
          </cell>
          <cell r="AN147">
            <v>27</v>
          </cell>
          <cell r="AP147">
            <v>123</v>
          </cell>
          <cell r="AQ147">
            <v>475.48941666666667</v>
          </cell>
          <cell r="AR147">
            <v>8.0125499999999992</v>
          </cell>
          <cell r="AT147">
            <v>8.0125499999999992</v>
          </cell>
          <cell r="AU147">
            <v>467.47686666666669</v>
          </cell>
          <cell r="AX147">
            <v>378</v>
          </cell>
          <cell r="AZ147" t="str">
            <v>Al Sabaa Juma Al Sabaa Al Jadeedi</v>
          </cell>
          <cell r="BA147" t="str">
            <v>62-130560084012</v>
          </cell>
          <cell r="BB147" t="str">
            <v>Bank Muscat</v>
          </cell>
          <cell r="BC147" t="str">
            <v>Bahla</v>
          </cell>
          <cell r="BD147">
            <v>467.47686666666669</v>
          </cell>
        </row>
        <row r="148">
          <cell r="B148">
            <v>381</v>
          </cell>
          <cell r="C148" t="str">
            <v>Youseph Abdullah Bukheit Al Ghafri</v>
          </cell>
          <cell r="D148" t="str">
            <v>Labour</v>
          </cell>
          <cell r="E148">
            <v>38724</v>
          </cell>
          <cell r="F148">
            <v>1.4192307692307693</v>
          </cell>
          <cell r="G148">
            <v>0.88701923076923084</v>
          </cell>
          <cell r="H148">
            <v>0</v>
          </cell>
          <cell r="I148">
            <v>42</v>
          </cell>
          <cell r="K148">
            <v>21</v>
          </cell>
          <cell r="L148">
            <v>9</v>
          </cell>
          <cell r="M148">
            <v>0</v>
          </cell>
          <cell r="N148">
            <v>0</v>
          </cell>
          <cell r="O148">
            <v>30</v>
          </cell>
          <cell r="P148">
            <v>50</v>
          </cell>
          <cell r="Q148">
            <v>1.5</v>
          </cell>
          <cell r="R148">
            <v>123</v>
          </cell>
          <cell r="S148">
            <v>85</v>
          </cell>
          <cell r="T148">
            <v>2</v>
          </cell>
          <cell r="U148">
            <v>5</v>
          </cell>
          <cell r="V148">
            <v>4.5</v>
          </cell>
          <cell r="W148">
            <v>122.99999999999999</v>
          </cell>
          <cell r="X148">
            <v>85</v>
          </cell>
          <cell r="Y148">
            <v>2</v>
          </cell>
          <cell r="Z148">
            <v>5</v>
          </cell>
          <cell r="AA148">
            <v>37.254807692307693</v>
          </cell>
          <cell r="AB148">
            <v>94.5</v>
          </cell>
          <cell r="AD148">
            <v>0</v>
          </cell>
          <cell r="AH148">
            <v>0</v>
          </cell>
          <cell r="AI148">
            <v>0</v>
          </cell>
          <cell r="AJ148">
            <v>0</v>
          </cell>
          <cell r="AK148">
            <v>0</v>
          </cell>
          <cell r="AL148">
            <v>0</v>
          </cell>
          <cell r="AM148">
            <v>85.15384615384616</v>
          </cell>
          <cell r="AN148">
            <v>27</v>
          </cell>
          <cell r="AP148">
            <v>123</v>
          </cell>
          <cell r="AQ148">
            <v>581.90865384615381</v>
          </cell>
          <cell r="AR148">
            <v>7.9950000000000001</v>
          </cell>
          <cell r="AT148">
            <v>7.9950000000000001</v>
          </cell>
          <cell r="AU148">
            <v>573.91365384615381</v>
          </cell>
          <cell r="AX148">
            <v>381</v>
          </cell>
          <cell r="AZ148" t="str">
            <v>Youseph Abdullah Bukheit Al Ghafri</v>
          </cell>
          <cell r="BA148" t="str">
            <v>119-130240084011</v>
          </cell>
          <cell r="BB148" t="str">
            <v>Bank Muscat</v>
          </cell>
          <cell r="BC148" t="str">
            <v>Al Dareez</v>
          </cell>
          <cell r="BD148">
            <v>573.91365384615381</v>
          </cell>
        </row>
        <row r="149">
          <cell r="B149">
            <v>382</v>
          </cell>
          <cell r="C149" t="str">
            <v>Mohammed Suliman Said Al Qasmi</v>
          </cell>
          <cell r="D149" t="str">
            <v>Labour</v>
          </cell>
          <cell r="E149">
            <v>38724</v>
          </cell>
          <cell r="F149">
            <v>1.4213076923076924</v>
          </cell>
          <cell r="G149">
            <v>0.88831730769230777</v>
          </cell>
          <cell r="H149">
            <v>20</v>
          </cell>
          <cell r="I149">
            <v>77</v>
          </cell>
          <cell r="K149">
            <v>23</v>
          </cell>
          <cell r="L149">
            <v>7</v>
          </cell>
          <cell r="M149">
            <v>0</v>
          </cell>
          <cell r="N149">
            <v>0</v>
          </cell>
          <cell r="O149">
            <v>30</v>
          </cell>
          <cell r="P149">
            <v>53</v>
          </cell>
          <cell r="Q149">
            <v>1.5899999999999999</v>
          </cell>
          <cell r="R149">
            <v>123.18</v>
          </cell>
          <cell r="S149">
            <v>85</v>
          </cell>
          <cell r="T149">
            <v>2</v>
          </cell>
          <cell r="U149">
            <v>5</v>
          </cell>
          <cell r="V149">
            <v>4.5</v>
          </cell>
          <cell r="W149">
            <v>123.17999999999999</v>
          </cell>
          <cell r="X149">
            <v>85</v>
          </cell>
          <cell r="Y149">
            <v>2</v>
          </cell>
          <cell r="Z149">
            <v>5</v>
          </cell>
          <cell r="AA149">
            <v>68.400432692307703</v>
          </cell>
          <cell r="AB149">
            <v>103.5</v>
          </cell>
          <cell r="AD149">
            <v>28.426153846153849</v>
          </cell>
          <cell r="AH149">
            <v>0</v>
          </cell>
          <cell r="AI149">
            <v>0</v>
          </cell>
          <cell r="AJ149">
            <v>0</v>
          </cell>
          <cell r="AK149">
            <v>0</v>
          </cell>
          <cell r="AL149">
            <v>7.1065384615384621</v>
          </cell>
          <cell r="AM149">
            <v>85.278461538461542</v>
          </cell>
          <cell r="AN149">
            <v>27</v>
          </cell>
          <cell r="AP149">
            <v>123</v>
          </cell>
          <cell r="AQ149">
            <v>657.89158653846152</v>
          </cell>
          <cell r="AR149">
            <v>8.0067000000000004</v>
          </cell>
          <cell r="AT149">
            <v>8.0067000000000004</v>
          </cell>
          <cell r="AU149">
            <v>649.8848865384615</v>
          </cell>
          <cell r="AX149">
            <v>382</v>
          </cell>
          <cell r="AZ149" t="str">
            <v>Mohammed Suliman Said Al Qasmi</v>
          </cell>
          <cell r="BA149" t="str">
            <v>043-182740084-016</v>
          </cell>
          <cell r="BB149" t="str">
            <v>Bank Muscat</v>
          </cell>
          <cell r="BC149" t="str">
            <v>Fanja</v>
          </cell>
          <cell r="BD149">
            <v>649.8848865384615</v>
          </cell>
        </row>
        <row r="150">
          <cell r="B150">
            <v>384</v>
          </cell>
          <cell r="C150" t="str">
            <v>Yousuf Musabah Ghanim Al Ghafri</v>
          </cell>
          <cell r="D150" t="str">
            <v>Labour</v>
          </cell>
          <cell r="E150">
            <v>38724</v>
          </cell>
          <cell r="F150">
            <v>1.4199230769230768</v>
          </cell>
          <cell r="G150">
            <v>0.887451923076923</v>
          </cell>
          <cell r="H150">
            <v>20</v>
          </cell>
          <cell r="I150">
            <v>18</v>
          </cell>
          <cell r="K150">
            <v>12</v>
          </cell>
          <cell r="L150">
            <v>18</v>
          </cell>
          <cell r="M150">
            <v>0</v>
          </cell>
          <cell r="N150">
            <v>0</v>
          </cell>
          <cell r="O150">
            <v>30</v>
          </cell>
          <cell r="P150">
            <v>52</v>
          </cell>
          <cell r="Q150">
            <v>1.56</v>
          </cell>
          <cell r="R150">
            <v>123.06</v>
          </cell>
          <cell r="S150">
            <v>85</v>
          </cell>
          <cell r="T150">
            <v>2</v>
          </cell>
          <cell r="U150">
            <v>5</v>
          </cell>
          <cell r="V150">
            <v>4.5</v>
          </cell>
          <cell r="W150">
            <v>123.06</v>
          </cell>
          <cell r="X150">
            <v>85</v>
          </cell>
          <cell r="Y150">
            <v>2</v>
          </cell>
          <cell r="Z150">
            <v>5</v>
          </cell>
          <cell r="AA150">
            <v>15.974134615384614</v>
          </cell>
          <cell r="AB150">
            <v>54</v>
          </cell>
          <cell r="AD150">
            <v>28.398461538461536</v>
          </cell>
          <cell r="AH150">
            <v>0</v>
          </cell>
          <cell r="AI150">
            <v>0</v>
          </cell>
          <cell r="AJ150">
            <v>0</v>
          </cell>
          <cell r="AK150">
            <v>0</v>
          </cell>
          <cell r="AL150">
            <v>0</v>
          </cell>
          <cell r="AM150">
            <v>85.195384615384611</v>
          </cell>
          <cell r="AN150">
            <v>27</v>
          </cell>
          <cell r="AP150">
            <v>123</v>
          </cell>
          <cell r="AQ150">
            <v>548.62798076923082</v>
          </cell>
          <cell r="AR150">
            <v>7.9989000000000008</v>
          </cell>
          <cell r="AT150">
            <v>7.9989000000000008</v>
          </cell>
          <cell r="AU150">
            <v>540.62908076923077</v>
          </cell>
          <cell r="AX150">
            <v>384</v>
          </cell>
          <cell r="AZ150" t="str">
            <v>Yousuf Musabah Ghanim Al Ghafri</v>
          </cell>
          <cell r="BA150" t="str">
            <v>119-129190084010</v>
          </cell>
          <cell r="BB150" t="str">
            <v>Bank Muscat</v>
          </cell>
          <cell r="BC150" t="str">
            <v>Al Dareez</v>
          </cell>
          <cell r="BD150">
            <v>540.62908076923077</v>
          </cell>
        </row>
        <row r="151">
          <cell r="B151">
            <v>385</v>
          </cell>
          <cell r="C151" t="str">
            <v>Nasser Sulaiman Hamood Al Tabahi</v>
          </cell>
          <cell r="D151" t="str">
            <v>Labour</v>
          </cell>
          <cell r="E151">
            <v>38724</v>
          </cell>
          <cell r="F151">
            <v>1.4192307692307693</v>
          </cell>
          <cell r="G151">
            <v>0.88701923076923084</v>
          </cell>
          <cell r="H151">
            <v>0</v>
          </cell>
          <cell r="I151">
            <v>0</v>
          </cell>
          <cell r="K151">
            <v>0</v>
          </cell>
          <cell r="L151">
            <v>0</v>
          </cell>
          <cell r="M151">
            <v>0</v>
          </cell>
          <cell r="N151">
            <v>0</v>
          </cell>
          <cell r="O151">
            <v>0</v>
          </cell>
          <cell r="P151">
            <v>50</v>
          </cell>
          <cell r="Q151">
            <v>1.5</v>
          </cell>
          <cell r="R151">
            <v>123</v>
          </cell>
          <cell r="S151">
            <v>85</v>
          </cell>
          <cell r="T151">
            <v>2</v>
          </cell>
          <cell r="U151">
            <v>5</v>
          </cell>
          <cell r="V151">
            <v>4.5</v>
          </cell>
          <cell r="W151">
            <v>0</v>
          </cell>
          <cell r="X151">
            <v>0</v>
          </cell>
          <cell r="Y151">
            <v>0</v>
          </cell>
          <cell r="Z151">
            <v>0</v>
          </cell>
          <cell r="AA151">
            <v>0</v>
          </cell>
          <cell r="AB151">
            <v>0</v>
          </cell>
          <cell r="AD151">
            <v>0</v>
          </cell>
          <cell r="AH151">
            <v>0</v>
          </cell>
          <cell r="AI151">
            <v>0</v>
          </cell>
          <cell r="AJ151">
            <v>0</v>
          </cell>
          <cell r="AK151">
            <v>0</v>
          </cell>
          <cell r="AL151">
            <v>0</v>
          </cell>
          <cell r="AM151">
            <v>0</v>
          </cell>
          <cell r="AN151">
            <v>0</v>
          </cell>
          <cell r="AP151">
            <v>0</v>
          </cell>
          <cell r="AQ151">
            <v>0</v>
          </cell>
          <cell r="AT151">
            <v>0</v>
          </cell>
          <cell r="AU151">
            <v>0</v>
          </cell>
          <cell r="AV151" t="str">
            <v>30 Days HLV</v>
          </cell>
          <cell r="AX151">
            <v>385</v>
          </cell>
          <cell r="AZ151" t="str">
            <v>Nasser Sulaiman Hamood Al Tabahi</v>
          </cell>
          <cell r="BA151" t="str">
            <v>0065-23317-0084-016</v>
          </cell>
          <cell r="BB151" t="str">
            <v>Bank Muscat</v>
          </cell>
          <cell r="BC151" t="str">
            <v>Ruwi</v>
          </cell>
          <cell r="BD151">
            <v>0</v>
          </cell>
        </row>
        <row r="152">
          <cell r="B152">
            <v>386</v>
          </cell>
          <cell r="C152" t="str">
            <v>Saif Hamood Yasir Al Harrasi</v>
          </cell>
          <cell r="D152" t="str">
            <v>Labour</v>
          </cell>
          <cell r="E152">
            <v>38724</v>
          </cell>
          <cell r="F152">
            <v>1.4209615384615386</v>
          </cell>
          <cell r="G152">
            <v>0.88810096153846163</v>
          </cell>
          <cell r="H152">
            <v>21</v>
          </cell>
          <cell r="I152">
            <v>52.5</v>
          </cell>
          <cell r="K152">
            <v>23</v>
          </cell>
          <cell r="L152">
            <v>7</v>
          </cell>
          <cell r="M152">
            <v>0</v>
          </cell>
          <cell r="N152">
            <v>0</v>
          </cell>
          <cell r="O152">
            <v>30</v>
          </cell>
          <cell r="P152">
            <v>53</v>
          </cell>
          <cell r="Q152">
            <v>1.5899999999999999</v>
          </cell>
          <cell r="R152">
            <v>123.15</v>
          </cell>
          <cell r="S152">
            <v>85</v>
          </cell>
          <cell r="T152">
            <v>2</v>
          </cell>
          <cell r="U152">
            <v>5</v>
          </cell>
          <cell r="V152">
            <v>4.5</v>
          </cell>
          <cell r="W152">
            <v>123.15</v>
          </cell>
          <cell r="X152">
            <v>85</v>
          </cell>
          <cell r="Y152">
            <v>2</v>
          </cell>
          <cell r="Z152">
            <v>5</v>
          </cell>
          <cell r="AA152">
            <v>46.625300480769234</v>
          </cell>
          <cell r="AB152">
            <v>103.5</v>
          </cell>
          <cell r="AC152">
            <v>23</v>
          </cell>
          <cell r="AD152">
            <v>29.840192307692313</v>
          </cell>
          <cell r="AH152">
            <v>0</v>
          </cell>
          <cell r="AI152">
            <v>0</v>
          </cell>
          <cell r="AJ152">
            <v>0</v>
          </cell>
          <cell r="AK152">
            <v>0</v>
          </cell>
          <cell r="AL152">
            <v>5.3286057692307693</v>
          </cell>
          <cell r="AM152">
            <v>0</v>
          </cell>
          <cell r="AN152">
            <v>0</v>
          </cell>
          <cell r="AP152">
            <v>0</v>
          </cell>
          <cell r="AQ152">
            <v>423.44409855769231</v>
          </cell>
          <cell r="AR152">
            <v>8.0047500000000014</v>
          </cell>
          <cell r="AT152">
            <v>8.0047500000000014</v>
          </cell>
          <cell r="AU152">
            <v>415.43934855769231</v>
          </cell>
          <cell r="AX152">
            <v>386</v>
          </cell>
          <cell r="AZ152" t="str">
            <v>Saif Hamood Yasir Al Harrasi</v>
          </cell>
          <cell r="BA152" t="str">
            <v>062-181000084-018</v>
          </cell>
          <cell r="BB152" t="str">
            <v>Bank Muscat</v>
          </cell>
          <cell r="BC152" t="str">
            <v>Bahla</v>
          </cell>
          <cell r="BD152">
            <v>415.43934855769231</v>
          </cell>
        </row>
        <row r="153">
          <cell r="B153">
            <v>387</v>
          </cell>
          <cell r="C153" t="str">
            <v>Yasir Abdullah Rashid Al Kalbani</v>
          </cell>
          <cell r="D153" t="str">
            <v>Labour</v>
          </cell>
          <cell r="E153">
            <v>38724</v>
          </cell>
          <cell r="F153">
            <v>1.4209615384615386</v>
          </cell>
          <cell r="G153">
            <v>0.88810096153846163</v>
          </cell>
          <cell r="H153">
            <v>0</v>
          </cell>
          <cell r="I153">
            <v>0</v>
          </cell>
          <cell r="K153">
            <v>0</v>
          </cell>
          <cell r="L153">
            <v>0</v>
          </cell>
          <cell r="M153">
            <v>0</v>
          </cell>
          <cell r="N153">
            <v>0</v>
          </cell>
          <cell r="O153">
            <v>0</v>
          </cell>
          <cell r="P153">
            <v>54</v>
          </cell>
          <cell r="Q153">
            <v>1.6199999999999999</v>
          </cell>
          <cell r="R153">
            <v>123.15</v>
          </cell>
          <cell r="S153">
            <v>85</v>
          </cell>
          <cell r="T153">
            <v>2</v>
          </cell>
          <cell r="U153">
            <v>5</v>
          </cell>
          <cell r="V153">
            <v>4.5</v>
          </cell>
          <cell r="W153">
            <v>0</v>
          </cell>
          <cell r="X153">
            <v>0</v>
          </cell>
          <cell r="Y153">
            <v>0</v>
          </cell>
          <cell r="Z153">
            <v>0</v>
          </cell>
          <cell r="AA153">
            <v>0</v>
          </cell>
          <cell r="AB153">
            <v>0</v>
          </cell>
          <cell r="AD153">
            <v>0</v>
          </cell>
          <cell r="AH153">
            <v>0</v>
          </cell>
          <cell r="AI153">
            <v>0</v>
          </cell>
          <cell r="AJ153">
            <v>0</v>
          </cell>
          <cell r="AK153">
            <v>0</v>
          </cell>
          <cell r="AL153">
            <v>0</v>
          </cell>
          <cell r="AM153">
            <v>0</v>
          </cell>
          <cell r="AN153">
            <v>0</v>
          </cell>
          <cell r="AP153">
            <v>0</v>
          </cell>
          <cell r="AQ153">
            <v>0</v>
          </cell>
          <cell r="AT153">
            <v>0</v>
          </cell>
          <cell r="AU153">
            <v>0</v>
          </cell>
          <cell r="AV153" t="str">
            <v>30 Days HLV</v>
          </cell>
          <cell r="AX153">
            <v>387</v>
          </cell>
          <cell r="AZ153" t="str">
            <v>Yasir Abdullah Rashid Al Kalbani</v>
          </cell>
          <cell r="BA153" t="str">
            <v>014-1117590084-015</v>
          </cell>
          <cell r="BB153" t="str">
            <v>Bank Muscat</v>
          </cell>
          <cell r="BD153">
            <v>0</v>
          </cell>
        </row>
        <row r="154">
          <cell r="B154">
            <v>388</v>
          </cell>
          <cell r="C154" t="str">
            <v>Jamal Abdullah Khalfan Al Sharji</v>
          </cell>
          <cell r="D154" t="str">
            <v>Labour</v>
          </cell>
          <cell r="E154">
            <v>38724</v>
          </cell>
          <cell r="F154">
            <v>1.4213076923076924</v>
          </cell>
          <cell r="G154">
            <v>0.88831730769230777</v>
          </cell>
          <cell r="H154">
            <v>0</v>
          </cell>
          <cell r="I154">
            <v>134.5</v>
          </cell>
          <cell r="K154">
            <v>19</v>
          </cell>
          <cell r="L154">
            <v>9</v>
          </cell>
          <cell r="M154">
            <v>0</v>
          </cell>
          <cell r="N154">
            <v>2</v>
          </cell>
          <cell r="O154">
            <v>28</v>
          </cell>
          <cell r="P154">
            <v>54</v>
          </cell>
          <cell r="Q154">
            <v>1.6199999999999999</v>
          </cell>
          <cell r="R154">
            <v>123.18</v>
          </cell>
          <cell r="S154">
            <v>85</v>
          </cell>
          <cell r="T154">
            <v>2</v>
          </cell>
          <cell r="U154">
            <v>5</v>
          </cell>
          <cell r="V154">
            <v>4.5</v>
          </cell>
          <cell r="W154">
            <v>114.96799999999999</v>
          </cell>
          <cell r="X154">
            <v>79.333333333333343</v>
          </cell>
          <cell r="Y154">
            <v>1.8666666666666667</v>
          </cell>
          <cell r="Z154">
            <v>4.6666666666666661</v>
          </cell>
          <cell r="AA154">
            <v>119.47867788461539</v>
          </cell>
          <cell r="AB154">
            <v>85.5</v>
          </cell>
          <cell r="AD154">
            <v>0</v>
          </cell>
          <cell r="AH154">
            <v>0</v>
          </cell>
          <cell r="AI154">
            <v>0</v>
          </cell>
          <cell r="AJ154">
            <v>0</v>
          </cell>
          <cell r="AK154">
            <v>0</v>
          </cell>
          <cell r="AL154">
            <v>10.659807692307693</v>
          </cell>
          <cell r="AM154">
            <v>0</v>
          </cell>
          <cell r="AN154">
            <v>0</v>
          </cell>
          <cell r="AP154">
            <v>0</v>
          </cell>
          <cell r="AQ154">
            <v>416.47315224358977</v>
          </cell>
          <cell r="AR154">
            <v>8.0067000000000004</v>
          </cell>
          <cell r="AT154">
            <v>8.0067000000000004</v>
          </cell>
          <cell r="AU154">
            <v>408.46645224358974</v>
          </cell>
          <cell r="AX154">
            <v>388</v>
          </cell>
          <cell r="AZ154" t="str">
            <v>Jamal Abdullah Khalfan Al Sharji</v>
          </cell>
          <cell r="BA154" t="str">
            <v>075-169470084-017</v>
          </cell>
          <cell r="BB154" t="str">
            <v>Bank Muscat</v>
          </cell>
          <cell r="BC154" t="str">
            <v>Al Amerat</v>
          </cell>
          <cell r="BD154">
            <v>408.46645224358974</v>
          </cell>
        </row>
        <row r="155">
          <cell r="B155">
            <v>389</v>
          </cell>
          <cell r="C155" t="str">
            <v>Mohammed Ali Said Al Mahrouqi</v>
          </cell>
          <cell r="D155" t="str">
            <v>Labour</v>
          </cell>
          <cell r="E155">
            <v>38724</v>
          </cell>
          <cell r="F155">
            <v>1.4206153846153846</v>
          </cell>
          <cell r="G155">
            <v>0.88788461538461538</v>
          </cell>
          <cell r="H155">
            <v>20</v>
          </cell>
          <cell r="I155">
            <v>44</v>
          </cell>
          <cell r="K155">
            <v>14</v>
          </cell>
          <cell r="L155">
            <v>16</v>
          </cell>
          <cell r="M155">
            <v>0</v>
          </cell>
          <cell r="N155">
            <v>0</v>
          </cell>
          <cell r="O155">
            <v>30</v>
          </cell>
          <cell r="P155">
            <v>54</v>
          </cell>
          <cell r="Q155">
            <v>1.6199999999999999</v>
          </cell>
          <cell r="R155">
            <v>123.12</v>
          </cell>
          <cell r="S155">
            <v>85</v>
          </cell>
          <cell r="T155">
            <v>2</v>
          </cell>
          <cell r="U155">
            <v>5</v>
          </cell>
          <cell r="V155">
            <v>4.5</v>
          </cell>
          <cell r="W155">
            <v>123.12</v>
          </cell>
          <cell r="X155">
            <v>85</v>
          </cell>
          <cell r="Y155">
            <v>2</v>
          </cell>
          <cell r="Z155">
            <v>5</v>
          </cell>
          <cell r="AA155">
            <v>39.066923076923075</v>
          </cell>
          <cell r="AB155">
            <v>63</v>
          </cell>
          <cell r="AD155">
            <v>28.412307692307692</v>
          </cell>
          <cell r="AH155">
            <v>0</v>
          </cell>
          <cell r="AI155">
            <v>0</v>
          </cell>
          <cell r="AJ155">
            <v>0</v>
          </cell>
          <cell r="AK155">
            <v>0</v>
          </cell>
          <cell r="AL155">
            <v>49.721538461538458</v>
          </cell>
          <cell r="AM155">
            <v>0</v>
          </cell>
          <cell r="AN155">
            <v>0</v>
          </cell>
          <cell r="AP155">
            <v>0</v>
          </cell>
          <cell r="AQ155">
            <v>395.32076923076926</v>
          </cell>
          <cell r="AR155">
            <v>8.0028000000000006</v>
          </cell>
          <cell r="AT155">
            <v>8.0028000000000006</v>
          </cell>
          <cell r="AU155">
            <v>387.31796923076928</v>
          </cell>
          <cell r="AX155">
            <v>389</v>
          </cell>
          <cell r="AZ155" t="str">
            <v>Mohammed Ali Said Al Mahrouqi</v>
          </cell>
          <cell r="BA155" t="str">
            <v>28-092534-20</v>
          </cell>
          <cell r="BB155" t="str">
            <v>OIB</v>
          </cell>
          <cell r="BC155" t="str">
            <v>Adam</v>
          </cell>
          <cell r="BD155">
            <v>387.31796923076928</v>
          </cell>
        </row>
        <row r="156">
          <cell r="B156">
            <v>390</v>
          </cell>
          <cell r="C156" t="str">
            <v>Salim Mubarak Hamed Al Shaibani</v>
          </cell>
          <cell r="D156" t="str">
            <v>Asst Junior Observer</v>
          </cell>
          <cell r="E156">
            <v>38724</v>
          </cell>
          <cell r="F156">
            <v>1.5418846153846153</v>
          </cell>
          <cell r="G156">
            <v>0.96367788461538462</v>
          </cell>
          <cell r="H156">
            <v>24</v>
          </cell>
          <cell r="I156">
            <v>110</v>
          </cell>
          <cell r="K156">
            <v>16</v>
          </cell>
          <cell r="L156">
            <v>14</v>
          </cell>
          <cell r="M156">
            <v>0</v>
          </cell>
          <cell r="N156">
            <v>0</v>
          </cell>
          <cell r="O156">
            <v>30</v>
          </cell>
          <cell r="P156">
            <v>67</v>
          </cell>
          <cell r="Q156">
            <v>2.0099999999999998</v>
          </cell>
          <cell r="R156">
            <v>133.63</v>
          </cell>
          <cell r="S156">
            <v>85</v>
          </cell>
          <cell r="T156">
            <v>2</v>
          </cell>
          <cell r="U156">
            <v>5</v>
          </cell>
          <cell r="V156">
            <v>4.5</v>
          </cell>
          <cell r="W156">
            <v>133.63</v>
          </cell>
          <cell r="X156">
            <v>85</v>
          </cell>
          <cell r="Y156">
            <v>2</v>
          </cell>
          <cell r="Z156">
            <v>5</v>
          </cell>
          <cell r="AA156">
            <v>106.00456730769231</v>
          </cell>
          <cell r="AB156">
            <v>72</v>
          </cell>
          <cell r="AD156">
            <v>37.005230769230764</v>
          </cell>
          <cell r="AH156">
            <v>0</v>
          </cell>
          <cell r="AI156">
            <v>0</v>
          </cell>
          <cell r="AJ156">
            <v>0</v>
          </cell>
          <cell r="AK156">
            <v>0</v>
          </cell>
          <cell r="AL156">
            <v>122.86893028846154</v>
          </cell>
          <cell r="AM156">
            <v>111.01569230769231</v>
          </cell>
          <cell r="AN156">
            <v>27</v>
          </cell>
          <cell r="AP156">
            <v>123</v>
          </cell>
          <cell r="AQ156">
            <v>824.52442067307697</v>
          </cell>
          <cell r="AR156">
            <v>8.6859500000000001</v>
          </cell>
          <cell r="AT156">
            <v>8.6859500000000001</v>
          </cell>
          <cell r="AU156">
            <v>815.83847067307693</v>
          </cell>
          <cell r="AX156">
            <v>390</v>
          </cell>
          <cell r="AZ156" t="str">
            <v>Salim Mubarak Hamed Al Shaibani</v>
          </cell>
          <cell r="BA156" t="str">
            <v>28-024644-20</v>
          </cell>
          <cell r="BB156" t="str">
            <v>OIB</v>
          </cell>
          <cell r="BC156" t="str">
            <v>Adam</v>
          </cell>
          <cell r="BD156">
            <v>815.83847067307693</v>
          </cell>
        </row>
        <row r="157">
          <cell r="B157">
            <v>391</v>
          </cell>
          <cell r="C157" t="str">
            <v>Hilal Khalfan Ghalib Al Qasmi</v>
          </cell>
          <cell r="D157" t="str">
            <v>Labour</v>
          </cell>
          <cell r="E157">
            <v>38724</v>
          </cell>
          <cell r="F157">
            <v>1.4209615384615386</v>
          </cell>
          <cell r="G157">
            <v>0.88810096153846163</v>
          </cell>
          <cell r="H157">
            <v>0</v>
          </cell>
          <cell r="I157">
            <v>32</v>
          </cell>
          <cell r="K157">
            <v>16</v>
          </cell>
          <cell r="L157">
            <v>11</v>
          </cell>
          <cell r="M157">
            <v>3</v>
          </cell>
          <cell r="N157">
            <v>0</v>
          </cell>
          <cell r="O157">
            <v>30</v>
          </cell>
          <cell r="P157">
            <v>54</v>
          </cell>
          <cell r="Q157">
            <v>1.6199999999999999</v>
          </cell>
          <cell r="R157">
            <v>123.15</v>
          </cell>
          <cell r="S157">
            <v>85</v>
          </cell>
          <cell r="T157">
            <v>2</v>
          </cell>
          <cell r="U157">
            <v>5</v>
          </cell>
          <cell r="V157">
            <v>4.5</v>
          </cell>
          <cell r="W157">
            <v>123.15</v>
          </cell>
          <cell r="X157">
            <v>85</v>
          </cell>
          <cell r="Y157">
            <v>2</v>
          </cell>
          <cell r="Z157">
            <v>5</v>
          </cell>
          <cell r="AA157">
            <v>28.419230769230772</v>
          </cell>
          <cell r="AB157">
            <v>72</v>
          </cell>
          <cell r="AD157">
            <v>0</v>
          </cell>
          <cell r="AH157">
            <v>0</v>
          </cell>
          <cell r="AI157">
            <v>0</v>
          </cell>
          <cell r="AJ157">
            <v>0</v>
          </cell>
          <cell r="AK157">
            <v>0</v>
          </cell>
          <cell r="AL157">
            <v>-3.5524038461538465</v>
          </cell>
          <cell r="AM157">
            <v>85.257692307692309</v>
          </cell>
          <cell r="AN157">
            <v>22.5</v>
          </cell>
          <cell r="AP157">
            <v>123</v>
          </cell>
          <cell r="AQ157">
            <v>542.77451923076933</v>
          </cell>
          <cell r="AR157">
            <v>8.0047500000000014</v>
          </cell>
          <cell r="AT157">
            <v>8.0047500000000014</v>
          </cell>
          <cell r="AU157">
            <v>534.76976923076927</v>
          </cell>
          <cell r="AX157">
            <v>391</v>
          </cell>
          <cell r="AZ157" t="str">
            <v>Hilal Khalfan Ghalib Al Qasmi</v>
          </cell>
          <cell r="BA157" t="str">
            <v>34-81737 0084-015</v>
          </cell>
          <cell r="BB157" t="str">
            <v>Bank Muscat</v>
          </cell>
          <cell r="BC157" t="str">
            <v>Seeb</v>
          </cell>
          <cell r="BD157">
            <v>534.76976923076927</v>
          </cell>
        </row>
        <row r="158">
          <cell r="B158">
            <v>392</v>
          </cell>
          <cell r="C158" t="str">
            <v>Moosa Musabah Khalfan Al Ghafri</v>
          </cell>
          <cell r="D158" t="str">
            <v>Radio Operater</v>
          </cell>
          <cell r="E158">
            <v>38724</v>
          </cell>
          <cell r="F158">
            <v>1.4368846153846155</v>
          </cell>
          <cell r="G158">
            <v>0.89805288461538468</v>
          </cell>
          <cell r="H158">
            <v>20</v>
          </cell>
          <cell r="I158">
            <v>97.5</v>
          </cell>
          <cell r="K158">
            <v>23</v>
          </cell>
          <cell r="L158">
            <v>7</v>
          </cell>
          <cell r="M158">
            <v>0</v>
          </cell>
          <cell r="N158">
            <v>0</v>
          </cell>
          <cell r="O158">
            <v>30</v>
          </cell>
          <cell r="P158">
            <v>88</v>
          </cell>
          <cell r="Q158">
            <v>2.6399999999999997</v>
          </cell>
          <cell r="R158">
            <v>124.53</v>
          </cell>
          <cell r="S158">
            <v>100</v>
          </cell>
          <cell r="T158">
            <v>2</v>
          </cell>
          <cell r="U158">
            <v>5</v>
          </cell>
          <cell r="V158">
            <v>4.5</v>
          </cell>
          <cell r="W158">
            <v>124.53</v>
          </cell>
          <cell r="X158">
            <v>100</v>
          </cell>
          <cell r="Y158">
            <v>2</v>
          </cell>
          <cell r="Z158">
            <v>5</v>
          </cell>
          <cell r="AA158">
            <v>87.560156250000006</v>
          </cell>
          <cell r="AB158">
            <v>103.5</v>
          </cell>
          <cell r="AD158">
            <v>28.73769230769231</v>
          </cell>
          <cell r="AH158">
            <v>0</v>
          </cell>
          <cell r="AI158">
            <v>0</v>
          </cell>
          <cell r="AJ158">
            <v>0</v>
          </cell>
          <cell r="AK158">
            <v>0</v>
          </cell>
          <cell r="AL158">
            <v>32.778930288461538</v>
          </cell>
          <cell r="AM158">
            <v>0</v>
          </cell>
          <cell r="AN158">
            <v>0</v>
          </cell>
          <cell r="AP158">
            <v>0</v>
          </cell>
          <cell r="AQ158">
            <v>484.10677884615387</v>
          </cell>
          <cell r="AR158">
            <v>8.0944500000000001</v>
          </cell>
          <cell r="AT158">
            <v>8.0944500000000001</v>
          </cell>
          <cell r="AU158">
            <v>476.01232884615388</v>
          </cell>
          <cell r="AV158" t="str">
            <v>Housing Allowance revised to 100 from 1/11/2008</v>
          </cell>
          <cell r="AX158">
            <v>392</v>
          </cell>
          <cell r="AZ158" t="str">
            <v>Moosa Musabah Khalfan Al Ghafri</v>
          </cell>
          <cell r="BA158" t="str">
            <v>27-183276-20</v>
          </cell>
          <cell r="BB158" t="str">
            <v>OIB</v>
          </cell>
          <cell r="BC158" t="str">
            <v>Ibri</v>
          </cell>
          <cell r="BD158">
            <v>476.01232884615388</v>
          </cell>
        </row>
        <row r="159">
          <cell r="B159">
            <v>393</v>
          </cell>
          <cell r="C159" t="str">
            <v>Abdullah Said Khamis Al Qasasibi</v>
          </cell>
          <cell r="D159" t="str">
            <v>Labour</v>
          </cell>
          <cell r="E159">
            <v>38724</v>
          </cell>
          <cell r="F159">
            <v>1.4230384615384615</v>
          </cell>
          <cell r="G159">
            <v>0.88939903846153845</v>
          </cell>
          <cell r="H159">
            <v>0</v>
          </cell>
          <cell r="I159">
            <v>102</v>
          </cell>
          <cell r="K159">
            <v>21</v>
          </cell>
          <cell r="L159">
            <v>9</v>
          </cell>
          <cell r="M159">
            <v>0</v>
          </cell>
          <cell r="N159">
            <v>0</v>
          </cell>
          <cell r="O159">
            <v>30</v>
          </cell>
          <cell r="P159">
            <v>58</v>
          </cell>
          <cell r="Q159">
            <v>1.74</v>
          </cell>
          <cell r="R159">
            <v>123.33</v>
          </cell>
          <cell r="S159">
            <v>85</v>
          </cell>
          <cell r="T159">
            <v>2</v>
          </cell>
          <cell r="U159">
            <v>5</v>
          </cell>
          <cell r="V159">
            <v>4.5</v>
          </cell>
          <cell r="W159">
            <v>123.33</v>
          </cell>
          <cell r="X159">
            <v>85</v>
          </cell>
          <cell r="Y159">
            <v>2</v>
          </cell>
          <cell r="Z159">
            <v>5</v>
          </cell>
          <cell r="AA159">
            <v>90.718701923076921</v>
          </cell>
          <cell r="AB159">
            <v>94.5</v>
          </cell>
          <cell r="AD159">
            <v>0</v>
          </cell>
          <cell r="AH159">
            <v>0</v>
          </cell>
          <cell r="AI159">
            <v>0</v>
          </cell>
          <cell r="AJ159">
            <v>0</v>
          </cell>
          <cell r="AK159">
            <v>0</v>
          </cell>
          <cell r="AL159">
            <v>24.903173076923075</v>
          </cell>
          <cell r="AM159">
            <v>85.382307692307691</v>
          </cell>
          <cell r="AN159">
            <v>27</v>
          </cell>
          <cell r="AP159">
            <v>123</v>
          </cell>
          <cell r="AQ159">
            <v>660.83418269230765</v>
          </cell>
          <cell r="AR159">
            <v>8.0164500000000007</v>
          </cell>
          <cell r="AT159">
            <v>8.0164500000000007</v>
          </cell>
          <cell r="AU159">
            <v>652.81773269230769</v>
          </cell>
          <cell r="AX159">
            <v>393</v>
          </cell>
          <cell r="AZ159" t="str">
            <v>Abdullah Said Khamis Al Qasasibi</v>
          </cell>
          <cell r="BA159" t="str">
            <v>62-13418-008401-5</v>
          </cell>
          <cell r="BB159" t="str">
            <v>Bank Muscat</v>
          </cell>
          <cell r="BC159" t="str">
            <v>Bahla</v>
          </cell>
          <cell r="BD159">
            <v>652.81773269230769</v>
          </cell>
        </row>
        <row r="160">
          <cell r="B160">
            <v>394</v>
          </cell>
          <cell r="C160" t="str">
            <v>Husni Mubarak Hamed Al Asmi</v>
          </cell>
          <cell r="D160" t="str">
            <v>Labour</v>
          </cell>
          <cell r="E160" t="str">
            <v>19/8/2006</v>
          </cell>
          <cell r="F160">
            <v>1.4195769230769233</v>
          </cell>
          <cell r="G160">
            <v>0.88723557692307708</v>
          </cell>
          <cell r="H160">
            <v>0</v>
          </cell>
          <cell r="I160">
            <v>112.5</v>
          </cell>
          <cell r="K160">
            <v>21</v>
          </cell>
          <cell r="L160">
            <v>9</v>
          </cell>
          <cell r="M160">
            <v>0</v>
          </cell>
          <cell r="N160">
            <v>0</v>
          </cell>
          <cell r="O160">
            <v>30</v>
          </cell>
          <cell r="P160">
            <v>52</v>
          </cell>
          <cell r="Q160">
            <v>1.56</v>
          </cell>
          <cell r="R160">
            <v>123.03</v>
          </cell>
          <cell r="S160">
            <v>85</v>
          </cell>
          <cell r="T160">
            <v>2</v>
          </cell>
          <cell r="U160">
            <v>5</v>
          </cell>
          <cell r="V160">
            <v>4.5</v>
          </cell>
          <cell r="W160">
            <v>123.03</v>
          </cell>
          <cell r="X160">
            <v>85</v>
          </cell>
          <cell r="Y160">
            <v>2</v>
          </cell>
          <cell r="Z160">
            <v>5</v>
          </cell>
          <cell r="AA160">
            <v>99.814002403846175</v>
          </cell>
          <cell r="AB160">
            <v>94.5</v>
          </cell>
          <cell r="AC160">
            <v>21</v>
          </cell>
          <cell r="AD160">
            <v>0</v>
          </cell>
          <cell r="AH160">
            <v>0</v>
          </cell>
          <cell r="AI160">
            <v>0</v>
          </cell>
          <cell r="AJ160">
            <v>0</v>
          </cell>
          <cell r="AK160">
            <v>0</v>
          </cell>
          <cell r="AL160">
            <v>24.842596153846159</v>
          </cell>
          <cell r="AM160">
            <v>89.433346153846173</v>
          </cell>
          <cell r="AN160">
            <v>27</v>
          </cell>
          <cell r="AP160">
            <v>123</v>
          </cell>
          <cell r="AQ160">
            <v>694.61994471153844</v>
          </cell>
          <cell r="AR160">
            <v>7.99695</v>
          </cell>
          <cell r="AT160">
            <v>7.99695</v>
          </cell>
          <cell r="AU160">
            <v>686.62299471153847</v>
          </cell>
          <cell r="AX160">
            <v>394</v>
          </cell>
          <cell r="AZ160" t="str">
            <v>Husni Mubarak Hamed Al Asmi</v>
          </cell>
          <cell r="BA160" t="str">
            <v>002-255818-035</v>
          </cell>
          <cell r="BB160" t="str">
            <v>HSBC</v>
          </cell>
          <cell r="BC160" t="str">
            <v>Ruwi</v>
          </cell>
          <cell r="BD160">
            <v>686.62299471153847</v>
          </cell>
        </row>
        <row r="161">
          <cell r="B161">
            <v>395</v>
          </cell>
          <cell r="C161" t="str">
            <v>Khalid Said Khalfan Al Ghafri</v>
          </cell>
          <cell r="D161" t="str">
            <v>Labour</v>
          </cell>
          <cell r="E161">
            <v>38724</v>
          </cell>
          <cell r="F161">
            <v>1.4199230769230768</v>
          </cell>
          <cell r="G161">
            <v>0.887451923076923</v>
          </cell>
          <cell r="H161">
            <v>21</v>
          </cell>
          <cell r="I161">
            <v>84.5</v>
          </cell>
          <cell r="K161">
            <v>23</v>
          </cell>
          <cell r="L161">
            <v>7</v>
          </cell>
          <cell r="M161">
            <v>0</v>
          </cell>
          <cell r="N161">
            <v>0</v>
          </cell>
          <cell r="O161">
            <v>30</v>
          </cell>
          <cell r="P161">
            <v>52</v>
          </cell>
          <cell r="Q161">
            <v>1.56</v>
          </cell>
          <cell r="R161">
            <v>123.06</v>
          </cell>
          <cell r="S161">
            <v>85</v>
          </cell>
          <cell r="T161">
            <v>2</v>
          </cell>
          <cell r="U161">
            <v>5</v>
          </cell>
          <cell r="V161">
            <v>4.5</v>
          </cell>
          <cell r="W161">
            <v>123.06</v>
          </cell>
          <cell r="X161">
            <v>85</v>
          </cell>
          <cell r="Y161">
            <v>2</v>
          </cell>
          <cell r="Z161">
            <v>5</v>
          </cell>
          <cell r="AA161">
            <v>74.989687499999988</v>
          </cell>
          <cell r="AB161">
            <v>103.5</v>
          </cell>
          <cell r="AC161">
            <v>23</v>
          </cell>
          <cell r="AD161">
            <v>29.818384615384613</v>
          </cell>
          <cell r="AH161">
            <v>0</v>
          </cell>
          <cell r="AI161">
            <v>0</v>
          </cell>
          <cell r="AJ161">
            <v>0</v>
          </cell>
          <cell r="AK161">
            <v>0</v>
          </cell>
          <cell r="AL161">
            <v>0</v>
          </cell>
          <cell r="AM161">
            <v>89.455153846153834</v>
          </cell>
          <cell r="AN161">
            <v>27</v>
          </cell>
          <cell r="AP161">
            <v>123</v>
          </cell>
          <cell r="AQ161">
            <v>685.82322596153847</v>
          </cell>
          <cell r="AR161">
            <v>7.9989000000000008</v>
          </cell>
          <cell r="AT161">
            <v>7.9989000000000008</v>
          </cell>
          <cell r="AU161">
            <v>677.82432596153842</v>
          </cell>
          <cell r="AX161">
            <v>395</v>
          </cell>
          <cell r="AZ161" t="str">
            <v>Khalid Said Khalfan Al Ghafri</v>
          </cell>
          <cell r="BA161" t="str">
            <v>119-130830084019</v>
          </cell>
          <cell r="BB161" t="str">
            <v>Bank Muscat</v>
          </cell>
          <cell r="BC161" t="str">
            <v>Al Dareez</v>
          </cell>
          <cell r="BD161">
            <v>677.82432596153842</v>
          </cell>
        </row>
        <row r="162">
          <cell r="B162">
            <v>396</v>
          </cell>
          <cell r="C162" t="str">
            <v>Ali Saif Hamed Al Hinai</v>
          </cell>
          <cell r="D162" t="str">
            <v>Labour</v>
          </cell>
          <cell r="E162">
            <v>38724</v>
          </cell>
          <cell r="F162">
            <v>1.4258076923076923</v>
          </cell>
          <cell r="G162">
            <v>0.89112980769230776</v>
          </cell>
          <cell r="H162">
            <v>0</v>
          </cell>
          <cell r="I162">
            <v>88.5</v>
          </cell>
          <cell r="K162">
            <v>19</v>
          </cell>
          <cell r="L162">
            <v>11</v>
          </cell>
          <cell r="M162">
            <v>0</v>
          </cell>
          <cell r="N162">
            <v>0</v>
          </cell>
          <cell r="O162">
            <v>30</v>
          </cell>
          <cell r="P162">
            <v>62</v>
          </cell>
          <cell r="Q162">
            <v>1.8599999999999999</v>
          </cell>
          <cell r="R162">
            <v>123.57</v>
          </cell>
          <cell r="S162">
            <v>85</v>
          </cell>
          <cell r="T162">
            <v>2</v>
          </cell>
          <cell r="U162">
            <v>5</v>
          </cell>
          <cell r="V162">
            <v>4.5</v>
          </cell>
          <cell r="W162">
            <v>123.57</v>
          </cell>
          <cell r="X162">
            <v>85</v>
          </cell>
          <cell r="Y162">
            <v>2</v>
          </cell>
          <cell r="Z162">
            <v>5</v>
          </cell>
          <cell r="AA162">
            <v>78.864987980769243</v>
          </cell>
          <cell r="AB162">
            <v>85.5</v>
          </cell>
          <cell r="AD162">
            <v>0</v>
          </cell>
          <cell r="AH162">
            <v>0</v>
          </cell>
          <cell r="AI162">
            <v>0</v>
          </cell>
          <cell r="AJ162">
            <v>0</v>
          </cell>
          <cell r="AK162">
            <v>0</v>
          </cell>
          <cell r="AL162">
            <v>35.645192307692312</v>
          </cell>
          <cell r="AM162">
            <v>5.7032307692307693</v>
          </cell>
          <cell r="AN162">
            <v>0</v>
          </cell>
          <cell r="AP162">
            <v>0</v>
          </cell>
          <cell r="AQ162">
            <v>421.28341105769226</v>
          </cell>
          <cell r="AR162">
            <v>8.0320499999999999</v>
          </cell>
          <cell r="AT162">
            <v>8.0320499999999999</v>
          </cell>
          <cell r="AU162">
            <v>413.25136105769224</v>
          </cell>
          <cell r="AX162">
            <v>396</v>
          </cell>
          <cell r="AZ162" t="str">
            <v>Ali Saif Hamed Al Hinai</v>
          </cell>
          <cell r="BA162" t="str">
            <v>1019-516950-017</v>
          </cell>
          <cell r="BB162" t="str">
            <v>NBO</v>
          </cell>
          <cell r="BC162" t="str">
            <v>Bahla</v>
          </cell>
          <cell r="BD162">
            <v>413.25136105769224</v>
          </cell>
        </row>
        <row r="163">
          <cell r="B163">
            <v>397</v>
          </cell>
          <cell r="C163" t="str">
            <v>Naji Bati Said Al Ghafri</v>
          </cell>
          <cell r="D163" t="str">
            <v>Labour</v>
          </cell>
          <cell r="E163">
            <v>38724</v>
          </cell>
          <cell r="F163">
            <v>1.4216538461538462</v>
          </cell>
          <cell r="G163">
            <v>0.8885336538461539</v>
          </cell>
          <cell r="H163">
            <v>21</v>
          </cell>
          <cell r="I163">
            <v>52.5</v>
          </cell>
          <cell r="K163">
            <v>23</v>
          </cell>
          <cell r="L163">
            <v>7</v>
          </cell>
          <cell r="M163">
            <v>0</v>
          </cell>
          <cell r="N163">
            <v>0</v>
          </cell>
          <cell r="O163">
            <v>30</v>
          </cell>
          <cell r="P163">
            <v>55</v>
          </cell>
          <cell r="Q163">
            <v>1.65</v>
          </cell>
          <cell r="R163">
            <v>123.21</v>
          </cell>
          <cell r="S163">
            <v>85</v>
          </cell>
          <cell r="T163">
            <v>2</v>
          </cell>
          <cell r="U163">
            <v>5</v>
          </cell>
          <cell r="V163">
            <v>4.5</v>
          </cell>
          <cell r="W163">
            <v>123.21000000000001</v>
          </cell>
          <cell r="X163">
            <v>85</v>
          </cell>
          <cell r="Y163">
            <v>2</v>
          </cell>
          <cell r="Z163">
            <v>5</v>
          </cell>
          <cell r="AA163">
            <v>46.648016826923083</v>
          </cell>
          <cell r="AB163">
            <v>103.5</v>
          </cell>
          <cell r="AC163">
            <v>23</v>
          </cell>
          <cell r="AD163">
            <v>29.85473076923077</v>
          </cell>
          <cell r="AH163">
            <v>0</v>
          </cell>
          <cell r="AI163">
            <v>0</v>
          </cell>
          <cell r="AJ163">
            <v>0</v>
          </cell>
          <cell r="AK163">
            <v>0</v>
          </cell>
          <cell r="AL163">
            <v>32.875745192307697</v>
          </cell>
          <cell r="AM163">
            <v>89.564192307692309</v>
          </cell>
          <cell r="AN163">
            <v>40.5</v>
          </cell>
          <cell r="AP163">
            <v>123</v>
          </cell>
          <cell r="AQ163">
            <v>704.15268509615385</v>
          </cell>
          <cell r="AR163">
            <v>8.0086499999999994</v>
          </cell>
          <cell r="AT163">
            <v>8.0086499999999994</v>
          </cell>
          <cell r="AU163">
            <v>696.14403509615386</v>
          </cell>
          <cell r="AX163">
            <v>397</v>
          </cell>
          <cell r="AZ163" t="str">
            <v>Naji Bati Said Al Ghafri</v>
          </cell>
          <cell r="BA163" t="str">
            <v>0133047242500</v>
          </cell>
          <cell r="BB163" t="str">
            <v>Bank Dhofar</v>
          </cell>
          <cell r="BC163" t="str">
            <v>Bahla</v>
          </cell>
          <cell r="BD163">
            <v>696.14403509615386</v>
          </cell>
        </row>
        <row r="164">
          <cell r="B164">
            <v>398</v>
          </cell>
          <cell r="C164" t="str">
            <v>Said Suliman Abdullah Al Mahrouqi</v>
          </cell>
          <cell r="D164" t="str">
            <v>Labour</v>
          </cell>
          <cell r="E164">
            <v>38724</v>
          </cell>
          <cell r="F164">
            <v>1.4213076923076924</v>
          </cell>
          <cell r="G164">
            <v>0.88831730769230777</v>
          </cell>
          <cell r="H164">
            <v>0</v>
          </cell>
          <cell r="I164">
            <v>90</v>
          </cell>
          <cell r="K164">
            <v>20</v>
          </cell>
          <cell r="L164">
            <v>9</v>
          </cell>
          <cell r="M164">
            <v>0</v>
          </cell>
          <cell r="N164">
            <v>1</v>
          </cell>
          <cell r="O164">
            <v>29</v>
          </cell>
          <cell r="P164">
            <v>54</v>
          </cell>
          <cell r="Q164">
            <v>1.6199999999999999</v>
          </cell>
          <cell r="R164">
            <v>123.18</v>
          </cell>
          <cell r="S164">
            <v>85</v>
          </cell>
          <cell r="T164">
            <v>2</v>
          </cell>
          <cell r="U164">
            <v>5</v>
          </cell>
          <cell r="V164">
            <v>4.5</v>
          </cell>
          <cell r="W164">
            <v>119.074</v>
          </cell>
          <cell r="X164">
            <v>82.166666666666671</v>
          </cell>
          <cell r="Y164">
            <v>1.9333333333333333</v>
          </cell>
          <cell r="Z164">
            <v>4.833333333333333</v>
          </cell>
          <cell r="AA164">
            <v>79.948557692307702</v>
          </cell>
          <cell r="AB164">
            <v>90</v>
          </cell>
          <cell r="AD164">
            <v>0</v>
          </cell>
          <cell r="AH164">
            <v>0</v>
          </cell>
          <cell r="AI164">
            <v>0</v>
          </cell>
          <cell r="AJ164">
            <v>0</v>
          </cell>
          <cell r="AK164">
            <v>0</v>
          </cell>
          <cell r="AL164">
            <v>14.213076923076924</v>
          </cell>
          <cell r="AM164">
            <v>85.278461538461542</v>
          </cell>
          <cell r="AN164">
            <v>27</v>
          </cell>
          <cell r="AP164">
            <v>123</v>
          </cell>
          <cell r="AQ164">
            <v>627.44742948717953</v>
          </cell>
          <cell r="AR164">
            <v>8.0067000000000004</v>
          </cell>
          <cell r="AT164">
            <v>8.0067000000000004</v>
          </cell>
          <cell r="AU164">
            <v>619.44072948717951</v>
          </cell>
          <cell r="AX164">
            <v>398</v>
          </cell>
          <cell r="AZ164" t="str">
            <v>Said Suliman Abdullah Al Mahrouqi</v>
          </cell>
          <cell r="BA164" t="str">
            <v>0023 822910084 011</v>
          </cell>
          <cell r="BB164" t="str">
            <v>Bank Muscat</v>
          </cell>
          <cell r="BC164" t="str">
            <v>Ruwi</v>
          </cell>
          <cell r="BD164">
            <v>619.44072948717951</v>
          </cell>
        </row>
        <row r="165">
          <cell r="B165">
            <v>400</v>
          </cell>
          <cell r="C165" t="str">
            <v>Nasser Suliman Sabaa Al Hinai</v>
          </cell>
          <cell r="D165" t="str">
            <v>Labour</v>
          </cell>
          <cell r="E165">
            <v>38724</v>
          </cell>
          <cell r="F165">
            <v>1.4206153846153846</v>
          </cell>
          <cell r="G165">
            <v>0.88788461538461538</v>
          </cell>
          <cell r="H165">
            <v>20</v>
          </cell>
          <cell r="I165">
            <v>22</v>
          </cell>
          <cell r="K165">
            <v>13</v>
          </cell>
          <cell r="L165">
            <v>14</v>
          </cell>
          <cell r="M165">
            <v>0</v>
          </cell>
          <cell r="N165">
            <v>0</v>
          </cell>
          <cell r="O165">
            <v>27</v>
          </cell>
          <cell r="P165">
            <v>53</v>
          </cell>
          <cell r="Q165">
            <v>1.5899999999999999</v>
          </cell>
          <cell r="R165">
            <v>123.12</v>
          </cell>
          <cell r="S165">
            <v>85</v>
          </cell>
          <cell r="T165">
            <v>2</v>
          </cell>
          <cell r="U165">
            <v>5</v>
          </cell>
          <cell r="V165">
            <v>4.5</v>
          </cell>
          <cell r="W165">
            <v>110.80800000000001</v>
          </cell>
          <cell r="X165">
            <v>76.5</v>
          </cell>
          <cell r="Y165">
            <v>1.8</v>
          </cell>
          <cell r="Z165">
            <v>4.5</v>
          </cell>
          <cell r="AA165">
            <v>19.533461538461538</v>
          </cell>
          <cell r="AB165">
            <v>58.5</v>
          </cell>
          <cell r="AD165">
            <v>28.412307692307692</v>
          </cell>
          <cell r="AH165">
            <v>0</v>
          </cell>
          <cell r="AI165">
            <v>0</v>
          </cell>
          <cell r="AJ165">
            <v>0</v>
          </cell>
          <cell r="AK165">
            <v>0</v>
          </cell>
          <cell r="AL165">
            <v>0</v>
          </cell>
          <cell r="AM165">
            <v>85.236923076923077</v>
          </cell>
          <cell r="AN165">
            <v>27</v>
          </cell>
          <cell r="AO165">
            <v>-8.0028000000000006</v>
          </cell>
          <cell r="AP165">
            <v>128</v>
          </cell>
          <cell r="AQ165">
            <v>532.28789230769235</v>
          </cell>
          <cell r="AR165">
            <v>8.0028000000000006</v>
          </cell>
          <cell r="AT165">
            <v>8.0028000000000006</v>
          </cell>
          <cell r="AU165">
            <v>524.28509230769237</v>
          </cell>
          <cell r="AV165" t="str">
            <v>One Month GOSI of October &amp; 5 Rials Ration of Oct</v>
          </cell>
          <cell r="AX165">
            <v>400</v>
          </cell>
          <cell r="AZ165" t="str">
            <v>Nasser Suliman Sabaa Al Hinai</v>
          </cell>
          <cell r="BA165" t="str">
            <v>118-212910084-010</v>
          </cell>
          <cell r="BB165" t="str">
            <v>Bank Muscat</v>
          </cell>
          <cell r="BC165" t="str">
            <v>Al-Jubail</v>
          </cell>
          <cell r="BD165">
            <v>524.28509230769237</v>
          </cell>
        </row>
        <row r="166">
          <cell r="B166">
            <v>401</v>
          </cell>
          <cell r="C166" t="str">
            <v>Malik Khalifa Said Al Shohoomi</v>
          </cell>
          <cell r="D166" t="str">
            <v>Mechanic</v>
          </cell>
          <cell r="E166">
            <v>38724</v>
          </cell>
          <cell r="F166">
            <v>1.5</v>
          </cell>
          <cell r="G166">
            <v>0.9375</v>
          </cell>
          <cell r="H166">
            <v>0</v>
          </cell>
          <cell r="I166">
            <v>38</v>
          </cell>
          <cell r="K166">
            <v>20</v>
          </cell>
          <cell r="L166">
            <v>10</v>
          </cell>
          <cell r="M166">
            <v>0</v>
          </cell>
          <cell r="N166">
            <v>0</v>
          </cell>
          <cell r="O166">
            <v>30</v>
          </cell>
          <cell r="P166">
            <v>66</v>
          </cell>
          <cell r="Q166">
            <v>1.98</v>
          </cell>
          <cell r="R166">
            <v>130</v>
          </cell>
          <cell r="S166">
            <v>110</v>
          </cell>
          <cell r="T166">
            <v>2</v>
          </cell>
          <cell r="U166">
            <v>5</v>
          </cell>
          <cell r="V166">
            <v>4.5</v>
          </cell>
          <cell r="W166">
            <v>130</v>
          </cell>
          <cell r="X166">
            <v>110</v>
          </cell>
          <cell r="Y166">
            <v>2</v>
          </cell>
          <cell r="Z166">
            <v>5</v>
          </cell>
          <cell r="AA166">
            <v>35.625</v>
          </cell>
          <cell r="AB166">
            <v>90</v>
          </cell>
          <cell r="AD166">
            <v>0</v>
          </cell>
          <cell r="AH166">
            <v>0</v>
          </cell>
          <cell r="AI166">
            <v>0</v>
          </cell>
          <cell r="AJ166">
            <v>0</v>
          </cell>
          <cell r="AK166">
            <v>0</v>
          </cell>
          <cell r="AL166">
            <v>53.4375</v>
          </cell>
          <cell r="AM166">
            <v>90</v>
          </cell>
          <cell r="AN166">
            <v>27</v>
          </cell>
          <cell r="AP166">
            <v>123</v>
          </cell>
          <cell r="AQ166">
            <v>666.0625</v>
          </cell>
          <cell r="AR166">
            <v>8.4500000000000011</v>
          </cell>
          <cell r="AT166">
            <v>8.4500000000000011</v>
          </cell>
          <cell r="AU166">
            <v>657.61249999999995</v>
          </cell>
          <cell r="AX166">
            <v>401</v>
          </cell>
          <cell r="AZ166" t="str">
            <v>Malik Khalifa Said Al Shohoomi</v>
          </cell>
          <cell r="BA166">
            <v>2258071601</v>
          </cell>
          <cell r="BB166" t="str">
            <v>OIB</v>
          </cell>
          <cell r="BC166" t="str">
            <v>Ibri</v>
          </cell>
          <cell r="BD166">
            <v>657.61249999999995</v>
          </cell>
        </row>
        <row r="167">
          <cell r="B167">
            <v>406</v>
          </cell>
          <cell r="C167" t="str">
            <v>Abdullah Nasser Saif Khamis</v>
          </cell>
          <cell r="D167" t="str">
            <v>Labour</v>
          </cell>
          <cell r="E167">
            <v>38758</v>
          </cell>
          <cell r="F167">
            <v>1.406423076923077</v>
          </cell>
          <cell r="G167">
            <v>0.87901442307692312</v>
          </cell>
          <cell r="H167">
            <v>20</v>
          </cell>
          <cell r="I167">
            <v>28</v>
          </cell>
          <cell r="K167">
            <v>16</v>
          </cell>
          <cell r="L167">
            <v>14</v>
          </cell>
          <cell r="M167">
            <v>0</v>
          </cell>
          <cell r="N167">
            <v>0</v>
          </cell>
          <cell r="O167">
            <v>30</v>
          </cell>
          <cell r="P167">
            <v>63</v>
          </cell>
          <cell r="Q167">
            <v>1.89</v>
          </cell>
          <cell r="R167">
            <v>121.89</v>
          </cell>
          <cell r="S167">
            <v>85</v>
          </cell>
          <cell r="T167">
            <v>2</v>
          </cell>
          <cell r="U167">
            <v>5</v>
          </cell>
          <cell r="V167">
            <v>4.5</v>
          </cell>
          <cell r="W167">
            <v>121.88999999999999</v>
          </cell>
          <cell r="X167">
            <v>85</v>
          </cell>
          <cell r="Y167">
            <v>2</v>
          </cell>
          <cell r="Z167">
            <v>5</v>
          </cell>
          <cell r="AA167">
            <v>24.612403846153846</v>
          </cell>
          <cell r="AB167">
            <v>72</v>
          </cell>
          <cell r="AD167">
            <v>28.12846153846154</v>
          </cell>
          <cell r="AH167">
            <v>0</v>
          </cell>
          <cell r="AI167">
            <v>0</v>
          </cell>
          <cell r="AJ167">
            <v>0</v>
          </cell>
          <cell r="AK167">
            <v>0</v>
          </cell>
          <cell r="AL167">
            <v>0</v>
          </cell>
          <cell r="AM167">
            <v>0</v>
          </cell>
          <cell r="AN167">
            <v>0</v>
          </cell>
          <cell r="AP167">
            <v>0</v>
          </cell>
          <cell r="AQ167">
            <v>338.63086538461533</v>
          </cell>
          <cell r="AR167">
            <v>7.9228500000000004</v>
          </cell>
          <cell r="AT167">
            <v>7.9228500000000004</v>
          </cell>
          <cell r="AU167">
            <v>330.70801538461535</v>
          </cell>
          <cell r="AX167">
            <v>406</v>
          </cell>
          <cell r="AZ167" t="str">
            <v>Abdullah Nasser Saif Khamis</v>
          </cell>
          <cell r="BA167" t="str">
            <v>062-186080084013</v>
          </cell>
          <cell r="BB167" t="str">
            <v>Bank Muscat</v>
          </cell>
          <cell r="BC167" t="str">
            <v>Bahla</v>
          </cell>
          <cell r="BD167">
            <v>330.70801538461535</v>
          </cell>
        </row>
        <row r="168">
          <cell r="B168">
            <v>407</v>
          </cell>
          <cell r="C168" t="str">
            <v>Abdullah Musabah Jamil Al Rashid</v>
          </cell>
          <cell r="D168" t="str">
            <v>Labour</v>
          </cell>
          <cell r="E168" t="str">
            <v>23/9/2006</v>
          </cell>
          <cell r="F168">
            <v>1.4033076923076924</v>
          </cell>
          <cell r="G168">
            <v>0.87706730769230767</v>
          </cell>
          <cell r="H168">
            <v>20</v>
          </cell>
          <cell r="I168">
            <v>103</v>
          </cell>
          <cell r="K168">
            <v>22</v>
          </cell>
          <cell r="L168">
            <v>8</v>
          </cell>
          <cell r="M168">
            <v>0</v>
          </cell>
          <cell r="N168">
            <v>0</v>
          </cell>
          <cell r="O168">
            <v>30</v>
          </cell>
          <cell r="P168">
            <v>54</v>
          </cell>
          <cell r="Q168">
            <v>1.6199999999999999</v>
          </cell>
          <cell r="R168">
            <v>121.62</v>
          </cell>
          <cell r="S168">
            <v>85</v>
          </cell>
          <cell r="T168">
            <v>2</v>
          </cell>
          <cell r="U168">
            <v>5</v>
          </cell>
          <cell r="V168">
            <v>4.5</v>
          </cell>
          <cell r="W168">
            <v>121.62</v>
          </cell>
          <cell r="X168">
            <v>85</v>
          </cell>
          <cell r="Y168">
            <v>2</v>
          </cell>
          <cell r="Z168">
            <v>5</v>
          </cell>
          <cell r="AA168">
            <v>90.337932692307689</v>
          </cell>
          <cell r="AB168">
            <v>99</v>
          </cell>
          <cell r="AD168">
            <v>28.066153846153846</v>
          </cell>
          <cell r="AH168">
            <v>0</v>
          </cell>
          <cell r="AI168">
            <v>0</v>
          </cell>
          <cell r="AJ168">
            <v>0</v>
          </cell>
          <cell r="AK168">
            <v>0</v>
          </cell>
          <cell r="AL168">
            <v>32.451490384615383</v>
          </cell>
          <cell r="AM168">
            <v>0</v>
          </cell>
          <cell r="AN168">
            <v>0</v>
          </cell>
          <cell r="AP168">
            <v>0</v>
          </cell>
          <cell r="AQ168">
            <v>463.47557692307691</v>
          </cell>
          <cell r="AR168">
            <v>7.9053000000000004</v>
          </cell>
          <cell r="AT168">
            <v>7.9053000000000004</v>
          </cell>
          <cell r="AU168">
            <v>455.5702769230769</v>
          </cell>
          <cell r="AX168">
            <v>407</v>
          </cell>
          <cell r="AZ168" t="str">
            <v>Abdullah Musabah Jamil Al Rashid</v>
          </cell>
          <cell r="BA168" t="str">
            <v>128-131900084019</v>
          </cell>
          <cell r="BB168" t="str">
            <v>Bank Muscat</v>
          </cell>
          <cell r="BC168" t="str">
            <v>Nizwa</v>
          </cell>
          <cell r="BD168">
            <v>455.5702769230769</v>
          </cell>
        </row>
        <row r="169">
          <cell r="B169">
            <v>408</v>
          </cell>
          <cell r="C169" t="str">
            <v>Khalil Sulaiman Al Balushi</v>
          </cell>
          <cell r="D169" t="str">
            <v>Labour</v>
          </cell>
          <cell r="E169" t="str">
            <v>30/9/2006</v>
          </cell>
          <cell r="F169">
            <v>1.3846153846153846</v>
          </cell>
          <cell r="G169">
            <v>0.86538461538461542</v>
          </cell>
          <cell r="H169">
            <v>0</v>
          </cell>
          <cell r="I169">
            <v>0</v>
          </cell>
          <cell r="K169">
            <v>0</v>
          </cell>
          <cell r="L169">
            <v>0</v>
          </cell>
          <cell r="M169">
            <v>0</v>
          </cell>
          <cell r="N169">
            <v>30</v>
          </cell>
          <cell r="O169">
            <v>0</v>
          </cell>
          <cell r="Q169">
            <v>0</v>
          </cell>
          <cell r="R169">
            <v>120</v>
          </cell>
          <cell r="S169">
            <v>85</v>
          </cell>
          <cell r="T169">
            <v>2</v>
          </cell>
          <cell r="U169">
            <v>5</v>
          </cell>
          <cell r="V169">
            <v>4.5</v>
          </cell>
          <cell r="W169">
            <v>0</v>
          </cell>
          <cell r="X169">
            <v>0</v>
          </cell>
          <cell r="Y169">
            <v>0</v>
          </cell>
          <cell r="Z169">
            <v>0</v>
          </cell>
          <cell r="AA169">
            <v>0</v>
          </cell>
          <cell r="AB169">
            <v>0</v>
          </cell>
          <cell r="AD169">
            <v>0</v>
          </cell>
          <cell r="AH169">
            <v>0</v>
          </cell>
          <cell r="AI169">
            <v>0</v>
          </cell>
          <cell r="AJ169">
            <v>0</v>
          </cell>
          <cell r="AK169">
            <v>0</v>
          </cell>
          <cell r="AL169">
            <v>0</v>
          </cell>
          <cell r="AM169">
            <v>0</v>
          </cell>
          <cell r="AN169">
            <v>0</v>
          </cell>
          <cell r="AP169">
            <v>0</v>
          </cell>
          <cell r="AQ169">
            <v>0</v>
          </cell>
          <cell r="AT169">
            <v>0</v>
          </cell>
          <cell r="AU169">
            <v>0</v>
          </cell>
          <cell r="AX169">
            <v>408</v>
          </cell>
          <cell r="AZ169" t="str">
            <v>Khalil Sulaiman Al Balushi</v>
          </cell>
          <cell r="BA169" t="str">
            <v>002261311001</v>
          </cell>
          <cell r="BB169" t="str">
            <v>HSBC</v>
          </cell>
          <cell r="BC169" t="str">
            <v>Ruwi</v>
          </cell>
          <cell r="BD169">
            <v>0</v>
          </cell>
        </row>
        <row r="170">
          <cell r="B170">
            <v>409</v>
          </cell>
          <cell r="C170" t="str">
            <v>Ali Salim Rashid Al Habsi</v>
          </cell>
          <cell r="D170" t="str">
            <v>Labour</v>
          </cell>
          <cell r="E170">
            <v>38729</v>
          </cell>
          <cell r="F170">
            <v>1.4026153846153846</v>
          </cell>
          <cell r="G170">
            <v>0.8766346153846154</v>
          </cell>
          <cell r="H170">
            <v>20</v>
          </cell>
          <cell r="I170">
            <v>52</v>
          </cell>
          <cell r="K170">
            <v>16</v>
          </cell>
          <cell r="L170">
            <v>14</v>
          </cell>
          <cell r="M170">
            <v>0</v>
          </cell>
          <cell r="N170">
            <v>0</v>
          </cell>
          <cell r="O170">
            <v>30</v>
          </cell>
          <cell r="P170">
            <v>52</v>
          </cell>
          <cell r="Q170">
            <v>1.56</v>
          </cell>
          <cell r="R170">
            <v>121.56</v>
          </cell>
          <cell r="S170">
            <v>85</v>
          </cell>
          <cell r="T170">
            <v>2</v>
          </cell>
          <cell r="U170">
            <v>5</v>
          </cell>
          <cell r="V170">
            <v>4.5</v>
          </cell>
          <cell r="W170">
            <v>121.56000000000002</v>
          </cell>
          <cell r="X170">
            <v>85</v>
          </cell>
          <cell r="Y170">
            <v>2</v>
          </cell>
          <cell r="Z170">
            <v>5</v>
          </cell>
          <cell r="AA170">
            <v>45.585000000000001</v>
          </cell>
          <cell r="AB170">
            <v>72</v>
          </cell>
          <cell r="AD170">
            <v>28.052307692307693</v>
          </cell>
          <cell r="AH170">
            <v>0</v>
          </cell>
          <cell r="AI170">
            <v>0</v>
          </cell>
          <cell r="AJ170">
            <v>0</v>
          </cell>
          <cell r="AK170">
            <v>0</v>
          </cell>
          <cell r="AL170">
            <v>52.598076923076924</v>
          </cell>
          <cell r="AM170">
            <v>0</v>
          </cell>
          <cell r="AN170">
            <v>0</v>
          </cell>
          <cell r="AP170">
            <v>0</v>
          </cell>
          <cell r="AQ170">
            <v>411.79538461538459</v>
          </cell>
          <cell r="AR170">
            <v>7.9014000000000006</v>
          </cell>
          <cell r="AT170">
            <v>7.9014000000000006</v>
          </cell>
          <cell r="AU170">
            <v>403.89398461538457</v>
          </cell>
          <cell r="AX170">
            <v>409</v>
          </cell>
          <cell r="AZ170" t="str">
            <v>Ali Salim Rashid Al Habsi</v>
          </cell>
          <cell r="BA170" t="str">
            <v>60-141553-20</v>
          </cell>
          <cell r="BB170" t="str">
            <v>OIB</v>
          </cell>
          <cell r="BC170" t="str">
            <v>Ibra</v>
          </cell>
          <cell r="BD170">
            <v>403.89398461538457</v>
          </cell>
        </row>
        <row r="171">
          <cell r="B171">
            <v>411</v>
          </cell>
          <cell r="C171" t="str">
            <v>Sulaiman Nasser Said Al Harasi</v>
          </cell>
          <cell r="D171" t="str">
            <v>Labour</v>
          </cell>
          <cell r="E171" t="str">
            <v>30/9/2006</v>
          </cell>
          <cell r="F171">
            <v>1.4029615384615384</v>
          </cell>
          <cell r="G171">
            <v>0.87685096153846143</v>
          </cell>
          <cell r="H171">
            <v>20</v>
          </cell>
          <cell r="I171">
            <v>28</v>
          </cell>
          <cell r="K171">
            <v>16</v>
          </cell>
          <cell r="L171">
            <v>14</v>
          </cell>
          <cell r="M171">
            <v>0</v>
          </cell>
          <cell r="N171">
            <v>0</v>
          </cell>
          <cell r="O171">
            <v>30</v>
          </cell>
          <cell r="P171">
            <v>53</v>
          </cell>
          <cell r="Q171">
            <v>1.5899999999999999</v>
          </cell>
          <cell r="R171">
            <v>121.59</v>
          </cell>
          <cell r="S171">
            <v>85</v>
          </cell>
          <cell r="T171">
            <v>2</v>
          </cell>
          <cell r="U171">
            <v>5</v>
          </cell>
          <cell r="V171">
            <v>4.5</v>
          </cell>
          <cell r="W171">
            <v>121.59</v>
          </cell>
          <cell r="X171">
            <v>85</v>
          </cell>
          <cell r="Y171">
            <v>2</v>
          </cell>
          <cell r="Z171">
            <v>5</v>
          </cell>
          <cell r="AA171">
            <v>24.55182692307692</v>
          </cell>
          <cell r="AB171">
            <v>72</v>
          </cell>
          <cell r="AD171">
            <v>28.059230769230766</v>
          </cell>
          <cell r="AH171">
            <v>0</v>
          </cell>
          <cell r="AI171">
            <v>0</v>
          </cell>
          <cell r="AJ171">
            <v>0</v>
          </cell>
          <cell r="AK171">
            <v>0</v>
          </cell>
          <cell r="AL171">
            <v>0</v>
          </cell>
          <cell r="AM171">
            <v>0</v>
          </cell>
          <cell r="AN171">
            <v>0</v>
          </cell>
          <cell r="AP171">
            <v>0</v>
          </cell>
          <cell r="AQ171">
            <v>338.2010576923077</v>
          </cell>
          <cell r="AR171">
            <v>7.9033500000000005</v>
          </cell>
          <cell r="AT171">
            <v>7.9033500000000005</v>
          </cell>
          <cell r="AU171">
            <v>330.29770769230771</v>
          </cell>
          <cell r="AX171">
            <v>411</v>
          </cell>
          <cell r="AZ171" t="str">
            <v>Sulaiman Nasser Said Al Harasi</v>
          </cell>
          <cell r="BA171" t="str">
            <v>0133-153990084013</v>
          </cell>
          <cell r="BB171" t="str">
            <v>Bank Muscat</v>
          </cell>
          <cell r="BC171" t="str">
            <v>Firq</v>
          </cell>
          <cell r="BD171">
            <v>330.29770769230771</v>
          </cell>
        </row>
        <row r="172">
          <cell r="B172">
            <v>413</v>
          </cell>
          <cell r="C172" t="str">
            <v>Ahmed Sulaiman Nasser Al Hinai</v>
          </cell>
          <cell r="D172" t="str">
            <v>Labour</v>
          </cell>
          <cell r="E172" t="str">
            <v>30/9/2006</v>
          </cell>
          <cell r="F172">
            <v>1.4033076923076924</v>
          </cell>
          <cell r="G172">
            <v>0.87706730769230767</v>
          </cell>
          <cell r="H172">
            <v>0</v>
          </cell>
          <cell r="I172">
            <v>6</v>
          </cell>
          <cell r="K172">
            <v>4</v>
          </cell>
          <cell r="L172">
            <v>17</v>
          </cell>
          <cell r="M172">
            <v>0</v>
          </cell>
          <cell r="N172">
            <v>9</v>
          </cell>
          <cell r="O172">
            <v>21</v>
          </cell>
          <cell r="P172">
            <v>54</v>
          </cell>
          <cell r="Q172">
            <v>1.6199999999999999</v>
          </cell>
          <cell r="R172">
            <v>121.62</v>
          </cell>
          <cell r="S172">
            <v>85</v>
          </cell>
          <cell r="T172">
            <v>2</v>
          </cell>
          <cell r="U172">
            <v>5</v>
          </cell>
          <cell r="V172">
            <v>4.5</v>
          </cell>
          <cell r="W172">
            <v>85.134</v>
          </cell>
          <cell r="X172">
            <v>59.5</v>
          </cell>
          <cell r="Y172">
            <v>1.4</v>
          </cell>
          <cell r="Z172">
            <v>3.5</v>
          </cell>
          <cell r="AA172">
            <v>5.2624038461538465</v>
          </cell>
          <cell r="AB172">
            <v>18</v>
          </cell>
          <cell r="AD172">
            <v>0</v>
          </cell>
          <cell r="AH172">
            <v>0</v>
          </cell>
          <cell r="AI172">
            <v>0</v>
          </cell>
          <cell r="AJ172">
            <v>0</v>
          </cell>
          <cell r="AK172">
            <v>0</v>
          </cell>
          <cell r="AL172">
            <v>56.132307692307691</v>
          </cell>
          <cell r="AM172">
            <v>84.198461538461544</v>
          </cell>
          <cell r="AN172">
            <v>27</v>
          </cell>
          <cell r="AP172">
            <v>123</v>
          </cell>
          <cell r="AQ172">
            <v>463.1271730769231</v>
          </cell>
          <cell r="AR172">
            <v>7.9053000000000004</v>
          </cell>
          <cell r="AT172">
            <v>7.9053000000000004</v>
          </cell>
          <cell r="AU172">
            <v>455.22187307692309</v>
          </cell>
          <cell r="AX172">
            <v>413</v>
          </cell>
          <cell r="AZ172" t="str">
            <v>Ahmed Sulaiman Nasser Al Hinai</v>
          </cell>
          <cell r="BA172" t="str">
            <v>0062170690084018</v>
          </cell>
          <cell r="BB172" t="str">
            <v>Bank Muscat</v>
          </cell>
          <cell r="BC172" t="str">
            <v>Bahla</v>
          </cell>
          <cell r="BD172">
            <v>455.22187307692309</v>
          </cell>
        </row>
        <row r="173">
          <cell r="B173">
            <v>414</v>
          </cell>
          <cell r="C173" t="str">
            <v>Hamed Khalifa Salim Al Hinai</v>
          </cell>
          <cell r="D173" t="str">
            <v>Labour</v>
          </cell>
          <cell r="E173" t="str">
            <v>30/9/2006</v>
          </cell>
          <cell r="F173">
            <v>1.4022692307692308</v>
          </cell>
          <cell r="G173">
            <v>0.87641826923076926</v>
          </cell>
          <cell r="H173">
            <v>20</v>
          </cell>
          <cell r="I173">
            <v>76</v>
          </cell>
          <cell r="K173">
            <v>16</v>
          </cell>
          <cell r="L173">
            <v>14</v>
          </cell>
          <cell r="M173">
            <v>0</v>
          </cell>
          <cell r="N173">
            <v>0</v>
          </cell>
          <cell r="O173">
            <v>30</v>
          </cell>
          <cell r="P173">
            <v>51</v>
          </cell>
          <cell r="Q173">
            <v>1.53</v>
          </cell>
          <cell r="R173">
            <v>121.53</v>
          </cell>
          <cell r="S173">
            <v>85</v>
          </cell>
          <cell r="T173">
            <v>2</v>
          </cell>
          <cell r="U173">
            <v>5</v>
          </cell>
          <cell r="V173">
            <v>4.5</v>
          </cell>
          <cell r="W173">
            <v>121.53</v>
          </cell>
          <cell r="X173">
            <v>85</v>
          </cell>
          <cell r="Y173">
            <v>2</v>
          </cell>
          <cell r="Z173">
            <v>5</v>
          </cell>
          <cell r="AA173">
            <v>66.607788461538462</v>
          </cell>
          <cell r="AB173">
            <v>72</v>
          </cell>
          <cell r="AD173">
            <v>28.045384615384616</v>
          </cell>
          <cell r="AH173">
            <v>0</v>
          </cell>
          <cell r="AI173">
            <v>0</v>
          </cell>
          <cell r="AJ173">
            <v>0</v>
          </cell>
          <cell r="AK173">
            <v>0</v>
          </cell>
          <cell r="AL173">
            <v>115.68721153846154</v>
          </cell>
          <cell r="AM173">
            <v>84.136153846153846</v>
          </cell>
          <cell r="AN173">
            <v>27</v>
          </cell>
          <cell r="AP173">
            <v>123</v>
          </cell>
          <cell r="AQ173">
            <v>730.00653846153841</v>
          </cell>
          <cell r="AR173">
            <v>7.8994500000000007</v>
          </cell>
          <cell r="AT173">
            <v>7.8994500000000007</v>
          </cell>
          <cell r="AU173">
            <v>722.10708846153841</v>
          </cell>
          <cell r="AX173">
            <v>414</v>
          </cell>
          <cell r="AZ173" t="str">
            <v>Hamed Khalifa Salim Al Hinai</v>
          </cell>
          <cell r="BA173" t="str">
            <v>002-251874-035</v>
          </cell>
          <cell r="BB173" t="str">
            <v>HSBC</v>
          </cell>
          <cell r="BC173" t="str">
            <v>Ruwi</v>
          </cell>
          <cell r="BD173">
            <v>722.10708846153841</v>
          </cell>
        </row>
        <row r="174">
          <cell r="B174">
            <v>415</v>
          </cell>
          <cell r="C174" t="str">
            <v>Amjad Sulaiman Saif Al Mahrouqi</v>
          </cell>
          <cell r="D174" t="str">
            <v>Labour</v>
          </cell>
          <cell r="E174" t="str">
            <v>30/9/2006</v>
          </cell>
          <cell r="F174">
            <v>1.4029615384615384</v>
          </cell>
          <cell r="G174">
            <v>0.87685096153846143</v>
          </cell>
          <cell r="H174">
            <v>20</v>
          </cell>
          <cell r="I174">
            <v>61</v>
          </cell>
          <cell r="K174">
            <v>20</v>
          </cell>
          <cell r="L174">
            <v>7</v>
          </cell>
          <cell r="M174">
            <v>2</v>
          </cell>
          <cell r="N174">
            <v>1</v>
          </cell>
          <cell r="O174">
            <v>29</v>
          </cell>
          <cell r="P174">
            <v>53</v>
          </cell>
          <cell r="Q174">
            <v>1.5899999999999999</v>
          </cell>
          <cell r="R174">
            <v>121.59</v>
          </cell>
          <cell r="S174">
            <v>85</v>
          </cell>
          <cell r="T174">
            <v>2</v>
          </cell>
          <cell r="U174">
            <v>5</v>
          </cell>
          <cell r="V174">
            <v>4.5</v>
          </cell>
          <cell r="W174">
            <v>117.53699999999999</v>
          </cell>
          <cell r="X174">
            <v>82.166666666666671</v>
          </cell>
          <cell r="Y174">
            <v>1.9333333333333333</v>
          </cell>
          <cell r="Z174">
            <v>4.833333333333333</v>
          </cell>
          <cell r="AA174">
            <v>53.487908653846148</v>
          </cell>
          <cell r="AB174">
            <v>90</v>
          </cell>
          <cell r="AD174">
            <v>28.059230769230766</v>
          </cell>
          <cell r="AH174">
            <v>0</v>
          </cell>
          <cell r="AI174">
            <v>0</v>
          </cell>
          <cell r="AJ174">
            <v>0</v>
          </cell>
          <cell r="AK174">
            <v>0</v>
          </cell>
          <cell r="AL174">
            <v>17.537019230769229</v>
          </cell>
          <cell r="AM174">
            <v>84.177692307692297</v>
          </cell>
          <cell r="AN174">
            <v>27</v>
          </cell>
          <cell r="AP174">
            <v>123</v>
          </cell>
          <cell r="AQ174">
            <v>629.73218429487179</v>
          </cell>
          <cell r="AR174">
            <v>7.9033500000000005</v>
          </cell>
          <cell r="AT174">
            <v>7.9033500000000005</v>
          </cell>
          <cell r="AU174">
            <v>621.82883429487174</v>
          </cell>
          <cell r="AX174">
            <v>415</v>
          </cell>
          <cell r="AZ174" t="str">
            <v>Amjad Sulaiman Saif Al Mahrouqi</v>
          </cell>
          <cell r="BA174" t="str">
            <v>28-064731-20</v>
          </cell>
          <cell r="BB174" t="str">
            <v>OIB</v>
          </cell>
          <cell r="BC174" t="str">
            <v>Adam</v>
          </cell>
          <cell r="BD174">
            <v>621.82883429487174</v>
          </cell>
        </row>
        <row r="175">
          <cell r="B175">
            <v>417</v>
          </cell>
          <cell r="C175" t="str">
            <v>Talal Ali Abdullah Al Manai</v>
          </cell>
          <cell r="D175" t="str">
            <v>Labour</v>
          </cell>
          <cell r="E175" t="str">
            <v>30/9/2006</v>
          </cell>
          <cell r="F175">
            <v>1.4036538461538464</v>
          </cell>
          <cell r="G175">
            <v>0.87728365384615392</v>
          </cell>
          <cell r="H175">
            <v>0</v>
          </cell>
          <cell r="I175">
            <v>76.5</v>
          </cell>
          <cell r="K175">
            <v>21</v>
          </cell>
          <cell r="L175">
            <v>9</v>
          </cell>
          <cell r="M175">
            <v>0</v>
          </cell>
          <cell r="N175">
            <v>0</v>
          </cell>
          <cell r="O175">
            <v>30</v>
          </cell>
          <cell r="P175">
            <v>55</v>
          </cell>
          <cell r="Q175">
            <v>1.65</v>
          </cell>
          <cell r="R175">
            <v>121.65</v>
          </cell>
          <cell r="S175">
            <v>85</v>
          </cell>
          <cell r="T175">
            <v>2</v>
          </cell>
          <cell r="U175">
            <v>5</v>
          </cell>
          <cell r="V175">
            <v>4.5</v>
          </cell>
          <cell r="W175">
            <v>121.65000000000002</v>
          </cell>
          <cell r="X175">
            <v>85</v>
          </cell>
          <cell r="Y175">
            <v>2</v>
          </cell>
          <cell r="Z175">
            <v>5</v>
          </cell>
          <cell r="AA175">
            <v>67.112199519230771</v>
          </cell>
          <cell r="AB175">
            <v>94.5</v>
          </cell>
          <cell r="AC175">
            <v>21</v>
          </cell>
          <cell r="AD175">
            <v>0</v>
          </cell>
          <cell r="AH175">
            <v>0</v>
          </cell>
          <cell r="AI175">
            <v>0</v>
          </cell>
          <cell r="AJ175">
            <v>0</v>
          </cell>
          <cell r="AK175">
            <v>0</v>
          </cell>
          <cell r="AL175">
            <v>21.054807692307694</v>
          </cell>
          <cell r="AM175">
            <v>88.430192307692323</v>
          </cell>
          <cell r="AN175">
            <v>27</v>
          </cell>
          <cell r="AP175">
            <v>123</v>
          </cell>
          <cell r="AQ175">
            <v>655.74719951923089</v>
          </cell>
          <cell r="AR175">
            <v>7.9072500000000003</v>
          </cell>
          <cell r="AT175">
            <v>7.9072500000000003</v>
          </cell>
          <cell r="AU175">
            <v>647.83994951923091</v>
          </cell>
          <cell r="AX175">
            <v>417</v>
          </cell>
          <cell r="AZ175" t="str">
            <v>Talal Ali Abdullah Al Manai</v>
          </cell>
          <cell r="BA175" t="str">
            <v>57-173470084011</v>
          </cell>
          <cell r="BB175" t="str">
            <v>Bank Muscat</v>
          </cell>
          <cell r="BC175" t="str">
            <v>Al-Buraimi</v>
          </cell>
          <cell r="BD175">
            <v>647.83994951923091</v>
          </cell>
        </row>
        <row r="176">
          <cell r="B176">
            <v>418</v>
          </cell>
          <cell r="C176" t="str">
            <v>Sultan Mohammed Rashid Al Shukaili</v>
          </cell>
          <cell r="D176" t="str">
            <v>Labour</v>
          </cell>
          <cell r="E176" t="str">
            <v>30/9/2006</v>
          </cell>
          <cell r="F176">
            <v>1.4046923076923077</v>
          </cell>
          <cell r="G176">
            <v>0.87793269230769233</v>
          </cell>
          <cell r="H176">
            <v>20</v>
          </cell>
          <cell r="I176">
            <v>28</v>
          </cell>
          <cell r="K176">
            <v>16</v>
          </cell>
          <cell r="L176">
            <v>14</v>
          </cell>
          <cell r="M176">
            <v>0</v>
          </cell>
          <cell r="N176">
            <v>0</v>
          </cell>
          <cell r="O176">
            <v>30</v>
          </cell>
          <cell r="P176">
            <v>58</v>
          </cell>
          <cell r="Q176">
            <v>1.74</v>
          </cell>
          <cell r="R176">
            <v>121.74</v>
          </cell>
          <cell r="S176">
            <v>85</v>
          </cell>
          <cell r="T176">
            <v>2</v>
          </cell>
          <cell r="U176">
            <v>5</v>
          </cell>
          <cell r="V176">
            <v>4.5</v>
          </cell>
          <cell r="W176">
            <v>121.74</v>
          </cell>
          <cell r="X176">
            <v>85</v>
          </cell>
          <cell r="Y176">
            <v>2</v>
          </cell>
          <cell r="Z176">
            <v>5</v>
          </cell>
          <cell r="AA176">
            <v>24.582115384615385</v>
          </cell>
          <cell r="AB176">
            <v>72</v>
          </cell>
          <cell r="AD176">
            <v>28.093846153846155</v>
          </cell>
          <cell r="AH176">
            <v>0</v>
          </cell>
          <cell r="AI176">
            <v>0</v>
          </cell>
          <cell r="AJ176">
            <v>0</v>
          </cell>
          <cell r="AK176">
            <v>0</v>
          </cell>
          <cell r="AL176">
            <v>83.403605769230765</v>
          </cell>
          <cell r="AM176">
            <v>84.28153846153846</v>
          </cell>
          <cell r="AN176">
            <v>27</v>
          </cell>
          <cell r="AP176">
            <v>123</v>
          </cell>
          <cell r="AQ176">
            <v>656.10110576923068</v>
          </cell>
          <cell r="AR176">
            <v>7.9131</v>
          </cell>
          <cell r="AT176">
            <v>7.9131</v>
          </cell>
          <cell r="AU176">
            <v>648.1880057692307</v>
          </cell>
          <cell r="AX176">
            <v>418</v>
          </cell>
          <cell r="AZ176" t="str">
            <v>Sultan Mohammed Rashid Al Shukaili</v>
          </cell>
          <cell r="BA176">
            <v>191113200084017</v>
          </cell>
          <cell r="BB176" t="str">
            <v>Bank Muscat</v>
          </cell>
          <cell r="BC176" t="str">
            <v>Bahla</v>
          </cell>
          <cell r="BD176">
            <v>648.1880057692307</v>
          </cell>
        </row>
        <row r="177">
          <cell r="B177">
            <v>419</v>
          </cell>
          <cell r="C177" t="str">
            <v>Adil Mohammed Said Al Mahrouqi</v>
          </cell>
          <cell r="D177" t="str">
            <v>Asst.Mechanic</v>
          </cell>
          <cell r="E177">
            <v>38729</v>
          </cell>
          <cell r="F177">
            <v>1.4423076923076923</v>
          </cell>
          <cell r="G177">
            <v>0.90144230769230771</v>
          </cell>
          <cell r="H177">
            <v>20</v>
          </cell>
          <cell r="I177">
            <v>28</v>
          </cell>
          <cell r="K177">
            <v>16</v>
          </cell>
          <cell r="L177">
            <v>14</v>
          </cell>
          <cell r="M177">
            <v>0</v>
          </cell>
          <cell r="N177">
            <v>0</v>
          </cell>
          <cell r="O177">
            <v>30</v>
          </cell>
          <cell r="P177">
            <v>66</v>
          </cell>
          <cell r="Q177">
            <v>1.98</v>
          </cell>
          <cell r="R177">
            <v>125</v>
          </cell>
          <cell r="S177">
            <v>100</v>
          </cell>
          <cell r="T177">
            <v>2</v>
          </cell>
          <cell r="U177">
            <v>5</v>
          </cell>
          <cell r="V177">
            <v>4.5</v>
          </cell>
          <cell r="W177">
            <v>125.00000000000001</v>
          </cell>
          <cell r="X177">
            <v>100</v>
          </cell>
          <cell r="Y177">
            <v>2</v>
          </cell>
          <cell r="Z177">
            <v>5</v>
          </cell>
          <cell r="AA177">
            <v>25.240384615384617</v>
          </cell>
          <cell r="AB177">
            <v>72</v>
          </cell>
          <cell r="AD177">
            <v>28.846153846153847</v>
          </cell>
          <cell r="AH177">
            <v>0</v>
          </cell>
          <cell r="AI177">
            <v>0</v>
          </cell>
          <cell r="AJ177">
            <v>0</v>
          </cell>
          <cell r="AK177">
            <v>0</v>
          </cell>
          <cell r="AL177">
            <v>110.87740384615385</v>
          </cell>
          <cell r="AM177">
            <v>86.538461538461533</v>
          </cell>
          <cell r="AN177">
            <v>27</v>
          </cell>
          <cell r="AP177">
            <v>123</v>
          </cell>
          <cell r="AQ177">
            <v>705.50240384615392</v>
          </cell>
          <cell r="AR177">
            <v>8.125</v>
          </cell>
          <cell r="AT177">
            <v>8.125</v>
          </cell>
          <cell r="AU177">
            <v>697.37740384615392</v>
          </cell>
          <cell r="AX177">
            <v>419</v>
          </cell>
          <cell r="AZ177" t="str">
            <v>Adil Mohammed Said Al Mahrouqi</v>
          </cell>
          <cell r="BA177">
            <v>129292330084013</v>
          </cell>
          <cell r="BB177" t="str">
            <v>Bank Muscat</v>
          </cell>
          <cell r="BC177" t="str">
            <v>Adam</v>
          </cell>
          <cell r="BD177">
            <v>697.37740384615392</v>
          </cell>
        </row>
        <row r="178">
          <cell r="B178">
            <v>421</v>
          </cell>
          <cell r="C178" t="str">
            <v>Yousef Said Ali Al Amri</v>
          </cell>
          <cell r="D178" t="str">
            <v>Vib Operator</v>
          </cell>
          <cell r="E178">
            <v>39084</v>
          </cell>
          <cell r="F178">
            <v>2.2144615384615385</v>
          </cell>
          <cell r="G178">
            <v>1.3840384615384616</v>
          </cell>
          <cell r="H178">
            <v>34</v>
          </cell>
          <cell r="I178">
            <v>119</v>
          </cell>
          <cell r="K178">
            <v>16</v>
          </cell>
          <cell r="L178">
            <v>14</v>
          </cell>
          <cell r="M178">
            <v>0</v>
          </cell>
          <cell r="N178">
            <v>0</v>
          </cell>
          <cell r="O178">
            <v>30</v>
          </cell>
          <cell r="P178">
            <v>64</v>
          </cell>
          <cell r="Q178">
            <v>1.92</v>
          </cell>
          <cell r="R178">
            <v>191.92</v>
          </cell>
          <cell r="S178">
            <v>120</v>
          </cell>
          <cell r="T178">
            <v>2</v>
          </cell>
          <cell r="U178">
            <v>5</v>
          </cell>
          <cell r="V178">
            <v>4.5</v>
          </cell>
          <cell r="W178">
            <v>191.92</v>
          </cell>
          <cell r="X178">
            <v>120</v>
          </cell>
          <cell r="Y178">
            <v>2</v>
          </cell>
          <cell r="Z178">
            <v>5</v>
          </cell>
          <cell r="AA178">
            <v>164.70057692307694</v>
          </cell>
          <cell r="AB178">
            <v>72</v>
          </cell>
          <cell r="AD178">
            <v>75.291692307692301</v>
          </cell>
          <cell r="AH178">
            <v>0</v>
          </cell>
          <cell r="AI178">
            <v>0</v>
          </cell>
          <cell r="AJ178">
            <v>0</v>
          </cell>
          <cell r="AK178">
            <v>0</v>
          </cell>
          <cell r="AL178">
            <v>0</v>
          </cell>
          <cell r="AM178">
            <v>225.87507692307693</v>
          </cell>
          <cell r="AN178">
            <v>27</v>
          </cell>
          <cell r="AP178">
            <v>123</v>
          </cell>
          <cell r="AQ178">
            <v>1006.7873461538461</v>
          </cell>
          <cell r="AR178">
            <v>12.4748</v>
          </cell>
          <cell r="AT178">
            <v>12.4748</v>
          </cell>
          <cell r="AU178">
            <v>994.31254615384614</v>
          </cell>
          <cell r="AX178">
            <v>421</v>
          </cell>
          <cell r="AZ178" t="str">
            <v>Yousef Said Ali Al Amri</v>
          </cell>
          <cell r="BA178" t="str">
            <v>131-176040084010</v>
          </cell>
          <cell r="BB178" t="str">
            <v>Bank Muscat</v>
          </cell>
          <cell r="BC178" t="str">
            <v>Sinaw</v>
          </cell>
          <cell r="BD178">
            <v>994.31254615384614</v>
          </cell>
        </row>
        <row r="179">
          <cell r="B179">
            <v>422</v>
          </cell>
          <cell r="C179" t="str">
            <v>Mohammed Hamed Suwaidan</v>
          </cell>
          <cell r="D179" t="str">
            <v>Vib Operator</v>
          </cell>
          <cell r="E179">
            <v>39084</v>
          </cell>
          <cell r="F179">
            <v>2.2144615384615385</v>
          </cell>
          <cell r="G179">
            <v>1.3840384615384616</v>
          </cell>
          <cell r="H179">
            <v>0</v>
          </cell>
          <cell r="I179">
            <v>152</v>
          </cell>
          <cell r="K179">
            <v>18</v>
          </cell>
          <cell r="L179">
            <v>12</v>
          </cell>
          <cell r="M179">
            <v>0</v>
          </cell>
          <cell r="N179">
            <v>0</v>
          </cell>
          <cell r="O179">
            <v>30</v>
          </cell>
          <cell r="P179">
            <v>64</v>
          </cell>
          <cell r="Q179">
            <v>1.92</v>
          </cell>
          <cell r="R179">
            <v>191.92</v>
          </cell>
          <cell r="S179">
            <v>120</v>
          </cell>
          <cell r="T179">
            <v>2</v>
          </cell>
          <cell r="U179">
            <v>5</v>
          </cell>
          <cell r="V179">
            <v>4.5</v>
          </cell>
          <cell r="W179">
            <v>191.92</v>
          </cell>
          <cell r="X179">
            <v>120</v>
          </cell>
          <cell r="Y179">
            <v>2</v>
          </cell>
          <cell r="Z179">
            <v>5</v>
          </cell>
          <cell r="AA179">
            <v>210.37384615384616</v>
          </cell>
          <cell r="AB179">
            <v>81</v>
          </cell>
          <cell r="AD179">
            <v>0</v>
          </cell>
          <cell r="AH179">
            <v>0</v>
          </cell>
          <cell r="AI179">
            <v>0</v>
          </cell>
          <cell r="AJ179">
            <v>0</v>
          </cell>
          <cell r="AK179">
            <v>0</v>
          </cell>
          <cell r="AL179">
            <v>0</v>
          </cell>
          <cell r="AM179">
            <v>225.87507692307693</v>
          </cell>
          <cell r="AN179">
            <v>27</v>
          </cell>
          <cell r="AP179">
            <v>123</v>
          </cell>
          <cell r="AQ179">
            <v>986.16892307692297</v>
          </cell>
          <cell r="AR179">
            <v>12.4748</v>
          </cell>
          <cell r="AT179">
            <v>12.4748</v>
          </cell>
          <cell r="AU179">
            <v>973.69412307692301</v>
          </cell>
          <cell r="AX179">
            <v>422</v>
          </cell>
          <cell r="AZ179" t="str">
            <v>Mohammed Hamed Suwaidan</v>
          </cell>
          <cell r="BA179" t="str">
            <v>128150240084016</v>
          </cell>
          <cell r="BB179" t="str">
            <v>Bank Muscat</v>
          </cell>
          <cell r="BC179" t="str">
            <v>Dhakiliya</v>
          </cell>
          <cell r="BD179">
            <v>973.69412307692301</v>
          </cell>
        </row>
        <row r="180">
          <cell r="B180">
            <v>423</v>
          </cell>
          <cell r="C180" t="str">
            <v>Touyel Eid Hamed Al Darai</v>
          </cell>
          <cell r="D180" t="str">
            <v>Vib Operator</v>
          </cell>
          <cell r="E180">
            <v>39084</v>
          </cell>
          <cell r="F180">
            <v>2.2144615384615385</v>
          </cell>
          <cell r="G180">
            <v>1.3840384615384616</v>
          </cell>
          <cell r="H180">
            <v>34</v>
          </cell>
          <cell r="I180">
            <v>166</v>
          </cell>
          <cell r="K180">
            <v>21</v>
          </cell>
          <cell r="L180">
            <v>9</v>
          </cell>
          <cell r="M180">
            <v>0</v>
          </cell>
          <cell r="N180">
            <v>0</v>
          </cell>
          <cell r="O180">
            <v>30</v>
          </cell>
          <cell r="P180">
            <v>64</v>
          </cell>
          <cell r="Q180">
            <v>1.92</v>
          </cell>
          <cell r="R180">
            <v>191.92</v>
          </cell>
          <cell r="S180">
            <v>120</v>
          </cell>
          <cell r="T180">
            <v>2</v>
          </cell>
          <cell r="U180">
            <v>5</v>
          </cell>
          <cell r="V180">
            <v>4.5</v>
          </cell>
          <cell r="W180">
            <v>191.92</v>
          </cell>
          <cell r="X180">
            <v>120</v>
          </cell>
          <cell r="Y180">
            <v>2</v>
          </cell>
          <cell r="Z180">
            <v>5</v>
          </cell>
          <cell r="AA180">
            <v>229.7503846153846</v>
          </cell>
          <cell r="AB180">
            <v>94.5</v>
          </cell>
          <cell r="AD180">
            <v>75.291692307692301</v>
          </cell>
          <cell r="AH180">
            <v>0</v>
          </cell>
          <cell r="AI180">
            <v>0</v>
          </cell>
          <cell r="AJ180">
            <v>0</v>
          </cell>
          <cell r="AK180">
            <v>0</v>
          </cell>
          <cell r="AL180">
            <v>0</v>
          </cell>
          <cell r="AM180">
            <v>225.87507692307693</v>
          </cell>
          <cell r="AN180">
            <v>27</v>
          </cell>
          <cell r="AP180">
            <v>123</v>
          </cell>
          <cell r="AQ180">
            <v>1094.3371538461538</v>
          </cell>
          <cell r="AR180">
            <v>12.4748</v>
          </cell>
          <cell r="AT180">
            <v>12.4748</v>
          </cell>
          <cell r="AU180">
            <v>1081.8623538461538</v>
          </cell>
          <cell r="AX180">
            <v>423</v>
          </cell>
          <cell r="AZ180" t="str">
            <v>Touyel Eid Hamed Al Darai</v>
          </cell>
          <cell r="BA180" t="str">
            <v>0062-16078008401</v>
          </cell>
          <cell r="BB180" t="str">
            <v>Bank Muscat</v>
          </cell>
          <cell r="BC180" t="str">
            <v>Bahla</v>
          </cell>
          <cell r="BD180">
            <v>1081.8623538461538</v>
          </cell>
        </row>
        <row r="181">
          <cell r="B181">
            <v>424</v>
          </cell>
          <cell r="C181" t="str">
            <v>Awadh Marzouq Abdullah Al Darai</v>
          </cell>
          <cell r="D181" t="str">
            <v>Heavy Duty Driver</v>
          </cell>
          <cell r="E181">
            <v>39448</v>
          </cell>
          <cell r="F181">
            <v>1.7307692307692308</v>
          </cell>
          <cell r="G181">
            <v>1.0817307692307692</v>
          </cell>
          <cell r="H181">
            <v>21</v>
          </cell>
          <cell r="I181">
            <v>50</v>
          </cell>
          <cell r="K181">
            <v>15</v>
          </cell>
          <cell r="L181">
            <v>15</v>
          </cell>
          <cell r="M181">
            <v>0</v>
          </cell>
          <cell r="N181">
            <v>0</v>
          </cell>
          <cell r="O181">
            <v>30</v>
          </cell>
          <cell r="Q181">
            <v>0</v>
          </cell>
          <cell r="R181">
            <v>150</v>
          </cell>
          <cell r="S181">
            <v>85</v>
          </cell>
          <cell r="T181">
            <v>2</v>
          </cell>
          <cell r="U181">
            <v>5</v>
          </cell>
          <cell r="V181">
            <v>4.5</v>
          </cell>
          <cell r="W181">
            <v>150</v>
          </cell>
          <cell r="X181">
            <v>85</v>
          </cell>
          <cell r="Y181">
            <v>2</v>
          </cell>
          <cell r="Z181">
            <v>5</v>
          </cell>
          <cell r="AA181">
            <v>54.08653846153846</v>
          </cell>
          <cell r="AB181">
            <v>67.5</v>
          </cell>
          <cell r="AD181">
            <v>36.346153846153847</v>
          </cell>
          <cell r="AH181">
            <v>0</v>
          </cell>
          <cell r="AI181">
            <v>0</v>
          </cell>
          <cell r="AJ181">
            <v>0</v>
          </cell>
          <cell r="AK181">
            <v>0</v>
          </cell>
          <cell r="AL181">
            <v>69.230769230769226</v>
          </cell>
          <cell r="AM181">
            <v>0</v>
          </cell>
          <cell r="AN181">
            <v>0</v>
          </cell>
          <cell r="AP181">
            <v>0</v>
          </cell>
          <cell r="AQ181">
            <v>469.16346153846155</v>
          </cell>
          <cell r="AR181">
            <v>9.75</v>
          </cell>
          <cell r="AT181">
            <v>9.75</v>
          </cell>
          <cell r="AU181">
            <v>459.41346153846155</v>
          </cell>
          <cell r="AX181">
            <v>424</v>
          </cell>
          <cell r="AZ181" t="str">
            <v>Awadh Marzouq Abdullah Al Darai</v>
          </cell>
          <cell r="BA181" t="str">
            <v>062-113340084010</v>
          </cell>
          <cell r="BB181" t="str">
            <v>Bank Muscat</v>
          </cell>
          <cell r="BC181" t="str">
            <v>Bahla</v>
          </cell>
          <cell r="BD181">
            <v>459.41346153846155</v>
          </cell>
        </row>
        <row r="182">
          <cell r="B182">
            <v>425</v>
          </cell>
          <cell r="C182" t="str">
            <v>Khalifa Ali Salim Al Mani</v>
          </cell>
          <cell r="D182" t="str">
            <v>Heavy Duty Driver</v>
          </cell>
          <cell r="E182">
            <v>39448</v>
          </cell>
          <cell r="F182">
            <v>1.7307692307692308</v>
          </cell>
          <cell r="G182">
            <v>1.0817307692307692</v>
          </cell>
          <cell r="H182">
            <v>0</v>
          </cell>
          <cell r="I182">
            <v>120.5</v>
          </cell>
          <cell r="K182">
            <v>21</v>
          </cell>
          <cell r="L182">
            <v>9</v>
          </cell>
          <cell r="M182">
            <v>0</v>
          </cell>
          <cell r="N182">
            <v>0</v>
          </cell>
          <cell r="O182">
            <v>30</v>
          </cell>
          <cell r="Q182">
            <v>0</v>
          </cell>
          <cell r="R182">
            <v>150</v>
          </cell>
          <cell r="S182">
            <v>85</v>
          </cell>
          <cell r="T182">
            <v>2</v>
          </cell>
          <cell r="U182">
            <v>5</v>
          </cell>
          <cell r="V182">
            <v>4.5</v>
          </cell>
          <cell r="W182">
            <v>150</v>
          </cell>
          <cell r="X182">
            <v>85</v>
          </cell>
          <cell r="Y182">
            <v>2</v>
          </cell>
          <cell r="Z182">
            <v>5</v>
          </cell>
          <cell r="AA182">
            <v>130.34855769230768</v>
          </cell>
          <cell r="AB182">
            <v>94.5</v>
          </cell>
          <cell r="AD182">
            <v>0</v>
          </cell>
          <cell r="AH182">
            <v>0</v>
          </cell>
          <cell r="AI182">
            <v>0</v>
          </cell>
          <cell r="AJ182">
            <v>0</v>
          </cell>
          <cell r="AK182">
            <v>0</v>
          </cell>
          <cell r="AL182">
            <v>30.288461538461537</v>
          </cell>
          <cell r="AM182">
            <v>109.03846153846155</v>
          </cell>
          <cell r="AN182">
            <v>27</v>
          </cell>
          <cell r="AP182">
            <v>123</v>
          </cell>
          <cell r="AQ182">
            <v>756.17548076923072</v>
          </cell>
          <cell r="AR182">
            <v>9.75</v>
          </cell>
          <cell r="AT182">
            <v>9.75</v>
          </cell>
          <cell r="AU182">
            <v>746.42548076923072</v>
          </cell>
          <cell r="AX182">
            <v>425</v>
          </cell>
          <cell r="AZ182" t="str">
            <v>Khalifa Ali Salim Al Mani</v>
          </cell>
          <cell r="BA182" t="str">
            <v>002-262038-035</v>
          </cell>
          <cell r="BB182" t="str">
            <v>HSBC</v>
          </cell>
          <cell r="BC182" t="str">
            <v>Ruwi</v>
          </cell>
          <cell r="BD182">
            <v>746.42548076923072</v>
          </cell>
        </row>
        <row r="183">
          <cell r="B183">
            <v>426</v>
          </cell>
          <cell r="C183" t="str">
            <v>Moosa Mubarak Habib Al Hadi</v>
          </cell>
          <cell r="D183" t="str">
            <v>Labour</v>
          </cell>
          <cell r="E183">
            <v>39448</v>
          </cell>
          <cell r="F183">
            <v>1.3846153846153846</v>
          </cell>
          <cell r="G183">
            <v>0.86538461538461542</v>
          </cell>
          <cell r="H183">
            <v>0</v>
          </cell>
          <cell r="I183">
            <v>41</v>
          </cell>
          <cell r="K183">
            <v>10</v>
          </cell>
          <cell r="L183">
            <v>20</v>
          </cell>
          <cell r="M183">
            <v>0</v>
          </cell>
          <cell r="N183">
            <v>0</v>
          </cell>
          <cell r="O183">
            <v>30</v>
          </cell>
          <cell r="Q183">
            <v>0</v>
          </cell>
          <cell r="R183">
            <v>120</v>
          </cell>
          <cell r="S183">
            <v>85</v>
          </cell>
          <cell r="T183">
            <v>2</v>
          </cell>
          <cell r="U183">
            <v>5</v>
          </cell>
          <cell r="V183">
            <v>4.5</v>
          </cell>
          <cell r="W183">
            <v>120</v>
          </cell>
          <cell r="X183">
            <v>85</v>
          </cell>
          <cell r="Y183">
            <v>2</v>
          </cell>
          <cell r="Z183">
            <v>5</v>
          </cell>
          <cell r="AA183">
            <v>35.480769230769234</v>
          </cell>
          <cell r="AB183">
            <v>45</v>
          </cell>
          <cell r="AC183">
            <v>10</v>
          </cell>
          <cell r="AD183">
            <v>0</v>
          </cell>
          <cell r="AH183">
            <v>0</v>
          </cell>
          <cell r="AI183">
            <v>0</v>
          </cell>
          <cell r="AJ183">
            <v>0</v>
          </cell>
          <cell r="AK183">
            <v>0</v>
          </cell>
          <cell r="AL183">
            <v>27.692307692307693</v>
          </cell>
          <cell r="AM183">
            <v>0</v>
          </cell>
          <cell r="AN183">
            <v>0</v>
          </cell>
          <cell r="AP183">
            <v>0</v>
          </cell>
          <cell r="AQ183">
            <v>330.17307692307691</v>
          </cell>
          <cell r="AR183">
            <v>7.8000000000000007</v>
          </cell>
          <cell r="AT183">
            <v>7.8000000000000007</v>
          </cell>
          <cell r="AU183">
            <v>322.37307692307689</v>
          </cell>
          <cell r="AX183">
            <v>426</v>
          </cell>
          <cell r="AZ183" t="str">
            <v>Moosa Mubarak Habib Al Hadi</v>
          </cell>
          <cell r="BA183" t="str">
            <v>0075-205610084015</v>
          </cell>
          <cell r="BB183" t="str">
            <v>Bank Muscat</v>
          </cell>
          <cell r="BC183" t="str">
            <v>Al Amerat</v>
          </cell>
          <cell r="BD183">
            <v>322.37307692307689</v>
          </cell>
        </row>
        <row r="184">
          <cell r="B184">
            <v>427</v>
          </cell>
          <cell r="C184" t="str">
            <v>Said Dheeb Saif Al Manai</v>
          </cell>
          <cell r="D184" t="str">
            <v>Labour</v>
          </cell>
          <cell r="E184">
            <v>39783</v>
          </cell>
          <cell r="F184">
            <v>1.3846153846153846</v>
          </cell>
          <cell r="G184">
            <v>0.86538461538461542</v>
          </cell>
          <cell r="H184">
            <v>0</v>
          </cell>
          <cell r="I184">
            <v>112.5</v>
          </cell>
          <cell r="K184">
            <v>21</v>
          </cell>
          <cell r="L184">
            <v>9</v>
          </cell>
          <cell r="M184">
            <v>0</v>
          </cell>
          <cell r="N184">
            <v>0</v>
          </cell>
          <cell r="O184">
            <v>30</v>
          </cell>
          <cell r="Q184">
            <v>0</v>
          </cell>
          <cell r="R184">
            <v>120</v>
          </cell>
          <cell r="S184">
            <v>85</v>
          </cell>
          <cell r="T184">
            <v>2</v>
          </cell>
          <cell r="U184">
            <v>5</v>
          </cell>
          <cell r="V184">
            <v>4.5</v>
          </cell>
          <cell r="W184">
            <v>120</v>
          </cell>
          <cell r="X184">
            <v>85</v>
          </cell>
          <cell r="Y184">
            <v>2</v>
          </cell>
          <cell r="Z184">
            <v>5</v>
          </cell>
          <cell r="AA184">
            <v>97.355769230769241</v>
          </cell>
          <cell r="AB184">
            <v>94.5</v>
          </cell>
          <cell r="AC184">
            <v>21</v>
          </cell>
          <cell r="AD184">
            <v>0</v>
          </cell>
          <cell r="AH184">
            <v>0</v>
          </cell>
          <cell r="AI184">
            <v>0</v>
          </cell>
          <cell r="AJ184">
            <v>0</v>
          </cell>
          <cell r="AK184">
            <v>0</v>
          </cell>
          <cell r="AL184">
            <v>24.230769230769234</v>
          </cell>
          <cell r="AM184">
            <v>87.230769230769226</v>
          </cell>
          <cell r="AN184">
            <v>27</v>
          </cell>
          <cell r="AP184">
            <v>123</v>
          </cell>
          <cell r="AQ184">
            <v>686.31730769230762</v>
          </cell>
          <cell r="AR184">
            <v>7.8000000000000007</v>
          </cell>
          <cell r="AT184">
            <v>7.8000000000000007</v>
          </cell>
          <cell r="AU184">
            <v>678.51730769230767</v>
          </cell>
          <cell r="AX184">
            <v>427</v>
          </cell>
          <cell r="AZ184" t="str">
            <v>Said Dheeb Saif Al Manai</v>
          </cell>
          <cell r="BA184" t="str">
            <v>0062-148980084010</v>
          </cell>
          <cell r="BB184" t="str">
            <v>Bank Muscat</v>
          </cell>
          <cell r="BC184" t="str">
            <v>Bahla</v>
          </cell>
          <cell r="BD184">
            <v>678.51730769230767</v>
          </cell>
        </row>
        <row r="185">
          <cell r="B185">
            <v>429</v>
          </cell>
          <cell r="C185" t="str">
            <v>Sulaiman Hamdan Salim Al Hinai</v>
          </cell>
          <cell r="D185" t="str">
            <v>Mechanic</v>
          </cell>
          <cell r="E185">
            <v>39448</v>
          </cell>
          <cell r="F185">
            <v>1.5</v>
          </cell>
          <cell r="G185">
            <v>0.9375</v>
          </cell>
          <cell r="H185">
            <v>10</v>
          </cell>
          <cell r="I185">
            <v>36</v>
          </cell>
          <cell r="K185">
            <v>19</v>
          </cell>
          <cell r="L185">
            <v>11</v>
          </cell>
          <cell r="M185">
            <v>0</v>
          </cell>
          <cell r="N185">
            <v>0</v>
          </cell>
          <cell r="O185">
            <v>30</v>
          </cell>
          <cell r="Q185">
            <v>0</v>
          </cell>
          <cell r="R185">
            <v>130</v>
          </cell>
          <cell r="S185">
            <v>110</v>
          </cell>
          <cell r="T185">
            <v>2</v>
          </cell>
          <cell r="U185">
            <v>5</v>
          </cell>
          <cell r="V185">
            <v>4.5</v>
          </cell>
          <cell r="W185">
            <v>130</v>
          </cell>
          <cell r="X185">
            <v>110</v>
          </cell>
          <cell r="Y185">
            <v>2</v>
          </cell>
          <cell r="Z185">
            <v>5</v>
          </cell>
          <cell r="AA185">
            <v>33.75</v>
          </cell>
          <cell r="AB185">
            <v>85.5</v>
          </cell>
          <cell r="AD185">
            <v>15</v>
          </cell>
          <cell r="AH185">
            <v>0</v>
          </cell>
          <cell r="AI185">
            <v>0</v>
          </cell>
          <cell r="AJ185">
            <v>0</v>
          </cell>
          <cell r="AK185">
            <v>0</v>
          </cell>
          <cell r="AL185">
            <v>154.6875</v>
          </cell>
          <cell r="AM185">
            <v>0</v>
          </cell>
          <cell r="AN185">
            <v>0</v>
          </cell>
          <cell r="AP185">
            <v>0</v>
          </cell>
          <cell r="AQ185">
            <v>535.9375</v>
          </cell>
          <cell r="AR185">
            <v>8.4500000000000011</v>
          </cell>
          <cell r="AT185">
            <v>8.4500000000000011</v>
          </cell>
          <cell r="AU185">
            <v>527.48749999999995</v>
          </cell>
          <cell r="AV185" t="str">
            <v>Housing Allowance revised to 100 &amp; Basic 130 from 1/11/2008</v>
          </cell>
          <cell r="AX185">
            <v>429</v>
          </cell>
          <cell r="AZ185" t="str">
            <v>Sulaiman Hamdan Salim Al Hinai</v>
          </cell>
          <cell r="BA185" t="str">
            <v>118-271500084018</v>
          </cell>
          <cell r="BB185" t="str">
            <v>Bank Muscat</v>
          </cell>
          <cell r="BC185" t="str">
            <v>Al-Jubail</v>
          </cell>
          <cell r="BD185">
            <v>527.48749999999995</v>
          </cell>
        </row>
        <row r="186">
          <cell r="B186">
            <v>433</v>
          </cell>
          <cell r="C186" t="str">
            <v>Said Eid Al Dara'I</v>
          </cell>
          <cell r="D186" t="str">
            <v>Labour</v>
          </cell>
          <cell r="E186">
            <v>39620</v>
          </cell>
          <cell r="F186">
            <v>1.3846153846153846</v>
          </cell>
          <cell r="G186">
            <v>0.86538461538461542</v>
          </cell>
          <cell r="H186">
            <v>0</v>
          </cell>
          <cell r="I186">
            <v>112.5</v>
          </cell>
          <cell r="K186">
            <v>21</v>
          </cell>
          <cell r="L186">
            <v>9</v>
          </cell>
          <cell r="M186">
            <v>0</v>
          </cell>
          <cell r="N186">
            <v>0</v>
          </cell>
          <cell r="O186">
            <v>30</v>
          </cell>
          <cell r="Q186">
            <v>0</v>
          </cell>
          <cell r="R186">
            <v>120</v>
          </cell>
          <cell r="S186">
            <v>85</v>
          </cell>
          <cell r="T186">
            <v>2</v>
          </cell>
          <cell r="U186">
            <v>5</v>
          </cell>
          <cell r="V186">
            <v>4.5</v>
          </cell>
          <cell r="W186">
            <v>120</v>
          </cell>
          <cell r="X186">
            <v>85</v>
          </cell>
          <cell r="Y186">
            <v>2</v>
          </cell>
          <cell r="Z186">
            <v>5</v>
          </cell>
          <cell r="AA186">
            <v>97.355769230769241</v>
          </cell>
          <cell r="AB186">
            <v>94.5</v>
          </cell>
          <cell r="AC186">
            <v>21</v>
          </cell>
          <cell r="AD186">
            <v>0</v>
          </cell>
          <cell r="AH186">
            <v>0</v>
          </cell>
          <cell r="AI186">
            <v>0</v>
          </cell>
          <cell r="AJ186">
            <v>0</v>
          </cell>
          <cell r="AK186">
            <v>0</v>
          </cell>
          <cell r="AL186">
            <v>18.60576923076923</v>
          </cell>
          <cell r="AM186">
            <v>87.230769230769226</v>
          </cell>
          <cell r="AN186">
            <v>22.5</v>
          </cell>
          <cell r="AP186">
            <v>123</v>
          </cell>
          <cell r="AQ186">
            <v>676.19230769230762</v>
          </cell>
          <cell r="AR186">
            <v>7.8000000000000007</v>
          </cell>
          <cell r="AT186">
            <v>7.8000000000000007</v>
          </cell>
          <cell r="AU186">
            <v>668.39230769230767</v>
          </cell>
          <cell r="AX186">
            <v>433</v>
          </cell>
          <cell r="AZ186" t="str">
            <v>Said Eid Al Dara'I</v>
          </cell>
          <cell r="BA186" t="str">
            <v>62-133460084011</v>
          </cell>
          <cell r="BB186" t="str">
            <v>Bank Muscat</v>
          </cell>
          <cell r="BD186">
            <v>668.39230769230767</v>
          </cell>
        </row>
        <row r="187">
          <cell r="B187">
            <v>434</v>
          </cell>
          <cell r="C187" t="str">
            <v>Talal Said Abdullah Sidery</v>
          </cell>
          <cell r="D187" t="str">
            <v>Labour</v>
          </cell>
          <cell r="E187">
            <v>39620</v>
          </cell>
          <cell r="F187">
            <v>1.3846153846153846</v>
          </cell>
          <cell r="G187">
            <v>0.86538461538461542</v>
          </cell>
          <cell r="H187">
            <v>0</v>
          </cell>
          <cell r="I187">
            <v>112.5</v>
          </cell>
          <cell r="K187">
            <v>21</v>
          </cell>
          <cell r="L187">
            <v>9</v>
          </cell>
          <cell r="M187">
            <v>0</v>
          </cell>
          <cell r="N187">
            <v>0</v>
          </cell>
          <cell r="O187">
            <v>30</v>
          </cell>
          <cell r="Q187">
            <v>0</v>
          </cell>
          <cell r="R187">
            <v>120</v>
          </cell>
          <cell r="S187">
            <v>85</v>
          </cell>
          <cell r="T187">
            <v>2</v>
          </cell>
          <cell r="U187">
            <v>5</v>
          </cell>
          <cell r="V187">
            <v>4.5</v>
          </cell>
          <cell r="W187">
            <v>120</v>
          </cell>
          <cell r="X187">
            <v>85</v>
          </cell>
          <cell r="Y187">
            <v>2</v>
          </cell>
          <cell r="Z187">
            <v>5</v>
          </cell>
          <cell r="AA187">
            <v>97.355769230769241</v>
          </cell>
          <cell r="AB187">
            <v>94.5</v>
          </cell>
          <cell r="AC187">
            <v>21</v>
          </cell>
          <cell r="AD187">
            <v>0</v>
          </cell>
          <cell r="AG187">
            <v>18</v>
          </cell>
          <cell r="AH187">
            <v>0</v>
          </cell>
          <cell r="AI187">
            <v>0</v>
          </cell>
          <cell r="AJ187">
            <v>0</v>
          </cell>
          <cell r="AK187">
            <v>0</v>
          </cell>
          <cell r="AL187">
            <v>24.230769230769234</v>
          </cell>
          <cell r="AM187">
            <v>87.230769230769226</v>
          </cell>
          <cell r="AN187">
            <v>27</v>
          </cell>
          <cell r="AP187">
            <v>123</v>
          </cell>
          <cell r="AQ187">
            <v>704.31730769230762</v>
          </cell>
          <cell r="AR187">
            <v>7.8000000000000007</v>
          </cell>
          <cell r="AT187">
            <v>7.8000000000000007</v>
          </cell>
          <cell r="AU187">
            <v>696.51730769230767</v>
          </cell>
          <cell r="AX187">
            <v>434</v>
          </cell>
          <cell r="AZ187" t="str">
            <v>Talal Said Abdullah Sidery</v>
          </cell>
          <cell r="BA187" t="str">
            <v>073 16049 0084 015</v>
          </cell>
          <cell r="BB187" t="str">
            <v>Bank Muscat</v>
          </cell>
          <cell r="BD187">
            <v>696.51730769230767</v>
          </cell>
        </row>
        <row r="188">
          <cell r="B188">
            <v>435</v>
          </cell>
          <cell r="C188" t="str">
            <v>Marhoon Salim Fadhil Al Siyabi</v>
          </cell>
          <cell r="D188" t="str">
            <v>Labour / Driver</v>
          </cell>
          <cell r="E188">
            <v>39630</v>
          </cell>
          <cell r="F188">
            <v>1.3846153846153846</v>
          </cell>
          <cell r="G188">
            <v>0.86538461538461542</v>
          </cell>
          <cell r="H188">
            <v>21</v>
          </cell>
          <cell r="I188">
            <v>57</v>
          </cell>
          <cell r="K188">
            <v>20</v>
          </cell>
          <cell r="L188">
            <v>10</v>
          </cell>
          <cell r="M188">
            <v>0</v>
          </cell>
          <cell r="N188">
            <v>0</v>
          </cell>
          <cell r="O188">
            <v>30</v>
          </cell>
          <cell r="Q188">
            <v>0</v>
          </cell>
          <cell r="R188">
            <v>120</v>
          </cell>
          <cell r="S188">
            <v>85</v>
          </cell>
          <cell r="T188">
            <v>2</v>
          </cell>
          <cell r="U188">
            <v>5</v>
          </cell>
          <cell r="V188">
            <v>4.5</v>
          </cell>
          <cell r="W188">
            <v>120</v>
          </cell>
          <cell r="X188">
            <v>85</v>
          </cell>
          <cell r="Y188">
            <v>2</v>
          </cell>
          <cell r="Z188">
            <v>5</v>
          </cell>
          <cell r="AA188">
            <v>49.32692307692308</v>
          </cell>
          <cell r="AB188">
            <v>90</v>
          </cell>
          <cell r="AC188">
            <v>20</v>
          </cell>
          <cell r="AD188">
            <v>29.076923076923077</v>
          </cell>
          <cell r="AH188">
            <v>0</v>
          </cell>
          <cell r="AI188">
            <v>0</v>
          </cell>
          <cell r="AJ188">
            <v>0</v>
          </cell>
          <cell r="AK188">
            <v>0</v>
          </cell>
          <cell r="AL188">
            <v>17.307692307692307</v>
          </cell>
          <cell r="AM188">
            <v>87.230769230769226</v>
          </cell>
          <cell r="AN188">
            <v>27</v>
          </cell>
          <cell r="AP188">
            <v>123</v>
          </cell>
          <cell r="AQ188">
            <v>654.94230769230774</v>
          </cell>
          <cell r="AR188">
            <v>7.8000000000000007</v>
          </cell>
          <cell r="AT188">
            <v>7.8000000000000007</v>
          </cell>
          <cell r="AU188">
            <v>647.14230769230778</v>
          </cell>
          <cell r="AX188">
            <v>435</v>
          </cell>
          <cell r="AZ188" t="str">
            <v>Marhoon Salim Fadhil Al Siyabi</v>
          </cell>
          <cell r="BA188" t="str">
            <v>043233580084016</v>
          </cell>
          <cell r="BB188" t="str">
            <v>Bank Muscat</v>
          </cell>
          <cell r="BD188">
            <v>647.14230769230778</v>
          </cell>
        </row>
        <row r="189">
          <cell r="B189">
            <v>436</v>
          </cell>
          <cell r="C189" t="str">
            <v>Khalifa Khamis Abdullah Al Ghafri</v>
          </cell>
          <cell r="D189" t="str">
            <v>Labour / Driver</v>
          </cell>
          <cell r="E189">
            <v>39630</v>
          </cell>
          <cell r="F189">
            <v>1.3846153846153846</v>
          </cell>
          <cell r="G189">
            <v>0.86538461538461542</v>
          </cell>
          <cell r="H189">
            <v>21</v>
          </cell>
          <cell r="I189">
            <v>84.5</v>
          </cell>
          <cell r="K189">
            <v>23</v>
          </cell>
          <cell r="L189">
            <v>7</v>
          </cell>
          <cell r="M189">
            <v>0</v>
          </cell>
          <cell r="N189">
            <v>0</v>
          </cell>
          <cell r="O189">
            <v>30</v>
          </cell>
          <cell r="Q189">
            <v>0</v>
          </cell>
          <cell r="R189">
            <v>120</v>
          </cell>
          <cell r="S189">
            <v>85</v>
          </cell>
          <cell r="T189">
            <v>2</v>
          </cell>
          <cell r="U189">
            <v>5</v>
          </cell>
          <cell r="V189">
            <v>4.5</v>
          </cell>
          <cell r="W189">
            <v>120</v>
          </cell>
          <cell r="X189">
            <v>85</v>
          </cell>
          <cell r="Y189">
            <v>2</v>
          </cell>
          <cell r="Z189">
            <v>5</v>
          </cell>
          <cell r="AA189">
            <v>73.125</v>
          </cell>
          <cell r="AB189">
            <v>103.5</v>
          </cell>
          <cell r="AC189">
            <v>23</v>
          </cell>
          <cell r="AD189">
            <v>29.076923076923077</v>
          </cell>
          <cell r="AH189">
            <v>0</v>
          </cell>
          <cell r="AI189">
            <v>0</v>
          </cell>
          <cell r="AJ189">
            <v>0</v>
          </cell>
          <cell r="AK189">
            <v>0</v>
          </cell>
          <cell r="AL189">
            <v>24.230769230769234</v>
          </cell>
          <cell r="AM189">
            <v>0</v>
          </cell>
          <cell r="AN189">
            <v>0</v>
          </cell>
          <cell r="AP189">
            <v>0</v>
          </cell>
          <cell r="AQ189">
            <v>464.93269230769232</v>
          </cell>
          <cell r="AR189">
            <v>7.8000000000000007</v>
          </cell>
          <cell r="AT189">
            <v>7.8000000000000007</v>
          </cell>
          <cell r="AU189">
            <v>457.13269230769231</v>
          </cell>
          <cell r="AX189">
            <v>436</v>
          </cell>
          <cell r="AZ189" t="str">
            <v>Khalifa Khamis Abdullah Al Ghafri</v>
          </cell>
          <cell r="BA189" t="str">
            <v>121128880084017</v>
          </cell>
          <cell r="BB189" t="str">
            <v>Bank Muscat</v>
          </cell>
          <cell r="BD189">
            <v>457.13269230769231</v>
          </cell>
        </row>
        <row r="190">
          <cell r="B190">
            <v>437</v>
          </cell>
          <cell r="C190" t="str">
            <v>Hamdan  Salim Hamdan Al Hashmi</v>
          </cell>
          <cell r="D190" t="str">
            <v>Labour / Driver</v>
          </cell>
          <cell r="E190">
            <v>39630</v>
          </cell>
          <cell r="F190">
            <v>1.3846153846153846</v>
          </cell>
          <cell r="G190">
            <v>0.86538461538461542</v>
          </cell>
          <cell r="H190">
            <v>21</v>
          </cell>
          <cell r="I190">
            <v>37</v>
          </cell>
          <cell r="K190">
            <v>13</v>
          </cell>
          <cell r="L190">
            <v>14</v>
          </cell>
          <cell r="M190">
            <v>0</v>
          </cell>
          <cell r="N190">
            <v>3</v>
          </cell>
          <cell r="O190">
            <v>27</v>
          </cell>
          <cell r="Q190">
            <v>0</v>
          </cell>
          <cell r="R190">
            <v>120</v>
          </cell>
          <cell r="S190">
            <v>85</v>
          </cell>
          <cell r="T190">
            <v>2</v>
          </cell>
          <cell r="U190">
            <v>5</v>
          </cell>
          <cell r="V190">
            <v>4.5</v>
          </cell>
          <cell r="W190">
            <v>108</v>
          </cell>
          <cell r="X190">
            <v>76.5</v>
          </cell>
          <cell r="Y190">
            <v>1.8</v>
          </cell>
          <cell r="Z190">
            <v>4.5</v>
          </cell>
          <cell r="AA190">
            <v>32.019230769230774</v>
          </cell>
          <cell r="AB190">
            <v>58.5</v>
          </cell>
          <cell r="AC190">
            <v>13</v>
          </cell>
          <cell r="AD190">
            <v>29.076923076923077</v>
          </cell>
          <cell r="AH190">
            <v>0</v>
          </cell>
          <cell r="AI190">
            <v>0</v>
          </cell>
          <cell r="AJ190">
            <v>0</v>
          </cell>
          <cell r="AK190">
            <v>0</v>
          </cell>
          <cell r="AL190">
            <v>55.384615384615387</v>
          </cell>
          <cell r="AM190">
            <v>0</v>
          </cell>
          <cell r="AN190">
            <v>0</v>
          </cell>
          <cell r="AP190">
            <v>0</v>
          </cell>
          <cell r="AQ190">
            <v>378.78076923076924</v>
          </cell>
          <cell r="AR190">
            <v>7.8000000000000007</v>
          </cell>
          <cell r="AT190">
            <v>7.8000000000000007</v>
          </cell>
          <cell r="AU190">
            <v>370.98076923076923</v>
          </cell>
          <cell r="AX190">
            <v>437</v>
          </cell>
          <cell r="AZ190" t="str">
            <v>Hamdan  Salim Hamdan Al Hashmi</v>
          </cell>
          <cell r="BA190" t="str">
            <v>0187113200084017</v>
          </cell>
          <cell r="BB190" t="str">
            <v>Bank Muscat</v>
          </cell>
          <cell r="BD190">
            <v>370.98076923076923</v>
          </cell>
        </row>
        <row r="191">
          <cell r="B191">
            <v>438</v>
          </cell>
          <cell r="C191" t="str">
            <v>Khalifa Salim Khalifa Al Balushi</v>
          </cell>
          <cell r="D191" t="str">
            <v>Labour / Driver</v>
          </cell>
          <cell r="E191">
            <v>39630</v>
          </cell>
          <cell r="F191">
            <v>1.3846153846153846</v>
          </cell>
          <cell r="G191">
            <v>0.86538461538461542</v>
          </cell>
          <cell r="H191">
            <v>21</v>
          </cell>
          <cell r="I191">
            <v>59</v>
          </cell>
          <cell r="K191">
            <v>16</v>
          </cell>
          <cell r="L191">
            <v>14</v>
          </cell>
          <cell r="M191">
            <v>0</v>
          </cell>
          <cell r="N191">
            <v>0</v>
          </cell>
          <cell r="O191">
            <v>30</v>
          </cell>
          <cell r="Q191">
            <v>0</v>
          </cell>
          <cell r="R191">
            <v>120</v>
          </cell>
          <cell r="S191">
            <v>85</v>
          </cell>
          <cell r="T191">
            <v>2</v>
          </cell>
          <cell r="U191">
            <v>5</v>
          </cell>
          <cell r="V191">
            <v>4.5</v>
          </cell>
          <cell r="W191">
            <v>120</v>
          </cell>
          <cell r="X191">
            <v>85</v>
          </cell>
          <cell r="Y191">
            <v>2</v>
          </cell>
          <cell r="Z191">
            <v>5</v>
          </cell>
          <cell r="AA191">
            <v>51.057692307692307</v>
          </cell>
          <cell r="AB191">
            <v>72</v>
          </cell>
          <cell r="AC191">
            <v>16</v>
          </cell>
          <cell r="AD191">
            <v>29.076923076923077</v>
          </cell>
          <cell r="AH191">
            <v>0</v>
          </cell>
          <cell r="AI191">
            <v>0</v>
          </cell>
          <cell r="AJ191">
            <v>0</v>
          </cell>
          <cell r="AK191">
            <v>0</v>
          </cell>
          <cell r="AL191">
            <v>55.384615384615387</v>
          </cell>
          <cell r="AM191">
            <v>0</v>
          </cell>
          <cell r="AN191">
            <v>0</v>
          </cell>
          <cell r="AP191">
            <v>0</v>
          </cell>
          <cell r="AQ191">
            <v>435.51923076923083</v>
          </cell>
          <cell r="AR191">
            <v>7.8000000000000007</v>
          </cell>
          <cell r="AT191">
            <v>7.8000000000000007</v>
          </cell>
          <cell r="AU191">
            <v>427.71923076923082</v>
          </cell>
          <cell r="AX191">
            <v>438</v>
          </cell>
          <cell r="AZ191" t="str">
            <v>Khalifa Salim Khalifa Al Balushi</v>
          </cell>
          <cell r="BA191" t="str">
            <v>0118274970084018</v>
          </cell>
          <cell r="BB191" t="str">
            <v>Bank Muscat</v>
          </cell>
          <cell r="BD191">
            <v>427.71923076923082</v>
          </cell>
        </row>
        <row r="192">
          <cell r="B192">
            <v>439</v>
          </cell>
          <cell r="C192" t="str">
            <v>Suleiman Saif Mohammed Al Hinai</v>
          </cell>
          <cell r="D192" t="str">
            <v>Labour / Driver</v>
          </cell>
          <cell r="E192">
            <v>39630</v>
          </cell>
          <cell r="F192">
            <v>1.3846153846153846</v>
          </cell>
          <cell r="G192">
            <v>0.86538461538461542</v>
          </cell>
          <cell r="H192">
            <v>0</v>
          </cell>
          <cell r="I192">
            <v>93</v>
          </cell>
          <cell r="K192">
            <v>19</v>
          </cell>
          <cell r="L192">
            <v>11</v>
          </cell>
          <cell r="M192">
            <v>0</v>
          </cell>
          <cell r="N192">
            <v>0</v>
          </cell>
          <cell r="O192">
            <v>30</v>
          </cell>
          <cell r="Q192">
            <v>0</v>
          </cell>
          <cell r="R192">
            <v>120</v>
          </cell>
          <cell r="S192">
            <v>85</v>
          </cell>
          <cell r="T192">
            <v>2</v>
          </cell>
          <cell r="U192">
            <v>5</v>
          </cell>
          <cell r="V192">
            <v>4.5</v>
          </cell>
          <cell r="W192">
            <v>120</v>
          </cell>
          <cell r="X192">
            <v>85</v>
          </cell>
          <cell r="Y192">
            <v>2</v>
          </cell>
          <cell r="Z192">
            <v>5</v>
          </cell>
          <cell r="AA192">
            <v>80.480769230769241</v>
          </cell>
          <cell r="AB192">
            <v>85.5</v>
          </cell>
          <cell r="AC192">
            <v>19</v>
          </cell>
          <cell r="AD192">
            <v>0</v>
          </cell>
          <cell r="AH192">
            <v>0</v>
          </cell>
          <cell r="AI192">
            <v>0</v>
          </cell>
          <cell r="AJ192">
            <v>0</v>
          </cell>
          <cell r="AK192">
            <v>0</v>
          </cell>
          <cell r="AL192">
            <v>24.230769230769234</v>
          </cell>
          <cell r="AM192">
            <v>0</v>
          </cell>
          <cell r="AN192">
            <v>0</v>
          </cell>
          <cell r="AP192">
            <v>0</v>
          </cell>
          <cell r="AQ192">
            <v>421.21153846153845</v>
          </cell>
          <cell r="AR192">
            <v>7.8000000000000007</v>
          </cell>
          <cell r="AT192">
            <v>7.8000000000000007</v>
          </cell>
          <cell r="AU192">
            <v>413.41153846153844</v>
          </cell>
          <cell r="AX192">
            <v>439</v>
          </cell>
          <cell r="AZ192" t="str">
            <v>Suleiman Saif Mohammed Al Hinai</v>
          </cell>
          <cell r="BA192" t="str">
            <v>121135930084011</v>
          </cell>
          <cell r="BB192" t="str">
            <v>Bank Muscat</v>
          </cell>
          <cell r="BD192">
            <v>413.41153846153844</v>
          </cell>
        </row>
        <row r="193">
          <cell r="B193">
            <v>440</v>
          </cell>
          <cell r="C193" t="str">
            <v>Ali Sultan Mohammed Al Shaibani</v>
          </cell>
          <cell r="D193" t="str">
            <v>Labour / Driver</v>
          </cell>
          <cell r="E193">
            <v>39662</v>
          </cell>
          <cell r="F193">
            <v>1.3846153846153846</v>
          </cell>
          <cell r="G193">
            <v>0.86538461538461542</v>
          </cell>
          <cell r="H193">
            <v>21</v>
          </cell>
          <cell r="I193">
            <v>56.5</v>
          </cell>
          <cell r="K193">
            <v>16</v>
          </cell>
          <cell r="L193">
            <v>14</v>
          </cell>
          <cell r="M193">
            <v>0</v>
          </cell>
          <cell r="N193">
            <v>0</v>
          </cell>
          <cell r="O193">
            <v>30</v>
          </cell>
          <cell r="Q193">
            <v>0</v>
          </cell>
          <cell r="R193">
            <v>120</v>
          </cell>
          <cell r="S193">
            <v>85</v>
          </cell>
          <cell r="T193">
            <v>2</v>
          </cell>
          <cell r="U193">
            <v>5</v>
          </cell>
          <cell r="V193">
            <v>4.5</v>
          </cell>
          <cell r="W193">
            <v>120</v>
          </cell>
          <cell r="X193">
            <v>85</v>
          </cell>
          <cell r="Y193">
            <v>2</v>
          </cell>
          <cell r="Z193">
            <v>5</v>
          </cell>
          <cell r="AA193">
            <v>48.894230769230774</v>
          </cell>
          <cell r="AB193">
            <v>72</v>
          </cell>
          <cell r="AC193">
            <v>16</v>
          </cell>
          <cell r="AD193">
            <v>29.076923076923077</v>
          </cell>
          <cell r="AH193">
            <v>0</v>
          </cell>
          <cell r="AI193">
            <v>0</v>
          </cell>
          <cell r="AJ193">
            <v>0</v>
          </cell>
          <cell r="AK193">
            <v>0</v>
          </cell>
          <cell r="AL193">
            <v>55.384615384615387</v>
          </cell>
          <cell r="AM193">
            <v>87.230769230769226</v>
          </cell>
          <cell r="AN193">
            <v>27</v>
          </cell>
          <cell r="AP193">
            <v>123</v>
          </cell>
          <cell r="AQ193">
            <v>670.58653846153857</v>
          </cell>
          <cell r="AR193">
            <v>7.8000000000000007</v>
          </cell>
          <cell r="AT193">
            <v>7.8000000000000007</v>
          </cell>
          <cell r="AU193">
            <v>662.78653846153861</v>
          </cell>
          <cell r="AX193">
            <v>440</v>
          </cell>
          <cell r="AZ193" t="str">
            <v>Ali Sultan Mohammed Al Shaibani</v>
          </cell>
          <cell r="BA193" t="str">
            <v>28-023315-20</v>
          </cell>
          <cell r="BB193" t="str">
            <v>OIB</v>
          </cell>
          <cell r="BC193" t="str">
            <v>Adam</v>
          </cell>
          <cell r="BD193">
            <v>662.78653846153861</v>
          </cell>
        </row>
        <row r="194">
          <cell r="B194">
            <v>441</v>
          </cell>
          <cell r="C194" t="str">
            <v>Talal Salim Mattar Al Jahwari</v>
          </cell>
          <cell r="D194" t="str">
            <v>Labour / Cable</v>
          </cell>
          <cell r="E194">
            <v>39662</v>
          </cell>
          <cell r="F194">
            <v>1.3846153846153846</v>
          </cell>
          <cell r="G194">
            <v>0.86538461538461542</v>
          </cell>
          <cell r="H194">
            <v>24</v>
          </cell>
          <cell r="I194">
            <v>44</v>
          </cell>
          <cell r="K194">
            <v>14</v>
          </cell>
          <cell r="L194">
            <v>16</v>
          </cell>
          <cell r="M194">
            <v>0</v>
          </cell>
          <cell r="N194">
            <v>0</v>
          </cell>
          <cell r="O194">
            <v>30</v>
          </cell>
          <cell r="Q194">
            <v>0</v>
          </cell>
          <cell r="R194">
            <v>120</v>
          </cell>
          <cell r="S194">
            <v>85</v>
          </cell>
          <cell r="T194">
            <v>2</v>
          </cell>
          <cell r="U194">
            <v>5</v>
          </cell>
          <cell r="V194">
            <v>4.5</v>
          </cell>
          <cell r="W194">
            <v>120</v>
          </cell>
          <cell r="X194">
            <v>85</v>
          </cell>
          <cell r="Y194">
            <v>2</v>
          </cell>
          <cell r="Z194">
            <v>5</v>
          </cell>
          <cell r="AA194">
            <v>38.07692307692308</v>
          </cell>
          <cell r="AB194">
            <v>63</v>
          </cell>
          <cell r="AD194">
            <v>33.230769230769226</v>
          </cell>
          <cell r="AH194">
            <v>0</v>
          </cell>
          <cell r="AI194">
            <v>0</v>
          </cell>
          <cell r="AJ194">
            <v>0</v>
          </cell>
          <cell r="AK194">
            <v>0</v>
          </cell>
          <cell r="AL194">
            <v>127.21153846153847</v>
          </cell>
          <cell r="AM194">
            <v>0</v>
          </cell>
          <cell r="AN194">
            <v>0</v>
          </cell>
          <cell r="AP194">
            <v>0</v>
          </cell>
          <cell r="AQ194">
            <v>473.51923076923077</v>
          </cell>
          <cell r="AR194">
            <v>7.8000000000000007</v>
          </cell>
          <cell r="AT194">
            <v>7.8000000000000007</v>
          </cell>
          <cell r="AU194">
            <v>465.71923076923076</v>
          </cell>
          <cell r="AX194">
            <v>441</v>
          </cell>
          <cell r="AZ194" t="str">
            <v>Talal Salim Mattar Al Jahwari</v>
          </cell>
          <cell r="BA194" t="str">
            <v>118-279540084014</v>
          </cell>
          <cell r="BB194" t="str">
            <v>Bank Muscat</v>
          </cell>
          <cell r="BC194" t="str">
            <v>Ibri Al Jubail</v>
          </cell>
          <cell r="BD194">
            <v>465.71923076923076</v>
          </cell>
        </row>
        <row r="195">
          <cell r="B195">
            <v>442</v>
          </cell>
          <cell r="C195" t="str">
            <v xml:space="preserve">Badar Salim Hamed Alawi </v>
          </cell>
          <cell r="D195" t="str">
            <v>Labour / Driver</v>
          </cell>
          <cell r="E195">
            <v>39659</v>
          </cell>
          <cell r="F195">
            <v>1.3846153846153846</v>
          </cell>
          <cell r="G195">
            <v>0.86538461538461542</v>
          </cell>
          <cell r="H195">
            <v>21</v>
          </cell>
          <cell r="I195">
            <v>17.5</v>
          </cell>
          <cell r="K195">
            <v>9</v>
          </cell>
          <cell r="L195">
            <v>14</v>
          </cell>
          <cell r="M195">
            <v>0</v>
          </cell>
          <cell r="N195">
            <v>7</v>
          </cell>
          <cell r="O195">
            <v>23</v>
          </cell>
          <cell r="Q195">
            <v>0</v>
          </cell>
          <cell r="R195">
            <v>120</v>
          </cell>
          <cell r="S195">
            <v>85</v>
          </cell>
          <cell r="T195">
            <v>2</v>
          </cell>
          <cell r="U195">
            <v>5</v>
          </cell>
          <cell r="V195">
            <v>4.5</v>
          </cell>
          <cell r="W195">
            <v>92</v>
          </cell>
          <cell r="X195">
            <v>65.166666666666671</v>
          </cell>
          <cell r="Y195">
            <v>1.5333333333333332</v>
          </cell>
          <cell r="Z195">
            <v>3.833333333333333</v>
          </cell>
          <cell r="AA195">
            <v>15.14423076923077</v>
          </cell>
          <cell r="AB195">
            <v>40.5</v>
          </cell>
          <cell r="AD195">
            <v>29.076923076923077</v>
          </cell>
          <cell r="AH195">
            <v>-23.225806451612904</v>
          </cell>
          <cell r="AI195">
            <v>-16.451612903225804</v>
          </cell>
          <cell r="AJ195">
            <v>-0.38709677419354838</v>
          </cell>
          <cell r="AK195">
            <v>-0.967741935483871</v>
          </cell>
          <cell r="AL195">
            <v>6.9230769230769234</v>
          </cell>
          <cell r="AM195">
            <v>0</v>
          </cell>
          <cell r="AN195">
            <v>-36</v>
          </cell>
          <cell r="AP195">
            <v>0</v>
          </cell>
          <cell r="AQ195">
            <v>177.14530603804803</v>
          </cell>
          <cell r="AR195">
            <v>7.8000000000000007</v>
          </cell>
          <cell r="AT195">
            <v>7.8000000000000007</v>
          </cell>
          <cell r="AU195">
            <v>169.34530603804802</v>
          </cell>
          <cell r="AX195">
            <v>442</v>
          </cell>
          <cell r="AZ195" t="str">
            <v xml:space="preserve">Badar Salim Hamed Alawi </v>
          </cell>
          <cell r="BA195" t="str">
            <v>0082177100084011</v>
          </cell>
          <cell r="BB195" t="str">
            <v>Bank Muscat</v>
          </cell>
          <cell r="BC195" t="str">
            <v>Haima</v>
          </cell>
          <cell r="BD195">
            <v>169.34530603804802</v>
          </cell>
        </row>
        <row r="196">
          <cell r="B196">
            <v>443</v>
          </cell>
          <cell r="C196" t="str">
            <v>Talal Gharib Shafi Al Balushi</v>
          </cell>
          <cell r="D196" t="str">
            <v>Labour / Driver</v>
          </cell>
          <cell r="E196">
            <v>39661</v>
          </cell>
          <cell r="F196">
            <v>1.3846153846153846</v>
          </cell>
          <cell r="G196">
            <v>0.86538461538461542</v>
          </cell>
          <cell r="H196">
            <v>21</v>
          </cell>
          <cell r="I196">
            <v>80.5</v>
          </cell>
          <cell r="K196">
            <v>23</v>
          </cell>
          <cell r="L196">
            <v>7</v>
          </cell>
          <cell r="M196">
            <v>0</v>
          </cell>
          <cell r="N196">
            <v>0</v>
          </cell>
          <cell r="O196">
            <v>30</v>
          </cell>
          <cell r="Q196">
            <v>0</v>
          </cell>
          <cell r="R196">
            <v>120</v>
          </cell>
          <cell r="S196">
            <v>85</v>
          </cell>
          <cell r="T196">
            <v>2</v>
          </cell>
          <cell r="U196">
            <v>5</v>
          </cell>
          <cell r="V196">
            <v>4.5</v>
          </cell>
          <cell r="W196">
            <v>120</v>
          </cell>
          <cell r="X196">
            <v>85</v>
          </cell>
          <cell r="Y196">
            <v>2</v>
          </cell>
          <cell r="Z196">
            <v>5</v>
          </cell>
          <cell r="AA196">
            <v>69.663461538461547</v>
          </cell>
          <cell r="AB196">
            <v>103.5</v>
          </cell>
          <cell r="AC196">
            <v>23</v>
          </cell>
          <cell r="AD196">
            <v>29.076923076923077</v>
          </cell>
          <cell r="AH196">
            <v>0</v>
          </cell>
          <cell r="AI196">
            <v>0</v>
          </cell>
          <cell r="AJ196">
            <v>0</v>
          </cell>
          <cell r="AK196">
            <v>0</v>
          </cell>
          <cell r="AL196">
            <v>10.817307692307693</v>
          </cell>
          <cell r="AM196">
            <v>0</v>
          </cell>
          <cell r="AN196">
            <v>-13.5</v>
          </cell>
          <cell r="AP196">
            <v>0</v>
          </cell>
          <cell r="AQ196">
            <v>434.55769230769232</v>
          </cell>
          <cell r="AR196">
            <v>7.8000000000000007</v>
          </cell>
          <cell r="AT196">
            <v>7.8000000000000007</v>
          </cell>
          <cell r="AU196">
            <v>426.75769230769231</v>
          </cell>
          <cell r="AV196" t="str">
            <v>Account No Changed</v>
          </cell>
          <cell r="AX196">
            <v>443</v>
          </cell>
          <cell r="AZ196" t="str">
            <v>Talal Gharib Shafi Al Balushi</v>
          </cell>
          <cell r="BA196" t="str">
            <v>002-306413-035</v>
          </cell>
          <cell r="BB196" t="str">
            <v>HSBC</v>
          </cell>
          <cell r="BC196" t="str">
            <v>Ruwi</v>
          </cell>
          <cell r="BD196">
            <v>426.75769230769231</v>
          </cell>
        </row>
        <row r="197">
          <cell r="B197">
            <v>444</v>
          </cell>
          <cell r="C197" t="str">
            <v>Saleh Musabah Ghanim  Al Ghafri</v>
          </cell>
          <cell r="D197" t="str">
            <v>Labour / Driver</v>
          </cell>
          <cell r="E197">
            <v>39662</v>
          </cell>
          <cell r="F197">
            <v>1.3846153846153846</v>
          </cell>
          <cell r="G197">
            <v>0.86538461538461542</v>
          </cell>
          <cell r="H197">
            <v>0</v>
          </cell>
          <cell r="I197">
            <v>93</v>
          </cell>
          <cell r="K197">
            <v>19</v>
          </cell>
          <cell r="L197">
            <v>11</v>
          </cell>
          <cell r="M197">
            <v>0</v>
          </cell>
          <cell r="N197">
            <v>0</v>
          </cell>
          <cell r="O197">
            <v>30</v>
          </cell>
          <cell r="Q197">
            <v>0</v>
          </cell>
          <cell r="R197">
            <v>120</v>
          </cell>
          <cell r="S197">
            <v>85</v>
          </cell>
          <cell r="T197">
            <v>2</v>
          </cell>
          <cell r="U197">
            <v>5</v>
          </cell>
          <cell r="V197">
            <v>4.5</v>
          </cell>
          <cell r="W197">
            <v>120</v>
          </cell>
          <cell r="X197">
            <v>85</v>
          </cell>
          <cell r="Y197">
            <v>2</v>
          </cell>
          <cell r="Z197">
            <v>5</v>
          </cell>
          <cell r="AA197">
            <v>80.480769230769241</v>
          </cell>
          <cell r="AB197">
            <v>85.5</v>
          </cell>
          <cell r="AC197">
            <v>19</v>
          </cell>
          <cell r="AD197">
            <v>0</v>
          </cell>
          <cell r="AH197">
            <v>0</v>
          </cell>
          <cell r="AI197">
            <v>0</v>
          </cell>
          <cell r="AJ197">
            <v>0</v>
          </cell>
          <cell r="AK197">
            <v>0</v>
          </cell>
          <cell r="AL197">
            <v>24.230769230769234</v>
          </cell>
          <cell r="AM197">
            <v>0</v>
          </cell>
          <cell r="AN197">
            <v>0</v>
          </cell>
          <cell r="AP197">
            <v>0</v>
          </cell>
          <cell r="AQ197">
            <v>421.21153846153845</v>
          </cell>
          <cell r="AR197">
            <v>7.8000000000000007</v>
          </cell>
          <cell r="AT197">
            <v>7.8000000000000007</v>
          </cell>
          <cell r="AU197">
            <v>413.41153846153844</v>
          </cell>
          <cell r="AX197">
            <v>444</v>
          </cell>
          <cell r="AZ197" t="str">
            <v>Saleh Musabah Ghanim  Al Ghafri</v>
          </cell>
          <cell r="BA197" t="str">
            <v>119-114000084010</v>
          </cell>
          <cell r="BB197" t="str">
            <v>Bank Muscat</v>
          </cell>
          <cell r="BC197" t="str">
            <v>Al Dareez</v>
          </cell>
          <cell r="BD197">
            <v>413.41153846153844</v>
          </cell>
        </row>
        <row r="198">
          <cell r="B198">
            <v>445</v>
          </cell>
          <cell r="C198" t="str">
            <v>Yasser Abdullah Hamed  Al Mahrizi</v>
          </cell>
          <cell r="D198" t="str">
            <v>Labour / Driver</v>
          </cell>
          <cell r="E198">
            <v>39666</v>
          </cell>
          <cell r="F198">
            <v>1.3846153846153846</v>
          </cell>
          <cell r="G198">
            <v>0.86538461538461542</v>
          </cell>
          <cell r="H198">
            <v>21</v>
          </cell>
          <cell r="I198">
            <v>83</v>
          </cell>
          <cell r="K198">
            <v>24</v>
          </cell>
          <cell r="L198">
            <v>6</v>
          </cell>
          <cell r="M198">
            <v>0</v>
          </cell>
          <cell r="N198">
            <v>0</v>
          </cell>
          <cell r="O198">
            <v>30</v>
          </cell>
          <cell r="Q198">
            <v>0</v>
          </cell>
          <cell r="R198">
            <v>120</v>
          </cell>
          <cell r="S198">
            <v>85</v>
          </cell>
          <cell r="T198">
            <v>2</v>
          </cell>
          <cell r="U198">
            <v>5</v>
          </cell>
          <cell r="V198">
            <v>4.5</v>
          </cell>
          <cell r="W198">
            <v>120</v>
          </cell>
          <cell r="X198">
            <v>85</v>
          </cell>
          <cell r="Y198">
            <v>2</v>
          </cell>
          <cell r="Z198">
            <v>5</v>
          </cell>
          <cell r="AA198">
            <v>71.82692307692308</v>
          </cell>
          <cell r="AB198">
            <v>108</v>
          </cell>
          <cell r="AC198">
            <v>24</v>
          </cell>
          <cell r="AD198">
            <v>29.076923076923077</v>
          </cell>
          <cell r="AH198">
            <v>0</v>
          </cell>
          <cell r="AI198">
            <v>0</v>
          </cell>
          <cell r="AJ198">
            <v>0</v>
          </cell>
          <cell r="AK198">
            <v>0</v>
          </cell>
          <cell r="AL198">
            <v>20.76923076923077</v>
          </cell>
          <cell r="AM198">
            <v>87.230769230769226</v>
          </cell>
          <cell r="AN198">
            <v>27</v>
          </cell>
          <cell r="AP198">
            <v>123</v>
          </cell>
          <cell r="AQ198">
            <v>702.90384615384619</v>
          </cell>
          <cell r="AR198">
            <v>7.8000000000000007</v>
          </cell>
          <cell r="AT198">
            <v>7.8000000000000007</v>
          </cell>
          <cell r="AU198">
            <v>695.10384615384623</v>
          </cell>
          <cell r="AX198">
            <v>445</v>
          </cell>
          <cell r="AZ198" t="str">
            <v>Yasser Abdullah Hamed  Al Mahrizi</v>
          </cell>
          <cell r="BA198" t="str">
            <v>0103202730084014</v>
          </cell>
          <cell r="BB198" t="str">
            <v>Bank Muscat</v>
          </cell>
          <cell r="BD198">
            <v>695.10384615384623</v>
          </cell>
        </row>
        <row r="199">
          <cell r="B199">
            <v>446</v>
          </cell>
          <cell r="C199" t="str">
            <v>Obaid Abdoon Ali Al Junaibi</v>
          </cell>
          <cell r="D199" t="str">
            <v>Heavy Duty Dvr</v>
          </cell>
          <cell r="E199">
            <v>39678</v>
          </cell>
          <cell r="F199">
            <v>1.7307692307692308</v>
          </cell>
          <cell r="G199">
            <v>1.0817307692307692</v>
          </cell>
          <cell r="H199">
            <v>21</v>
          </cell>
          <cell r="I199">
            <v>89.5</v>
          </cell>
          <cell r="K199">
            <v>23</v>
          </cell>
          <cell r="L199">
            <v>7</v>
          </cell>
          <cell r="M199">
            <v>0</v>
          </cell>
          <cell r="N199">
            <v>0</v>
          </cell>
          <cell r="O199">
            <v>30</v>
          </cell>
          <cell r="Q199">
            <v>0</v>
          </cell>
          <cell r="R199">
            <v>150</v>
          </cell>
          <cell r="S199">
            <v>85</v>
          </cell>
          <cell r="T199">
            <v>2</v>
          </cell>
          <cell r="U199">
            <v>5</v>
          </cell>
          <cell r="V199">
            <v>4.5</v>
          </cell>
          <cell r="W199">
            <v>150</v>
          </cell>
          <cell r="X199">
            <v>85</v>
          </cell>
          <cell r="Y199">
            <v>2</v>
          </cell>
          <cell r="Z199">
            <v>5</v>
          </cell>
          <cell r="AA199">
            <v>96.81490384615384</v>
          </cell>
          <cell r="AB199">
            <v>103.5</v>
          </cell>
          <cell r="AD199">
            <v>36.346153846153847</v>
          </cell>
          <cell r="AH199">
            <v>0</v>
          </cell>
          <cell r="AI199">
            <v>0</v>
          </cell>
          <cell r="AJ199">
            <v>0</v>
          </cell>
          <cell r="AK199">
            <v>0</v>
          </cell>
          <cell r="AL199">
            <v>34.615384615384613</v>
          </cell>
          <cell r="AM199">
            <v>109.03846153846155</v>
          </cell>
          <cell r="AN199">
            <v>27</v>
          </cell>
          <cell r="AP199">
            <v>123</v>
          </cell>
          <cell r="AQ199">
            <v>772.31490384615381</v>
          </cell>
          <cell r="AR199">
            <v>9.75</v>
          </cell>
          <cell r="AT199">
            <v>9.75</v>
          </cell>
          <cell r="AU199">
            <v>762.56490384615381</v>
          </cell>
          <cell r="AX199">
            <v>446</v>
          </cell>
          <cell r="AZ199" t="str">
            <v>Obaid Abdoon Ali Al Junaibi</v>
          </cell>
          <cell r="BA199" t="str">
            <v>0129245830084010</v>
          </cell>
          <cell r="BB199" t="str">
            <v>Bank Muscat</v>
          </cell>
          <cell r="BC199" t="str">
            <v>Adam</v>
          </cell>
          <cell r="BD199">
            <v>762.56490384615381</v>
          </cell>
        </row>
        <row r="200">
          <cell r="B200">
            <v>447</v>
          </cell>
          <cell r="C200" t="str">
            <v>Mazaroua Mubarak Mazaroua Al Yaqoubi</v>
          </cell>
          <cell r="D200" t="str">
            <v>Labour / Driver</v>
          </cell>
          <cell r="E200">
            <v>39698</v>
          </cell>
          <cell r="F200">
            <v>1.3846153846153846</v>
          </cell>
          <cell r="G200">
            <v>0.86538461538461542</v>
          </cell>
          <cell r="H200">
            <v>21</v>
          </cell>
          <cell r="I200">
            <v>84.5</v>
          </cell>
          <cell r="K200">
            <v>23</v>
          </cell>
          <cell r="L200">
            <v>7</v>
          </cell>
          <cell r="M200">
            <v>0</v>
          </cell>
          <cell r="N200">
            <v>0</v>
          </cell>
          <cell r="O200">
            <v>30</v>
          </cell>
          <cell r="Q200">
            <v>0</v>
          </cell>
          <cell r="R200">
            <v>120</v>
          </cell>
          <cell r="S200">
            <v>85</v>
          </cell>
          <cell r="T200">
            <v>2</v>
          </cell>
          <cell r="U200">
            <v>5</v>
          </cell>
          <cell r="V200">
            <v>4.5</v>
          </cell>
          <cell r="W200">
            <v>120</v>
          </cell>
          <cell r="X200">
            <v>85</v>
          </cell>
          <cell r="Y200">
            <v>2</v>
          </cell>
          <cell r="Z200">
            <v>5</v>
          </cell>
          <cell r="AA200">
            <v>73.125</v>
          </cell>
          <cell r="AB200">
            <v>103.5</v>
          </cell>
          <cell r="AC200">
            <v>23</v>
          </cell>
          <cell r="AD200">
            <v>29.076923076923077</v>
          </cell>
          <cell r="AH200">
            <v>0</v>
          </cell>
          <cell r="AI200">
            <v>0</v>
          </cell>
          <cell r="AJ200">
            <v>0</v>
          </cell>
          <cell r="AK200">
            <v>0</v>
          </cell>
          <cell r="AL200">
            <v>51.923076923076927</v>
          </cell>
          <cell r="AM200">
            <v>69.230769230769226</v>
          </cell>
          <cell r="AN200">
            <v>63</v>
          </cell>
          <cell r="AP200">
            <v>102.5</v>
          </cell>
          <cell r="AQ200">
            <v>727.35576923076928</v>
          </cell>
          <cell r="AR200">
            <v>7.8000000000000007</v>
          </cell>
          <cell r="AT200">
            <v>7.8000000000000007</v>
          </cell>
          <cell r="AU200">
            <v>719.55576923076933</v>
          </cell>
          <cell r="AX200">
            <v>447</v>
          </cell>
          <cell r="AZ200" t="str">
            <v>Mazaroua Mubarak Mazaroua Al Yaqoubi</v>
          </cell>
          <cell r="BA200" t="str">
            <v>0133041445100</v>
          </cell>
          <cell r="BB200" t="str">
            <v>Bank Dhofar</v>
          </cell>
          <cell r="BD200">
            <v>719.55576923076933</v>
          </cell>
        </row>
        <row r="201">
          <cell r="B201">
            <v>448</v>
          </cell>
          <cell r="C201" t="str">
            <v>Toufiq Salim Ghanim Al Lauyahi</v>
          </cell>
          <cell r="D201" t="str">
            <v>Labour / Driver</v>
          </cell>
          <cell r="E201" t="str">
            <v>17/9/2008</v>
          </cell>
          <cell r="F201">
            <v>1.3846153846153846</v>
          </cell>
          <cell r="G201">
            <v>0.86538461538461542</v>
          </cell>
          <cell r="H201">
            <v>21</v>
          </cell>
          <cell r="I201">
            <v>59</v>
          </cell>
          <cell r="K201">
            <v>16</v>
          </cell>
          <cell r="L201">
            <v>14</v>
          </cell>
          <cell r="M201">
            <v>0</v>
          </cell>
          <cell r="N201">
            <v>0</v>
          </cell>
          <cell r="O201">
            <v>30</v>
          </cell>
          <cell r="Q201">
            <v>0</v>
          </cell>
          <cell r="R201">
            <v>120</v>
          </cell>
          <cell r="S201">
            <v>85</v>
          </cell>
          <cell r="T201">
            <v>2</v>
          </cell>
          <cell r="U201">
            <v>5</v>
          </cell>
          <cell r="V201">
            <v>4.5</v>
          </cell>
          <cell r="W201">
            <v>120</v>
          </cell>
          <cell r="X201">
            <v>85</v>
          </cell>
          <cell r="Y201">
            <v>2</v>
          </cell>
          <cell r="Z201">
            <v>5</v>
          </cell>
          <cell r="AA201">
            <v>51.057692307692307</v>
          </cell>
          <cell r="AB201">
            <v>72</v>
          </cell>
          <cell r="AC201">
            <v>16</v>
          </cell>
          <cell r="AD201">
            <v>29.076923076923077</v>
          </cell>
          <cell r="AH201">
            <v>0</v>
          </cell>
          <cell r="AI201">
            <v>0</v>
          </cell>
          <cell r="AJ201">
            <v>0</v>
          </cell>
          <cell r="AK201">
            <v>0</v>
          </cell>
          <cell r="AL201">
            <v>24.230769230769234</v>
          </cell>
          <cell r="AM201">
            <v>0</v>
          </cell>
          <cell r="AN201">
            <v>0</v>
          </cell>
          <cell r="AP201">
            <v>0</v>
          </cell>
          <cell r="AQ201">
            <v>404.36538461538464</v>
          </cell>
          <cell r="AR201">
            <v>7.8000000000000007</v>
          </cell>
          <cell r="AT201">
            <v>7.8000000000000007</v>
          </cell>
          <cell r="AU201">
            <v>396.56538461538463</v>
          </cell>
          <cell r="AX201">
            <v>448</v>
          </cell>
          <cell r="AZ201" t="str">
            <v>Toufiq Salim Ghanim Al Lauyahi</v>
          </cell>
          <cell r="BA201" t="str">
            <v>42168620084019</v>
          </cell>
          <cell r="BB201" t="str">
            <v>Bank Muscat</v>
          </cell>
          <cell r="BD201">
            <v>396.56538461538463</v>
          </cell>
        </row>
        <row r="202">
          <cell r="B202">
            <v>449</v>
          </cell>
          <cell r="C202" t="str">
            <v>Yasser Khalifa Ghanim Al Ghafri</v>
          </cell>
          <cell r="D202" t="str">
            <v>Labour / Driver</v>
          </cell>
          <cell r="E202" t="str">
            <v>17/9/2008</v>
          </cell>
          <cell r="F202">
            <v>1.3846153846153846</v>
          </cell>
          <cell r="G202">
            <v>0.86538461538461542</v>
          </cell>
          <cell r="H202">
            <v>21</v>
          </cell>
          <cell r="I202">
            <v>59</v>
          </cell>
          <cell r="K202">
            <v>16</v>
          </cell>
          <cell r="L202">
            <v>14</v>
          </cell>
          <cell r="M202">
            <v>0</v>
          </cell>
          <cell r="N202">
            <v>0</v>
          </cell>
          <cell r="O202">
            <v>30</v>
          </cell>
          <cell r="Q202">
            <v>0</v>
          </cell>
          <cell r="R202">
            <v>120</v>
          </cell>
          <cell r="S202">
            <v>85</v>
          </cell>
          <cell r="T202">
            <v>2</v>
          </cell>
          <cell r="U202">
            <v>5</v>
          </cell>
          <cell r="V202">
            <v>4.5</v>
          </cell>
          <cell r="W202">
            <v>120</v>
          </cell>
          <cell r="X202">
            <v>85</v>
          </cell>
          <cell r="Y202">
            <v>2</v>
          </cell>
          <cell r="Z202">
            <v>5</v>
          </cell>
          <cell r="AA202">
            <v>51.057692307692307</v>
          </cell>
          <cell r="AB202">
            <v>72</v>
          </cell>
          <cell r="AC202">
            <v>16</v>
          </cell>
          <cell r="AD202">
            <v>29.076923076923077</v>
          </cell>
          <cell r="AH202">
            <v>0</v>
          </cell>
          <cell r="AI202">
            <v>0</v>
          </cell>
          <cell r="AJ202">
            <v>0</v>
          </cell>
          <cell r="AK202">
            <v>0</v>
          </cell>
          <cell r="AL202">
            <v>24.230769230769234</v>
          </cell>
          <cell r="AM202">
            <v>0</v>
          </cell>
          <cell r="AN202">
            <v>0</v>
          </cell>
          <cell r="AP202">
            <v>0</v>
          </cell>
          <cell r="AQ202">
            <v>404.36538461538464</v>
          </cell>
          <cell r="AR202">
            <v>7.8000000000000007</v>
          </cell>
          <cell r="AT202">
            <v>7.8000000000000007</v>
          </cell>
          <cell r="AU202">
            <v>396.56538461538463</v>
          </cell>
          <cell r="AX202">
            <v>449</v>
          </cell>
          <cell r="AZ202" t="str">
            <v>Yasser Khalifa Ghanim Al Ghafri</v>
          </cell>
          <cell r="BA202" t="str">
            <v>041292720084015</v>
          </cell>
          <cell r="BB202" t="str">
            <v>Bank Muscat</v>
          </cell>
          <cell r="BC202" t="str">
            <v>Rustaq</v>
          </cell>
          <cell r="BD202">
            <v>396.56538461538463</v>
          </cell>
        </row>
        <row r="203">
          <cell r="B203">
            <v>450</v>
          </cell>
          <cell r="C203" t="str">
            <v>Mahmood Al Hamdi Eid Al Dari</v>
          </cell>
          <cell r="D203" t="str">
            <v>Labour / Driver</v>
          </cell>
          <cell r="E203">
            <v>39638</v>
          </cell>
          <cell r="F203">
            <v>1.3846153846153846</v>
          </cell>
          <cell r="G203">
            <v>0.86538461538461542</v>
          </cell>
          <cell r="H203">
            <v>21</v>
          </cell>
          <cell r="I203">
            <v>80</v>
          </cell>
          <cell r="K203">
            <v>23</v>
          </cell>
          <cell r="L203">
            <v>7</v>
          </cell>
          <cell r="M203">
            <v>0</v>
          </cell>
          <cell r="N203">
            <v>0</v>
          </cell>
          <cell r="O203">
            <v>30</v>
          </cell>
          <cell r="Q203">
            <v>0</v>
          </cell>
          <cell r="R203">
            <v>120</v>
          </cell>
          <cell r="S203">
            <v>85</v>
          </cell>
          <cell r="T203">
            <v>2</v>
          </cell>
          <cell r="U203">
            <v>5</v>
          </cell>
          <cell r="V203">
            <v>4.5</v>
          </cell>
          <cell r="W203">
            <v>120</v>
          </cell>
          <cell r="X203">
            <v>85</v>
          </cell>
          <cell r="Y203">
            <v>2</v>
          </cell>
          <cell r="Z203">
            <v>5</v>
          </cell>
          <cell r="AA203">
            <v>69.230769230769226</v>
          </cell>
          <cell r="AB203">
            <v>103.5</v>
          </cell>
          <cell r="AD203">
            <v>29.076923076923077</v>
          </cell>
          <cell r="AH203">
            <v>0</v>
          </cell>
          <cell r="AI203">
            <v>0</v>
          </cell>
          <cell r="AJ203">
            <v>0</v>
          </cell>
          <cell r="AK203">
            <v>0</v>
          </cell>
          <cell r="AL203">
            <v>6.9230769230769234</v>
          </cell>
          <cell r="AM203">
            <v>87.230769230769226</v>
          </cell>
          <cell r="AN203">
            <v>27</v>
          </cell>
          <cell r="AP203">
            <v>123</v>
          </cell>
          <cell r="AQ203">
            <v>657.96153846153845</v>
          </cell>
          <cell r="AR203">
            <v>7.8000000000000007</v>
          </cell>
          <cell r="AT203">
            <v>7.8000000000000007</v>
          </cell>
          <cell r="AU203">
            <v>650.1615384615385</v>
          </cell>
          <cell r="AX203">
            <v>450</v>
          </cell>
          <cell r="AZ203" t="str">
            <v>Mahmood Al Hamdi Eid Al Dari</v>
          </cell>
          <cell r="BA203" t="str">
            <v>062197100084017</v>
          </cell>
          <cell r="BB203" t="str">
            <v>Bank Muscat</v>
          </cell>
          <cell r="BC203" t="str">
            <v>Bahla</v>
          </cell>
          <cell r="BD203">
            <v>650.1615384615385</v>
          </cell>
        </row>
      </sheetData>
      <sheetData sheetId="3" refreshError="1">
        <row r="4">
          <cell r="B4">
            <v>114</v>
          </cell>
          <cell r="C4" t="str">
            <v>Abdullah Bati Ziyad</v>
          </cell>
          <cell r="D4" t="str">
            <v>Senior Staff(Survey)</v>
          </cell>
          <cell r="E4" t="str">
            <v>12.05.04</v>
          </cell>
          <cell r="F4">
            <v>2.776153846153846</v>
          </cell>
          <cell r="G4">
            <v>1.7350961538461538</v>
          </cell>
          <cell r="H4">
            <v>0</v>
          </cell>
          <cell r="I4">
            <v>137.5</v>
          </cell>
          <cell r="K4">
            <v>21</v>
          </cell>
          <cell r="L4">
            <v>9</v>
          </cell>
          <cell r="M4">
            <v>0</v>
          </cell>
          <cell r="N4">
            <v>0</v>
          </cell>
          <cell r="O4">
            <v>30</v>
          </cell>
          <cell r="P4">
            <v>0</v>
          </cell>
          <cell r="Q4">
            <v>0</v>
          </cell>
          <cell r="R4">
            <v>240.6</v>
          </cell>
          <cell r="S4">
            <v>170</v>
          </cell>
          <cell r="T4">
            <v>2</v>
          </cell>
          <cell r="U4">
            <v>9</v>
          </cell>
          <cell r="V4">
            <v>240.6</v>
          </cell>
          <cell r="W4">
            <v>170</v>
          </cell>
          <cell r="X4">
            <v>2</v>
          </cell>
          <cell r="Y4">
            <v>189</v>
          </cell>
          <cell r="Z4">
            <v>238.57572115384613</v>
          </cell>
          <cell r="AA4">
            <v>0</v>
          </cell>
          <cell r="AD4">
            <v>0</v>
          </cell>
          <cell r="AE4">
            <v>0</v>
          </cell>
          <cell r="AF4">
            <v>0</v>
          </cell>
          <cell r="AG4">
            <v>0</v>
          </cell>
          <cell r="AH4">
            <v>65.933653846153845</v>
          </cell>
          <cell r="AI4">
            <v>0</v>
          </cell>
          <cell r="AK4">
            <v>0</v>
          </cell>
          <cell r="AL4">
            <v>906.109375</v>
          </cell>
          <cell r="AM4">
            <v>15.638999999999999</v>
          </cell>
          <cell r="AO4">
            <v>15.638999999999999</v>
          </cell>
          <cell r="AP4">
            <v>890.47037499999999</v>
          </cell>
          <cell r="AS4">
            <v>114</v>
          </cell>
          <cell r="AT4" t="str">
            <v>Abdullah Bati Ziyad</v>
          </cell>
          <cell r="AU4" t="str">
            <v>0119-128740084014</v>
          </cell>
          <cell r="AV4" t="str">
            <v>Bank Muscat</v>
          </cell>
          <cell r="AW4" t="str">
            <v>Dareez</v>
          </cell>
          <cell r="AX4">
            <v>890.47037499999999</v>
          </cell>
        </row>
        <row r="5">
          <cell r="B5">
            <v>174</v>
          </cell>
          <cell r="C5" t="str">
            <v>Zayid Mohammed Khalfan Al Hatmi</v>
          </cell>
          <cell r="D5" t="str">
            <v>Sr. Surveyor</v>
          </cell>
          <cell r="E5" t="str">
            <v>12.05.04</v>
          </cell>
          <cell r="F5">
            <v>2.5059230769230769</v>
          </cell>
          <cell r="G5">
            <v>1.5662019230769231</v>
          </cell>
          <cell r="H5">
            <v>0</v>
          </cell>
          <cell r="I5">
            <v>0</v>
          </cell>
          <cell r="K5">
            <v>0</v>
          </cell>
          <cell r="L5">
            <v>0</v>
          </cell>
          <cell r="M5">
            <v>0</v>
          </cell>
          <cell r="N5">
            <v>0</v>
          </cell>
          <cell r="O5">
            <v>0</v>
          </cell>
          <cell r="P5">
            <v>68</v>
          </cell>
          <cell r="Q5">
            <v>4.08</v>
          </cell>
          <cell r="R5">
            <v>217.18</v>
          </cell>
          <cell r="S5">
            <v>170</v>
          </cell>
          <cell r="T5">
            <v>2</v>
          </cell>
          <cell r="U5">
            <v>9</v>
          </cell>
          <cell r="V5">
            <v>0</v>
          </cell>
          <cell r="W5">
            <v>0</v>
          </cell>
          <cell r="X5">
            <v>0</v>
          </cell>
          <cell r="Y5">
            <v>0</v>
          </cell>
          <cell r="Z5">
            <v>0</v>
          </cell>
          <cell r="AA5">
            <v>0</v>
          </cell>
          <cell r="AD5">
            <v>0</v>
          </cell>
          <cell r="AE5">
            <v>0</v>
          </cell>
          <cell r="AF5">
            <v>0</v>
          </cell>
          <cell r="AG5">
            <v>0</v>
          </cell>
          <cell r="AH5">
            <v>0</v>
          </cell>
          <cell r="AI5">
            <v>0</v>
          </cell>
          <cell r="AK5">
            <v>0</v>
          </cell>
          <cell r="AL5">
            <v>0</v>
          </cell>
          <cell r="AO5">
            <v>0</v>
          </cell>
          <cell r="AP5">
            <v>0</v>
          </cell>
          <cell r="AQ5" t="str">
            <v>Annual Leave</v>
          </cell>
          <cell r="AS5">
            <v>174</v>
          </cell>
          <cell r="AT5" t="str">
            <v>Zayid Mohammed Khalfan Al Hatmi</v>
          </cell>
          <cell r="AU5" t="str">
            <v>3123-820060-700</v>
          </cell>
          <cell r="AV5" t="str">
            <v>Oman Arab Bank</v>
          </cell>
          <cell r="AW5" t="str">
            <v>Ibri</v>
          </cell>
          <cell r="AX5">
            <v>0</v>
          </cell>
        </row>
        <row r="6">
          <cell r="B6">
            <v>226</v>
          </cell>
          <cell r="C6" t="str">
            <v>Said Nasser Said Al Jabal</v>
          </cell>
          <cell r="D6" t="str">
            <v>Sr.Camp Boss</v>
          </cell>
          <cell r="E6" t="str">
            <v>25.05.04</v>
          </cell>
          <cell r="F6">
            <v>4.6006153846153843</v>
          </cell>
          <cell r="G6">
            <v>2.8753846153846152</v>
          </cell>
          <cell r="H6">
            <v>20</v>
          </cell>
          <cell r="I6">
            <v>0</v>
          </cell>
          <cell r="K6">
            <v>19</v>
          </cell>
          <cell r="L6">
            <v>0</v>
          </cell>
          <cell r="M6">
            <v>0</v>
          </cell>
          <cell r="N6">
            <v>0</v>
          </cell>
          <cell r="O6">
            <v>19</v>
          </cell>
          <cell r="P6">
            <v>72</v>
          </cell>
          <cell r="Q6">
            <v>4.32</v>
          </cell>
          <cell r="R6">
            <v>398.71999999999997</v>
          </cell>
          <cell r="S6">
            <v>170</v>
          </cell>
          <cell r="T6">
            <v>2</v>
          </cell>
          <cell r="U6">
            <v>9</v>
          </cell>
          <cell r="V6">
            <v>252.52266666666662</v>
          </cell>
          <cell r="W6">
            <v>107.66666666666667</v>
          </cell>
          <cell r="X6">
            <v>1.2666666666666666</v>
          </cell>
          <cell r="Y6">
            <v>171</v>
          </cell>
          <cell r="Z6">
            <v>0</v>
          </cell>
          <cell r="AA6">
            <v>92.012307692307687</v>
          </cell>
          <cell r="AD6">
            <v>25.723870967741934</v>
          </cell>
          <cell r="AE6">
            <v>10.96774193548387</v>
          </cell>
          <cell r="AF6">
            <v>0</v>
          </cell>
          <cell r="AG6">
            <v>72</v>
          </cell>
          <cell r="AH6">
            <v>301.9153846153846</v>
          </cell>
          <cell r="AI6">
            <v>276.03692307692307</v>
          </cell>
          <cell r="AK6">
            <v>123</v>
          </cell>
          <cell r="AL6">
            <v>1434.1122282878412</v>
          </cell>
          <cell r="AM6">
            <v>25.916799999999999</v>
          </cell>
          <cell r="AO6">
            <v>25.916799999999999</v>
          </cell>
          <cell r="AP6">
            <v>1408.1954282878412</v>
          </cell>
          <cell r="AR6">
            <v>142</v>
          </cell>
          <cell r="AS6">
            <v>226</v>
          </cell>
          <cell r="AT6" t="str">
            <v>Said Nasser Said Al Jabal</v>
          </cell>
          <cell r="AU6" t="str">
            <v>1050-264195-017</v>
          </cell>
          <cell r="AV6" t="str">
            <v>NBO</v>
          </cell>
          <cell r="AW6" t="str">
            <v>Mabella</v>
          </cell>
          <cell r="AX6">
            <v>1408.1954282878412</v>
          </cell>
        </row>
        <row r="7">
          <cell r="B7">
            <v>232</v>
          </cell>
          <cell r="C7" t="str">
            <v>Sultan Mohamed Sulaiman Al Sadi</v>
          </cell>
          <cell r="D7" t="str">
            <v>Junior Observer</v>
          </cell>
          <cell r="E7" t="str">
            <v>08.06.04</v>
          </cell>
          <cell r="F7">
            <v>2.3915769230769235</v>
          </cell>
          <cell r="G7">
            <v>1.4947355769230772</v>
          </cell>
          <cell r="H7">
            <v>0</v>
          </cell>
          <cell r="I7">
            <v>0</v>
          </cell>
          <cell r="K7">
            <v>0</v>
          </cell>
          <cell r="L7">
            <v>0</v>
          </cell>
          <cell r="M7">
            <v>0</v>
          </cell>
          <cell r="N7">
            <v>0</v>
          </cell>
          <cell r="O7">
            <v>0</v>
          </cell>
          <cell r="P7">
            <v>75</v>
          </cell>
          <cell r="Q7">
            <v>4.5</v>
          </cell>
          <cell r="R7">
            <v>207.27</v>
          </cell>
          <cell r="S7">
            <v>170</v>
          </cell>
          <cell r="T7">
            <v>2</v>
          </cell>
          <cell r="U7">
            <v>9</v>
          </cell>
          <cell r="V7">
            <v>0</v>
          </cell>
          <cell r="W7">
            <v>0</v>
          </cell>
          <cell r="X7">
            <v>0</v>
          </cell>
          <cell r="Y7">
            <v>0</v>
          </cell>
          <cell r="Z7">
            <v>0</v>
          </cell>
          <cell r="AA7">
            <v>0</v>
          </cell>
          <cell r="AD7">
            <v>0</v>
          </cell>
          <cell r="AE7">
            <v>0</v>
          </cell>
          <cell r="AF7">
            <v>0</v>
          </cell>
          <cell r="AG7">
            <v>0</v>
          </cell>
          <cell r="AH7">
            <v>0</v>
          </cell>
          <cell r="AI7">
            <v>0</v>
          </cell>
          <cell r="AK7">
            <v>0</v>
          </cell>
          <cell r="AL7">
            <v>0</v>
          </cell>
          <cell r="AO7">
            <v>0</v>
          </cell>
          <cell r="AP7">
            <v>0</v>
          </cell>
          <cell r="AQ7" t="str">
            <v>Annual Leave</v>
          </cell>
          <cell r="AS7">
            <v>232</v>
          </cell>
          <cell r="AT7" t="str">
            <v>Sultan Mohamed Sulaiman Al Sadi</v>
          </cell>
          <cell r="AU7" t="str">
            <v>1012-263447-017</v>
          </cell>
          <cell r="AV7" t="str">
            <v>NBO</v>
          </cell>
          <cell r="AW7" t="str">
            <v>Ibri</v>
          </cell>
          <cell r="AX7">
            <v>0</v>
          </cell>
        </row>
        <row r="8">
          <cell r="B8">
            <v>259</v>
          </cell>
          <cell r="C8" t="str">
            <v>Ali Khalfan Salim</v>
          </cell>
          <cell r="D8" t="str">
            <v>Junior Observer</v>
          </cell>
          <cell r="E8" t="str">
            <v>09.06.04</v>
          </cell>
          <cell r="F8">
            <v>2.3403461538461539</v>
          </cell>
          <cell r="G8">
            <v>1.4627163461538462</v>
          </cell>
          <cell r="H8">
            <v>0</v>
          </cell>
          <cell r="I8">
            <v>0</v>
          </cell>
          <cell r="K8">
            <v>0</v>
          </cell>
          <cell r="L8">
            <v>0</v>
          </cell>
          <cell r="M8">
            <v>0</v>
          </cell>
          <cell r="N8">
            <v>30</v>
          </cell>
          <cell r="O8">
            <v>0</v>
          </cell>
          <cell r="P8">
            <v>0</v>
          </cell>
          <cell r="Q8">
            <v>0</v>
          </cell>
          <cell r="R8">
            <v>202.83</v>
          </cell>
          <cell r="S8">
            <v>170</v>
          </cell>
          <cell r="T8">
            <v>2</v>
          </cell>
          <cell r="U8">
            <v>9</v>
          </cell>
          <cell r="V8">
            <v>0</v>
          </cell>
          <cell r="W8">
            <v>0</v>
          </cell>
          <cell r="X8">
            <v>0</v>
          </cell>
          <cell r="Y8">
            <v>0</v>
          </cell>
          <cell r="Z8">
            <v>0</v>
          </cell>
          <cell r="AA8">
            <v>0</v>
          </cell>
          <cell r="AD8">
            <v>0</v>
          </cell>
          <cell r="AE8">
            <v>0</v>
          </cell>
          <cell r="AF8">
            <v>0</v>
          </cell>
          <cell r="AG8">
            <v>0</v>
          </cell>
          <cell r="AH8">
            <v>0</v>
          </cell>
          <cell r="AI8">
            <v>0</v>
          </cell>
          <cell r="AK8">
            <v>0</v>
          </cell>
          <cell r="AL8">
            <v>0</v>
          </cell>
          <cell r="AO8">
            <v>0</v>
          </cell>
          <cell r="AP8">
            <v>0</v>
          </cell>
          <cell r="AQ8" t="str">
            <v>Terminated</v>
          </cell>
          <cell r="AS8">
            <v>259</v>
          </cell>
          <cell r="AT8" t="str">
            <v>Ali Khalfan Salim</v>
          </cell>
          <cell r="AU8" t="str">
            <v>118 126920084013</v>
          </cell>
          <cell r="AV8" t="str">
            <v>Bank Muscat</v>
          </cell>
          <cell r="AW8" t="str">
            <v>Ibri (Al Jubail)</v>
          </cell>
          <cell r="AX8">
            <v>0</v>
          </cell>
        </row>
        <row r="9">
          <cell r="B9">
            <v>281</v>
          </cell>
          <cell r="C9" t="str">
            <v>Youseph Mubarak Hamad</v>
          </cell>
          <cell r="D9" t="str">
            <v>Junior Observer</v>
          </cell>
          <cell r="E9" t="str">
            <v>07.06.04</v>
          </cell>
          <cell r="F9">
            <v>2.3929615384615381</v>
          </cell>
          <cell r="G9">
            <v>1.4956009615384613</v>
          </cell>
          <cell r="H9">
            <v>0</v>
          </cell>
          <cell r="I9">
            <v>84.5</v>
          </cell>
          <cell r="K9">
            <v>16</v>
          </cell>
          <cell r="L9">
            <v>9</v>
          </cell>
          <cell r="M9">
            <v>5</v>
          </cell>
          <cell r="N9">
            <v>0</v>
          </cell>
          <cell r="O9">
            <v>30</v>
          </cell>
          <cell r="P9">
            <v>75</v>
          </cell>
          <cell r="Q9">
            <v>4.5</v>
          </cell>
          <cell r="R9">
            <v>207.39</v>
          </cell>
          <cell r="S9">
            <v>170</v>
          </cell>
          <cell r="T9">
            <v>2</v>
          </cell>
          <cell r="U9">
            <v>9</v>
          </cell>
          <cell r="V9">
            <v>207.39</v>
          </cell>
          <cell r="W9">
            <v>170</v>
          </cell>
          <cell r="X9">
            <v>2</v>
          </cell>
          <cell r="Y9">
            <v>144</v>
          </cell>
          <cell r="Z9">
            <v>126.37828124999999</v>
          </cell>
          <cell r="AA9">
            <v>0</v>
          </cell>
          <cell r="AD9">
            <v>0</v>
          </cell>
          <cell r="AE9">
            <v>0</v>
          </cell>
          <cell r="AF9">
            <v>0</v>
          </cell>
          <cell r="AG9">
            <v>54</v>
          </cell>
          <cell r="AH9">
            <v>115.16127403846153</v>
          </cell>
          <cell r="AI9">
            <v>143.5776923076923</v>
          </cell>
          <cell r="AK9">
            <v>123</v>
          </cell>
          <cell r="AL9">
            <v>1085.5072475961538</v>
          </cell>
          <cell r="AM9">
            <v>13.48035</v>
          </cell>
          <cell r="AO9">
            <v>13.48035</v>
          </cell>
          <cell r="AP9">
            <v>1072.0268975961537</v>
          </cell>
          <cell r="AS9">
            <v>281</v>
          </cell>
          <cell r="AT9" t="str">
            <v>Youseph Mubarak Hamed</v>
          </cell>
          <cell r="AU9" t="str">
            <v>129-290300084019</v>
          </cell>
          <cell r="AV9" t="str">
            <v>Bank Muscat</v>
          </cell>
          <cell r="AW9" t="str">
            <v>Adam</v>
          </cell>
          <cell r="AX9">
            <v>1072.0268975961537</v>
          </cell>
        </row>
        <row r="10">
          <cell r="B10">
            <v>283</v>
          </cell>
          <cell r="C10" t="str">
            <v>Twalib Abdullah Rashid Al Kalbani</v>
          </cell>
          <cell r="D10" t="str">
            <v>Junior Observer</v>
          </cell>
          <cell r="E10" t="str">
            <v>07.06.04</v>
          </cell>
          <cell r="F10">
            <v>2.0769230769230771</v>
          </cell>
          <cell r="G10">
            <v>1.2980769230769231</v>
          </cell>
          <cell r="H10">
            <v>0</v>
          </cell>
          <cell r="I10">
            <v>155</v>
          </cell>
          <cell r="K10">
            <v>21</v>
          </cell>
          <cell r="L10">
            <v>9</v>
          </cell>
          <cell r="M10">
            <v>0</v>
          </cell>
          <cell r="N10">
            <v>0</v>
          </cell>
          <cell r="O10">
            <v>30</v>
          </cell>
          <cell r="P10">
            <v>75</v>
          </cell>
          <cell r="Q10">
            <v>4.5</v>
          </cell>
          <cell r="R10">
            <v>180</v>
          </cell>
          <cell r="S10">
            <v>170</v>
          </cell>
          <cell r="T10">
            <v>2</v>
          </cell>
          <cell r="U10">
            <v>9</v>
          </cell>
          <cell r="V10">
            <v>180</v>
          </cell>
          <cell r="W10">
            <v>170</v>
          </cell>
          <cell r="X10">
            <v>2</v>
          </cell>
          <cell r="Y10">
            <v>189</v>
          </cell>
          <cell r="Z10">
            <v>201.20192307692309</v>
          </cell>
          <cell r="AA10">
            <v>0</v>
          </cell>
          <cell r="AD10">
            <v>0</v>
          </cell>
          <cell r="AE10">
            <v>0</v>
          </cell>
          <cell r="AF10">
            <v>0</v>
          </cell>
          <cell r="AG10">
            <v>54</v>
          </cell>
          <cell r="AH10">
            <v>72.692307692307693</v>
          </cell>
          <cell r="AI10">
            <v>124.61538461538463</v>
          </cell>
          <cell r="AK10">
            <v>123</v>
          </cell>
          <cell r="AL10">
            <v>1116.5096153846155</v>
          </cell>
          <cell r="AM10">
            <v>11.700000000000001</v>
          </cell>
          <cell r="AO10">
            <v>11.700000000000001</v>
          </cell>
          <cell r="AP10">
            <v>1104.8096153846154</v>
          </cell>
          <cell r="AQ10" t="str">
            <v>Basic Salary revised (165.630) to 180 from 1/11/2008</v>
          </cell>
          <cell r="AS10">
            <v>283</v>
          </cell>
          <cell r="AT10" t="str">
            <v>Twalib Abdullah Rashid Al Kalbani</v>
          </cell>
          <cell r="AU10" t="str">
            <v>002255495001</v>
          </cell>
          <cell r="AV10" t="str">
            <v>HSBC</v>
          </cell>
          <cell r="AW10" t="str">
            <v>Ruwi</v>
          </cell>
          <cell r="AX10">
            <v>1104.8096153846154</v>
          </cell>
        </row>
        <row r="11">
          <cell r="B11">
            <v>312</v>
          </cell>
          <cell r="C11" t="str">
            <v>Ghalib Hamoud Al Rawahi</v>
          </cell>
          <cell r="D11" t="str">
            <v>Jr.Observer</v>
          </cell>
          <cell r="E11" t="str">
            <v>17.06.04</v>
          </cell>
          <cell r="F11">
            <v>2.2077692307692307</v>
          </cell>
          <cell r="G11">
            <v>1.3798557692307691</v>
          </cell>
          <cell r="H11">
            <v>20</v>
          </cell>
          <cell r="I11">
            <v>45</v>
          </cell>
          <cell r="K11">
            <v>16</v>
          </cell>
          <cell r="L11">
            <v>14</v>
          </cell>
          <cell r="M11">
            <v>0</v>
          </cell>
          <cell r="N11">
            <v>0</v>
          </cell>
          <cell r="O11">
            <v>30</v>
          </cell>
          <cell r="P11">
            <v>77</v>
          </cell>
          <cell r="Q11">
            <v>4.62</v>
          </cell>
          <cell r="R11">
            <v>191.34</v>
          </cell>
          <cell r="S11">
            <v>170</v>
          </cell>
          <cell r="T11">
            <v>2</v>
          </cell>
          <cell r="U11">
            <v>9</v>
          </cell>
          <cell r="V11">
            <v>191.34</v>
          </cell>
          <cell r="W11">
            <v>170</v>
          </cell>
          <cell r="X11">
            <v>2</v>
          </cell>
          <cell r="Y11">
            <v>144</v>
          </cell>
          <cell r="Z11">
            <v>62.093509615384612</v>
          </cell>
          <cell r="AA11">
            <v>44.155384615384612</v>
          </cell>
          <cell r="AD11">
            <v>0</v>
          </cell>
          <cell r="AE11">
            <v>0</v>
          </cell>
          <cell r="AF11">
            <v>0</v>
          </cell>
          <cell r="AG11">
            <v>0</v>
          </cell>
          <cell r="AH11">
            <v>144.88485576923077</v>
          </cell>
          <cell r="AI11">
            <v>0</v>
          </cell>
          <cell r="AK11">
            <v>0</v>
          </cell>
          <cell r="AL11">
            <v>758.47375</v>
          </cell>
          <cell r="AM11">
            <v>12.437100000000001</v>
          </cell>
          <cell r="AO11">
            <v>12.437100000000001</v>
          </cell>
          <cell r="AP11">
            <v>746.03665000000001</v>
          </cell>
          <cell r="AS11">
            <v>312</v>
          </cell>
          <cell r="AT11" t="str">
            <v>Ghalib Hamoud Al Rawahi</v>
          </cell>
          <cell r="AU11" t="str">
            <v>002-304533-035</v>
          </cell>
          <cell r="AV11" t="str">
            <v>HSBC</v>
          </cell>
          <cell r="AW11" t="str">
            <v>Ruwi</v>
          </cell>
          <cell r="AX11">
            <v>746.03665000000001</v>
          </cell>
        </row>
        <row r="12">
          <cell r="B12">
            <v>313</v>
          </cell>
          <cell r="C12" t="str">
            <v>Hilal Khamis Al Yaqoobi</v>
          </cell>
          <cell r="D12" t="str">
            <v>Jr.Observer</v>
          </cell>
          <cell r="E12" t="str">
            <v>17.06.04</v>
          </cell>
          <cell r="F12">
            <v>2.2063846153846152</v>
          </cell>
          <cell r="G12">
            <v>1.3789903846153844</v>
          </cell>
          <cell r="H12">
            <v>20</v>
          </cell>
          <cell r="I12">
            <v>30</v>
          </cell>
          <cell r="K12">
            <v>14</v>
          </cell>
          <cell r="L12">
            <v>14</v>
          </cell>
          <cell r="M12">
            <v>0</v>
          </cell>
          <cell r="N12">
            <v>2</v>
          </cell>
          <cell r="O12">
            <v>28</v>
          </cell>
          <cell r="P12">
            <v>75</v>
          </cell>
          <cell r="Q12">
            <v>4.5</v>
          </cell>
          <cell r="R12">
            <v>191.22</v>
          </cell>
          <cell r="S12">
            <v>170</v>
          </cell>
          <cell r="T12">
            <v>2</v>
          </cell>
          <cell r="U12">
            <v>9</v>
          </cell>
          <cell r="V12">
            <v>178.47199999999998</v>
          </cell>
          <cell r="W12">
            <v>158.66666666666669</v>
          </cell>
          <cell r="X12">
            <v>1.8666666666666667</v>
          </cell>
          <cell r="Y12">
            <v>126</v>
          </cell>
          <cell r="Z12">
            <v>41.36971153846153</v>
          </cell>
          <cell r="AA12">
            <v>44.1276923076923</v>
          </cell>
          <cell r="AD12">
            <v>0</v>
          </cell>
          <cell r="AE12">
            <v>0</v>
          </cell>
          <cell r="AF12">
            <v>0</v>
          </cell>
          <cell r="AG12">
            <v>0</v>
          </cell>
          <cell r="AH12">
            <v>144.79399038461537</v>
          </cell>
          <cell r="AI12">
            <v>0</v>
          </cell>
          <cell r="AK12">
            <v>0</v>
          </cell>
          <cell r="AL12">
            <v>695.29672756410264</v>
          </cell>
          <cell r="AM12">
            <v>12.4293</v>
          </cell>
          <cell r="AO12">
            <v>12.4293</v>
          </cell>
          <cell r="AP12">
            <v>682.86742756410263</v>
          </cell>
          <cell r="AS12">
            <v>313</v>
          </cell>
          <cell r="AT12" t="str">
            <v>Hilal Khamis Al Yaqoobi</v>
          </cell>
          <cell r="AU12" t="str">
            <v>1012-347706</v>
          </cell>
          <cell r="AV12" t="str">
            <v>NBO</v>
          </cell>
          <cell r="AW12" t="str">
            <v>Ibri</v>
          </cell>
          <cell r="AX12">
            <v>682.86742756410263</v>
          </cell>
        </row>
        <row r="13">
          <cell r="B13">
            <v>341</v>
          </cell>
          <cell r="C13" t="str">
            <v>Salim Khamis Al Yaqoubi</v>
          </cell>
          <cell r="D13" t="str">
            <v>Junior Observer</v>
          </cell>
          <cell r="E13" t="str">
            <v>28.08.04</v>
          </cell>
          <cell r="F13">
            <v>2.2049999999999996</v>
          </cell>
          <cell r="G13">
            <v>1.3781249999999998</v>
          </cell>
          <cell r="H13">
            <v>20</v>
          </cell>
          <cell r="I13">
            <v>24</v>
          </cell>
          <cell r="K13">
            <v>14</v>
          </cell>
          <cell r="L13">
            <v>16</v>
          </cell>
          <cell r="M13">
            <v>0</v>
          </cell>
          <cell r="N13">
            <v>0</v>
          </cell>
          <cell r="O13">
            <v>30</v>
          </cell>
          <cell r="P13">
            <v>75</v>
          </cell>
          <cell r="Q13">
            <v>4.5</v>
          </cell>
          <cell r="R13">
            <v>191.1</v>
          </cell>
          <cell r="S13">
            <v>170</v>
          </cell>
          <cell r="T13">
            <v>2</v>
          </cell>
          <cell r="U13">
            <v>9</v>
          </cell>
          <cell r="V13">
            <v>191.1</v>
          </cell>
          <cell r="W13">
            <v>170</v>
          </cell>
          <cell r="X13">
            <v>2</v>
          </cell>
          <cell r="Y13">
            <v>126</v>
          </cell>
          <cell r="Z13">
            <v>33.074999999999996</v>
          </cell>
          <cell r="AA13">
            <v>44.099999999999994</v>
          </cell>
          <cell r="AD13">
            <v>0</v>
          </cell>
          <cell r="AE13">
            <v>0</v>
          </cell>
          <cell r="AF13">
            <v>0</v>
          </cell>
          <cell r="AG13">
            <v>54</v>
          </cell>
          <cell r="AH13">
            <v>184.66874999999999</v>
          </cell>
          <cell r="AI13">
            <v>181.91249999999997</v>
          </cell>
          <cell r="AK13">
            <v>123</v>
          </cell>
          <cell r="AL13">
            <v>1109.85625</v>
          </cell>
          <cell r="AM13">
            <v>12.4215</v>
          </cell>
          <cell r="AO13">
            <v>12.4215</v>
          </cell>
          <cell r="AP13">
            <v>1097.4347500000001</v>
          </cell>
          <cell r="AS13">
            <v>341</v>
          </cell>
          <cell r="AT13" t="str">
            <v>Salim Khamis Al Yaqoubi</v>
          </cell>
          <cell r="AU13" t="str">
            <v>002-247799-035</v>
          </cell>
          <cell r="AV13" t="str">
            <v>HSBC</v>
          </cell>
          <cell r="AW13" t="str">
            <v>Ruwi</v>
          </cell>
          <cell r="AX13">
            <v>1097.4347500000001</v>
          </cell>
        </row>
        <row r="14">
          <cell r="B14">
            <v>345</v>
          </cell>
          <cell r="C14" t="str">
            <v>Hamed Mohammed Ali Al Mahroqi</v>
          </cell>
          <cell r="D14" t="str">
            <v>Chief Mechanic</v>
          </cell>
          <cell r="E14" t="str">
            <v>19-09-04</v>
          </cell>
          <cell r="F14">
            <v>3.5688461538461542</v>
          </cell>
          <cell r="G14">
            <v>2.2305288461538462</v>
          </cell>
          <cell r="H14">
            <v>20</v>
          </cell>
          <cell r="I14">
            <v>100</v>
          </cell>
          <cell r="K14">
            <v>16</v>
          </cell>
          <cell r="L14">
            <v>14</v>
          </cell>
          <cell r="M14">
            <v>0</v>
          </cell>
          <cell r="N14">
            <v>0</v>
          </cell>
          <cell r="O14">
            <v>30</v>
          </cell>
          <cell r="P14">
            <v>83</v>
          </cell>
          <cell r="Q14">
            <v>4.9799999999999995</v>
          </cell>
          <cell r="R14">
            <v>309.3</v>
          </cell>
          <cell r="S14">
            <v>170</v>
          </cell>
          <cell r="T14">
            <v>2</v>
          </cell>
          <cell r="U14">
            <v>9</v>
          </cell>
          <cell r="V14">
            <v>309.3</v>
          </cell>
          <cell r="W14">
            <v>170</v>
          </cell>
          <cell r="X14">
            <v>2</v>
          </cell>
          <cell r="Y14">
            <v>144</v>
          </cell>
          <cell r="Z14">
            <v>223.05288461538461</v>
          </cell>
          <cell r="AA14">
            <v>71.376923076923077</v>
          </cell>
          <cell r="AD14">
            <v>0</v>
          </cell>
          <cell r="AE14">
            <v>0</v>
          </cell>
          <cell r="AF14">
            <v>0</v>
          </cell>
          <cell r="AG14">
            <v>0</v>
          </cell>
          <cell r="AH14">
            <v>334.57932692307691</v>
          </cell>
          <cell r="AI14">
            <v>0</v>
          </cell>
          <cell r="AK14">
            <v>0</v>
          </cell>
          <cell r="AL14">
            <v>1254.3091346153847</v>
          </cell>
          <cell r="AM14">
            <v>20.104500000000002</v>
          </cell>
          <cell r="AO14">
            <v>20.104500000000002</v>
          </cell>
          <cell r="AP14">
            <v>1234.2046346153847</v>
          </cell>
          <cell r="AS14">
            <v>345</v>
          </cell>
          <cell r="AT14" t="str">
            <v>Hamed Mohammed Ali Al Mahroqi</v>
          </cell>
          <cell r="AU14" t="str">
            <v>28-021749-29</v>
          </cell>
          <cell r="AV14" t="str">
            <v>OIB</v>
          </cell>
          <cell r="AW14" t="str">
            <v>Adam</v>
          </cell>
          <cell r="AX14">
            <v>1234.2046346153847</v>
          </cell>
        </row>
        <row r="15">
          <cell r="B15">
            <v>420</v>
          </cell>
          <cell r="C15" t="str">
            <v>Hamoud Nasser Hamoud Al Malki</v>
          </cell>
          <cell r="D15" t="str">
            <v>Driver Trainer</v>
          </cell>
          <cell r="E15">
            <v>38818</v>
          </cell>
          <cell r="F15">
            <v>2.9400000000000004</v>
          </cell>
          <cell r="G15">
            <v>1.8375000000000004</v>
          </cell>
          <cell r="H15">
            <v>0</v>
          </cell>
          <cell r="I15">
            <v>52</v>
          </cell>
          <cell r="K15">
            <v>16</v>
          </cell>
          <cell r="L15">
            <v>14</v>
          </cell>
          <cell r="M15">
            <v>0</v>
          </cell>
          <cell r="N15">
            <v>0</v>
          </cell>
          <cell r="O15">
            <v>30</v>
          </cell>
          <cell r="P15">
            <v>80</v>
          </cell>
          <cell r="Q15">
            <v>4.8</v>
          </cell>
          <cell r="R15">
            <v>254.8</v>
          </cell>
          <cell r="S15">
            <v>146</v>
          </cell>
          <cell r="T15">
            <v>2</v>
          </cell>
          <cell r="U15">
            <v>9</v>
          </cell>
          <cell r="V15">
            <v>254.8</v>
          </cell>
          <cell r="W15">
            <v>146</v>
          </cell>
          <cell r="X15">
            <v>2</v>
          </cell>
          <cell r="Y15">
            <v>144</v>
          </cell>
          <cell r="Z15">
            <v>95.550000000000011</v>
          </cell>
          <cell r="AA15">
            <v>0</v>
          </cell>
          <cell r="AD15">
            <v>0</v>
          </cell>
          <cell r="AE15">
            <v>0</v>
          </cell>
          <cell r="AF15">
            <v>0</v>
          </cell>
          <cell r="AG15">
            <v>54</v>
          </cell>
          <cell r="AH15">
            <v>110.25000000000003</v>
          </cell>
          <cell r="AI15">
            <v>176.40000000000003</v>
          </cell>
          <cell r="AK15">
            <v>123</v>
          </cell>
          <cell r="AL15">
            <v>1106</v>
          </cell>
          <cell r="AM15">
            <v>16.562000000000001</v>
          </cell>
          <cell r="AO15">
            <v>16.562000000000001</v>
          </cell>
          <cell r="AP15">
            <v>1089.4380000000001</v>
          </cell>
          <cell r="AS15">
            <v>420</v>
          </cell>
          <cell r="AT15" t="str">
            <v>Hamoud Nasser Hamoud Al Malki</v>
          </cell>
          <cell r="AU15" t="str">
            <v>0141184027000 8400</v>
          </cell>
          <cell r="AV15" t="str">
            <v>Bank Dhofar</v>
          </cell>
          <cell r="AX15">
            <v>1089.4380000000001</v>
          </cell>
        </row>
        <row r="16">
          <cell r="B16">
            <v>428</v>
          </cell>
          <cell r="C16" t="str">
            <v>Salim Ali Nasser Al Mahrouqi</v>
          </cell>
          <cell r="D16" t="str">
            <v>Camp Boss</v>
          </cell>
          <cell r="E16">
            <v>39094</v>
          </cell>
          <cell r="F16">
            <v>2.4230769230769229</v>
          </cell>
          <cell r="G16">
            <v>1.5144230769230769</v>
          </cell>
          <cell r="H16">
            <v>0</v>
          </cell>
          <cell r="I16">
            <v>55</v>
          </cell>
          <cell r="K16">
            <v>10</v>
          </cell>
          <cell r="L16">
            <v>12</v>
          </cell>
          <cell r="M16">
            <v>8</v>
          </cell>
          <cell r="N16">
            <v>0</v>
          </cell>
          <cell r="O16">
            <v>30</v>
          </cell>
          <cell r="P16">
            <v>0</v>
          </cell>
          <cell r="Q16">
            <v>0</v>
          </cell>
          <cell r="R16">
            <v>210</v>
          </cell>
          <cell r="S16">
            <v>170</v>
          </cell>
          <cell r="T16">
            <v>2</v>
          </cell>
          <cell r="U16">
            <v>9</v>
          </cell>
          <cell r="V16">
            <v>210</v>
          </cell>
          <cell r="W16">
            <v>170</v>
          </cell>
          <cell r="X16">
            <v>2</v>
          </cell>
          <cell r="Y16">
            <v>90</v>
          </cell>
          <cell r="Z16">
            <v>83.293269230769226</v>
          </cell>
          <cell r="AA16">
            <v>0</v>
          </cell>
          <cell r="AD16">
            <v>0</v>
          </cell>
          <cell r="AE16">
            <v>0</v>
          </cell>
          <cell r="AF16">
            <v>0</v>
          </cell>
          <cell r="AG16">
            <v>0</v>
          </cell>
          <cell r="AH16">
            <v>65.120192307692307</v>
          </cell>
          <cell r="AI16">
            <v>0</v>
          </cell>
          <cell r="AK16">
            <v>0</v>
          </cell>
          <cell r="AL16">
            <v>620.41346153846155</v>
          </cell>
          <cell r="AM16">
            <v>13.65</v>
          </cell>
          <cell r="AO16">
            <v>13.65</v>
          </cell>
          <cell r="AP16">
            <v>606.76346153846157</v>
          </cell>
          <cell r="AS16">
            <v>428</v>
          </cell>
          <cell r="AT16" t="str">
            <v>Salim Ali Nasser Al Mahrouqi</v>
          </cell>
          <cell r="AU16" t="str">
            <v>129-231700084016</v>
          </cell>
          <cell r="AV16" t="str">
            <v>Bank Muscat</v>
          </cell>
          <cell r="AW16" t="str">
            <v>Adam</v>
          </cell>
          <cell r="AX16">
            <v>606.76346153846157</v>
          </cell>
        </row>
        <row r="17">
          <cell r="B17">
            <v>2046</v>
          </cell>
          <cell r="C17" t="str">
            <v>Hamed Ali</v>
          </cell>
          <cell r="D17" t="str">
            <v>Field Manager</v>
          </cell>
          <cell r="E17" t="str">
            <v>07.06.04</v>
          </cell>
          <cell r="F17">
            <v>3.8208461538461536</v>
          </cell>
          <cell r="G17">
            <v>2.3880288461538459</v>
          </cell>
          <cell r="H17">
            <v>0</v>
          </cell>
          <cell r="I17">
            <v>144.5</v>
          </cell>
          <cell r="K17">
            <v>21</v>
          </cell>
          <cell r="L17">
            <v>9</v>
          </cell>
          <cell r="M17">
            <v>0</v>
          </cell>
          <cell r="N17">
            <v>0</v>
          </cell>
          <cell r="O17">
            <v>30</v>
          </cell>
          <cell r="P17">
            <v>81</v>
          </cell>
          <cell r="Q17">
            <v>4.8599999999999994</v>
          </cell>
          <cell r="R17">
            <v>331.14</v>
          </cell>
          <cell r="S17">
            <v>170</v>
          </cell>
          <cell r="T17">
            <v>2</v>
          </cell>
          <cell r="U17">
            <v>9</v>
          </cell>
          <cell r="V17">
            <v>331.14</v>
          </cell>
          <cell r="W17">
            <v>170</v>
          </cell>
          <cell r="X17">
            <v>2</v>
          </cell>
          <cell r="Y17">
            <v>189</v>
          </cell>
          <cell r="Z17">
            <v>345.07016826923075</v>
          </cell>
          <cell r="AA17">
            <v>0</v>
          </cell>
          <cell r="AD17">
            <v>0</v>
          </cell>
          <cell r="AE17">
            <v>0</v>
          </cell>
          <cell r="AF17">
            <v>0</v>
          </cell>
          <cell r="AG17">
            <v>0</v>
          </cell>
          <cell r="AH17">
            <v>162.38596153846152</v>
          </cell>
          <cell r="AI17">
            <v>0</v>
          </cell>
          <cell r="AK17">
            <v>0</v>
          </cell>
          <cell r="AL17">
            <v>1199.5961298076923</v>
          </cell>
          <cell r="AM17">
            <v>21.524100000000001</v>
          </cell>
          <cell r="AO17">
            <v>21.524100000000001</v>
          </cell>
          <cell r="AP17">
            <v>1178.0720298076922</v>
          </cell>
          <cell r="AS17">
            <v>2046</v>
          </cell>
          <cell r="AT17" t="str">
            <v>Hamed Ali</v>
          </cell>
          <cell r="AU17" t="str">
            <v>34-002485-29</v>
          </cell>
          <cell r="AV17" t="str">
            <v>OIB</v>
          </cell>
          <cell r="AW17" t="str">
            <v>Firq</v>
          </cell>
          <cell r="AX17">
            <v>1178.0720298076922</v>
          </cell>
        </row>
        <row r="18">
          <cell r="B18">
            <v>2090</v>
          </cell>
          <cell r="C18" t="str">
            <v>Said Hamed Salim</v>
          </cell>
          <cell r="D18" t="str">
            <v>Surveyor</v>
          </cell>
          <cell r="E18" t="str">
            <v>12.05.04</v>
          </cell>
          <cell r="F18">
            <v>5.4179999999999993</v>
          </cell>
          <cell r="G18">
            <v>3.3862499999999995</v>
          </cell>
          <cell r="H18">
            <v>0</v>
          </cell>
          <cell r="I18">
            <v>9.5</v>
          </cell>
          <cell r="K18">
            <v>19</v>
          </cell>
          <cell r="L18">
            <v>11</v>
          </cell>
          <cell r="M18">
            <v>0</v>
          </cell>
          <cell r="N18">
            <v>0</v>
          </cell>
          <cell r="O18">
            <v>30</v>
          </cell>
          <cell r="P18">
            <v>63</v>
          </cell>
          <cell r="Q18">
            <v>3.78</v>
          </cell>
          <cell r="R18">
            <v>469.55999999999995</v>
          </cell>
          <cell r="S18">
            <v>170</v>
          </cell>
          <cell r="T18">
            <v>2</v>
          </cell>
          <cell r="U18">
            <v>9</v>
          </cell>
          <cell r="V18">
            <v>469.55999999999995</v>
          </cell>
          <cell r="W18">
            <v>170</v>
          </cell>
          <cell r="X18">
            <v>2</v>
          </cell>
          <cell r="Y18">
            <v>171</v>
          </cell>
          <cell r="Z18">
            <v>32.169374999999995</v>
          </cell>
          <cell r="AA18">
            <v>0</v>
          </cell>
          <cell r="AD18">
            <v>0</v>
          </cell>
          <cell r="AE18">
            <v>0</v>
          </cell>
          <cell r="AF18">
            <v>0</v>
          </cell>
          <cell r="AG18">
            <v>54</v>
          </cell>
          <cell r="AH18">
            <v>28.783124999999995</v>
          </cell>
          <cell r="AI18">
            <v>325.07999999999993</v>
          </cell>
          <cell r="AK18">
            <v>123</v>
          </cell>
          <cell r="AL18">
            <v>1375.5924999999997</v>
          </cell>
          <cell r="AM18">
            <v>30.521399999999996</v>
          </cell>
          <cell r="AO18">
            <v>30.521399999999996</v>
          </cell>
          <cell r="AP18">
            <v>1345.0710999999997</v>
          </cell>
          <cell r="AS18">
            <v>2090</v>
          </cell>
          <cell r="AT18" t="str">
            <v>Said Hamed Salim</v>
          </cell>
          <cell r="AU18" t="str">
            <v>28-012128-29</v>
          </cell>
          <cell r="AV18" t="str">
            <v>OIB</v>
          </cell>
          <cell r="AW18" t="str">
            <v>Adam</v>
          </cell>
          <cell r="AX18">
            <v>1345.0710999999997</v>
          </cell>
        </row>
        <row r="19">
          <cell r="B19">
            <v>2132</v>
          </cell>
          <cell r="C19" t="str">
            <v>Said Mohd.Abdullah Al Harthy</v>
          </cell>
          <cell r="D19" t="str">
            <v>Observer</v>
          </cell>
          <cell r="E19" t="str">
            <v>07.06.04</v>
          </cell>
          <cell r="F19">
            <v>3.8783076923076925</v>
          </cell>
          <cell r="G19">
            <v>2.4239423076923079</v>
          </cell>
          <cell r="H19">
            <v>20</v>
          </cell>
          <cell r="I19">
            <v>0</v>
          </cell>
          <cell r="K19">
            <v>20</v>
          </cell>
          <cell r="L19">
            <v>10</v>
          </cell>
          <cell r="M19">
            <v>0</v>
          </cell>
          <cell r="N19">
            <v>0</v>
          </cell>
          <cell r="O19">
            <v>30</v>
          </cell>
          <cell r="P19">
            <v>75</v>
          </cell>
          <cell r="Q19">
            <v>4.5</v>
          </cell>
          <cell r="R19">
            <v>336.12</v>
          </cell>
          <cell r="S19">
            <v>170</v>
          </cell>
          <cell r="T19">
            <v>2</v>
          </cell>
          <cell r="U19">
            <v>9</v>
          </cell>
          <cell r="V19">
            <v>336.12</v>
          </cell>
          <cell r="W19">
            <v>170</v>
          </cell>
          <cell r="X19">
            <v>2</v>
          </cell>
          <cell r="Y19">
            <v>180</v>
          </cell>
          <cell r="Z19">
            <v>0</v>
          </cell>
          <cell r="AA19">
            <v>77.566153846153853</v>
          </cell>
          <cell r="AD19">
            <v>0</v>
          </cell>
          <cell r="AE19">
            <v>0</v>
          </cell>
          <cell r="AF19">
            <v>0</v>
          </cell>
          <cell r="AG19">
            <v>0</v>
          </cell>
          <cell r="AH19">
            <v>262.99774038461538</v>
          </cell>
          <cell r="AI19">
            <v>0</v>
          </cell>
          <cell r="AK19">
            <v>0</v>
          </cell>
          <cell r="AL19">
            <v>1028.6838942307693</v>
          </cell>
          <cell r="AM19">
            <v>21.847799999999999</v>
          </cell>
          <cell r="AO19">
            <v>21.847799999999999</v>
          </cell>
          <cell r="AP19">
            <v>1006.8360942307693</v>
          </cell>
          <cell r="AS19">
            <v>2132</v>
          </cell>
          <cell r="AT19" t="str">
            <v>Said Mohd.Abdullah Al Harthy</v>
          </cell>
          <cell r="AU19" t="str">
            <v>002 092096 001</v>
          </cell>
          <cell r="AV19" t="str">
            <v>HSBC</v>
          </cell>
          <cell r="AW19" t="str">
            <v>Bait Al Falaj</v>
          </cell>
          <cell r="AX19">
            <v>1006.8360942307693</v>
          </cell>
        </row>
        <row r="20">
          <cell r="B20">
            <v>2133</v>
          </cell>
          <cell r="C20" t="str">
            <v>Ahmed Al Qasmi</v>
          </cell>
          <cell r="D20" t="str">
            <v>Journey Manager</v>
          </cell>
          <cell r="E20" t="str">
            <v>07.06.04</v>
          </cell>
          <cell r="F20">
            <v>2.2264615384615385</v>
          </cell>
          <cell r="G20">
            <v>1.3915384615384616</v>
          </cell>
          <cell r="H20">
            <v>20</v>
          </cell>
          <cell r="I20">
            <v>0</v>
          </cell>
          <cell r="K20">
            <v>15</v>
          </cell>
          <cell r="L20">
            <v>15</v>
          </cell>
          <cell r="M20">
            <v>0</v>
          </cell>
          <cell r="N20">
            <v>0</v>
          </cell>
          <cell r="O20">
            <v>30</v>
          </cell>
          <cell r="P20">
            <v>80</v>
          </cell>
          <cell r="Q20">
            <v>4.8</v>
          </cell>
          <cell r="R20">
            <v>192.96</v>
          </cell>
          <cell r="S20">
            <v>170</v>
          </cell>
          <cell r="T20">
            <v>2</v>
          </cell>
          <cell r="U20">
            <v>9</v>
          </cell>
          <cell r="V20">
            <v>192.96</v>
          </cell>
          <cell r="W20">
            <v>170</v>
          </cell>
          <cell r="X20">
            <v>2</v>
          </cell>
          <cell r="Y20">
            <v>135</v>
          </cell>
          <cell r="Z20">
            <v>0</v>
          </cell>
          <cell r="AA20">
            <v>44.529230769230772</v>
          </cell>
          <cell r="AD20">
            <v>0</v>
          </cell>
          <cell r="AE20">
            <v>0</v>
          </cell>
          <cell r="AF20">
            <v>0</v>
          </cell>
          <cell r="AG20">
            <v>0</v>
          </cell>
          <cell r="AH20">
            <v>0</v>
          </cell>
          <cell r="AI20">
            <v>0</v>
          </cell>
          <cell r="AK20">
            <v>0</v>
          </cell>
          <cell r="AL20">
            <v>544.48923076923086</v>
          </cell>
          <cell r="AM20">
            <v>12.542400000000001</v>
          </cell>
          <cell r="AO20">
            <v>12.542400000000001</v>
          </cell>
          <cell r="AP20">
            <v>531.94683076923081</v>
          </cell>
          <cell r="AS20">
            <v>2133</v>
          </cell>
          <cell r="AT20" t="str">
            <v>Ahmed Al Qasmi</v>
          </cell>
          <cell r="AU20" t="str">
            <v>0101-261399-021</v>
          </cell>
          <cell r="AV20" t="str">
            <v>NBO</v>
          </cell>
          <cell r="AW20" t="str">
            <v>Samail</v>
          </cell>
          <cell r="AX20">
            <v>531.94683076923081</v>
          </cell>
        </row>
        <row r="21">
          <cell r="B21">
            <v>3103</v>
          </cell>
          <cell r="C21" t="str">
            <v>Said Ahmed Hamood</v>
          </cell>
          <cell r="D21" t="str">
            <v>Sr. GPS Operator</v>
          </cell>
          <cell r="F21">
            <v>2.5461923076923076</v>
          </cell>
          <cell r="G21">
            <v>1.5913701923076924</v>
          </cell>
          <cell r="H21">
            <v>21</v>
          </cell>
          <cell r="I21">
            <v>10.5</v>
          </cell>
          <cell r="K21">
            <v>23</v>
          </cell>
          <cell r="L21">
            <v>7</v>
          </cell>
          <cell r="M21">
            <v>0</v>
          </cell>
          <cell r="N21">
            <v>0</v>
          </cell>
          <cell r="O21">
            <v>30</v>
          </cell>
          <cell r="P21">
            <v>68</v>
          </cell>
          <cell r="Q21">
            <v>4.08</v>
          </cell>
          <cell r="R21">
            <v>220.67000000000002</v>
          </cell>
          <cell r="S21">
            <v>170</v>
          </cell>
          <cell r="T21">
            <v>2</v>
          </cell>
          <cell r="U21">
            <v>9</v>
          </cell>
          <cell r="V21">
            <v>220.67000000000002</v>
          </cell>
          <cell r="W21">
            <v>170</v>
          </cell>
          <cell r="X21">
            <v>2</v>
          </cell>
          <cell r="Y21">
            <v>207</v>
          </cell>
          <cell r="Z21">
            <v>16.709387019230771</v>
          </cell>
          <cell r="AA21">
            <v>53.470038461538458</v>
          </cell>
          <cell r="AD21">
            <v>0</v>
          </cell>
          <cell r="AE21">
            <v>0</v>
          </cell>
          <cell r="AF21">
            <v>0</v>
          </cell>
          <cell r="AG21">
            <v>54</v>
          </cell>
          <cell r="AH21">
            <v>19.096442307692307</v>
          </cell>
          <cell r="AI21">
            <v>152.77153846153846</v>
          </cell>
          <cell r="AK21">
            <v>123</v>
          </cell>
          <cell r="AL21">
            <v>1018.7174062500001</v>
          </cell>
          <cell r="AM21">
            <v>14.343550000000002</v>
          </cell>
          <cell r="AO21">
            <v>14.343550000000002</v>
          </cell>
          <cell r="AP21">
            <v>1004.37385625</v>
          </cell>
          <cell r="AR21">
            <v>50</v>
          </cell>
          <cell r="AS21">
            <v>3103</v>
          </cell>
          <cell r="AT21" t="str">
            <v>Said Ahmed Hamood</v>
          </cell>
          <cell r="AU21" t="str">
            <v>0129103180084013</v>
          </cell>
          <cell r="AV21" t="str">
            <v>Bank Muscat</v>
          </cell>
          <cell r="AW21" t="str">
            <v>Adam</v>
          </cell>
          <cell r="AX21">
            <v>1004.37385625</v>
          </cell>
        </row>
        <row r="22">
          <cell r="H22">
            <v>161</v>
          </cell>
          <cell r="K22">
            <v>261</v>
          </cell>
          <cell r="L22">
            <v>163</v>
          </cell>
          <cell r="P22">
            <v>1122</v>
          </cell>
          <cell r="Q22">
            <v>67.319999999999993</v>
          </cell>
          <cell r="R22">
            <v>4552.2</v>
          </cell>
          <cell r="S22">
            <v>3036</v>
          </cell>
          <cell r="T22">
            <v>36</v>
          </cell>
          <cell r="U22">
            <v>162</v>
          </cell>
          <cell r="V22">
            <v>3765.9746666666661</v>
          </cell>
          <cell r="W22">
            <v>2452.3333333333335</v>
          </cell>
          <cell r="X22">
            <v>29.133333333333333</v>
          </cell>
          <cell r="Y22">
            <v>2349</v>
          </cell>
          <cell r="Z22">
            <v>1498.5392307692305</v>
          </cell>
          <cell r="AA22">
            <v>471.33773076923075</v>
          </cell>
          <cell r="AB22">
            <v>0</v>
          </cell>
          <cell r="AC22">
            <v>0</v>
          </cell>
          <cell r="AD22">
            <v>25.723870967741934</v>
          </cell>
          <cell r="AE22">
            <v>10.96774193548387</v>
          </cell>
          <cell r="AF22">
            <v>0</v>
          </cell>
          <cell r="AG22">
            <v>396</v>
          </cell>
          <cell r="AH22">
            <v>2013.2630048076921</v>
          </cell>
          <cell r="AI22">
            <v>1380.3940384615385</v>
          </cell>
          <cell r="AJ22">
            <v>0</v>
          </cell>
          <cell r="AK22">
            <v>861</v>
          </cell>
          <cell r="AL22">
            <v>15253.666951044253</v>
          </cell>
          <cell r="AM22">
            <v>255.1198</v>
          </cell>
          <cell r="AN22">
            <v>0</v>
          </cell>
          <cell r="AO22">
            <v>255.1198</v>
          </cell>
          <cell r="AP22">
            <v>14998.547151044251</v>
          </cell>
          <cell r="AX22">
            <v>14998.547151044251</v>
          </cell>
        </row>
        <row r="23">
          <cell r="W23" t="str">
            <v>Basic</v>
          </cell>
          <cell r="X23">
            <v>3791.6985376344078</v>
          </cell>
        </row>
        <row r="24">
          <cell r="W24" t="str">
            <v>Allowance</v>
          </cell>
          <cell r="X24">
            <v>6098.4344086021511</v>
          </cell>
        </row>
        <row r="25">
          <cell r="W25" t="str">
            <v>Overtime</v>
          </cell>
          <cell r="X25">
            <v>3511.8022355769226</v>
          </cell>
        </row>
        <row r="26">
          <cell r="W26" t="str">
            <v>Gosi</v>
          </cell>
          <cell r="X26">
            <v>255.1198</v>
          </cell>
        </row>
        <row r="28">
          <cell r="B28" t="str">
            <v>Emp #</v>
          </cell>
          <cell r="C28" t="str">
            <v>Name</v>
          </cell>
          <cell r="D28" t="str">
            <v>Classification</v>
          </cell>
          <cell r="E28" t="str">
            <v>Jn.Date</v>
          </cell>
          <cell r="F28" t="str">
            <v>O.T Rate 125%</v>
          </cell>
          <cell r="I28" t="str">
            <v>O.T Hrs 125%</v>
          </cell>
          <cell r="K28" t="str">
            <v>W.Days</v>
          </cell>
          <cell r="L28" t="str">
            <v>L.Days</v>
          </cell>
          <cell r="O28" t="str">
            <v>Days Pd</v>
          </cell>
          <cell r="R28" t="str">
            <v>Basic</v>
          </cell>
          <cell r="S28" t="str">
            <v>Other Allow</v>
          </cell>
          <cell r="T28" t="str">
            <v>O.T All</v>
          </cell>
          <cell r="U28" t="str">
            <v>Dsrt.Allw</v>
          </cell>
          <cell r="V28" t="str">
            <v>Basic Pyble</v>
          </cell>
          <cell r="W28" t="str">
            <v>Other Allow</v>
          </cell>
          <cell r="X28" t="str">
            <v>OT Allow</v>
          </cell>
          <cell r="Y28" t="str">
            <v>Dsrt Allw.p</v>
          </cell>
          <cell r="Z28" t="str">
            <v xml:space="preserve"> O.T 125% </v>
          </cell>
          <cell r="AD28" t="str">
            <v>Adj Basic</v>
          </cell>
          <cell r="AE28" t="str">
            <v>Adj 0thers</v>
          </cell>
          <cell r="AF28" t="str">
            <v>Adj.Dt A</v>
          </cell>
          <cell r="AG28" t="str">
            <v>Adj.De.A.P</v>
          </cell>
          <cell r="AH28" t="str">
            <v>Leave Slry</v>
          </cell>
          <cell r="AK28" t="str">
            <v>Adj.Riyals</v>
          </cell>
          <cell r="AL28" t="str">
            <v>Gross Pay</v>
          </cell>
          <cell r="AM28" t="str">
            <v>Adv</v>
          </cell>
          <cell r="AO28" t="str">
            <v>T.Deduc.</v>
          </cell>
          <cell r="AP28" t="str">
            <v>Net.Pay</v>
          </cell>
        </row>
        <row r="29">
          <cell r="B29">
            <v>334</v>
          </cell>
          <cell r="C29" t="str">
            <v>Adakandy Laxman</v>
          </cell>
          <cell r="D29" t="str">
            <v>Mechanic</v>
          </cell>
          <cell r="E29" t="str">
            <v>20.05.04</v>
          </cell>
          <cell r="F29">
            <v>0.73081607795371495</v>
          </cell>
          <cell r="K29">
            <v>21</v>
          </cell>
          <cell r="O29">
            <v>21</v>
          </cell>
          <cell r="R29">
            <v>160</v>
          </cell>
          <cell r="S29">
            <v>50</v>
          </cell>
          <cell r="U29">
            <v>4.5</v>
          </cell>
          <cell r="V29">
            <v>112</v>
          </cell>
          <cell r="W29">
            <v>35</v>
          </cell>
          <cell r="Y29">
            <v>94.5</v>
          </cell>
          <cell r="Z29">
            <v>0</v>
          </cell>
          <cell r="AH29">
            <v>160</v>
          </cell>
          <cell r="AL29">
            <v>401.5</v>
          </cell>
          <cell r="AO29">
            <v>0</v>
          </cell>
          <cell r="AP29">
            <v>401.5</v>
          </cell>
          <cell r="AQ29" t="str">
            <v>He Came from Leave so check his arrival date and paid accordingly.He has some overstay Allowance last month so kindly check that and make adjustment for it.</v>
          </cell>
          <cell r="AT29" t="str">
            <v>Adakandy Laxman</v>
          </cell>
          <cell r="AU29" t="str">
            <v>30-261333-20</v>
          </cell>
          <cell r="AV29" t="str">
            <v>OIB</v>
          </cell>
          <cell r="AW29" t="str">
            <v>Fahud</v>
          </cell>
          <cell r="AX29">
            <v>401.5</v>
          </cell>
        </row>
        <row r="30">
          <cell r="B30">
            <v>343</v>
          </cell>
          <cell r="C30" t="str">
            <v>Abhiraj Valakadavil Asokan</v>
          </cell>
          <cell r="D30" t="str">
            <v>Welder</v>
          </cell>
          <cell r="E30" t="str">
            <v>28.07.04</v>
          </cell>
          <cell r="F30">
            <v>0.45676004872107184</v>
          </cell>
          <cell r="K30">
            <v>16</v>
          </cell>
          <cell r="O30">
            <v>16</v>
          </cell>
          <cell r="R30">
            <v>100</v>
          </cell>
          <cell r="S30">
            <v>30</v>
          </cell>
          <cell r="U30">
            <v>4.5</v>
          </cell>
          <cell r="V30">
            <v>53.333333333333336</v>
          </cell>
          <cell r="W30">
            <v>16</v>
          </cell>
          <cell r="Y30">
            <v>72</v>
          </cell>
          <cell r="Z30">
            <v>0</v>
          </cell>
          <cell r="AH30">
            <v>100</v>
          </cell>
          <cell r="AL30">
            <v>241.33333333333334</v>
          </cell>
          <cell r="AO30">
            <v>0</v>
          </cell>
          <cell r="AP30">
            <v>241.33333333333334</v>
          </cell>
          <cell r="AQ30" t="str">
            <v>He Came from Leave so check his arrival date and paid accordingly.Paid him Leave salary as per his contract.</v>
          </cell>
          <cell r="AT30" t="str">
            <v>Abhiraj Valakadavil Asokan</v>
          </cell>
          <cell r="AU30" t="str">
            <v>082-115770084016</v>
          </cell>
          <cell r="AV30" t="str">
            <v>Bank Muscat</v>
          </cell>
          <cell r="AW30" t="str">
            <v>Haima</v>
          </cell>
          <cell r="AX30">
            <v>241.33333333333334</v>
          </cell>
        </row>
        <row r="31">
          <cell r="B31">
            <v>352</v>
          </cell>
          <cell r="C31" t="str">
            <v>Parminder Singh</v>
          </cell>
          <cell r="D31" t="str">
            <v>Mechanic</v>
          </cell>
          <cell r="E31" t="str">
            <v>17-04-05</v>
          </cell>
          <cell r="F31">
            <v>0.77649208282582216</v>
          </cell>
          <cell r="K31">
            <v>30</v>
          </cell>
          <cell r="O31">
            <v>30</v>
          </cell>
          <cell r="R31">
            <v>170</v>
          </cell>
          <cell r="S31">
            <v>50</v>
          </cell>
          <cell r="U31">
            <v>4.5</v>
          </cell>
          <cell r="V31">
            <v>170</v>
          </cell>
          <cell r="W31">
            <v>50</v>
          </cell>
          <cell r="Y31">
            <v>135</v>
          </cell>
          <cell r="Z31">
            <v>0</v>
          </cell>
          <cell r="AL31">
            <v>355</v>
          </cell>
          <cell r="AO31">
            <v>0</v>
          </cell>
          <cell r="AP31">
            <v>355</v>
          </cell>
          <cell r="AT31" t="str">
            <v>Parminder Singh</v>
          </cell>
          <cell r="AU31" t="str">
            <v>31-815723-20</v>
          </cell>
          <cell r="AV31" t="str">
            <v>OIB</v>
          </cell>
          <cell r="AW31" t="str">
            <v>Marmul</v>
          </cell>
          <cell r="AX31">
            <v>355</v>
          </cell>
        </row>
        <row r="32">
          <cell r="B32">
            <v>375</v>
          </cell>
          <cell r="C32" t="str">
            <v>Thajudeen Najeeb</v>
          </cell>
          <cell r="D32" t="str">
            <v>Electrician</v>
          </cell>
          <cell r="E32">
            <v>38810</v>
          </cell>
          <cell r="F32">
            <v>0.73081607795371495</v>
          </cell>
          <cell r="K32">
            <v>0</v>
          </cell>
          <cell r="O32">
            <v>0</v>
          </cell>
          <cell r="R32">
            <v>160</v>
          </cell>
          <cell r="S32">
            <v>20</v>
          </cell>
          <cell r="V32">
            <v>0</v>
          </cell>
          <cell r="W32">
            <v>0</v>
          </cell>
          <cell r="Z32">
            <v>0</v>
          </cell>
          <cell r="AL32">
            <v>0</v>
          </cell>
          <cell r="AO32">
            <v>0</v>
          </cell>
          <cell r="AP32">
            <v>0</v>
          </cell>
          <cell r="AQ32" t="str">
            <v>On Leave</v>
          </cell>
          <cell r="AT32" t="str">
            <v>Thajudeen Najeeb</v>
          </cell>
          <cell r="AU32" t="str">
            <v>84-047943-20</v>
          </cell>
          <cell r="AV32" t="str">
            <v>OIB</v>
          </cell>
          <cell r="AW32" t="str">
            <v>Bidaya</v>
          </cell>
          <cell r="AX32">
            <v>0</v>
          </cell>
        </row>
        <row r="33">
          <cell r="B33">
            <v>430</v>
          </cell>
          <cell r="C33" t="str">
            <v>James Bennett</v>
          </cell>
          <cell r="D33" t="str">
            <v>Crew Medic</v>
          </cell>
          <cell r="F33">
            <v>2.7405602923264309</v>
          </cell>
          <cell r="K33">
            <v>30</v>
          </cell>
          <cell r="O33">
            <v>30</v>
          </cell>
          <cell r="R33">
            <v>600</v>
          </cell>
          <cell r="V33">
            <v>600</v>
          </cell>
          <cell r="W33">
            <v>0</v>
          </cell>
          <cell r="Z33">
            <v>0</v>
          </cell>
          <cell r="AL33">
            <v>600</v>
          </cell>
          <cell r="AO33">
            <v>0</v>
          </cell>
          <cell r="AP33">
            <v>600</v>
          </cell>
          <cell r="AT33" t="str">
            <v>James Bennett</v>
          </cell>
          <cell r="AX33">
            <v>600</v>
          </cell>
        </row>
        <row r="34">
          <cell r="B34">
            <v>431</v>
          </cell>
          <cell r="C34" t="str">
            <v>Munawar Hussain Talib Hussain</v>
          </cell>
          <cell r="D34" t="str">
            <v>Mechanic</v>
          </cell>
          <cell r="E34">
            <v>39452</v>
          </cell>
          <cell r="F34">
            <v>0.73081607795371495</v>
          </cell>
          <cell r="K34">
            <v>30</v>
          </cell>
          <cell r="O34">
            <v>30</v>
          </cell>
          <cell r="R34">
            <v>160</v>
          </cell>
          <cell r="T34">
            <v>20</v>
          </cell>
          <cell r="V34">
            <v>160</v>
          </cell>
          <cell r="W34">
            <v>0</v>
          </cell>
          <cell r="X34">
            <v>20</v>
          </cell>
          <cell r="Z34">
            <v>0</v>
          </cell>
          <cell r="AL34">
            <v>180</v>
          </cell>
          <cell r="AO34">
            <v>0</v>
          </cell>
          <cell r="AP34">
            <v>180</v>
          </cell>
          <cell r="AT34" t="str">
            <v>Munawar Hussain Talib Hussain</v>
          </cell>
          <cell r="AU34" t="str">
            <v>102-171880084013</v>
          </cell>
          <cell r="AV34" t="str">
            <v>Bank Muscat</v>
          </cell>
          <cell r="AW34" t="str">
            <v>Bahja</v>
          </cell>
          <cell r="AX34">
            <v>180</v>
          </cell>
        </row>
        <row r="35">
          <cell r="B35">
            <v>432</v>
          </cell>
          <cell r="C35" t="str">
            <v>Subhanullah Khan Bawar Khan</v>
          </cell>
          <cell r="D35" t="str">
            <v>Mechanic</v>
          </cell>
          <cell r="E35">
            <v>39452</v>
          </cell>
          <cell r="F35">
            <v>0.73081607795371495</v>
          </cell>
          <cell r="K35">
            <v>30</v>
          </cell>
          <cell r="O35">
            <v>30</v>
          </cell>
          <cell r="R35">
            <v>160</v>
          </cell>
          <cell r="T35">
            <v>20</v>
          </cell>
          <cell r="V35">
            <v>160</v>
          </cell>
          <cell r="W35">
            <v>0</v>
          </cell>
          <cell r="X35">
            <v>20</v>
          </cell>
          <cell r="Z35">
            <v>0</v>
          </cell>
          <cell r="AL35">
            <v>180</v>
          </cell>
          <cell r="AO35">
            <v>0</v>
          </cell>
          <cell r="AP35">
            <v>180</v>
          </cell>
          <cell r="AT35" t="str">
            <v>Subhanullah Khan Bawar Khan</v>
          </cell>
          <cell r="AU35" t="str">
            <v>118-269970084014</v>
          </cell>
          <cell r="AV35" t="str">
            <v>Bank Muscat</v>
          </cell>
          <cell r="AW35" t="str">
            <v>Ibri</v>
          </cell>
          <cell r="AX35">
            <v>180</v>
          </cell>
        </row>
        <row r="36">
          <cell r="V36">
            <v>1255.3333333333335</v>
          </cell>
          <cell r="W36">
            <v>101</v>
          </cell>
          <cell r="X36">
            <v>40</v>
          </cell>
          <cell r="Y36">
            <v>301.5</v>
          </cell>
          <cell r="Z36">
            <v>0</v>
          </cell>
          <cell r="AA36">
            <v>0</v>
          </cell>
          <cell r="AB36">
            <v>0</v>
          </cell>
          <cell r="AC36">
            <v>0</v>
          </cell>
          <cell r="AD36">
            <v>0</v>
          </cell>
          <cell r="AE36">
            <v>0</v>
          </cell>
          <cell r="AF36">
            <v>0</v>
          </cell>
          <cell r="AG36">
            <v>0</v>
          </cell>
          <cell r="AH36">
            <v>260</v>
          </cell>
          <cell r="AI36">
            <v>0</v>
          </cell>
          <cell r="AJ36">
            <v>0</v>
          </cell>
          <cell r="AK36">
            <v>0</v>
          </cell>
          <cell r="AL36">
            <v>1957.8333333333335</v>
          </cell>
          <cell r="AM36">
            <v>0</v>
          </cell>
          <cell r="AN36">
            <v>0</v>
          </cell>
          <cell r="AO36">
            <v>0</v>
          </cell>
          <cell r="AP36">
            <v>1957.8333333333335</v>
          </cell>
          <cell r="AX36">
            <v>1957.8333333333335</v>
          </cell>
        </row>
      </sheetData>
      <sheetData sheetId="4" refreshError="1">
        <row r="5">
          <cell r="B5">
            <v>1</v>
          </cell>
          <cell r="C5" t="str">
            <v>AN</v>
          </cell>
          <cell r="D5" t="str">
            <v>Suleem Huwaishal Mohammed Al Gharibi</v>
          </cell>
          <cell r="E5" t="str">
            <v>Vibe Operator</v>
          </cell>
          <cell r="G5">
            <v>32656</v>
          </cell>
          <cell r="H5">
            <v>38147</v>
          </cell>
          <cell r="I5" t="str">
            <v>E</v>
          </cell>
          <cell r="J5" t="str">
            <v>Sh:2</v>
          </cell>
          <cell r="K5" t="str">
            <v>L</v>
          </cell>
          <cell r="L5" t="str">
            <v>L</v>
          </cell>
          <cell r="M5" t="str">
            <v>L</v>
          </cell>
          <cell r="N5" t="str">
            <v>L</v>
          </cell>
          <cell r="O5" t="str">
            <v>L</v>
          </cell>
          <cell r="P5" t="str">
            <v>L</v>
          </cell>
          <cell r="Q5" t="str">
            <v>L</v>
          </cell>
          <cell r="R5">
            <v>8</v>
          </cell>
          <cell r="S5">
            <v>8</v>
          </cell>
          <cell r="T5">
            <v>8</v>
          </cell>
          <cell r="U5">
            <v>8</v>
          </cell>
          <cell r="V5">
            <v>8</v>
          </cell>
          <cell r="W5">
            <v>8</v>
          </cell>
          <cell r="X5">
            <v>9</v>
          </cell>
          <cell r="Y5">
            <v>9</v>
          </cell>
          <cell r="Z5">
            <v>9</v>
          </cell>
          <cell r="AA5">
            <v>9</v>
          </cell>
          <cell r="AB5">
            <v>9</v>
          </cell>
          <cell r="AC5">
            <v>9</v>
          </cell>
          <cell r="AD5">
            <v>9</v>
          </cell>
          <cell r="AE5">
            <v>9</v>
          </cell>
          <cell r="AF5">
            <v>9</v>
          </cell>
          <cell r="AG5">
            <v>9</v>
          </cell>
          <cell r="AH5">
            <v>9</v>
          </cell>
          <cell r="AI5">
            <v>9</v>
          </cell>
          <cell r="AJ5">
            <v>17</v>
          </cell>
          <cell r="AK5">
            <v>17</v>
          </cell>
          <cell r="AL5">
            <v>9</v>
          </cell>
          <cell r="AM5">
            <v>9</v>
          </cell>
          <cell r="AN5">
            <v>9</v>
          </cell>
          <cell r="AO5" t="str">
            <v>x</v>
          </cell>
          <cell r="AP5">
            <v>23</v>
          </cell>
          <cell r="AQ5">
            <v>7</v>
          </cell>
          <cell r="AR5">
            <v>0</v>
          </cell>
          <cell r="AS5">
            <v>0</v>
          </cell>
          <cell r="AT5">
            <v>0</v>
          </cell>
          <cell r="AU5">
            <v>0</v>
          </cell>
          <cell r="AV5">
            <v>183</v>
          </cell>
          <cell r="AW5">
            <v>34</v>
          </cell>
          <cell r="AX5">
            <v>30</v>
          </cell>
          <cell r="AY5">
            <v>23</v>
          </cell>
          <cell r="AZ5">
            <v>30</v>
          </cell>
          <cell r="CG5">
            <v>102</v>
          </cell>
          <cell r="CH5">
            <v>6</v>
          </cell>
          <cell r="CM5">
            <v>123</v>
          </cell>
          <cell r="CN5" t="str">
            <v xml:space="preserve">Owed 123 rials Eid bonus, 102 hours 200%, 6 days desert allowance for Eid Al Adhah'2008 from 8th to 13th December'2008. </v>
          </cell>
        </row>
        <row r="6">
          <cell r="B6">
            <v>2</v>
          </cell>
          <cell r="C6" t="str">
            <v>CW</v>
          </cell>
          <cell r="D6" t="str">
            <v>Batti Marzouq Khamis Al Ya'qoubi</v>
          </cell>
          <cell r="E6" t="str">
            <v>Heavy Duty Dvr / W</v>
          </cell>
          <cell r="G6">
            <v>32478</v>
          </cell>
          <cell r="H6">
            <v>38145</v>
          </cell>
          <cell r="I6" t="str">
            <v>E</v>
          </cell>
          <cell r="J6" t="str">
            <v>Sh:3</v>
          </cell>
          <cell r="K6">
            <v>4</v>
          </cell>
          <cell r="L6">
            <v>4</v>
          </cell>
          <cell r="M6">
            <v>4</v>
          </cell>
          <cell r="N6">
            <v>4</v>
          </cell>
          <cell r="O6">
            <v>4</v>
          </cell>
          <cell r="P6">
            <v>4</v>
          </cell>
          <cell r="Q6">
            <v>4</v>
          </cell>
          <cell r="R6" t="str">
            <v>L</v>
          </cell>
          <cell r="S6" t="str">
            <v>L</v>
          </cell>
          <cell r="T6" t="str">
            <v>L</v>
          </cell>
          <cell r="U6" t="str">
            <v>L</v>
          </cell>
          <cell r="V6" t="str">
            <v>L</v>
          </cell>
          <cell r="W6" t="str">
            <v>L</v>
          </cell>
          <cell r="X6" t="str">
            <v>L</v>
          </cell>
          <cell r="Y6" t="str">
            <v>L</v>
          </cell>
          <cell r="Z6" t="str">
            <v>L</v>
          </cell>
          <cell r="AA6" t="str">
            <v>L</v>
          </cell>
          <cell r="AB6" t="str">
            <v>L</v>
          </cell>
          <cell r="AC6" t="str">
            <v>L</v>
          </cell>
          <cell r="AD6" t="str">
            <v>L</v>
          </cell>
          <cell r="AE6" t="str">
            <v>L</v>
          </cell>
          <cell r="AF6">
            <v>4</v>
          </cell>
          <cell r="AG6">
            <v>4</v>
          </cell>
          <cell r="AH6">
            <v>4</v>
          </cell>
          <cell r="AI6">
            <v>4</v>
          </cell>
          <cell r="AJ6">
            <v>12</v>
          </cell>
          <cell r="AK6">
            <v>12</v>
          </cell>
          <cell r="AL6">
            <v>4</v>
          </cell>
          <cell r="AM6">
            <v>4</v>
          </cell>
          <cell r="AN6">
            <v>4</v>
          </cell>
          <cell r="AO6" t="str">
            <v>x</v>
          </cell>
          <cell r="AP6">
            <v>16</v>
          </cell>
          <cell r="AQ6">
            <v>14</v>
          </cell>
          <cell r="AR6">
            <v>0</v>
          </cell>
          <cell r="AS6">
            <v>0</v>
          </cell>
          <cell r="AT6">
            <v>0</v>
          </cell>
          <cell r="AU6">
            <v>0</v>
          </cell>
          <cell r="AV6">
            <v>56</v>
          </cell>
          <cell r="AW6">
            <v>24</v>
          </cell>
          <cell r="AX6">
            <v>30</v>
          </cell>
          <cell r="AY6">
            <v>16</v>
          </cell>
          <cell r="AZ6">
            <v>30</v>
          </cell>
          <cell r="CG6">
            <v>72</v>
          </cell>
          <cell r="CH6">
            <v>6</v>
          </cell>
          <cell r="CM6">
            <v>124.755</v>
          </cell>
          <cell r="CN6" t="str">
            <v xml:space="preserve">Owed 123 rials Eid bonus, 72 hours 200%, 6 days desert allowance for Eid Al Adhah'2008 from 8th to 13th December'2008.RO 1.755 of Last month because by mistake he was paid 1 hour 200% OT instead of 1 day desert All (4.5-2.745 = 1.755)  </v>
          </cell>
        </row>
        <row r="7">
          <cell r="B7">
            <v>4</v>
          </cell>
          <cell r="C7" t="str">
            <v>V</v>
          </cell>
          <cell r="D7" t="str">
            <v>Hassan Salman Salim Al Hina'I</v>
          </cell>
          <cell r="E7" t="str">
            <v>Vibe Operator</v>
          </cell>
          <cell r="G7">
            <v>32656</v>
          </cell>
          <cell r="H7">
            <v>38145</v>
          </cell>
          <cell r="I7" t="str">
            <v>E</v>
          </cell>
          <cell r="J7" t="str">
            <v>Sh:3</v>
          </cell>
          <cell r="K7">
            <v>8</v>
          </cell>
          <cell r="L7">
            <v>8</v>
          </cell>
          <cell r="M7">
            <v>8</v>
          </cell>
          <cell r="N7">
            <v>8</v>
          </cell>
          <cell r="O7">
            <v>0</v>
          </cell>
          <cell r="P7" t="str">
            <v>A</v>
          </cell>
          <cell r="Q7" t="str">
            <v>A</v>
          </cell>
          <cell r="R7" t="str">
            <v>L</v>
          </cell>
          <cell r="S7" t="str">
            <v>L</v>
          </cell>
          <cell r="T7" t="str">
            <v>L</v>
          </cell>
          <cell r="U7" t="str">
            <v>L</v>
          </cell>
          <cell r="V7" t="str">
            <v>L</v>
          </cell>
          <cell r="W7" t="str">
            <v>L</v>
          </cell>
          <cell r="X7" t="str">
            <v>L</v>
          </cell>
          <cell r="Y7" t="str">
            <v>L</v>
          </cell>
          <cell r="Z7" t="str">
            <v>L</v>
          </cell>
          <cell r="AA7" t="str">
            <v>L</v>
          </cell>
          <cell r="AB7" t="str">
            <v>L</v>
          </cell>
          <cell r="AC7" t="str">
            <v>L</v>
          </cell>
          <cell r="AD7" t="str">
            <v>L</v>
          </cell>
          <cell r="AE7" t="str">
            <v>L</v>
          </cell>
          <cell r="AF7">
            <v>9</v>
          </cell>
          <cell r="AG7">
            <v>9</v>
          </cell>
          <cell r="AH7">
            <v>9</v>
          </cell>
          <cell r="AI7">
            <v>9</v>
          </cell>
          <cell r="AJ7">
            <v>17</v>
          </cell>
          <cell r="AK7">
            <v>17</v>
          </cell>
          <cell r="AL7">
            <v>9</v>
          </cell>
          <cell r="AM7">
            <v>9</v>
          </cell>
          <cell r="AN7">
            <v>9</v>
          </cell>
          <cell r="AO7" t="str">
            <v>x</v>
          </cell>
          <cell r="AP7">
            <v>14</v>
          </cell>
          <cell r="AQ7">
            <v>14</v>
          </cell>
          <cell r="AR7">
            <v>0</v>
          </cell>
          <cell r="AS7">
            <v>0</v>
          </cell>
          <cell r="AT7">
            <v>2</v>
          </cell>
          <cell r="AU7">
            <v>0</v>
          </cell>
          <cell r="AV7">
            <v>95</v>
          </cell>
          <cell r="AW7">
            <v>34</v>
          </cell>
          <cell r="AX7">
            <v>28</v>
          </cell>
          <cell r="AY7">
            <v>14</v>
          </cell>
          <cell r="AZ7">
            <v>28</v>
          </cell>
        </row>
        <row r="8">
          <cell r="B8">
            <v>5</v>
          </cell>
          <cell r="C8" t="str">
            <v>RL</v>
          </cell>
          <cell r="D8" t="str">
            <v>Yaqoub Khamis Humaid Al Ghafri</v>
          </cell>
          <cell r="E8" t="str">
            <v>Heavy Duty Dvr</v>
          </cell>
          <cell r="G8">
            <v>32656</v>
          </cell>
          <cell r="H8">
            <v>38145</v>
          </cell>
          <cell r="I8" t="str">
            <v>E</v>
          </cell>
          <cell r="J8" t="str">
            <v>Sh:3</v>
          </cell>
          <cell r="K8" t="str">
            <v>A</v>
          </cell>
          <cell r="L8" t="str">
            <v>A</v>
          </cell>
          <cell r="M8" t="str">
            <v>A</v>
          </cell>
          <cell r="N8" t="str">
            <v>A</v>
          </cell>
          <cell r="O8" t="str">
            <v>A</v>
          </cell>
          <cell r="P8" t="str">
            <v>A</v>
          </cell>
          <cell r="Q8" t="str">
            <v>A</v>
          </cell>
          <cell r="R8" t="str">
            <v>A</v>
          </cell>
          <cell r="S8" t="str">
            <v>A</v>
          </cell>
          <cell r="T8" t="str">
            <v>A</v>
          </cell>
          <cell r="U8" t="str">
            <v>A</v>
          </cell>
          <cell r="V8" t="str">
            <v>A</v>
          </cell>
          <cell r="W8" t="str">
            <v>A</v>
          </cell>
          <cell r="X8" t="str">
            <v>A</v>
          </cell>
          <cell r="Y8" t="str">
            <v>A</v>
          </cell>
          <cell r="Z8" t="str">
            <v>A</v>
          </cell>
          <cell r="AA8" t="str">
            <v>A</v>
          </cell>
          <cell r="AB8" t="str">
            <v>A</v>
          </cell>
          <cell r="AC8" t="str">
            <v>A</v>
          </cell>
          <cell r="AD8" t="str">
            <v>A</v>
          </cell>
          <cell r="AE8" t="str">
            <v>A</v>
          </cell>
          <cell r="AF8" t="str">
            <v>A</v>
          </cell>
          <cell r="AG8" t="str">
            <v>A</v>
          </cell>
          <cell r="AH8" t="str">
            <v>A</v>
          </cell>
          <cell r="AI8" t="str">
            <v>A</v>
          </cell>
          <cell r="AJ8" t="str">
            <v>A</v>
          </cell>
          <cell r="AK8" t="str">
            <v>A</v>
          </cell>
          <cell r="AL8" t="str">
            <v>A</v>
          </cell>
          <cell r="AM8" t="str">
            <v>A</v>
          </cell>
          <cell r="AN8" t="str">
            <v>A</v>
          </cell>
          <cell r="AO8" t="str">
            <v>x</v>
          </cell>
          <cell r="AP8">
            <v>0</v>
          </cell>
          <cell r="AQ8">
            <v>0</v>
          </cell>
          <cell r="AR8">
            <v>0</v>
          </cell>
          <cell r="AS8">
            <v>0</v>
          </cell>
          <cell r="AT8">
            <v>30</v>
          </cell>
          <cell r="AU8">
            <v>0</v>
          </cell>
          <cell r="AV8">
            <v>0</v>
          </cell>
          <cell r="AW8">
            <v>0</v>
          </cell>
          <cell r="AX8">
            <v>0</v>
          </cell>
          <cell r="AY8">
            <v>0</v>
          </cell>
          <cell r="AZ8">
            <v>0</v>
          </cell>
        </row>
        <row r="9">
          <cell r="B9">
            <v>9</v>
          </cell>
          <cell r="C9" t="str">
            <v>SH</v>
          </cell>
          <cell r="D9" t="str">
            <v>Abdullah Maftah Taeeb Al Ghafri</v>
          </cell>
          <cell r="E9" t="str">
            <v>Heavy Duty Dvr</v>
          </cell>
          <cell r="G9">
            <v>32656</v>
          </cell>
          <cell r="H9">
            <v>38148</v>
          </cell>
          <cell r="I9" t="str">
            <v>E</v>
          </cell>
          <cell r="J9" t="str">
            <v>Sh:2</v>
          </cell>
          <cell r="K9" t="str">
            <v>L</v>
          </cell>
          <cell r="L9" t="str">
            <v>L</v>
          </cell>
          <cell r="M9" t="str">
            <v>L</v>
          </cell>
          <cell r="N9" t="str">
            <v>L</v>
          </cell>
          <cell r="O9" t="str">
            <v>L</v>
          </cell>
          <cell r="P9" t="str">
            <v>L</v>
          </cell>
          <cell r="Q9" t="str">
            <v>L</v>
          </cell>
          <cell r="R9">
            <v>8</v>
          </cell>
          <cell r="S9">
            <v>8</v>
          </cell>
          <cell r="T9">
            <v>8</v>
          </cell>
          <cell r="U9">
            <v>8</v>
          </cell>
          <cell r="V9">
            <v>8</v>
          </cell>
          <cell r="W9">
            <v>8</v>
          </cell>
          <cell r="X9">
            <v>8</v>
          </cell>
          <cell r="Y9">
            <v>8</v>
          </cell>
          <cell r="Z9" t="str">
            <v>S</v>
          </cell>
          <cell r="AA9" t="str">
            <v>S</v>
          </cell>
          <cell r="AB9">
            <v>9</v>
          </cell>
          <cell r="AC9">
            <v>9</v>
          </cell>
          <cell r="AD9">
            <v>9</v>
          </cell>
          <cell r="AE9">
            <v>9</v>
          </cell>
          <cell r="AF9">
            <v>9</v>
          </cell>
          <cell r="AG9">
            <v>9</v>
          </cell>
          <cell r="AH9">
            <v>9</v>
          </cell>
          <cell r="AI9">
            <v>9</v>
          </cell>
          <cell r="AJ9">
            <v>17</v>
          </cell>
          <cell r="AK9">
            <v>17</v>
          </cell>
          <cell r="AL9">
            <v>9</v>
          </cell>
          <cell r="AM9">
            <v>9</v>
          </cell>
          <cell r="AN9">
            <v>9</v>
          </cell>
          <cell r="AO9" t="str">
            <v>x</v>
          </cell>
          <cell r="AP9">
            <v>21</v>
          </cell>
          <cell r="AQ9">
            <v>7</v>
          </cell>
          <cell r="AR9">
            <v>2</v>
          </cell>
          <cell r="AS9">
            <v>0</v>
          </cell>
          <cell r="AT9">
            <v>0</v>
          </cell>
          <cell r="AU9">
            <v>0</v>
          </cell>
          <cell r="AV9">
            <v>163</v>
          </cell>
          <cell r="AW9">
            <v>34</v>
          </cell>
          <cell r="AX9">
            <v>30</v>
          </cell>
          <cell r="AY9">
            <v>21</v>
          </cell>
          <cell r="AZ9">
            <v>30</v>
          </cell>
          <cell r="CG9">
            <v>102</v>
          </cell>
          <cell r="CH9">
            <v>6</v>
          </cell>
          <cell r="CM9">
            <v>123</v>
          </cell>
          <cell r="CN9" t="str">
            <v>Owed 123 rials Eid bonus, 102 hours 200%, 6 days desert allowance for Eid Al Adhah'2008 from 8th to 13th December'2008.</v>
          </cell>
        </row>
        <row r="10">
          <cell r="B10">
            <v>13</v>
          </cell>
          <cell r="C10" t="str">
            <v>V</v>
          </cell>
          <cell r="D10" t="str">
            <v>Musabah Obaid Sabaan Al Dara'I</v>
          </cell>
          <cell r="E10" t="str">
            <v>Vibe Operator</v>
          </cell>
          <cell r="G10">
            <v>32656</v>
          </cell>
          <cell r="H10">
            <v>38145</v>
          </cell>
          <cell r="I10" t="str">
            <v>E</v>
          </cell>
          <cell r="J10" t="str">
            <v>Sh:3</v>
          </cell>
          <cell r="K10" t="str">
            <v>H</v>
          </cell>
          <cell r="L10" t="str">
            <v>H</v>
          </cell>
          <cell r="M10" t="str">
            <v>H</v>
          </cell>
          <cell r="N10" t="str">
            <v>H</v>
          </cell>
          <cell r="O10" t="str">
            <v>H</v>
          </cell>
          <cell r="P10" t="str">
            <v>H</v>
          </cell>
          <cell r="Q10" t="str">
            <v>H</v>
          </cell>
          <cell r="R10" t="str">
            <v>H</v>
          </cell>
          <cell r="S10" t="str">
            <v>H</v>
          </cell>
          <cell r="T10" t="str">
            <v>H</v>
          </cell>
          <cell r="U10" t="str">
            <v>H</v>
          </cell>
          <cell r="V10" t="str">
            <v>H</v>
          </cell>
          <cell r="W10" t="str">
            <v>H</v>
          </cell>
          <cell r="X10" t="str">
            <v>H</v>
          </cell>
          <cell r="Y10" t="str">
            <v>H</v>
          </cell>
          <cell r="Z10" t="str">
            <v>H</v>
          </cell>
          <cell r="AA10" t="str">
            <v>H</v>
          </cell>
          <cell r="AB10" t="str">
            <v>H</v>
          </cell>
          <cell r="AC10" t="str">
            <v>H</v>
          </cell>
          <cell r="AD10" t="str">
            <v>H</v>
          </cell>
          <cell r="AE10" t="str">
            <v>H</v>
          </cell>
          <cell r="AF10" t="str">
            <v>H</v>
          </cell>
          <cell r="AG10" t="str">
            <v>H</v>
          </cell>
          <cell r="AH10" t="str">
            <v>H</v>
          </cell>
          <cell r="AI10" t="str">
            <v>H</v>
          </cell>
          <cell r="AJ10" t="str">
            <v>H</v>
          </cell>
          <cell r="AK10" t="str">
            <v>H</v>
          </cell>
          <cell r="AL10" t="str">
            <v>H</v>
          </cell>
          <cell r="AM10" t="str">
            <v>H</v>
          </cell>
          <cell r="AN10" t="str">
            <v>H</v>
          </cell>
          <cell r="AO10" t="str">
            <v>x</v>
          </cell>
          <cell r="AP10">
            <v>0</v>
          </cell>
          <cell r="AQ10">
            <v>0</v>
          </cell>
          <cell r="AR10">
            <v>0</v>
          </cell>
          <cell r="AS10">
            <v>0</v>
          </cell>
          <cell r="AT10">
            <v>0</v>
          </cell>
          <cell r="AU10">
            <v>30</v>
          </cell>
          <cell r="AV10">
            <v>0</v>
          </cell>
          <cell r="AW10">
            <v>0</v>
          </cell>
          <cell r="AX10">
            <v>0</v>
          </cell>
          <cell r="AY10">
            <v>0</v>
          </cell>
          <cell r="AZ10">
            <v>0</v>
          </cell>
        </row>
        <row r="11">
          <cell r="B11">
            <v>20</v>
          </cell>
          <cell r="C11" t="str">
            <v>SH</v>
          </cell>
          <cell r="D11" t="str">
            <v>Rashid Sulaiman Abdullah</v>
          </cell>
          <cell r="E11" t="str">
            <v>Asst Mech ' Workshop '</v>
          </cell>
          <cell r="G11">
            <v>32656</v>
          </cell>
          <cell r="H11">
            <v>38145</v>
          </cell>
          <cell r="I11" t="str">
            <v>C</v>
          </cell>
          <cell r="J11" t="str">
            <v>Sh:2</v>
          </cell>
          <cell r="K11" t="str">
            <v>L</v>
          </cell>
          <cell r="L11" t="str">
            <v>L</v>
          </cell>
          <cell r="M11" t="str">
            <v>L</v>
          </cell>
          <cell r="N11" t="str">
            <v>L</v>
          </cell>
          <cell r="O11" t="str">
            <v>L</v>
          </cell>
          <cell r="P11" t="str">
            <v>L</v>
          </cell>
          <cell r="Q11" t="str">
            <v>L</v>
          </cell>
          <cell r="R11">
            <v>2</v>
          </cell>
          <cell r="S11">
            <v>2</v>
          </cell>
          <cell r="T11">
            <v>2</v>
          </cell>
          <cell r="U11">
            <v>2</v>
          </cell>
          <cell r="V11">
            <v>2</v>
          </cell>
          <cell r="W11">
            <v>2</v>
          </cell>
          <cell r="X11">
            <v>2</v>
          </cell>
          <cell r="Y11">
            <v>2</v>
          </cell>
          <cell r="Z11">
            <v>2</v>
          </cell>
          <cell r="AA11">
            <v>2</v>
          </cell>
          <cell r="AB11">
            <v>2</v>
          </cell>
          <cell r="AC11">
            <v>2</v>
          </cell>
          <cell r="AD11">
            <v>2</v>
          </cell>
          <cell r="AE11">
            <v>2</v>
          </cell>
          <cell r="AF11">
            <v>2</v>
          </cell>
          <cell r="AG11">
            <v>2</v>
          </cell>
          <cell r="AH11">
            <v>2</v>
          </cell>
          <cell r="AI11">
            <v>2</v>
          </cell>
          <cell r="AJ11">
            <v>10</v>
          </cell>
          <cell r="AK11">
            <v>10</v>
          </cell>
          <cell r="AL11">
            <v>2</v>
          </cell>
          <cell r="AM11">
            <v>2</v>
          </cell>
          <cell r="AN11">
            <v>2</v>
          </cell>
          <cell r="AO11" t="str">
            <v>x</v>
          </cell>
          <cell r="AP11">
            <v>23</v>
          </cell>
          <cell r="AQ11">
            <v>7</v>
          </cell>
          <cell r="AR11">
            <v>0</v>
          </cell>
          <cell r="AS11">
            <v>0</v>
          </cell>
          <cell r="AT11">
            <v>0</v>
          </cell>
          <cell r="AU11">
            <v>0</v>
          </cell>
          <cell r="AV11">
            <v>42</v>
          </cell>
          <cell r="AW11">
            <v>20</v>
          </cell>
          <cell r="AX11">
            <v>30</v>
          </cell>
          <cell r="AY11">
            <v>23</v>
          </cell>
          <cell r="AZ11">
            <v>30</v>
          </cell>
          <cell r="CF11">
            <v>90</v>
          </cell>
          <cell r="CN11" t="str">
            <v>Owed 90 hours overtime extra overtime from 5th to 7th and 10th to 24th October'2008.</v>
          </cell>
        </row>
        <row r="12">
          <cell r="B12">
            <v>21</v>
          </cell>
          <cell r="C12" t="str">
            <v>SH</v>
          </cell>
          <cell r="D12" t="str">
            <v>Ali Shanin Said Al Yaqoubi</v>
          </cell>
          <cell r="E12" t="str">
            <v>Line Foreman</v>
          </cell>
          <cell r="G12">
            <v>32656</v>
          </cell>
          <cell r="H12">
            <v>38145</v>
          </cell>
          <cell r="I12" t="str">
            <v>C</v>
          </cell>
          <cell r="J12" t="str">
            <v>Sh:2</v>
          </cell>
          <cell r="K12" t="str">
            <v>L</v>
          </cell>
          <cell r="L12" t="str">
            <v>L</v>
          </cell>
          <cell r="M12" t="str">
            <v>L</v>
          </cell>
          <cell r="N12" t="str">
            <v>L</v>
          </cell>
          <cell r="O12" t="str">
            <v>L</v>
          </cell>
          <cell r="P12" t="str">
            <v>L</v>
          </cell>
          <cell r="Q12" t="str">
            <v>L</v>
          </cell>
          <cell r="R12">
            <v>6.5</v>
          </cell>
          <cell r="S12">
            <v>6.5</v>
          </cell>
          <cell r="T12">
            <v>6.5</v>
          </cell>
          <cell r="U12">
            <v>6.5</v>
          </cell>
          <cell r="V12">
            <v>6.5</v>
          </cell>
          <cell r="W12">
            <v>6.5</v>
          </cell>
          <cell r="X12">
            <v>6.5</v>
          </cell>
          <cell r="Y12">
            <v>6.5</v>
          </cell>
          <cell r="Z12">
            <v>2.5</v>
          </cell>
          <cell r="AA12">
            <v>2.5</v>
          </cell>
          <cell r="AB12">
            <v>2.5</v>
          </cell>
          <cell r="AC12">
            <v>2.5</v>
          </cell>
          <cell r="AD12">
            <v>2.5</v>
          </cell>
          <cell r="AE12">
            <v>2.5</v>
          </cell>
          <cell r="AF12">
            <v>2.5</v>
          </cell>
          <cell r="AG12">
            <v>2.5</v>
          </cell>
          <cell r="AH12">
            <v>2.5</v>
          </cell>
          <cell r="AI12">
            <v>2.5</v>
          </cell>
          <cell r="AJ12">
            <v>10.5</v>
          </cell>
          <cell r="AK12">
            <v>10.5</v>
          </cell>
          <cell r="AL12">
            <v>2.5</v>
          </cell>
          <cell r="AM12">
            <v>2.5</v>
          </cell>
          <cell r="AN12">
            <v>5.5</v>
          </cell>
          <cell r="AO12" t="str">
            <v>x</v>
          </cell>
          <cell r="AP12">
            <v>23</v>
          </cell>
          <cell r="AQ12">
            <v>7</v>
          </cell>
          <cell r="AR12">
            <v>0</v>
          </cell>
          <cell r="AS12">
            <v>0</v>
          </cell>
          <cell r="AT12">
            <v>0</v>
          </cell>
          <cell r="AU12">
            <v>0</v>
          </cell>
          <cell r="AV12">
            <v>87.5</v>
          </cell>
          <cell r="AW12">
            <v>21</v>
          </cell>
          <cell r="AX12">
            <v>30</v>
          </cell>
          <cell r="AY12">
            <v>23</v>
          </cell>
          <cell r="AZ12">
            <v>30</v>
          </cell>
          <cell r="CF12">
            <v>34</v>
          </cell>
          <cell r="CG12">
            <v>63</v>
          </cell>
          <cell r="CH12">
            <v>1</v>
          </cell>
          <cell r="CM12">
            <v>123</v>
          </cell>
          <cell r="CN12" t="str">
            <v xml:space="preserve">Deducted 5 days desert allowance, 10 hours overtime take leave on 27th to 31st October'2008. Owed 44 hours overtime extra overtime from 16th to 26th October'2008. Owed 123 rials Eid bonus, 63 hours 200%, 6 days desert allowance for Eid Al Adhah'2008 from </v>
          </cell>
        </row>
        <row r="13">
          <cell r="B13">
            <v>22</v>
          </cell>
          <cell r="C13" t="str">
            <v>R</v>
          </cell>
          <cell r="D13" t="str">
            <v>Said Mubarak Sulaiyam</v>
          </cell>
          <cell r="E13" t="str">
            <v>Labour</v>
          </cell>
          <cell r="G13">
            <v>32656</v>
          </cell>
          <cell r="H13">
            <v>38145</v>
          </cell>
          <cell r="I13" t="str">
            <v>A</v>
          </cell>
          <cell r="J13" t="str">
            <v>Sh:1</v>
          </cell>
          <cell r="K13">
            <v>6</v>
          </cell>
          <cell r="L13">
            <v>6</v>
          </cell>
          <cell r="M13">
            <v>6</v>
          </cell>
          <cell r="N13">
            <v>6</v>
          </cell>
          <cell r="O13">
            <v>6</v>
          </cell>
          <cell r="P13">
            <v>6</v>
          </cell>
          <cell r="Q13">
            <v>6</v>
          </cell>
          <cell r="R13">
            <v>6</v>
          </cell>
          <cell r="S13">
            <v>6</v>
          </cell>
          <cell r="T13">
            <v>6</v>
          </cell>
          <cell r="U13">
            <v>6</v>
          </cell>
          <cell r="V13">
            <v>6</v>
          </cell>
          <cell r="W13">
            <v>6</v>
          </cell>
          <cell r="X13">
            <v>6</v>
          </cell>
          <cell r="Y13">
            <v>6</v>
          </cell>
          <cell r="Z13">
            <v>2</v>
          </cell>
          <cell r="AA13">
            <v>2</v>
          </cell>
          <cell r="AB13">
            <v>2</v>
          </cell>
          <cell r="AC13">
            <v>2</v>
          </cell>
          <cell r="AD13">
            <v>2</v>
          </cell>
          <cell r="AE13">
            <v>2</v>
          </cell>
          <cell r="AF13" t="str">
            <v>L</v>
          </cell>
          <cell r="AG13" t="str">
            <v>L</v>
          </cell>
          <cell r="AH13" t="str">
            <v>L</v>
          </cell>
          <cell r="AI13" t="str">
            <v>L</v>
          </cell>
          <cell r="AJ13" t="str">
            <v>L</v>
          </cell>
          <cell r="AK13" t="str">
            <v>L</v>
          </cell>
          <cell r="AL13" t="str">
            <v>L</v>
          </cell>
          <cell r="AM13" t="str">
            <v>L</v>
          </cell>
          <cell r="AN13" t="str">
            <v>L</v>
          </cell>
          <cell r="AO13" t="str">
            <v>x</v>
          </cell>
          <cell r="AP13">
            <v>21</v>
          </cell>
          <cell r="AQ13">
            <v>9</v>
          </cell>
          <cell r="AR13">
            <v>0</v>
          </cell>
          <cell r="AS13">
            <v>0</v>
          </cell>
          <cell r="AT13">
            <v>0</v>
          </cell>
          <cell r="AU13">
            <v>0</v>
          </cell>
          <cell r="AV13">
            <v>102</v>
          </cell>
          <cell r="AW13">
            <v>0</v>
          </cell>
          <cell r="AX13">
            <v>30</v>
          </cell>
          <cell r="AY13">
            <v>21</v>
          </cell>
          <cell r="AZ13">
            <v>30</v>
          </cell>
          <cell r="CF13">
            <v>6</v>
          </cell>
          <cell r="CG13">
            <v>60</v>
          </cell>
          <cell r="CH13">
            <v>3</v>
          </cell>
          <cell r="CM13">
            <v>123</v>
          </cell>
          <cell r="CN13" t="str">
            <v>Owed 12 hours overtime extra overtime from 29th to 31st October'2008. Owed 123 rials Eid bonus, 60 hours 200%, 6 days desert allowance for Eid Al Adhah'2008 from 8th to 13th December'2008. Deducted 3 days desert allowance, 6 hours overtime was sick from 2</v>
          </cell>
        </row>
        <row r="14">
          <cell r="B14">
            <v>23</v>
          </cell>
          <cell r="C14" t="str">
            <v>SH</v>
          </cell>
          <cell r="D14" t="str">
            <v>Salim Shanin Said Al Yaqoubi</v>
          </cell>
          <cell r="E14" t="str">
            <v>Labour / Chain Crew</v>
          </cell>
          <cell r="G14">
            <v>32656</v>
          </cell>
          <cell r="H14">
            <v>38145</v>
          </cell>
          <cell r="I14" t="str">
            <v>A</v>
          </cell>
          <cell r="J14" t="str">
            <v>Sh:2</v>
          </cell>
          <cell r="K14" t="str">
            <v>L</v>
          </cell>
          <cell r="L14" t="str">
            <v>L</v>
          </cell>
          <cell r="M14" t="str">
            <v>L</v>
          </cell>
          <cell r="N14" t="str">
            <v>L</v>
          </cell>
          <cell r="O14" t="str">
            <v>L</v>
          </cell>
          <cell r="P14" t="str">
            <v>L</v>
          </cell>
          <cell r="Q14" t="str">
            <v>L</v>
          </cell>
          <cell r="R14">
            <v>8</v>
          </cell>
          <cell r="S14">
            <v>8</v>
          </cell>
          <cell r="T14">
            <v>8</v>
          </cell>
          <cell r="U14">
            <v>8</v>
          </cell>
          <cell r="V14">
            <v>8</v>
          </cell>
          <cell r="W14">
            <v>8</v>
          </cell>
          <cell r="X14">
            <v>8</v>
          </cell>
          <cell r="Y14">
            <v>8</v>
          </cell>
          <cell r="Z14">
            <v>2</v>
          </cell>
          <cell r="AA14">
            <v>2</v>
          </cell>
          <cell r="AB14">
            <v>2</v>
          </cell>
          <cell r="AC14">
            <v>2</v>
          </cell>
          <cell r="AD14">
            <v>2</v>
          </cell>
          <cell r="AE14">
            <v>2</v>
          </cell>
          <cell r="AF14">
            <v>2</v>
          </cell>
          <cell r="AG14">
            <v>2</v>
          </cell>
          <cell r="AH14">
            <v>2</v>
          </cell>
          <cell r="AI14">
            <v>2</v>
          </cell>
          <cell r="AJ14">
            <v>10</v>
          </cell>
          <cell r="AK14">
            <v>10</v>
          </cell>
          <cell r="AL14">
            <v>2</v>
          </cell>
          <cell r="AM14">
            <v>2</v>
          </cell>
          <cell r="AN14">
            <v>2</v>
          </cell>
          <cell r="AO14" t="str">
            <v>x</v>
          </cell>
          <cell r="AP14">
            <v>23</v>
          </cell>
          <cell r="AQ14">
            <v>7</v>
          </cell>
          <cell r="AR14">
            <v>0</v>
          </cell>
          <cell r="AS14">
            <v>0</v>
          </cell>
          <cell r="AT14">
            <v>0</v>
          </cell>
          <cell r="AU14">
            <v>0</v>
          </cell>
          <cell r="AV14">
            <v>90</v>
          </cell>
          <cell r="AW14">
            <v>20</v>
          </cell>
          <cell r="AX14">
            <v>30</v>
          </cell>
          <cell r="AY14">
            <v>23</v>
          </cell>
          <cell r="AZ14">
            <v>30</v>
          </cell>
          <cell r="CG14">
            <v>60</v>
          </cell>
          <cell r="CH14">
            <v>6</v>
          </cell>
          <cell r="CM14">
            <v>123</v>
          </cell>
          <cell r="CN14" t="str">
            <v>Owed 123 rials Eid bonus, 72 hours 200%, 6 days desert allowance for Eid Al Adhah'2008 from 8th to 13th December'2008.</v>
          </cell>
        </row>
        <row r="15">
          <cell r="B15">
            <v>28</v>
          </cell>
          <cell r="C15" t="str">
            <v>RL</v>
          </cell>
          <cell r="D15" t="str">
            <v>Khalifa Musallam Salim</v>
          </cell>
          <cell r="E15" t="str">
            <v>Heavy Duty Dvr</v>
          </cell>
          <cell r="G15">
            <v>32656</v>
          </cell>
          <cell r="H15">
            <v>38147</v>
          </cell>
          <cell r="I15" t="str">
            <v>A</v>
          </cell>
          <cell r="J15" t="str">
            <v>Sh:3</v>
          </cell>
          <cell r="K15">
            <v>2.5</v>
          </cell>
          <cell r="L15">
            <v>2.5</v>
          </cell>
          <cell r="M15">
            <v>2.5</v>
          </cell>
          <cell r="N15">
            <v>2.5</v>
          </cell>
          <cell r="O15">
            <v>2.5</v>
          </cell>
          <cell r="P15">
            <v>2.5</v>
          </cell>
          <cell r="Q15">
            <v>2.5</v>
          </cell>
          <cell r="R15" t="str">
            <v>L</v>
          </cell>
          <cell r="S15" t="str">
            <v>L</v>
          </cell>
          <cell r="T15" t="str">
            <v>L</v>
          </cell>
          <cell r="U15" t="str">
            <v>L</v>
          </cell>
          <cell r="V15" t="str">
            <v>L</v>
          </cell>
          <cell r="W15" t="str">
            <v>L</v>
          </cell>
          <cell r="X15" t="str">
            <v>L</v>
          </cell>
          <cell r="Y15" t="str">
            <v>L</v>
          </cell>
          <cell r="Z15" t="str">
            <v>L</v>
          </cell>
          <cell r="AA15" t="str">
            <v>L</v>
          </cell>
          <cell r="AB15" t="str">
            <v>L</v>
          </cell>
          <cell r="AC15" t="str">
            <v>L</v>
          </cell>
          <cell r="AD15" t="str">
            <v>L</v>
          </cell>
          <cell r="AE15" t="str">
            <v>L</v>
          </cell>
          <cell r="AF15">
            <v>2.5</v>
          </cell>
          <cell r="AG15">
            <v>2.5</v>
          </cell>
          <cell r="AH15">
            <v>2.5</v>
          </cell>
          <cell r="AI15">
            <v>2.5</v>
          </cell>
          <cell r="AJ15">
            <v>10.5</v>
          </cell>
          <cell r="AK15">
            <v>10.5</v>
          </cell>
          <cell r="AL15">
            <v>2.5</v>
          </cell>
          <cell r="AM15">
            <v>2.5</v>
          </cell>
          <cell r="AN15">
            <v>2.5</v>
          </cell>
          <cell r="AO15" t="str">
            <v>x</v>
          </cell>
          <cell r="AP15">
            <v>16</v>
          </cell>
          <cell r="AQ15">
            <v>14</v>
          </cell>
          <cell r="AR15">
            <v>0</v>
          </cell>
          <cell r="AS15">
            <v>0</v>
          </cell>
          <cell r="AT15">
            <v>0</v>
          </cell>
          <cell r="AU15">
            <v>0</v>
          </cell>
          <cell r="AV15">
            <v>35</v>
          </cell>
          <cell r="AW15">
            <v>21</v>
          </cell>
          <cell r="AX15">
            <v>30</v>
          </cell>
          <cell r="AY15">
            <v>16</v>
          </cell>
          <cell r="AZ15">
            <v>30</v>
          </cell>
          <cell r="CF15">
            <v>163.5</v>
          </cell>
          <cell r="CG15">
            <v>63</v>
          </cell>
          <cell r="CH15">
            <v>6</v>
          </cell>
          <cell r="CM15">
            <v>123</v>
          </cell>
          <cell r="CN15" t="str">
            <v>Owed 163.5 hours overtime extra overtime from 11th to 31st October'2008. Owed 123 rials Eid bonus, 63 hours 200%, 6 days desert allowance for Eid Al Adhah'2008 from 8th to 13th December'2008.</v>
          </cell>
        </row>
        <row r="16">
          <cell r="B16">
            <v>35</v>
          </cell>
          <cell r="C16" t="str">
            <v>R</v>
          </cell>
          <cell r="D16" t="str">
            <v>Said Mohamed Abdullah</v>
          </cell>
          <cell r="E16" t="str">
            <v xml:space="preserve">Labour </v>
          </cell>
          <cell r="G16">
            <v>32656</v>
          </cell>
          <cell r="H16">
            <v>38136</v>
          </cell>
          <cell r="I16" t="str">
            <v>A</v>
          </cell>
          <cell r="J16" t="str">
            <v>Sh:1</v>
          </cell>
          <cell r="K16">
            <v>6</v>
          </cell>
          <cell r="L16">
            <v>6</v>
          </cell>
          <cell r="M16">
            <v>6</v>
          </cell>
          <cell r="N16">
            <v>6</v>
          </cell>
          <cell r="O16">
            <v>6</v>
          </cell>
          <cell r="P16">
            <v>6</v>
          </cell>
          <cell r="Q16">
            <v>6</v>
          </cell>
          <cell r="R16">
            <v>6</v>
          </cell>
          <cell r="S16">
            <v>6</v>
          </cell>
          <cell r="T16">
            <v>6</v>
          </cell>
          <cell r="U16">
            <v>6</v>
          </cell>
          <cell r="V16">
            <v>6</v>
          </cell>
          <cell r="W16">
            <v>6</v>
          </cell>
          <cell r="X16">
            <v>6</v>
          </cell>
          <cell r="Y16">
            <v>6</v>
          </cell>
          <cell r="Z16">
            <v>2</v>
          </cell>
          <cell r="AA16">
            <v>2</v>
          </cell>
          <cell r="AB16">
            <v>2</v>
          </cell>
          <cell r="AC16">
            <v>2</v>
          </cell>
          <cell r="AD16">
            <v>2</v>
          </cell>
          <cell r="AE16">
            <v>2</v>
          </cell>
          <cell r="AF16" t="str">
            <v>L</v>
          </cell>
          <cell r="AG16" t="str">
            <v>L</v>
          </cell>
          <cell r="AH16" t="str">
            <v>L</v>
          </cell>
          <cell r="AI16" t="str">
            <v>L</v>
          </cell>
          <cell r="AJ16" t="str">
            <v>L</v>
          </cell>
          <cell r="AK16" t="str">
            <v>L</v>
          </cell>
          <cell r="AL16" t="str">
            <v>L</v>
          </cell>
          <cell r="AM16" t="str">
            <v>L</v>
          </cell>
          <cell r="AN16" t="str">
            <v>L</v>
          </cell>
          <cell r="AO16" t="str">
            <v>x</v>
          </cell>
          <cell r="AP16">
            <v>21</v>
          </cell>
          <cell r="AQ16">
            <v>9</v>
          </cell>
          <cell r="AR16">
            <v>0</v>
          </cell>
          <cell r="AS16">
            <v>0</v>
          </cell>
          <cell r="AT16">
            <v>0</v>
          </cell>
          <cell r="AU16">
            <v>0</v>
          </cell>
          <cell r="AV16">
            <v>102</v>
          </cell>
          <cell r="AW16">
            <v>0</v>
          </cell>
          <cell r="AX16">
            <v>30</v>
          </cell>
          <cell r="AY16">
            <v>21</v>
          </cell>
          <cell r="AZ16">
            <v>30</v>
          </cell>
          <cell r="CF16">
            <v>28</v>
          </cell>
          <cell r="CN16" t="str">
            <v>Owed 28 hours overtime extra overtime from 25th to 31st October'2008.</v>
          </cell>
        </row>
        <row r="17">
          <cell r="B17">
            <v>40</v>
          </cell>
          <cell r="C17" t="str">
            <v>S</v>
          </cell>
          <cell r="D17" t="str">
            <v>Rashid Masoud Rashid</v>
          </cell>
          <cell r="E17" t="str">
            <v>Labour / Chain Crew</v>
          </cell>
          <cell r="G17">
            <v>32656</v>
          </cell>
          <cell r="H17">
            <v>38136</v>
          </cell>
          <cell r="I17" t="str">
            <v>A</v>
          </cell>
          <cell r="J17" t="str">
            <v>Sh:1</v>
          </cell>
          <cell r="K17">
            <v>2</v>
          </cell>
          <cell r="L17">
            <v>2</v>
          </cell>
          <cell r="M17">
            <v>2</v>
          </cell>
          <cell r="N17">
            <v>6</v>
          </cell>
          <cell r="O17">
            <v>8</v>
          </cell>
          <cell r="P17">
            <v>8</v>
          </cell>
          <cell r="Q17">
            <v>2</v>
          </cell>
          <cell r="R17">
            <v>8</v>
          </cell>
          <cell r="S17">
            <v>8</v>
          </cell>
          <cell r="T17">
            <v>8</v>
          </cell>
          <cell r="U17">
            <v>8</v>
          </cell>
          <cell r="V17">
            <v>8</v>
          </cell>
          <cell r="W17">
            <v>8</v>
          </cell>
          <cell r="X17">
            <v>2</v>
          </cell>
          <cell r="Y17">
            <v>2</v>
          </cell>
          <cell r="Z17">
            <v>2</v>
          </cell>
          <cell r="AA17">
            <v>2</v>
          </cell>
          <cell r="AB17">
            <v>2</v>
          </cell>
          <cell r="AC17">
            <v>2</v>
          </cell>
          <cell r="AD17">
            <v>2</v>
          </cell>
          <cell r="AE17">
            <v>2</v>
          </cell>
          <cell r="AF17" t="str">
            <v>L</v>
          </cell>
          <cell r="AG17" t="str">
            <v>L</v>
          </cell>
          <cell r="AH17" t="str">
            <v>L</v>
          </cell>
          <cell r="AI17" t="str">
            <v>L</v>
          </cell>
          <cell r="AJ17" t="str">
            <v>L</v>
          </cell>
          <cell r="AK17" t="str">
            <v>L</v>
          </cell>
          <cell r="AL17" t="str">
            <v>L</v>
          </cell>
          <cell r="AM17" t="str">
            <v>L</v>
          </cell>
          <cell r="AN17" t="str">
            <v>L</v>
          </cell>
          <cell r="AO17" t="str">
            <v>x</v>
          </cell>
          <cell r="AP17">
            <v>21</v>
          </cell>
          <cell r="AQ17">
            <v>9</v>
          </cell>
          <cell r="AR17">
            <v>0</v>
          </cell>
          <cell r="AS17">
            <v>0</v>
          </cell>
          <cell r="AT17">
            <v>0</v>
          </cell>
          <cell r="AU17">
            <v>0</v>
          </cell>
          <cell r="AV17">
            <v>94</v>
          </cell>
          <cell r="AW17">
            <v>0</v>
          </cell>
          <cell r="AX17">
            <v>30</v>
          </cell>
          <cell r="AY17">
            <v>21</v>
          </cell>
          <cell r="AZ17">
            <v>30</v>
          </cell>
          <cell r="CG17">
            <v>60</v>
          </cell>
          <cell r="CH17">
            <v>6</v>
          </cell>
          <cell r="CM17">
            <v>123</v>
          </cell>
          <cell r="CN17" t="str">
            <v>Owed 123 rials Eid bonus, 60 hours 200%, 6 days desert allowance for Eid Al Adhah'2008 from 8th to 13th December'2008.</v>
          </cell>
        </row>
        <row r="18">
          <cell r="B18">
            <v>42</v>
          </cell>
          <cell r="C18" t="str">
            <v>AN</v>
          </cell>
          <cell r="D18" t="str">
            <v>Sulaiman Hashil Khamis</v>
          </cell>
          <cell r="E18" t="str">
            <v>Asst Mech ' Vibe '</v>
          </cell>
          <cell r="G18">
            <v>32656</v>
          </cell>
          <cell r="H18">
            <v>38147</v>
          </cell>
          <cell r="I18" t="str">
            <v>C</v>
          </cell>
          <cell r="J18" t="str">
            <v>Sh:2</v>
          </cell>
          <cell r="K18" t="str">
            <v>L</v>
          </cell>
          <cell r="L18" t="str">
            <v>L</v>
          </cell>
          <cell r="M18" t="str">
            <v>L</v>
          </cell>
          <cell r="N18" t="str">
            <v>L</v>
          </cell>
          <cell r="O18" t="str">
            <v>L</v>
          </cell>
          <cell r="P18" t="str">
            <v>L</v>
          </cell>
          <cell r="Q18" t="str">
            <v>L</v>
          </cell>
          <cell r="R18">
            <v>2</v>
          </cell>
          <cell r="S18">
            <v>2</v>
          </cell>
          <cell r="T18">
            <v>2</v>
          </cell>
          <cell r="U18">
            <v>2</v>
          </cell>
          <cell r="V18">
            <v>2</v>
          </cell>
          <cell r="W18">
            <v>2</v>
          </cell>
          <cell r="X18">
            <v>2</v>
          </cell>
          <cell r="Y18">
            <v>2</v>
          </cell>
          <cell r="Z18">
            <v>2</v>
          </cell>
          <cell r="AA18">
            <v>2</v>
          </cell>
          <cell r="AB18">
            <v>2</v>
          </cell>
          <cell r="AC18">
            <v>2</v>
          </cell>
          <cell r="AD18">
            <v>2</v>
          </cell>
          <cell r="AE18">
            <v>2</v>
          </cell>
          <cell r="AF18">
            <v>2</v>
          </cell>
          <cell r="AG18">
            <v>2</v>
          </cell>
          <cell r="AH18">
            <v>2</v>
          </cell>
          <cell r="AI18">
            <v>2</v>
          </cell>
          <cell r="AJ18">
            <v>10</v>
          </cell>
          <cell r="AK18">
            <v>10</v>
          </cell>
          <cell r="AL18">
            <v>2</v>
          </cell>
          <cell r="AM18">
            <v>2</v>
          </cell>
          <cell r="AN18">
            <v>2</v>
          </cell>
          <cell r="AO18" t="str">
            <v>x</v>
          </cell>
          <cell r="AP18">
            <v>23</v>
          </cell>
          <cell r="AQ18">
            <v>7</v>
          </cell>
          <cell r="AR18">
            <v>0</v>
          </cell>
          <cell r="AS18">
            <v>0</v>
          </cell>
          <cell r="AT18">
            <v>0</v>
          </cell>
          <cell r="AU18">
            <v>0</v>
          </cell>
          <cell r="AV18">
            <v>42</v>
          </cell>
          <cell r="AW18">
            <v>20</v>
          </cell>
          <cell r="AX18">
            <v>30</v>
          </cell>
          <cell r="AY18">
            <v>23</v>
          </cell>
          <cell r="AZ18">
            <v>30</v>
          </cell>
          <cell r="CF18">
            <v>152</v>
          </cell>
          <cell r="CN18" t="str">
            <v>Owed 152 hours overtime extra overtime from 5th to 24th October'2008.</v>
          </cell>
        </row>
        <row r="19">
          <cell r="B19">
            <v>45</v>
          </cell>
          <cell r="C19" t="str">
            <v>R</v>
          </cell>
          <cell r="D19" t="str">
            <v>Ali Said Khalfan Al Maamari</v>
          </cell>
          <cell r="E19" t="str">
            <v xml:space="preserve">Labour </v>
          </cell>
          <cell r="G19">
            <v>32656</v>
          </cell>
          <cell r="H19">
            <v>38080</v>
          </cell>
          <cell r="I19" t="str">
            <v>A</v>
          </cell>
          <cell r="J19" t="str">
            <v>Sh:3</v>
          </cell>
          <cell r="K19">
            <v>2</v>
          </cell>
          <cell r="L19">
            <v>2</v>
          </cell>
          <cell r="M19">
            <v>2</v>
          </cell>
          <cell r="N19">
            <v>2</v>
          </cell>
          <cell r="O19">
            <v>2</v>
          </cell>
          <cell r="P19">
            <v>2</v>
          </cell>
          <cell r="Q19">
            <v>2</v>
          </cell>
          <cell r="R19" t="str">
            <v>L</v>
          </cell>
          <cell r="S19" t="str">
            <v>L</v>
          </cell>
          <cell r="T19" t="str">
            <v>L</v>
          </cell>
          <cell r="U19" t="str">
            <v>L</v>
          </cell>
          <cell r="V19" t="str">
            <v>L</v>
          </cell>
          <cell r="W19" t="str">
            <v>L</v>
          </cell>
          <cell r="X19" t="str">
            <v>L</v>
          </cell>
          <cell r="Y19" t="str">
            <v>L</v>
          </cell>
          <cell r="Z19" t="str">
            <v>L</v>
          </cell>
          <cell r="AA19" t="str">
            <v>L</v>
          </cell>
          <cell r="AB19" t="str">
            <v>L</v>
          </cell>
          <cell r="AC19" t="str">
            <v>L</v>
          </cell>
          <cell r="AD19" t="str">
            <v>L</v>
          </cell>
          <cell r="AE19" t="str">
            <v>L</v>
          </cell>
          <cell r="AF19">
            <v>2</v>
          </cell>
          <cell r="AG19">
            <v>2</v>
          </cell>
          <cell r="AH19">
            <v>2</v>
          </cell>
          <cell r="AI19">
            <v>2</v>
          </cell>
          <cell r="AJ19">
            <v>10</v>
          </cell>
          <cell r="AK19">
            <v>10</v>
          </cell>
          <cell r="AL19">
            <v>2</v>
          </cell>
          <cell r="AM19">
            <v>2</v>
          </cell>
          <cell r="AN19">
            <v>2</v>
          </cell>
          <cell r="AO19" t="str">
            <v>x</v>
          </cell>
          <cell r="AP19">
            <v>16</v>
          </cell>
          <cell r="AQ19">
            <v>14</v>
          </cell>
          <cell r="AR19">
            <v>0</v>
          </cell>
          <cell r="AS19">
            <v>0</v>
          </cell>
          <cell r="AT19">
            <v>0</v>
          </cell>
          <cell r="AU19">
            <v>0</v>
          </cell>
          <cell r="AV19">
            <v>28</v>
          </cell>
          <cell r="AW19">
            <v>20</v>
          </cell>
          <cell r="AX19">
            <v>30</v>
          </cell>
          <cell r="AY19">
            <v>16</v>
          </cell>
          <cell r="AZ19">
            <v>30</v>
          </cell>
        </row>
        <row r="20">
          <cell r="B20">
            <v>49</v>
          </cell>
          <cell r="C20" t="str">
            <v>S</v>
          </cell>
          <cell r="D20" t="str">
            <v>Rashid Sulaiyam Rashid Al Hinai</v>
          </cell>
          <cell r="E20" t="str">
            <v>Survey Foreman</v>
          </cell>
          <cell r="G20">
            <v>32656</v>
          </cell>
          <cell r="H20">
            <v>38147</v>
          </cell>
          <cell r="I20" t="str">
            <v>A</v>
          </cell>
          <cell r="J20" t="str">
            <v>Sh:3</v>
          </cell>
          <cell r="K20">
            <v>9.5</v>
          </cell>
          <cell r="L20">
            <v>10.5</v>
          </cell>
          <cell r="M20">
            <v>10.5</v>
          </cell>
          <cell r="N20">
            <v>10.5</v>
          </cell>
          <cell r="O20">
            <v>10.5</v>
          </cell>
          <cell r="P20">
            <v>12.5</v>
          </cell>
          <cell r="Q20">
            <v>2.5</v>
          </cell>
          <cell r="R20" t="str">
            <v>L</v>
          </cell>
          <cell r="S20" t="str">
            <v>L</v>
          </cell>
          <cell r="T20" t="str">
            <v>L</v>
          </cell>
          <cell r="U20" t="str">
            <v>L</v>
          </cell>
          <cell r="V20" t="str">
            <v>L</v>
          </cell>
          <cell r="W20" t="str">
            <v>L</v>
          </cell>
          <cell r="X20" t="str">
            <v>L</v>
          </cell>
          <cell r="Y20" t="str">
            <v>L</v>
          </cell>
          <cell r="Z20" t="str">
            <v>L</v>
          </cell>
          <cell r="AA20" t="str">
            <v>L</v>
          </cell>
          <cell r="AB20" t="str">
            <v>L</v>
          </cell>
          <cell r="AC20" t="str">
            <v>L</v>
          </cell>
          <cell r="AD20" t="str">
            <v>L</v>
          </cell>
          <cell r="AE20" t="str">
            <v>L</v>
          </cell>
          <cell r="AF20">
            <v>2.5</v>
          </cell>
          <cell r="AG20">
            <v>2.5</v>
          </cell>
          <cell r="AH20">
            <v>2.5</v>
          </cell>
          <cell r="AI20">
            <v>2.5</v>
          </cell>
          <cell r="AJ20">
            <v>10.5</v>
          </cell>
          <cell r="AK20">
            <v>10.5</v>
          </cell>
          <cell r="AL20">
            <v>2.5</v>
          </cell>
          <cell r="AM20">
            <v>2.5</v>
          </cell>
          <cell r="AN20">
            <v>2.5</v>
          </cell>
          <cell r="AO20" t="str">
            <v>x</v>
          </cell>
          <cell r="AP20">
            <v>16</v>
          </cell>
          <cell r="AQ20">
            <v>14</v>
          </cell>
          <cell r="AR20">
            <v>0</v>
          </cell>
          <cell r="AS20">
            <v>0</v>
          </cell>
          <cell r="AT20">
            <v>0</v>
          </cell>
          <cell r="AU20">
            <v>0</v>
          </cell>
          <cell r="AV20">
            <v>84</v>
          </cell>
          <cell r="AW20">
            <v>21</v>
          </cell>
          <cell r="AX20">
            <v>30</v>
          </cell>
          <cell r="AY20">
            <v>16</v>
          </cell>
          <cell r="AZ20">
            <v>30</v>
          </cell>
          <cell r="CF20">
            <v>147.5</v>
          </cell>
          <cell r="CG20">
            <v>63</v>
          </cell>
          <cell r="CH20">
            <v>6</v>
          </cell>
          <cell r="CM20">
            <v>123</v>
          </cell>
          <cell r="CN20" t="str">
            <v>Owed 147.5 hours overtime extra overtime from 11th to 31st October'2008. Owed 123 rials Eid bonus, 63 hours 200%, 6 days desert allowance for Eid Al Adhah'2008 from 8th to 13th December'2008.</v>
          </cell>
        </row>
        <row r="21">
          <cell r="B21">
            <v>52</v>
          </cell>
          <cell r="C21" t="str">
            <v>SF</v>
          </cell>
          <cell r="D21" t="str">
            <v>Said Rashid Khamis</v>
          </cell>
          <cell r="E21" t="str">
            <v>Survey Foreman</v>
          </cell>
          <cell r="G21">
            <v>32656</v>
          </cell>
          <cell r="H21">
            <v>38145</v>
          </cell>
          <cell r="I21" t="str">
            <v>C</v>
          </cell>
          <cell r="J21" t="str">
            <v>Sh:1</v>
          </cell>
          <cell r="K21">
            <v>7.5</v>
          </cell>
          <cell r="L21">
            <v>7.5</v>
          </cell>
          <cell r="M21">
            <v>6.5</v>
          </cell>
          <cell r="N21">
            <v>10.5</v>
          </cell>
          <cell r="O21">
            <v>8.5</v>
          </cell>
          <cell r="P21">
            <v>8.5</v>
          </cell>
          <cell r="Q21">
            <v>12.5</v>
          </cell>
          <cell r="R21">
            <v>8.5</v>
          </cell>
          <cell r="S21">
            <v>2.5</v>
          </cell>
          <cell r="T21">
            <v>8.5</v>
          </cell>
          <cell r="U21">
            <v>8.5</v>
          </cell>
          <cell r="V21">
            <v>8.5</v>
          </cell>
          <cell r="W21">
            <v>8.5</v>
          </cell>
          <cell r="X21">
            <v>7.5</v>
          </cell>
          <cell r="Y21">
            <v>7.5</v>
          </cell>
          <cell r="Z21">
            <v>2.5</v>
          </cell>
          <cell r="AA21">
            <v>2.5</v>
          </cell>
          <cell r="AB21">
            <v>2.5</v>
          </cell>
          <cell r="AC21">
            <v>2.5</v>
          </cell>
          <cell r="AD21">
            <v>2.5</v>
          </cell>
          <cell r="AE21">
            <v>2.5</v>
          </cell>
          <cell r="AF21" t="str">
            <v>L</v>
          </cell>
          <cell r="AG21" t="str">
            <v>L</v>
          </cell>
          <cell r="AH21" t="str">
            <v>L</v>
          </cell>
          <cell r="AI21" t="str">
            <v>L</v>
          </cell>
          <cell r="AJ21" t="str">
            <v>L</v>
          </cell>
          <cell r="AK21" t="str">
            <v>L</v>
          </cell>
          <cell r="AL21" t="str">
            <v>L</v>
          </cell>
          <cell r="AM21" t="str">
            <v>L</v>
          </cell>
          <cell r="AN21" t="str">
            <v>L</v>
          </cell>
          <cell r="AO21" t="str">
            <v>x</v>
          </cell>
          <cell r="AP21">
            <v>21</v>
          </cell>
          <cell r="AQ21">
            <v>9</v>
          </cell>
          <cell r="AR21">
            <v>0</v>
          </cell>
          <cell r="AS21">
            <v>0</v>
          </cell>
          <cell r="AT21">
            <v>0</v>
          </cell>
          <cell r="AU21">
            <v>0</v>
          </cell>
          <cell r="AV21">
            <v>136.5</v>
          </cell>
          <cell r="AW21">
            <v>0</v>
          </cell>
          <cell r="AX21">
            <v>30</v>
          </cell>
          <cell r="AY21">
            <v>21</v>
          </cell>
          <cell r="AZ21">
            <v>30</v>
          </cell>
          <cell r="CG21">
            <v>63</v>
          </cell>
          <cell r="CH21">
            <v>6</v>
          </cell>
          <cell r="CM21">
            <v>123</v>
          </cell>
          <cell r="CN21" t="str">
            <v>Owed 123 rials Eid bonus, 63 hours 200%, 6 days desert allowance for Eid Al Adhah'2008 from 8th to 13th December'2008.</v>
          </cell>
        </row>
        <row r="22">
          <cell r="B22">
            <v>53</v>
          </cell>
          <cell r="C22" t="str">
            <v>SH</v>
          </cell>
          <cell r="D22" t="str">
            <v>Suleiman Salim Saram</v>
          </cell>
          <cell r="E22" t="str">
            <v>Vibe Operator</v>
          </cell>
          <cell r="G22">
            <v>32656</v>
          </cell>
          <cell r="H22">
            <v>38145</v>
          </cell>
          <cell r="I22" t="str">
            <v>E</v>
          </cell>
          <cell r="J22" t="str">
            <v>Sh:2</v>
          </cell>
          <cell r="K22" t="str">
            <v>H</v>
          </cell>
          <cell r="L22" t="str">
            <v>H</v>
          </cell>
          <cell r="M22" t="str">
            <v>H</v>
          </cell>
          <cell r="N22" t="str">
            <v>H</v>
          </cell>
          <cell r="O22" t="str">
            <v>H</v>
          </cell>
          <cell r="P22" t="str">
            <v>H</v>
          </cell>
          <cell r="Q22" t="str">
            <v>H</v>
          </cell>
          <cell r="R22" t="str">
            <v>H</v>
          </cell>
          <cell r="S22" t="str">
            <v>H</v>
          </cell>
          <cell r="T22" t="str">
            <v>H</v>
          </cell>
          <cell r="U22" t="str">
            <v>H</v>
          </cell>
          <cell r="V22" t="str">
            <v>H</v>
          </cell>
          <cell r="W22" t="str">
            <v>H</v>
          </cell>
          <cell r="X22" t="str">
            <v>H</v>
          </cell>
          <cell r="Y22" t="str">
            <v>H</v>
          </cell>
          <cell r="Z22" t="str">
            <v>H</v>
          </cell>
          <cell r="AA22" t="str">
            <v>H</v>
          </cell>
          <cell r="AB22" t="str">
            <v>H</v>
          </cell>
          <cell r="AC22" t="str">
            <v>H</v>
          </cell>
          <cell r="AD22" t="str">
            <v>H</v>
          </cell>
          <cell r="AE22" t="str">
            <v>H</v>
          </cell>
          <cell r="AF22" t="str">
            <v>H</v>
          </cell>
          <cell r="AG22" t="str">
            <v>H</v>
          </cell>
          <cell r="AH22" t="str">
            <v>H</v>
          </cell>
          <cell r="AI22" t="str">
            <v>H</v>
          </cell>
          <cell r="AJ22" t="str">
            <v>H</v>
          </cell>
          <cell r="AK22" t="str">
            <v>H</v>
          </cell>
          <cell r="AL22" t="str">
            <v>H</v>
          </cell>
          <cell r="AM22" t="str">
            <v>H</v>
          </cell>
          <cell r="AN22" t="str">
            <v>H</v>
          </cell>
          <cell r="AO22" t="str">
            <v>x</v>
          </cell>
          <cell r="AP22">
            <v>0</v>
          </cell>
          <cell r="AQ22">
            <v>0</v>
          </cell>
          <cell r="AR22">
            <v>0</v>
          </cell>
          <cell r="AS22">
            <v>0</v>
          </cell>
          <cell r="AT22">
            <v>0</v>
          </cell>
          <cell r="AU22">
            <v>30</v>
          </cell>
          <cell r="AV22">
            <v>0</v>
          </cell>
          <cell r="AW22">
            <v>0</v>
          </cell>
          <cell r="AX22">
            <v>0</v>
          </cell>
          <cell r="AY22">
            <v>0</v>
          </cell>
          <cell r="AZ22">
            <v>0</v>
          </cell>
        </row>
        <row r="23">
          <cell r="B23">
            <v>61</v>
          </cell>
          <cell r="C23" t="str">
            <v>AN</v>
          </cell>
          <cell r="D23" t="str">
            <v>Saif Amur Manaa Al Ghafri</v>
          </cell>
          <cell r="E23" t="str">
            <v>Heavy Duty Dvr / W</v>
          </cell>
          <cell r="G23">
            <v>32669</v>
          </cell>
          <cell r="H23">
            <v>38136</v>
          </cell>
          <cell r="I23" t="str">
            <v>E</v>
          </cell>
          <cell r="J23" t="str">
            <v>Sh:1</v>
          </cell>
          <cell r="K23">
            <v>4</v>
          </cell>
          <cell r="L23">
            <v>4</v>
          </cell>
          <cell r="M23">
            <v>4</v>
          </cell>
          <cell r="N23">
            <v>4</v>
          </cell>
          <cell r="O23">
            <v>4</v>
          </cell>
          <cell r="P23">
            <v>4</v>
          </cell>
          <cell r="Q23">
            <v>4</v>
          </cell>
          <cell r="R23">
            <v>4</v>
          </cell>
          <cell r="S23">
            <v>4</v>
          </cell>
          <cell r="T23">
            <v>4</v>
          </cell>
          <cell r="U23">
            <v>4</v>
          </cell>
          <cell r="V23">
            <v>4</v>
          </cell>
          <cell r="W23">
            <v>4</v>
          </cell>
          <cell r="X23">
            <v>4</v>
          </cell>
          <cell r="Y23">
            <v>4</v>
          </cell>
          <cell r="Z23">
            <v>4</v>
          </cell>
          <cell r="AA23">
            <v>4</v>
          </cell>
          <cell r="AB23">
            <v>4</v>
          </cell>
          <cell r="AC23">
            <v>4</v>
          </cell>
          <cell r="AD23">
            <v>4</v>
          </cell>
          <cell r="AE23">
            <v>4</v>
          </cell>
          <cell r="AF23" t="str">
            <v>L</v>
          </cell>
          <cell r="AG23" t="str">
            <v>L</v>
          </cell>
          <cell r="AH23" t="str">
            <v>L</v>
          </cell>
          <cell r="AI23" t="str">
            <v>L</v>
          </cell>
          <cell r="AJ23" t="str">
            <v>L</v>
          </cell>
          <cell r="AK23" t="str">
            <v>L</v>
          </cell>
          <cell r="AL23" t="str">
            <v>L</v>
          </cell>
          <cell r="AM23" t="str">
            <v>L</v>
          </cell>
          <cell r="AN23" t="str">
            <v>L</v>
          </cell>
          <cell r="AO23" t="str">
            <v>x</v>
          </cell>
          <cell r="AP23">
            <v>21</v>
          </cell>
          <cell r="AQ23">
            <v>9</v>
          </cell>
          <cell r="AR23">
            <v>0</v>
          </cell>
          <cell r="AS23">
            <v>0</v>
          </cell>
          <cell r="AT23">
            <v>0</v>
          </cell>
          <cell r="AU23">
            <v>0</v>
          </cell>
          <cell r="AV23">
            <v>84</v>
          </cell>
          <cell r="AW23">
            <v>0</v>
          </cell>
          <cell r="AX23">
            <v>30</v>
          </cell>
          <cell r="AY23">
            <v>21</v>
          </cell>
          <cell r="AZ23">
            <v>30</v>
          </cell>
        </row>
        <row r="24">
          <cell r="B24">
            <v>63</v>
          </cell>
          <cell r="C24" t="str">
            <v>RL</v>
          </cell>
          <cell r="D24" t="str">
            <v>Abdullah Bakhit Harib Al Ghafri</v>
          </cell>
          <cell r="E24" t="str">
            <v>Heavy Duty Dvr</v>
          </cell>
          <cell r="G24">
            <v>32669</v>
          </cell>
          <cell r="H24">
            <v>38136</v>
          </cell>
          <cell r="I24" t="str">
            <v>E</v>
          </cell>
          <cell r="J24" t="str">
            <v>Sh:1</v>
          </cell>
          <cell r="K24">
            <v>6.5</v>
          </cell>
          <cell r="L24">
            <v>6.5</v>
          </cell>
          <cell r="M24">
            <v>6.5</v>
          </cell>
          <cell r="N24">
            <v>6.5</v>
          </cell>
          <cell r="O24">
            <v>6.5</v>
          </cell>
          <cell r="P24">
            <v>6.5</v>
          </cell>
          <cell r="Q24">
            <v>6.5</v>
          </cell>
          <cell r="R24">
            <v>6.5</v>
          </cell>
          <cell r="S24">
            <v>6.5</v>
          </cell>
          <cell r="T24">
            <v>6.5</v>
          </cell>
          <cell r="U24">
            <v>6.5</v>
          </cell>
          <cell r="V24">
            <v>6.5</v>
          </cell>
          <cell r="W24">
            <v>6.5</v>
          </cell>
          <cell r="X24">
            <v>6.5</v>
          </cell>
          <cell r="Y24">
            <v>6.5</v>
          </cell>
          <cell r="Z24">
            <v>2.5</v>
          </cell>
          <cell r="AA24" t="str">
            <v>S</v>
          </cell>
          <cell r="AB24">
            <v>2.5</v>
          </cell>
          <cell r="AC24">
            <v>2.5</v>
          </cell>
          <cell r="AD24">
            <v>2.5</v>
          </cell>
          <cell r="AE24">
            <v>2.5</v>
          </cell>
          <cell r="AF24" t="str">
            <v>L</v>
          </cell>
          <cell r="AG24" t="str">
            <v>L</v>
          </cell>
          <cell r="AH24" t="str">
            <v>L</v>
          </cell>
          <cell r="AI24" t="str">
            <v>L</v>
          </cell>
          <cell r="AJ24" t="str">
            <v>L</v>
          </cell>
          <cell r="AK24" t="str">
            <v>L</v>
          </cell>
          <cell r="AL24" t="str">
            <v>L</v>
          </cell>
          <cell r="AM24" t="str">
            <v>L</v>
          </cell>
          <cell r="AN24" t="str">
            <v>L</v>
          </cell>
          <cell r="AO24" t="str">
            <v>x</v>
          </cell>
          <cell r="AP24">
            <v>20</v>
          </cell>
          <cell r="AQ24">
            <v>9</v>
          </cell>
          <cell r="AR24">
            <v>1</v>
          </cell>
          <cell r="AS24">
            <v>0</v>
          </cell>
          <cell r="AT24">
            <v>0</v>
          </cell>
          <cell r="AU24">
            <v>0</v>
          </cell>
          <cell r="AV24">
            <v>110</v>
          </cell>
          <cell r="AW24">
            <v>0</v>
          </cell>
          <cell r="AX24">
            <v>30</v>
          </cell>
          <cell r="AY24">
            <v>20</v>
          </cell>
          <cell r="AZ24">
            <v>30</v>
          </cell>
          <cell r="CF24">
            <v>20</v>
          </cell>
          <cell r="CN24" t="str">
            <v>Owed 20 hours overtime extra overtime from 27th to 31st October'2008.</v>
          </cell>
        </row>
        <row r="25">
          <cell r="B25">
            <v>64</v>
          </cell>
          <cell r="C25" t="str">
            <v>SH</v>
          </cell>
          <cell r="D25" t="str">
            <v>Hamad Khalaf Mohsin</v>
          </cell>
          <cell r="E25" t="str">
            <v>Vibe Operator</v>
          </cell>
          <cell r="G25">
            <v>32669</v>
          </cell>
          <cell r="H25">
            <v>38147</v>
          </cell>
          <cell r="I25" t="str">
            <v>E</v>
          </cell>
          <cell r="J25" t="str">
            <v>Sh:2</v>
          </cell>
          <cell r="K25" t="str">
            <v>H</v>
          </cell>
          <cell r="L25" t="str">
            <v>H</v>
          </cell>
          <cell r="M25" t="str">
            <v>H</v>
          </cell>
          <cell r="N25" t="str">
            <v>H</v>
          </cell>
          <cell r="O25" t="str">
            <v>H</v>
          </cell>
          <cell r="P25" t="str">
            <v>H</v>
          </cell>
          <cell r="Q25" t="str">
            <v>H</v>
          </cell>
          <cell r="R25">
            <v>8</v>
          </cell>
          <cell r="S25">
            <v>8</v>
          </cell>
          <cell r="T25">
            <v>8</v>
          </cell>
          <cell r="U25">
            <v>8</v>
          </cell>
          <cell r="V25">
            <v>8</v>
          </cell>
          <cell r="W25">
            <v>8</v>
          </cell>
          <cell r="X25">
            <v>9</v>
          </cell>
          <cell r="Y25">
            <v>9</v>
          </cell>
          <cell r="Z25">
            <v>9</v>
          </cell>
          <cell r="AA25">
            <v>9</v>
          </cell>
          <cell r="AB25">
            <v>9</v>
          </cell>
          <cell r="AC25">
            <v>9</v>
          </cell>
          <cell r="AD25">
            <v>9</v>
          </cell>
          <cell r="AE25">
            <v>9</v>
          </cell>
          <cell r="AF25">
            <v>9</v>
          </cell>
          <cell r="AG25">
            <v>9</v>
          </cell>
          <cell r="AH25">
            <v>9</v>
          </cell>
          <cell r="AI25">
            <v>9</v>
          </cell>
          <cell r="AJ25">
            <v>17</v>
          </cell>
          <cell r="AK25">
            <v>17</v>
          </cell>
          <cell r="AL25">
            <v>9</v>
          </cell>
          <cell r="AM25">
            <v>9</v>
          </cell>
          <cell r="AN25">
            <v>9</v>
          </cell>
          <cell r="AO25" t="str">
            <v>x</v>
          </cell>
          <cell r="AP25">
            <v>23</v>
          </cell>
          <cell r="AQ25">
            <v>0</v>
          </cell>
          <cell r="AR25">
            <v>0</v>
          </cell>
          <cell r="AS25">
            <v>0</v>
          </cell>
          <cell r="AT25">
            <v>0</v>
          </cell>
          <cell r="AU25">
            <v>7</v>
          </cell>
          <cell r="AV25">
            <v>183</v>
          </cell>
          <cell r="AW25">
            <v>34</v>
          </cell>
          <cell r="AX25">
            <v>23</v>
          </cell>
          <cell r="AY25">
            <v>23</v>
          </cell>
          <cell r="AZ25">
            <v>23</v>
          </cell>
          <cell r="CG25">
            <v>102</v>
          </cell>
          <cell r="CH25">
            <v>6</v>
          </cell>
          <cell r="CM25">
            <v>123</v>
          </cell>
          <cell r="CN25" t="str">
            <v>Owed 123 rials Eid bonus, 102 hours 200%, 6 days desert allowance for Eid Al Adhah'2008 from 8th to 13th December'2008.</v>
          </cell>
        </row>
        <row r="26">
          <cell r="B26">
            <v>77</v>
          </cell>
          <cell r="C26" t="str">
            <v>RL</v>
          </cell>
          <cell r="D26" t="str">
            <v>Shouyan Obaid Hussain Al Dara'i</v>
          </cell>
          <cell r="E26" t="str">
            <v>Vibe Operator</v>
          </cell>
          <cell r="G26">
            <v>32669</v>
          </cell>
          <cell r="H26">
            <v>38136</v>
          </cell>
          <cell r="I26" t="str">
            <v>E</v>
          </cell>
          <cell r="J26" t="str">
            <v>Sh:1</v>
          </cell>
          <cell r="K26">
            <v>8</v>
          </cell>
          <cell r="L26">
            <v>8</v>
          </cell>
          <cell r="M26">
            <v>8</v>
          </cell>
          <cell r="N26">
            <v>8</v>
          </cell>
          <cell r="O26">
            <v>8</v>
          </cell>
          <cell r="P26">
            <v>8</v>
          </cell>
          <cell r="Q26">
            <v>8</v>
          </cell>
          <cell r="R26">
            <v>8</v>
          </cell>
          <cell r="S26">
            <v>8</v>
          </cell>
          <cell r="T26">
            <v>8</v>
          </cell>
          <cell r="U26">
            <v>8</v>
          </cell>
          <cell r="V26">
            <v>8</v>
          </cell>
          <cell r="W26">
            <v>8</v>
          </cell>
          <cell r="X26">
            <v>9</v>
          </cell>
          <cell r="Y26">
            <v>9</v>
          </cell>
          <cell r="Z26">
            <v>9</v>
          </cell>
          <cell r="AA26">
            <v>9</v>
          </cell>
          <cell r="AB26">
            <v>9</v>
          </cell>
          <cell r="AC26">
            <v>9</v>
          </cell>
          <cell r="AD26">
            <v>9</v>
          </cell>
          <cell r="AE26">
            <v>9</v>
          </cell>
          <cell r="AF26" t="str">
            <v>L</v>
          </cell>
          <cell r="AG26" t="str">
            <v>L</v>
          </cell>
          <cell r="AH26" t="str">
            <v>L</v>
          </cell>
          <cell r="AI26" t="str">
            <v>L</v>
          </cell>
          <cell r="AJ26" t="str">
            <v>L</v>
          </cell>
          <cell r="AK26" t="str">
            <v>L</v>
          </cell>
          <cell r="AL26" t="str">
            <v>L</v>
          </cell>
          <cell r="AM26" t="str">
            <v>L</v>
          </cell>
          <cell r="AN26" t="str">
            <v>L</v>
          </cell>
          <cell r="AO26" t="str">
            <v>x</v>
          </cell>
          <cell r="AP26">
            <v>21</v>
          </cell>
          <cell r="AQ26">
            <v>9</v>
          </cell>
          <cell r="AR26">
            <v>0</v>
          </cell>
          <cell r="AS26">
            <v>0</v>
          </cell>
          <cell r="AT26">
            <v>0</v>
          </cell>
          <cell r="AU26">
            <v>0</v>
          </cell>
          <cell r="AV26">
            <v>176</v>
          </cell>
          <cell r="AW26">
            <v>0</v>
          </cell>
          <cell r="AX26">
            <v>30</v>
          </cell>
          <cell r="AY26">
            <v>21</v>
          </cell>
          <cell r="AZ26">
            <v>30</v>
          </cell>
          <cell r="CG26">
            <v>102</v>
          </cell>
          <cell r="CH26">
            <v>6</v>
          </cell>
          <cell r="CM26">
            <v>123</v>
          </cell>
          <cell r="CN26" t="str">
            <v xml:space="preserve">Owed 123 rials Eid bonus, 102 hours 200%, 6 days desert allowance for Eid Al Adhah'2008. </v>
          </cell>
        </row>
        <row r="27">
          <cell r="B27">
            <v>79</v>
          </cell>
          <cell r="C27" t="str">
            <v>SH</v>
          </cell>
          <cell r="D27" t="str">
            <v>Saif Sulaiyman Saif</v>
          </cell>
          <cell r="E27" t="str">
            <v>Group Foreman</v>
          </cell>
          <cell r="G27">
            <v>32669</v>
          </cell>
          <cell r="H27">
            <v>38145</v>
          </cell>
          <cell r="I27" t="str">
            <v>C</v>
          </cell>
          <cell r="J27" t="str">
            <v>Sh:2</v>
          </cell>
          <cell r="K27" t="str">
            <v>L</v>
          </cell>
          <cell r="L27" t="str">
            <v>L</v>
          </cell>
          <cell r="M27" t="str">
            <v>L</v>
          </cell>
          <cell r="N27" t="str">
            <v>L</v>
          </cell>
          <cell r="O27" t="str">
            <v>L</v>
          </cell>
          <cell r="P27" t="str">
            <v>L</v>
          </cell>
          <cell r="Q27" t="str">
            <v>L</v>
          </cell>
          <cell r="R27">
            <v>6.5</v>
          </cell>
          <cell r="S27">
            <v>7.5</v>
          </cell>
          <cell r="T27">
            <v>7.5</v>
          </cell>
          <cell r="U27">
            <v>7.5</v>
          </cell>
          <cell r="V27">
            <v>7.5</v>
          </cell>
          <cell r="W27">
            <v>7.5</v>
          </cell>
          <cell r="X27">
            <v>7.5</v>
          </cell>
          <cell r="Y27">
            <v>7.5</v>
          </cell>
          <cell r="Z27">
            <v>2.5</v>
          </cell>
          <cell r="AA27">
            <v>2.5</v>
          </cell>
          <cell r="AB27">
            <v>2.5</v>
          </cell>
          <cell r="AC27" t="str">
            <v>C</v>
          </cell>
          <cell r="AD27" t="str">
            <v>C</v>
          </cell>
          <cell r="AE27">
            <v>2.5</v>
          </cell>
          <cell r="AF27">
            <v>2.5</v>
          </cell>
          <cell r="AG27">
            <v>2.5</v>
          </cell>
          <cell r="AH27">
            <v>2.5</v>
          </cell>
          <cell r="AI27">
            <v>2.5</v>
          </cell>
          <cell r="AJ27">
            <v>10.5</v>
          </cell>
          <cell r="AK27">
            <v>10.5</v>
          </cell>
          <cell r="AL27">
            <v>2.5</v>
          </cell>
          <cell r="AM27">
            <v>2.5</v>
          </cell>
          <cell r="AN27">
            <v>2.5</v>
          </cell>
          <cell r="AO27" t="str">
            <v>x</v>
          </cell>
          <cell r="AP27">
            <v>21</v>
          </cell>
          <cell r="AQ27">
            <v>9</v>
          </cell>
          <cell r="AR27">
            <v>0</v>
          </cell>
          <cell r="AS27">
            <v>0</v>
          </cell>
          <cell r="AT27">
            <v>0</v>
          </cell>
          <cell r="AU27">
            <v>0</v>
          </cell>
          <cell r="AV27">
            <v>86.5</v>
          </cell>
          <cell r="AW27">
            <v>21</v>
          </cell>
          <cell r="AX27">
            <v>30</v>
          </cell>
          <cell r="AY27">
            <v>21</v>
          </cell>
          <cell r="AZ27">
            <v>30</v>
          </cell>
          <cell r="CF27">
            <v>16.5</v>
          </cell>
          <cell r="CH27">
            <v>-3</v>
          </cell>
          <cell r="CN27" t="str">
            <v>Deducted 3 days desert allowance, 7.5 hours overtime take leave on 22nd to 24th October'2008. Owed 24 hours overtime extra overtime from 16th to 21st October'2008.</v>
          </cell>
        </row>
        <row r="28">
          <cell r="B28">
            <v>82</v>
          </cell>
          <cell r="C28" t="str">
            <v>SC</v>
          </cell>
          <cell r="D28" t="str">
            <v>Khalifa Salim Mohamed</v>
          </cell>
          <cell r="E28" t="str">
            <v>Labour / Cable</v>
          </cell>
          <cell r="G28">
            <v>32669</v>
          </cell>
          <cell r="H28">
            <v>38132</v>
          </cell>
          <cell r="I28" t="str">
            <v>A</v>
          </cell>
          <cell r="J28" t="str">
            <v>Sh:2</v>
          </cell>
          <cell r="K28" t="str">
            <v>L</v>
          </cell>
          <cell r="L28" t="str">
            <v>L</v>
          </cell>
          <cell r="M28" t="str">
            <v>L</v>
          </cell>
          <cell r="N28" t="str">
            <v>L</v>
          </cell>
          <cell r="O28" t="str">
            <v>L</v>
          </cell>
          <cell r="P28" t="str">
            <v>L</v>
          </cell>
          <cell r="Q28" t="str">
            <v>L</v>
          </cell>
          <cell r="R28">
            <v>7.5</v>
          </cell>
          <cell r="S28">
            <v>8.5</v>
          </cell>
          <cell r="T28">
            <v>8.5</v>
          </cell>
          <cell r="U28">
            <v>8.5</v>
          </cell>
          <cell r="V28">
            <v>8.5</v>
          </cell>
          <cell r="W28">
            <v>8.5</v>
          </cell>
          <cell r="X28">
            <v>8.5</v>
          </cell>
          <cell r="Y28">
            <v>8.5</v>
          </cell>
          <cell r="Z28">
            <v>4</v>
          </cell>
          <cell r="AA28">
            <v>4</v>
          </cell>
          <cell r="AB28">
            <v>4</v>
          </cell>
          <cell r="AC28">
            <v>4</v>
          </cell>
          <cell r="AD28">
            <v>4</v>
          </cell>
          <cell r="AE28">
            <v>4</v>
          </cell>
          <cell r="AF28">
            <v>4</v>
          </cell>
          <cell r="AG28">
            <v>4</v>
          </cell>
          <cell r="AH28">
            <v>4</v>
          </cell>
          <cell r="AI28">
            <v>4</v>
          </cell>
          <cell r="AJ28">
            <v>12</v>
          </cell>
          <cell r="AK28">
            <v>12</v>
          </cell>
          <cell r="AL28">
            <v>4</v>
          </cell>
          <cell r="AM28">
            <v>4</v>
          </cell>
          <cell r="AN28">
            <v>4</v>
          </cell>
          <cell r="AO28" t="str">
            <v>x</v>
          </cell>
          <cell r="AP28">
            <v>23</v>
          </cell>
          <cell r="AQ28">
            <v>7</v>
          </cell>
          <cell r="AR28">
            <v>0</v>
          </cell>
          <cell r="AS28">
            <v>0</v>
          </cell>
          <cell r="AT28">
            <v>0</v>
          </cell>
          <cell r="AU28">
            <v>0</v>
          </cell>
          <cell r="AV28">
            <v>119</v>
          </cell>
          <cell r="AW28">
            <v>24</v>
          </cell>
          <cell r="AX28">
            <v>30</v>
          </cell>
          <cell r="AY28">
            <v>23</v>
          </cell>
          <cell r="AZ28">
            <v>30</v>
          </cell>
          <cell r="CF28">
            <v>55</v>
          </cell>
          <cell r="CG28">
            <v>72</v>
          </cell>
          <cell r="CH28">
            <v>7</v>
          </cell>
          <cell r="CM28">
            <v>123</v>
          </cell>
          <cell r="CN28" t="str">
            <v>Owed one day desert allowance, 4 hours overtime on 5th October'2008 the shift change bus broken on the way to crew. Owed 51 hours overtime extra overtime from 6th to 7th and 14th to 23rd October'2008. Owed 123 rials Eid bonus, 72 hours 200%, 6 days desert</v>
          </cell>
        </row>
        <row r="29">
          <cell r="B29">
            <v>83</v>
          </cell>
          <cell r="C29" t="str">
            <v>SH</v>
          </cell>
          <cell r="D29" t="str">
            <v>Salim Sulaiyam Nasser Al Khatri</v>
          </cell>
          <cell r="E29" t="str">
            <v>Labour / Cable</v>
          </cell>
          <cell r="G29">
            <v>32669</v>
          </cell>
          <cell r="H29">
            <v>38145</v>
          </cell>
          <cell r="I29" t="str">
            <v>A</v>
          </cell>
          <cell r="J29" t="str">
            <v>Sh:2</v>
          </cell>
          <cell r="K29" t="str">
            <v>L</v>
          </cell>
          <cell r="L29" t="str">
            <v>L</v>
          </cell>
          <cell r="M29" t="str">
            <v>L</v>
          </cell>
          <cell r="N29" t="str">
            <v>L</v>
          </cell>
          <cell r="O29" t="str">
            <v>L</v>
          </cell>
          <cell r="P29" t="str">
            <v>L</v>
          </cell>
          <cell r="Q29" t="str">
            <v>L</v>
          </cell>
          <cell r="R29">
            <v>7.5</v>
          </cell>
          <cell r="S29">
            <v>8.5</v>
          </cell>
          <cell r="T29">
            <v>8.5</v>
          </cell>
          <cell r="U29">
            <v>8.5</v>
          </cell>
          <cell r="V29">
            <v>8.5</v>
          </cell>
          <cell r="W29">
            <v>8.5</v>
          </cell>
          <cell r="X29">
            <v>8.5</v>
          </cell>
          <cell r="Y29">
            <v>8.5</v>
          </cell>
          <cell r="Z29">
            <v>4</v>
          </cell>
          <cell r="AA29">
            <v>4</v>
          </cell>
          <cell r="AB29">
            <v>4</v>
          </cell>
          <cell r="AC29">
            <v>4</v>
          </cell>
          <cell r="AD29">
            <v>4</v>
          </cell>
          <cell r="AE29">
            <v>4</v>
          </cell>
          <cell r="AF29">
            <v>4</v>
          </cell>
          <cell r="AG29">
            <v>4</v>
          </cell>
          <cell r="AH29">
            <v>4</v>
          </cell>
          <cell r="AI29">
            <v>4</v>
          </cell>
          <cell r="AJ29">
            <v>12</v>
          </cell>
          <cell r="AK29">
            <v>12</v>
          </cell>
          <cell r="AL29">
            <v>4</v>
          </cell>
          <cell r="AM29">
            <v>4</v>
          </cell>
          <cell r="AN29">
            <v>4</v>
          </cell>
          <cell r="AO29" t="str">
            <v>x</v>
          </cell>
          <cell r="AP29">
            <v>23</v>
          </cell>
          <cell r="AQ29">
            <v>7</v>
          </cell>
          <cell r="AR29">
            <v>0</v>
          </cell>
          <cell r="AS29">
            <v>0</v>
          </cell>
          <cell r="AT29">
            <v>0</v>
          </cell>
          <cell r="AU29">
            <v>0</v>
          </cell>
          <cell r="AV29">
            <v>119</v>
          </cell>
          <cell r="AW29">
            <v>24</v>
          </cell>
          <cell r="AX29">
            <v>30</v>
          </cell>
          <cell r="AY29">
            <v>23</v>
          </cell>
          <cell r="AZ29">
            <v>30</v>
          </cell>
          <cell r="CF29">
            <v>48.5</v>
          </cell>
          <cell r="CN29" t="str">
            <v>Owed 48.5 hours overtime extra overtime from 5th to 7th and 15th to 23rd October'2008.</v>
          </cell>
        </row>
        <row r="30">
          <cell r="B30">
            <v>84</v>
          </cell>
          <cell r="C30" t="str">
            <v>R</v>
          </cell>
          <cell r="D30" t="str">
            <v>Sulaiman Humaid Salim Al Shekili</v>
          </cell>
          <cell r="E30" t="str">
            <v>Labour</v>
          </cell>
          <cell r="G30">
            <v>32669</v>
          </cell>
          <cell r="H30">
            <v>38111</v>
          </cell>
          <cell r="I30" t="str">
            <v>A</v>
          </cell>
          <cell r="J30" t="str">
            <v>Sh:3</v>
          </cell>
          <cell r="K30">
            <v>6</v>
          </cell>
          <cell r="L30">
            <v>6</v>
          </cell>
          <cell r="M30">
            <v>6</v>
          </cell>
          <cell r="N30">
            <v>6</v>
          </cell>
          <cell r="O30">
            <v>6</v>
          </cell>
          <cell r="P30">
            <v>6</v>
          </cell>
          <cell r="Q30">
            <v>2</v>
          </cell>
          <cell r="R30" t="str">
            <v>L</v>
          </cell>
          <cell r="S30" t="str">
            <v>L</v>
          </cell>
          <cell r="T30" t="str">
            <v>L</v>
          </cell>
          <cell r="U30" t="str">
            <v>L</v>
          </cell>
          <cell r="V30" t="str">
            <v>L</v>
          </cell>
          <cell r="W30" t="str">
            <v>L</v>
          </cell>
          <cell r="X30" t="str">
            <v>L</v>
          </cell>
          <cell r="Y30" t="str">
            <v>L</v>
          </cell>
          <cell r="Z30" t="str">
            <v>L</v>
          </cell>
          <cell r="AA30" t="str">
            <v>L</v>
          </cell>
          <cell r="AB30" t="str">
            <v>L</v>
          </cell>
          <cell r="AC30" t="str">
            <v>L</v>
          </cell>
          <cell r="AD30" t="str">
            <v>L</v>
          </cell>
          <cell r="AE30" t="str">
            <v>L</v>
          </cell>
          <cell r="AF30">
            <v>2</v>
          </cell>
          <cell r="AG30">
            <v>2</v>
          </cell>
          <cell r="AH30">
            <v>2</v>
          </cell>
          <cell r="AI30">
            <v>2</v>
          </cell>
          <cell r="AJ30">
            <v>10</v>
          </cell>
          <cell r="AK30">
            <v>10</v>
          </cell>
          <cell r="AL30">
            <v>2</v>
          </cell>
          <cell r="AM30">
            <v>2</v>
          </cell>
          <cell r="AN30">
            <v>2</v>
          </cell>
          <cell r="AO30" t="str">
            <v>x</v>
          </cell>
          <cell r="AP30">
            <v>16</v>
          </cell>
          <cell r="AQ30">
            <v>14</v>
          </cell>
          <cell r="AR30">
            <v>0</v>
          </cell>
          <cell r="AS30">
            <v>0</v>
          </cell>
          <cell r="AT30">
            <v>0</v>
          </cell>
          <cell r="AU30">
            <v>0</v>
          </cell>
          <cell r="AV30">
            <v>52</v>
          </cell>
          <cell r="AW30">
            <v>20</v>
          </cell>
          <cell r="AX30">
            <v>30</v>
          </cell>
          <cell r="AY30">
            <v>16</v>
          </cell>
          <cell r="AZ30">
            <v>30</v>
          </cell>
          <cell r="CF30">
            <v>64</v>
          </cell>
          <cell r="CG30">
            <v>60</v>
          </cell>
          <cell r="CH30">
            <v>6</v>
          </cell>
          <cell r="CM30">
            <v>123</v>
          </cell>
          <cell r="CN30" t="str">
            <v>Owed 64 hours overtime extra overtime from 16th to 31st October'2008. Owed 123 rials Eid bonus, 60 hours 200%, 6 days desert allowance for Eid Al Adhah'2008 from 8th to 13th December'2008.</v>
          </cell>
        </row>
        <row r="31">
          <cell r="B31">
            <v>87</v>
          </cell>
          <cell r="C31" t="str">
            <v>R</v>
          </cell>
          <cell r="D31" t="str">
            <v>Khalifa Said Ali</v>
          </cell>
          <cell r="E31" t="str">
            <v>Labour</v>
          </cell>
          <cell r="G31">
            <v>32669</v>
          </cell>
          <cell r="H31">
            <v>38145</v>
          </cell>
          <cell r="I31" t="str">
            <v>A</v>
          </cell>
          <cell r="J31" t="str">
            <v>Sh:3</v>
          </cell>
          <cell r="K31">
            <v>6</v>
          </cell>
          <cell r="L31">
            <v>6</v>
          </cell>
          <cell r="M31">
            <v>6</v>
          </cell>
          <cell r="N31">
            <v>6</v>
          </cell>
          <cell r="O31">
            <v>6</v>
          </cell>
          <cell r="P31">
            <v>6</v>
          </cell>
          <cell r="Q31">
            <v>2</v>
          </cell>
          <cell r="R31" t="str">
            <v>L</v>
          </cell>
          <cell r="S31" t="str">
            <v>L</v>
          </cell>
          <cell r="T31" t="str">
            <v>L</v>
          </cell>
          <cell r="U31" t="str">
            <v>L</v>
          </cell>
          <cell r="V31" t="str">
            <v>L</v>
          </cell>
          <cell r="W31" t="str">
            <v>L</v>
          </cell>
          <cell r="X31" t="str">
            <v>L</v>
          </cell>
          <cell r="Y31" t="str">
            <v>L</v>
          </cell>
          <cell r="Z31" t="str">
            <v>L</v>
          </cell>
          <cell r="AA31" t="str">
            <v>L</v>
          </cell>
          <cell r="AB31" t="str">
            <v>L</v>
          </cell>
          <cell r="AC31" t="str">
            <v>L</v>
          </cell>
          <cell r="AD31" t="str">
            <v>L</v>
          </cell>
          <cell r="AE31" t="str">
            <v>L</v>
          </cell>
          <cell r="AF31">
            <v>2</v>
          </cell>
          <cell r="AG31">
            <v>2</v>
          </cell>
          <cell r="AH31">
            <v>2</v>
          </cell>
          <cell r="AI31">
            <v>2</v>
          </cell>
          <cell r="AJ31">
            <v>10</v>
          </cell>
          <cell r="AK31">
            <v>10</v>
          </cell>
          <cell r="AL31">
            <v>2</v>
          </cell>
          <cell r="AM31">
            <v>2</v>
          </cell>
          <cell r="AN31">
            <v>2</v>
          </cell>
          <cell r="AO31" t="str">
            <v>x</v>
          </cell>
          <cell r="AP31">
            <v>16</v>
          </cell>
          <cell r="AQ31">
            <v>14</v>
          </cell>
          <cell r="AR31">
            <v>0</v>
          </cell>
          <cell r="AS31">
            <v>0</v>
          </cell>
          <cell r="AT31">
            <v>0</v>
          </cell>
          <cell r="AU31">
            <v>0</v>
          </cell>
          <cell r="AV31">
            <v>52</v>
          </cell>
          <cell r="AW31">
            <v>20</v>
          </cell>
          <cell r="AX31">
            <v>30</v>
          </cell>
          <cell r="AY31">
            <v>16</v>
          </cell>
          <cell r="AZ31">
            <v>30</v>
          </cell>
          <cell r="CF31">
            <v>60</v>
          </cell>
          <cell r="CN31" t="str">
            <v>Owed 60 hours overtime extra overtime from 16th to 23rd &amp; 25th to 31st October'2008.</v>
          </cell>
        </row>
        <row r="32">
          <cell r="B32">
            <v>91</v>
          </cell>
          <cell r="C32" t="str">
            <v>R</v>
          </cell>
          <cell r="D32" t="str">
            <v>Salim Said Suwaid</v>
          </cell>
          <cell r="E32" t="str">
            <v>Labour / Camp</v>
          </cell>
          <cell r="G32">
            <v>32669</v>
          </cell>
          <cell r="H32">
            <v>38145</v>
          </cell>
          <cell r="I32" t="str">
            <v>A</v>
          </cell>
          <cell r="J32" t="str">
            <v>Sh:3</v>
          </cell>
          <cell r="K32">
            <v>6</v>
          </cell>
          <cell r="L32">
            <v>6</v>
          </cell>
          <cell r="M32">
            <v>6</v>
          </cell>
          <cell r="N32">
            <v>6</v>
          </cell>
          <cell r="O32">
            <v>6</v>
          </cell>
          <cell r="P32">
            <v>6</v>
          </cell>
          <cell r="Q32">
            <v>4</v>
          </cell>
          <cell r="R32" t="str">
            <v>L</v>
          </cell>
          <cell r="S32" t="str">
            <v>L</v>
          </cell>
          <cell r="T32" t="str">
            <v>L</v>
          </cell>
          <cell r="U32" t="str">
            <v>L</v>
          </cell>
          <cell r="V32" t="str">
            <v>L</v>
          </cell>
          <cell r="W32" t="str">
            <v>L</v>
          </cell>
          <cell r="X32" t="str">
            <v>L</v>
          </cell>
          <cell r="Y32" t="str">
            <v>L</v>
          </cell>
          <cell r="Z32" t="str">
            <v>L</v>
          </cell>
          <cell r="AA32" t="str">
            <v>L</v>
          </cell>
          <cell r="AB32" t="str">
            <v>L</v>
          </cell>
          <cell r="AC32" t="str">
            <v>L</v>
          </cell>
          <cell r="AD32" t="str">
            <v>L</v>
          </cell>
          <cell r="AE32" t="str">
            <v>L</v>
          </cell>
          <cell r="AF32">
            <v>4</v>
          </cell>
          <cell r="AG32">
            <v>4</v>
          </cell>
          <cell r="AH32">
            <v>4</v>
          </cell>
          <cell r="AI32">
            <v>4</v>
          </cell>
          <cell r="AJ32">
            <v>12</v>
          </cell>
          <cell r="AK32">
            <v>12</v>
          </cell>
          <cell r="AL32">
            <v>4</v>
          </cell>
          <cell r="AM32">
            <v>4</v>
          </cell>
          <cell r="AN32">
            <v>4</v>
          </cell>
          <cell r="AO32" t="str">
            <v>x</v>
          </cell>
          <cell r="AP32">
            <v>16</v>
          </cell>
          <cell r="AQ32">
            <v>14</v>
          </cell>
          <cell r="AR32">
            <v>0</v>
          </cell>
          <cell r="AS32">
            <v>0</v>
          </cell>
          <cell r="AT32">
            <v>0</v>
          </cell>
          <cell r="AU32">
            <v>0</v>
          </cell>
          <cell r="AV32">
            <v>68</v>
          </cell>
          <cell r="AW32">
            <v>24</v>
          </cell>
          <cell r="AX32">
            <v>30</v>
          </cell>
          <cell r="AY32">
            <v>16</v>
          </cell>
          <cell r="AZ32">
            <v>30</v>
          </cell>
          <cell r="CG32">
            <v>72</v>
          </cell>
          <cell r="CH32">
            <v>6</v>
          </cell>
          <cell r="CM32">
            <v>123</v>
          </cell>
          <cell r="CN32" t="str">
            <v>Owed 123 rials Eid bonus, 72 hours 200%, 6 days desert allowance for Eid Al Adhah'2008 from 8th to 13th December'2008.</v>
          </cell>
        </row>
        <row r="33">
          <cell r="B33">
            <v>96</v>
          </cell>
          <cell r="C33" t="str">
            <v>SH</v>
          </cell>
          <cell r="D33" t="str">
            <v>Sultan Saif Mohamed</v>
          </cell>
          <cell r="E33" t="str">
            <v>Labour / Cable</v>
          </cell>
          <cell r="G33">
            <v>32669</v>
          </cell>
          <cell r="H33">
            <v>38108</v>
          </cell>
          <cell r="I33" t="str">
            <v>A</v>
          </cell>
          <cell r="J33" t="str">
            <v>Sh:2</v>
          </cell>
          <cell r="K33" t="str">
            <v>L</v>
          </cell>
          <cell r="L33" t="str">
            <v>L</v>
          </cell>
          <cell r="M33" t="str">
            <v>L</v>
          </cell>
          <cell r="N33" t="str">
            <v>L</v>
          </cell>
          <cell r="O33" t="str">
            <v>L</v>
          </cell>
          <cell r="P33" t="str">
            <v>L</v>
          </cell>
          <cell r="Q33" t="str">
            <v>L</v>
          </cell>
          <cell r="R33">
            <v>7.5</v>
          </cell>
          <cell r="S33">
            <v>8.5</v>
          </cell>
          <cell r="T33">
            <v>8.5</v>
          </cell>
          <cell r="U33">
            <v>8.5</v>
          </cell>
          <cell r="V33">
            <v>8.5</v>
          </cell>
          <cell r="W33">
            <v>8.5</v>
          </cell>
          <cell r="X33">
            <v>8.5</v>
          </cell>
          <cell r="Y33">
            <v>8.5</v>
          </cell>
          <cell r="Z33">
            <v>4</v>
          </cell>
          <cell r="AA33">
            <v>4</v>
          </cell>
          <cell r="AB33">
            <v>4</v>
          </cell>
          <cell r="AC33">
            <v>4</v>
          </cell>
          <cell r="AD33">
            <v>4</v>
          </cell>
          <cell r="AE33">
            <v>4</v>
          </cell>
          <cell r="AF33">
            <v>4</v>
          </cell>
          <cell r="AG33">
            <v>4</v>
          </cell>
          <cell r="AH33">
            <v>4</v>
          </cell>
          <cell r="AI33">
            <v>4</v>
          </cell>
          <cell r="AJ33">
            <v>12</v>
          </cell>
          <cell r="AK33">
            <v>12</v>
          </cell>
          <cell r="AL33">
            <v>4</v>
          </cell>
          <cell r="AM33">
            <v>4</v>
          </cell>
          <cell r="AN33">
            <v>4</v>
          </cell>
          <cell r="AO33" t="str">
            <v>x</v>
          </cell>
          <cell r="AP33">
            <v>23</v>
          </cell>
          <cell r="AQ33">
            <v>7</v>
          </cell>
          <cell r="AR33">
            <v>0</v>
          </cell>
          <cell r="AS33">
            <v>0</v>
          </cell>
          <cell r="AT33">
            <v>0</v>
          </cell>
          <cell r="AU33">
            <v>0</v>
          </cell>
          <cell r="AV33">
            <v>119</v>
          </cell>
          <cell r="AW33">
            <v>24</v>
          </cell>
          <cell r="AX33">
            <v>30</v>
          </cell>
          <cell r="AY33">
            <v>23</v>
          </cell>
          <cell r="AZ33">
            <v>30</v>
          </cell>
          <cell r="CF33">
            <v>47.5</v>
          </cell>
          <cell r="CH33">
            <v>1</v>
          </cell>
          <cell r="CN33" t="str">
            <v>Owed one day desert allowance, 4 hours overtime on 5th October'2008 the shift change bus broken on the way to crew. Owed 43.5 hours overtime extra overtime from 6th to 7th and 15th to 23rd October'2008.</v>
          </cell>
        </row>
        <row r="34">
          <cell r="B34">
            <v>100</v>
          </cell>
          <cell r="C34" t="str">
            <v>R</v>
          </cell>
          <cell r="D34" t="str">
            <v>Marhoun Rashid Sultan Al Maa'mari</v>
          </cell>
          <cell r="E34" t="str">
            <v>Labour / Camp</v>
          </cell>
          <cell r="G34">
            <v>32690</v>
          </cell>
          <cell r="H34">
            <v>38145</v>
          </cell>
          <cell r="I34" t="str">
            <v>A</v>
          </cell>
          <cell r="J34" t="str">
            <v>Sh:1</v>
          </cell>
          <cell r="K34">
            <v>4</v>
          </cell>
          <cell r="L34">
            <v>4</v>
          </cell>
          <cell r="M34">
            <v>4</v>
          </cell>
          <cell r="N34">
            <v>4</v>
          </cell>
          <cell r="O34">
            <v>4</v>
          </cell>
          <cell r="P34">
            <v>4</v>
          </cell>
          <cell r="Q34">
            <v>4</v>
          </cell>
          <cell r="R34">
            <v>4</v>
          </cell>
          <cell r="S34">
            <v>4</v>
          </cell>
          <cell r="T34">
            <v>4</v>
          </cell>
          <cell r="U34">
            <v>4</v>
          </cell>
          <cell r="V34">
            <v>4</v>
          </cell>
          <cell r="W34">
            <v>4</v>
          </cell>
          <cell r="X34">
            <v>4</v>
          </cell>
          <cell r="Y34">
            <v>4</v>
          </cell>
          <cell r="Z34">
            <v>4</v>
          </cell>
          <cell r="AA34">
            <v>4</v>
          </cell>
          <cell r="AB34">
            <v>4</v>
          </cell>
          <cell r="AC34">
            <v>4</v>
          </cell>
          <cell r="AD34">
            <v>4</v>
          </cell>
          <cell r="AE34">
            <v>4</v>
          </cell>
          <cell r="AF34" t="str">
            <v>L</v>
          </cell>
          <cell r="AG34" t="str">
            <v>L</v>
          </cell>
          <cell r="AH34" t="str">
            <v>L</v>
          </cell>
          <cell r="AI34" t="str">
            <v>L</v>
          </cell>
          <cell r="AJ34" t="str">
            <v>L</v>
          </cell>
          <cell r="AK34" t="str">
            <v>L</v>
          </cell>
          <cell r="AL34" t="str">
            <v>L</v>
          </cell>
          <cell r="AM34" t="str">
            <v>L</v>
          </cell>
          <cell r="AN34" t="str">
            <v>L</v>
          </cell>
          <cell r="AO34" t="str">
            <v>x</v>
          </cell>
          <cell r="AP34">
            <v>21</v>
          </cell>
          <cell r="AQ34">
            <v>9</v>
          </cell>
          <cell r="AR34">
            <v>0</v>
          </cell>
          <cell r="AS34">
            <v>0</v>
          </cell>
          <cell r="AT34">
            <v>0</v>
          </cell>
          <cell r="AU34">
            <v>0</v>
          </cell>
          <cell r="AV34">
            <v>84</v>
          </cell>
          <cell r="AW34">
            <v>0</v>
          </cell>
          <cell r="AX34">
            <v>30</v>
          </cell>
          <cell r="AY34">
            <v>21</v>
          </cell>
          <cell r="AZ34">
            <v>30</v>
          </cell>
          <cell r="CF34">
            <v>28</v>
          </cell>
          <cell r="CH34">
            <v>7</v>
          </cell>
          <cell r="CI34">
            <v>7</v>
          </cell>
          <cell r="CJ34">
            <v>7</v>
          </cell>
          <cell r="CK34">
            <v>7</v>
          </cell>
          <cell r="CL34">
            <v>7</v>
          </cell>
          <cell r="CN34" t="str">
            <v>Owed 7 days basic allowance, 7 days housing allowance, 7 days date allowance, 7 days monthly ration, 7 days desert allowance, 28 hours overtime is rutern from annual leave from 25th to 31st October'2008.</v>
          </cell>
        </row>
        <row r="35">
          <cell r="B35">
            <v>103</v>
          </cell>
          <cell r="C35" t="str">
            <v>SF</v>
          </cell>
          <cell r="D35" t="str">
            <v>Salim Humaid Rashid Al Hinai</v>
          </cell>
          <cell r="E35" t="str">
            <v>GPS Operator</v>
          </cell>
          <cell r="G35">
            <v>32690</v>
          </cell>
          <cell r="H35">
            <v>38145</v>
          </cell>
          <cell r="I35" t="str">
            <v>C</v>
          </cell>
          <cell r="J35" t="str">
            <v>Sh:3</v>
          </cell>
          <cell r="K35">
            <v>2.5</v>
          </cell>
          <cell r="L35">
            <v>2.5</v>
          </cell>
          <cell r="M35">
            <v>2.5</v>
          </cell>
          <cell r="N35">
            <v>2.5</v>
          </cell>
          <cell r="O35">
            <v>2.5</v>
          </cell>
          <cell r="P35">
            <v>2.5</v>
          </cell>
          <cell r="Q35">
            <v>2.5</v>
          </cell>
          <cell r="R35" t="str">
            <v>L</v>
          </cell>
          <cell r="S35" t="str">
            <v>L</v>
          </cell>
          <cell r="T35" t="str">
            <v>L</v>
          </cell>
          <cell r="U35" t="str">
            <v>L</v>
          </cell>
          <cell r="V35" t="str">
            <v>L</v>
          </cell>
          <cell r="W35" t="str">
            <v>L</v>
          </cell>
          <cell r="X35" t="str">
            <v>L</v>
          </cell>
          <cell r="Y35" t="str">
            <v>L</v>
          </cell>
          <cell r="Z35" t="str">
            <v>L</v>
          </cell>
          <cell r="AA35" t="str">
            <v>L</v>
          </cell>
          <cell r="AB35" t="str">
            <v>L</v>
          </cell>
          <cell r="AC35" t="str">
            <v>L</v>
          </cell>
          <cell r="AD35" t="str">
            <v>L</v>
          </cell>
          <cell r="AE35" t="str">
            <v>L</v>
          </cell>
          <cell r="AF35">
            <v>2.5</v>
          </cell>
          <cell r="AG35">
            <v>2.5</v>
          </cell>
          <cell r="AH35">
            <v>2.5</v>
          </cell>
          <cell r="AI35">
            <v>2.5</v>
          </cell>
          <cell r="AJ35">
            <v>10.5</v>
          </cell>
          <cell r="AK35">
            <v>10.5</v>
          </cell>
          <cell r="AL35">
            <v>2.5</v>
          </cell>
          <cell r="AM35">
            <v>2.5</v>
          </cell>
          <cell r="AN35">
            <v>2.5</v>
          </cell>
          <cell r="AO35" t="str">
            <v>x</v>
          </cell>
          <cell r="AP35">
            <v>16</v>
          </cell>
          <cell r="AQ35">
            <v>14</v>
          </cell>
          <cell r="AR35">
            <v>0</v>
          </cell>
          <cell r="AS35">
            <v>0</v>
          </cell>
          <cell r="AT35">
            <v>0</v>
          </cell>
          <cell r="AU35">
            <v>0</v>
          </cell>
          <cell r="AV35">
            <v>35</v>
          </cell>
          <cell r="AW35">
            <v>21</v>
          </cell>
          <cell r="AX35">
            <v>30</v>
          </cell>
          <cell r="AY35">
            <v>16</v>
          </cell>
          <cell r="AZ35">
            <v>30</v>
          </cell>
          <cell r="CG35">
            <v>63</v>
          </cell>
          <cell r="CH35">
            <v>6</v>
          </cell>
          <cell r="CM35">
            <v>123</v>
          </cell>
          <cell r="CN35" t="str">
            <v>Owed 123 rials Eid bonus, 63 hours 200%, 6 days desert allowance for Eid Al Adhah'2008 from 8th to 13th December'2008.</v>
          </cell>
        </row>
        <row r="36">
          <cell r="B36">
            <v>116</v>
          </cell>
          <cell r="C36" t="str">
            <v>SH</v>
          </cell>
          <cell r="D36" t="str">
            <v>Said Saif Said Al Gharibi</v>
          </cell>
          <cell r="E36" t="str">
            <v>Labour / Sand Bag</v>
          </cell>
          <cell r="G36">
            <v>32724</v>
          </cell>
          <cell r="H36">
            <v>38145</v>
          </cell>
          <cell r="I36" t="str">
            <v>A</v>
          </cell>
          <cell r="J36" t="str">
            <v>Sh:2</v>
          </cell>
          <cell r="K36" t="str">
            <v>L</v>
          </cell>
          <cell r="L36" t="str">
            <v>L</v>
          </cell>
          <cell r="M36" t="str">
            <v>L</v>
          </cell>
          <cell r="N36" t="str">
            <v>L</v>
          </cell>
          <cell r="O36" t="str">
            <v>L</v>
          </cell>
          <cell r="P36" t="str">
            <v>L</v>
          </cell>
          <cell r="Q36" t="str">
            <v>L</v>
          </cell>
          <cell r="R36">
            <v>2</v>
          </cell>
          <cell r="S36">
            <v>2</v>
          </cell>
          <cell r="T36">
            <v>2</v>
          </cell>
          <cell r="U36">
            <v>2</v>
          </cell>
          <cell r="V36">
            <v>2</v>
          </cell>
          <cell r="W36">
            <v>2</v>
          </cell>
          <cell r="X36">
            <v>2</v>
          </cell>
          <cell r="Y36">
            <v>2</v>
          </cell>
          <cell r="Z36">
            <v>2</v>
          </cell>
          <cell r="AA36">
            <v>2</v>
          </cell>
          <cell r="AB36">
            <v>2</v>
          </cell>
          <cell r="AC36">
            <v>2</v>
          </cell>
          <cell r="AD36">
            <v>2</v>
          </cell>
          <cell r="AE36">
            <v>2</v>
          </cell>
          <cell r="AF36">
            <v>2</v>
          </cell>
          <cell r="AG36">
            <v>2</v>
          </cell>
          <cell r="AH36">
            <v>2</v>
          </cell>
          <cell r="AI36">
            <v>2</v>
          </cell>
          <cell r="AJ36">
            <v>10</v>
          </cell>
          <cell r="AK36">
            <v>10</v>
          </cell>
          <cell r="AL36">
            <v>2</v>
          </cell>
          <cell r="AM36">
            <v>2</v>
          </cell>
          <cell r="AN36">
            <v>2</v>
          </cell>
          <cell r="AO36" t="str">
            <v>x</v>
          </cell>
          <cell r="AP36">
            <v>23</v>
          </cell>
          <cell r="AQ36">
            <v>7</v>
          </cell>
          <cell r="AR36">
            <v>0</v>
          </cell>
          <cell r="AS36">
            <v>0</v>
          </cell>
          <cell r="AT36">
            <v>0</v>
          </cell>
          <cell r="AU36">
            <v>0</v>
          </cell>
          <cell r="AV36">
            <v>42</v>
          </cell>
          <cell r="AW36">
            <v>20</v>
          </cell>
          <cell r="AX36">
            <v>30</v>
          </cell>
          <cell r="AY36">
            <v>23</v>
          </cell>
          <cell r="AZ36">
            <v>30</v>
          </cell>
        </row>
        <row r="37">
          <cell r="B37">
            <v>120</v>
          </cell>
          <cell r="C37" t="str">
            <v>R</v>
          </cell>
          <cell r="D37" t="str">
            <v>Said Khalfan Abdullah Al Hattmi</v>
          </cell>
          <cell r="E37" t="str">
            <v>Labour / Sand Bag</v>
          </cell>
          <cell r="G37">
            <v>32724</v>
          </cell>
          <cell r="H37">
            <v>38079</v>
          </cell>
          <cell r="I37" t="str">
            <v>A</v>
          </cell>
          <cell r="J37" t="str">
            <v>Sh:3</v>
          </cell>
          <cell r="K37">
            <v>2</v>
          </cell>
          <cell r="L37">
            <v>2</v>
          </cell>
          <cell r="M37">
            <v>2</v>
          </cell>
          <cell r="N37">
            <v>2</v>
          </cell>
          <cell r="O37">
            <v>2</v>
          </cell>
          <cell r="P37">
            <v>2</v>
          </cell>
          <cell r="Q37">
            <v>2</v>
          </cell>
          <cell r="R37" t="str">
            <v>L</v>
          </cell>
          <cell r="S37" t="str">
            <v>L</v>
          </cell>
          <cell r="T37" t="str">
            <v>L</v>
          </cell>
          <cell r="U37" t="str">
            <v>L</v>
          </cell>
          <cell r="V37" t="str">
            <v>L</v>
          </cell>
          <cell r="W37" t="str">
            <v>L</v>
          </cell>
          <cell r="X37" t="str">
            <v>L</v>
          </cell>
          <cell r="Y37" t="str">
            <v>L</v>
          </cell>
          <cell r="Z37" t="str">
            <v>L</v>
          </cell>
          <cell r="AA37" t="str">
            <v>L</v>
          </cell>
          <cell r="AB37" t="str">
            <v>L</v>
          </cell>
          <cell r="AC37" t="str">
            <v>L</v>
          </cell>
          <cell r="AD37" t="str">
            <v>L</v>
          </cell>
          <cell r="AE37" t="str">
            <v>L</v>
          </cell>
          <cell r="AF37">
            <v>2</v>
          </cell>
          <cell r="AG37">
            <v>2</v>
          </cell>
          <cell r="AH37">
            <v>2</v>
          </cell>
          <cell r="AI37">
            <v>2</v>
          </cell>
          <cell r="AJ37">
            <v>10</v>
          </cell>
          <cell r="AK37">
            <v>10</v>
          </cell>
          <cell r="AL37">
            <v>2</v>
          </cell>
          <cell r="AM37">
            <v>2</v>
          </cell>
          <cell r="AN37">
            <v>2</v>
          </cell>
          <cell r="AO37" t="str">
            <v>x</v>
          </cell>
          <cell r="AP37">
            <v>16</v>
          </cell>
          <cell r="AQ37">
            <v>14</v>
          </cell>
          <cell r="AR37">
            <v>0</v>
          </cell>
          <cell r="AS37">
            <v>0</v>
          </cell>
          <cell r="AT37">
            <v>0</v>
          </cell>
          <cell r="AU37">
            <v>0</v>
          </cell>
          <cell r="AV37">
            <v>28</v>
          </cell>
          <cell r="AW37">
            <v>20</v>
          </cell>
          <cell r="AX37">
            <v>30</v>
          </cell>
          <cell r="AY37">
            <v>16</v>
          </cell>
          <cell r="AZ37">
            <v>30</v>
          </cell>
          <cell r="CG37">
            <v>60</v>
          </cell>
          <cell r="CH37">
            <v>6</v>
          </cell>
          <cell r="CM37">
            <v>123</v>
          </cell>
          <cell r="CN37" t="str">
            <v>Owed 123 rials Eid bonus, 72 hours 200%, 6 days desert allowance for Eid Al Adhah'2008 from 8th to 13th December'2008.</v>
          </cell>
        </row>
        <row r="38">
          <cell r="B38">
            <v>121</v>
          </cell>
          <cell r="C38" t="str">
            <v>RL</v>
          </cell>
          <cell r="D38" t="str">
            <v>Saif Nasser Ali</v>
          </cell>
          <cell r="E38" t="str">
            <v>Labour / Cable</v>
          </cell>
          <cell r="G38">
            <v>32724</v>
          </cell>
          <cell r="H38">
            <v>38110</v>
          </cell>
          <cell r="I38" t="str">
            <v>A</v>
          </cell>
          <cell r="J38" t="str">
            <v>Sh:3</v>
          </cell>
          <cell r="K38">
            <v>4</v>
          </cell>
          <cell r="L38">
            <v>4</v>
          </cell>
          <cell r="M38">
            <v>4</v>
          </cell>
          <cell r="N38">
            <v>4</v>
          </cell>
          <cell r="O38">
            <v>4</v>
          </cell>
          <cell r="P38">
            <v>4</v>
          </cell>
          <cell r="Q38">
            <v>4</v>
          </cell>
          <cell r="R38" t="str">
            <v>L</v>
          </cell>
          <cell r="S38" t="str">
            <v>L</v>
          </cell>
          <cell r="T38" t="str">
            <v>L</v>
          </cell>
          <cell r="U38" t="str">
            <v>L</v>
          </cell>
          <cell r="V38" t="str">
            <v>L</v>
          </cell>
          <cell r="W38" t="str">
            <v>L</v>
          </cell>
          <cell r="X38" t="str">
            <v>L</v>
          </cell>
          <cell r="Y38" t="str">
            <v>L</v>
          </cell>
          <cell r="Z38" t="str">
            <v>L</v>
          </cell>
          <cell r="AA38" t="str">
            <v>L</v>
          </cell>
          <cell r="AB38" t="str">
            <v>L</v>
          </cell>
          <cell r="AC38" t="str">
            <v>L</v>
          </cell>
          <cell r="AD38" t="str">
            <v>L</v>
          </cell>
          <cell r="AE38" t="str">
            <v>L</v>
          </cell>
          <cell r="AF38">
            <v>4</v>
          </cell>
          <cell r="AG38">
            <v>4</v>
          </cell>
          <cell r="AH38">
            <v>4</v>
          </cell>
          <cell r="AI38">
            <v>4</v>
          </cell>
          <cell r="AJ38">
            <v>12</v>
          </cell>
          <cell r="AK38">
            <v>12</v>
          </cell>
          <cell r="AL38">
            <v>4</v>
          </cell>
          <cell r="AM38">
            <v>4</v>
          </cell>
          <cell r="AN38">
            <v>4</v>
          </cell>
          <cell r="AO38" t="str">
            <v>x</v>
          </cell>
          <cell r="AP38">
            <v>16</v>
          </cell>
          <cell r="AQ38">
            <v>14</v>
          </cell>
          <cell r="AR38">
            <v>0</v>
          </cell>
          <cell r="AS38">
            <v>0</v>
          </cell>
          <cell r="AT38">
            <v>0</v>
          </cell>
          <cell r="AU38">
            <v>0</v>
          </cell>
          <cell r="AV38">
            <v>56</v>
          </cell>
          <cell r="AW38">
            <v>24</v>
          </cell>
          <cell r="AX38">
            <v>30</v>
          </cell>
          <cell r="AY38">
            <v>16</v>
          </cell>
          <cell r="AZ38">
            <v>30</v>
          </cell>
          <cell r="CF38">
            <v>41.5</v>
          </cell>
          <cell r="CG38">
            <v>72</v>
          </cell>
          <cell r="CH38">
            <v>1</v>
          </cell>
          <cell r="CM38">
            <v>123</v>
          </cell>
          <cell r="CN38" t="str">
            <v>Deducted 5 days desert allowance, 20 hours overtime take leave on 20th October and 21st to 23rd October have sick leave on 24th October'2008 take leave. Owed 123 rials Eid bonus, 72 hours 200%, 6 days desert allowance for Eid Al Adhah'2008 from 8th to 13t</v>
          </cell>
        </row>
        <row r="39">
          <cell r="B39">
            <v>126</v>
          </cell>
          <cell r="C39" t="str">
            <v>R</v>
          </cell>
          <cell r="D39" t="str">
            <v>Abdullah Said Abdullah Al Ghafri</v>
          </cell>
          <cell r="E39" t="str">
            <v>Group Foreman</v>
          </cell>
          <cell r="G39">
            <v>32748</v>
          </cell>
          <cell r="H39">
            <v>38145</v>
          </cell>
          <cell r="I39" t="str">
            <v>C</v>
          </cell>
          <cell r="J39" t="str">
            <v>Sh:3</v>
          </cell>
          <cell r="K39">
            <v>6.5</v>
          </cell>
          <cell r="L39">
            <v>6.5</v>
          </cell>
          <cell r="M39">
            <v>6.5</v>
          </cell>
          <cell r="N39">
            <v>6.5</v>
          </cell>
          <cell r="O39">
            <v>6.5</v>
          </cell>
          <cell r="P39">
            <v>2.5</v>
          </cell>
          <cell r="Q39">
            <v>2.5</v>
          </cell>
          <cell r="R39" t="str">
            <v>L</v>
          </cell>
          <cell r="S39" t="str">
            <v>L</v>
          </cell>
          <cell r="T39" t="str">
            <v>L</v>
          </cell>
          <cell r="U39" t="str">
            <v>L</v>
          </cell>
          <cell r="V39" t="str">
            <v>L</v>
          </cell>
          <cell r="W39" t="str">
            <v>L</v>
          </cell>
          <cell r="X39" t="str">
            <v>L</v>
          </cell>
          <cell r="Y39" t="str">
            <v>L</v>
          </cell>
          <cell r="Z39" t="str">
            <v>L</v>
          </cell>
          <cell r="AA39" t="str">
            <v>L</v>
          </cell>
          <cell r="AB39" t="str">
            <v>L</v>
          </cell>
          <cell r="AC39" t="str">
            <v>L</v>
          </cell>
          <cell r="AD39" t="str">
            <v>L</v>
          </cell>
          <cell r="AE39" t="str">
            <v>L</v>
          </cell>
          <cell r="AF39">
            <v>2.5</v>
          </cell>
          <cell r="AG39">
            <v>2.5</v>
          </cell>
          <cell r="AH39">
            <v>2.5</v>
          </cell>
          <cell r="AI39">
            <v>2.5</v>
          </cell>
          <cell r="AJ39">
            <v>10.5</v>
          </cell>
          <cell r="AK39">
            <v>10.5</v>
          </cell>
          <cell r="AL39">
            <v>2.5</v>
          </cell>
          <cell r="AM39">
            <v>2.5</v>
          </cell>
          <cell r="AN39">
            <v>2.5</v>
          </cell>
          <cell r="AO39" t="str">
            <v>x</v>
          </cell>
          <cell r="AP39">
            <v>16</v>
          </cell>
          <cell r="AQ39">
            <v>14</v>
          </cell>
          <cell r="AR39">
            <v>0</v>
          </cell>
          <cell r="AS39">
            <v>0</v>
          </cell>
          <cell r="AT39">
            <v>0</v>
          </cell>
          <cell r="AU39">
            <v>0</v>
          </cell>
          <cell r="AV39">
            <v>55</v>
          </cell>
          <cell r="AW39">
            <v>21</v>
          </cell>
          <cell r="AX39">
            <v>30</v>
          </cell>
          <cell r="AY39">
            <v>16</v>
          </cell>
          <cell r="AZ39">
            <v>30</v>
          </cell>
          <cell r="CF39">
            <v>26</v>
          </cell>
          <cell r="CG39">
            <v>63</v>
          </cell>
          <cell r="CH39">
            <v>3</v>
          </cell>
          <cell r="CI39">
            <v>-3</v>
          </cell>
          <cell r="CJ39">
            <v>-3</v>
          </cell>
          <cell r="CK39">
            <v>-3</v>
          </cell>
          <cell r="CL39">
            <v>-3</v>
          </cell>
          <cell r="CM39">
            <v>123</v>
          </cell>
          <cell r="CN39" t="str">
            <v>Dudected 3 days basic allowance, 3 days housing allowance, 3 days date allowance, 3 days monthly ration, 3 days desert allowance, 10 hours overtime take leave without payl is left aftenoon at: 13:30hours and 25th to 27th October'2008. Owed 36 hours overti</v>
          </cell>
        </row>
        <row r="40">
          <cell r="B40">
            <v>132</v>
          </cell>
          <cell r="C40" t="str">
            <v>S</v>
          </cell>
          <cell r="D40" t="str">
            <v>Hamad Said Mubarak</v>
          </cell>
          <cell r="E40" t="str">
            <v>Labour / Cable</v>
          </cell>
          <cell r="G40">
            <v>32757</v>
          </cell>
          <cell r="H40">
            <v>38145</v>
          </cell>
          <cell r="I40" t="str">
            <v>A</v>
          </cell>
          <cell r="J40" t="str">
            <v>Sh:3</v>
          </cell>
          <cell r="K40" t="str">
            <v>H</v>
          </cell>
          <cell r="L40" t="str">
            <v>H</v>
          </cell>
          <cell r="M40" t="str">
            <v>H</v>
          </cell>
          <cell r="N40" t="str">
            <v>H</v>
          </cell>
          <cell r="O40" t="str">
            <v>H</v>
          </cell>
          <cell r="P40" t="str">
            <v>H</v>
          </cell>
          <cell r="Q40" t="str">
            <v>H</v>
          </cell>
          <cell r="R40" t="str">
            <v>H</v>
          </cell>
          <cell r="S40" t="str">
            <v>H</v>
          </cell>
          <cell r="T40" t="str">
            <v>H</v>
          </cell>
          <cell r="U40" t="str">
            <v>H</v>
          </cell>
          <cell r="V40" t="str">
            <v>H</v>
          </cell>
          <cell r="W40" t="str">
            <v>H</v>
          </cell>
          <cell r="X40" t="str">
            <v>H</v>
          </cell>
          <cell r="Y40" t="str">
            <v>H</v>
          </cell>
          <cell r="Z40" t="str">
            <v>H</v>
          </cell>
          <cell r="AA40" t="str">
            <v>H</v>
          </cell>
          <cell r="AB40" t="str">
            <v>H</v>
          </cell>
          <cell r="AC40" t="str">
            <v>H</v>
          </cell>
          <cell r="AD40" t="str">
            <v>H</v>
          </cell>
          <cell r="AE40" t="str">
            <v>H</v>
          </cell>
          <cell r="AF40">
            <v>4</v>
          </cell>
          <cell r="AG40">
            <v>4</v>
          </cell>
          <cell r="AH40">
            <v>4</v>
          </cell>
          <cell r="AI40">
            <v>4</v>
          </cell>
          <cell r="AJ40">
            <v>12</v>
          </cell>
          <cell r="AK40">
            <v>12</v>
          </cell>
          <cell r="AL40">
            <v>4</v>
          </cell>
          <cell r="AM40">
            <v>4</v>
          </cell>
          <cell r="AN40">
            <v>4</v>
          </cell>
          <cell r="AO40" t="str">
            <v>x</v>
          </cell>
          <cell r="AP40">
            <v>9</v>
          </cell>
          <cell r="AQ40">
            <v>0</v>
          </cell>
          <cell r="AR40">
            <v>0</v>
          </cell>
          <cell r="AS40">
            <v>0</v>
          </cell>
          <cell r="AT40">
            <v>0</v>
          </cell>
          <cell r="AU40">
            <v>21</v>
          </cell>
          <cell r="AV40">
            <v>28</v>
          </cell>
          <cell r="AW40">
            <v>24</v>
          </cell>
          <cell r="AX40">
            <v>9</v>
          </cell>
          <cell r="AY40">
            <v>9</v>
          </cell>
          <cell r="AZ40">
            <v>9</v>
          </cell>
          <cell r="CG40">
            <v>72</v>
          </cell>
          <cell r="CH40">
            <v>6</v>
          </cell>
          <cell r="CM40">
            <v>123</v>
          </cell>
          <cell r="CN40" t="str">
            <v>Owed 123 rials Eid bonus, 72 hours 200%, 6 days desert allowance for Eid Al Adhah'2008 from 8th to 13th December'2008.</v>
          </cell>
        </row>
        <row r="41">
          <cell r="B41">
            <v>135</v>
          </cell>
          <cell r="C41" t="str">
            <v>SH</v>
          </cell>
          <cell r="D41" t="str">
            <v>Saleh Haramoush Hamed Al Junaibi</v>
          </cell>
          <cell r="E41" t="str">
            <v>Heavy Duty Dvr</v>
          </cell>
          <cell r="G41">
            <v>32816</v>
          </cell>
          <cell r="H41">
            <v>38145</v>
          </cell>
          <cell r="I41" t="str">
            <v>E</v>
          </cell>
          <cell r="J41" t="str">
            <v>Sh:2</v>
          </cell>
          <cell r="K41" t="str">
            <v>L</v>
          </cell>
          <cell r="L41" t="str">
            <v>L</v>
          </cell>
          <cell r="M41" t="str">
            <v>L</v>
          </cell>
          <cell r="N41" t="str">
            <v>L</v>
          </cell>
          <cell r="O41" t="str">
            <v>L</v>
          </cell>
          <cell r="P41" t="str">
            <v>L</v>
          </cell>
          <cell r="Q41" t="str">
            <v>L</v>
          </cell>
          <cell r="R41">
            <v>2.5</v>
          </cell>
          <cell r="S41">
            <v>2.5</v>
          </cell>
          <cell r="T41">
            <v>2.5</v>
          </cell>
          <cell r="U41">
            <v>6.5</v>
          </cell>
          <cell r="V41">
            <v>6.5</v>
          </cell>
          <cell r="W41">
            <v>6.5</v>
          </cell>
          <cell r="X41">
            <v>6.5</v>
          </cell>
          <cell r="Y41">
            <v>6.5</v>
          </cell>
          <cell r="Z41">
            <v>2.5</v>
          </cell>
          <cell r="AA41">
            <v>2.5</v>
          </cell>
          <cell r="AB41">
            <v>2.5</v>
          </cell>
          <cell r="AC41">
            <v>2.5</v>
          </cell>
          <cell r="AD41">
            <v>2.5</v>
          </cell>
          <cell r="AE41">
            <v>2.5</v>
          </cell>
          <cell r="AF41">
            <v>2.5</v>
          </cell>
          <cell r="AG41">
            <v>2.5</v>
          </cell>
          <cell r="AH41">
            <v>2.5</v>
          </cell>
          <cell r="AI41">
            <v>2.5</v>
          </cell>
          <cell r="AJ41">
            <v>10.5</v>
          </cell>
          <cell r="AK41">
            <v>10.5</v>
          </cell>
          <cell r="AL41">
            <v>2.5</v>
          </cell>
          <cell r="AM41">
            <v>2.5</v>
          </cell>
          <cell r="AN41">
            <v>2.5</v>
          </cell>
          <cell r="AO41" t="str">
            <v>x</v>
          </cell>
          <cell r="AP41">
            <v>23</v>
          </cell>
          <cell r="AQ41">
            <v>7</v>
          </cell>
          <cell r="AR41">
            <v>0</v>
          </cell>
          <cell r="AS41">
            <v>0</v>
          </cell>
          <cell r="AT41">
            <v>0</v>
          </cell>
          <cell r="AU41">
            <v>0</v>
          </cell>
          <cell r="AV41">
            <v>72.5</v>
          </cell>
          <cell r="AW41">
            <v>21</v>
          </cell>
          <cell r="AX41">
            <v>30</v>
          </cell>
          <cell r="AY41">
            <v>23</v>
          </cell>
          <cell r="AZ41">
            <v>30</v>
          </cell>
          <cell r="CF41">
            <v>32</v>
          </cell>
          <cell r="CN41" t="str">
            <v>Owed 32 hours overtime extra overtime from 16th to 23rd October'2008.</v>
          </cell>
        </row>
        <row r="42">
          <cell r="B42">
            <v>136</v>
          </cell>
          <cell r="C42" t="str">
            <v>V</v>
          </cell>
          <cell r="D42" t="str">
            <v>Al Badi Mubarak Salim Al Yaqoubi</v>
          </cell>
          <cell r="E42" t="str">
            <v>Vibe Operator</v>
          </cell>
          <cell r="G42">
            <v>32826</v>
          </cell>
          <cell r="H42">
            <v>38116</v>
          </cell>
          <cell r="I42" t="str">
            <v>E</v>
          </cell>
          <cell r="J42" t="str">
            <v>Sh:2</v>
          </cell>
          <cell r="K42" t="str">
            <v>L</v>
          </cell>
          <cell r="L42" t="str">
            <v>L</v>
          </cell>
          <cell r="M42" t="str">
            <v>L</v>
          </cell>
          <cell r="N42" t="str">
            <v>L</v>
          </cell>
          <cell r="O42" t="str">
            <v>L</v>
          </cell>
          <cell r="P42" t="str">
            <v>L</v>
          </cell>
          <cell r="Q42" t="str">
            <v>L</v>
          </cell>
          <cell r="R42">
            <v>8</v>
          </cell>
          <cell r="S42">
            <v>8</v>
          </cell>
          <cell r="T42">
            <v>8</v>
          </cell>
          <cell r="U42">
            <v>8</v>
          </cell>
          <cell r="V42">
            <v>8</v>
          </cell>
          <cell r="W42">
            <v>8</v>
          </cell>
          <cell r="X42">
            <v>9</v>
          </cell>
          <cell r="Y42">
            <v>9</v>
          </cell>
          <cell r="Z42">
            <v>9</v>
          </cell>
          <cell r="AA42">
            <v>9</v>
          </cell>
          <cell r="AB42">
            <v>9</v>
          </cell>
          <cell r="AC42">
            <v>9</v>
          </cell>
          <cell r="AD42">
            <v>9</v>
          </cell>
          <cell r="AE42">
            <v>9</v>
          </cell>
          <cell r="AF42">
            <v>9</v>
          </cell>
          <cell r="AG42">
            <v>9</v>
          </cell>
          <cell r="AH42">
            <v>9</v>
          </cell>
          <cell r="AI42">
            <v>9</v>
          </cell>
          <cell r="AJ42">
            <v>17</v>
          </cell>
          <cell r="AK42">
            <v>17</v>
          </cell>
          <cell r="AL42">
            <v>9</v>
          </cell>
          <cell r="AM42">
            <v>9</v>
          </cell>
          <cell r="AN42">
            <v>9</v>
          </cell>
          <cell r="AO42" t="str">
            <v>x</v>
          </cell>
          <cell r="AP42">
            <v>23</v>
          </cell>
          <cell r="AQ42">
            <v>7</v>
          </cell>
          <cell r="AR42">
            <v>0</v>
          </cell>
          <cell r="AS42">
            <v>0</v>
          </cell>
          <cell r="AT42">
            <v>0</v>
          </cell>
          <cell r="AU42">
            <v>0</v>
          </cell>
          <cell r="AV42">
            <v>183</v>
          </cell>
          <cell r="AW42">
            <v>34</v>
          </cell>
          <cell r="AX42">
            <v>30</v>
          </cell>
          <cell r="AY42">
            <v>23</v>
          </cell>
          <cell r="AZ42">
            <v>30</v>
          </cell>
          <cell r="CG42">
            <v>102</v>
          </cell>
          <cell r="CH42">
            <v>6</v>
          </cell>
          <cell r="CM42">
            <v>123</v>
          </cell>
          <cell r="CN42" t="str">
            <v>Owed 123 rials Eid bonus, 102 hours 200%, 6 days desert allowance for Eid Al Adhah'2008 from 8th to 13th December'2008.</v>
          </cell>
        </row>
        <row r="43">
          <cell r="B43">
            <v>137</v>
          </cell>
          <cell r="C43" t="str">
            <v>SH</v>
          </cell>
          <cell r="D43" t="str">
            <v>Salim Sulaiman Amur</v>
          </cell>
          <cell r="E43" t="str">
            <v>Labour</v>
          </cell>
          <cell r="G43">
            <v>32862</v>
          </cell>
          <cell r="H43">
            <v>38109</v>
          </cell>
          <cell r="I43" t="str">
            <v>A</v>
          </cell>
          <cell r="J43" t="str">
            <v>Sh:2</v>
          </cell>
          <cell r="K43" t="str">
            <v>L</v>
          </cell>
          <cell r="L43" t="str">
            <v>L</v>
          </cell>
          <cell r="M43" t="str">
            <v>L</v>
          </cell>
          <cell r="N43" t="str">
            <v>L</v>
          </cell>
          <cell r="O43" t="str">
            <v>L</v>
          </cell>
          <cell r="P43" t="str">
            <v>L</v>
          </cell>
          <cell r="Q43" t="str">
            <v>L</v>
          </cell>
          <cell r="R43" t="str">
            <v>L</v>
          </cell>
          <cell r="S43" t="str">
            <v>L</v>
          </cell>
          <cell r="T43" t="str">
            <v>L</v>
          </cell>
          <cell r="U43">
            <v>2</v>
          </cell>
          <cell r="V43">
            <v>6</v>
          </cell>
          <cell r="W43">
            <v>2</v>
          </cell>
          <cell r="X43">
            <v>2</v>
          </cell>
          <cell r="Y43">
            <v>2</v>
          </cell>
          <cell r="Z43">
            <v>2</v>
          </cell>
          <cell r="AA43">
            <v>2</v>
          </cell>
          <cell r="AB43">
            <v>2</v>
          </cell>
          <cell r="AC43">
            <v>2</v>
          </cell>
          <cell r="AD43">
            <v>2</v>
          </cell>
          <cell r="AE43">
            <v>2</v>
          </cell>
          <cell r="AF43">
            <v>2</v>
          </cell>
          <cell r="AG43">
            <v>2</v>
          </cell>
          <cell r="AH43">
            <v>2</v>
          </cell>
          <cell r="AI43">
            <v>2</v>
          </cell>
          <cell r="AJ43">
            <v>10</v>
          </cell>
          <cell r="AK43">
            <v>10</v>
          </cell>
          <cell r="AL43">
            <v>2</v>
          </cell>
          <cell r="AM43">
            <v>2</v>
          </cell>
          <cell r="AN43">
            <v>2</v>
          </cell>
          <cell r="AO43" t="str">
            <v>x</v>
          </cell>
          <cell r="AP43">
            <v>20</v>
          </cell>
          <cell r="AQ43">
            <v>10</v>
          </cell>
          <cell r="AR43">
            <v>0</v>
          </cell>
          <cell r="AS43">
            <v>0</v>
          </cell>
          <cell r="AT43">
            <v>0</v>
          </cell>
          <cell r="AU43">
            <v>0</v>
          </cell>
          <cell r="AV43">
            <v>40</v>
          </cell>
          <cell r="AW43">
            <v>20</v>
          </cell>
          <cell r="AX43">
            <v>30</v>
          </cell>
          <cell r="AY43">
            <v>20</v>
          </cell>
          <cell r="AZ43">
            <v>30</v>
          </cell>
          <cell r="CG43">
            <v>60</v>
          </cell>
          <cell r="CH43">
            <v>6</v>
          </cell>
          <cell r="CM43">
            <v>123</v>
          </cell>
          <cell r="CN43" t="str">
            <v>Owed 123 rials Eid bonus, 60 hours 200%, 6 days desert allowance for Eid Al Adhah'2008 from 8th to 13th December'2008.</v>
          </cell>
        </row>
        <row r="44">
          <cell r="B44">
            <v>138</v>
          </cell>
          <cell r="C44" t="str">
            <v>SH</v>
          </cell>
          <cell r="D44" t="str">
            <v>Awadh Marzouq Salmeen</v>
          </cell>
          <cell r="E44" t="str">
            <v>Labour</v>
          </cell>
          <cell r="G44">
            <v>32862</v>
          </cell>
          <cell r="H44">
            <v>38109</v>
          </cell>
          <cell r="I44" t="str">
            <v>A</v>
          </cell>
          <cell r="J44" t="str">
            <v>Sh:2</v>
          </cell>
          <cell r="K44" t="str">
            <v>L</v>
          </cell>
          <cell r="L44" t="str">
            <v>L</v>
          </cell>
          <cell r="M44" t="str">
            <v>L</v>
          </cell>
          <cell r="N44" t="str">
            <v>L</v>
          </cell>
          <cell r="O44" t="str">
            <v>L</v>
          </cell>
          <cell r="P44" t="str">
            <v>L</v>
          </cell>
          <cell r="Q44" t="str">
            <v>L</v>
          </cell>
          <cell r="R44">
            <v>7</v>
          </cell>
          <cell r="S44">
            <v>7.5</v>
          </cell>
          <cell r="T44">
            <v>6</v>
          </cell>
          <cell r="U44">
            <v>2</v>
          </cell>
          <cell r="V44">
            <v>6</v>
          </cell>
          <cell r="W44">
            <v>7</v>
          </cell>
          <cell r="X44">
            <v>7</v>
          </cell>
          <cell r="Y44">
            <v>6</v>
          </cell>
          <cell r="Z44">
            <v>2</v>
          </cell>
          <cell r="AA44">
            <v>2</v>
          </cell>
          <cell r="AB44">
            <v>2</v>
          </cell>
          <cell r="AC44">
            <v>2</v>
          </cell>
          <cell r="AD44">
            <v>2</v>
          </cell>
          <cell r="AE44">
            <v>2</v>
          </cell>
          <cell r="AF44">
            <v>2</v>
          </cell>
          <cell r="AG44">
            <v>2</v>
          </cell>
          <cell r="AH44">
            <v>2</v>
          </cell>
          <cell r="AI44">
            <v>2</v>
          </cell>
          <cell r="AJ44">
            <v>10</v>
          </cell>
          <cell r="AK44">
            <v>10</v>
          </cell>
          <cell r="AL44">
            <v>2</v>
          </cell>
          <cell r="AM44">
            <v>2</v>
          </cell>
          <cell r="AN44">
            <v>2</v>
          </cell>
          <cell r="AO44" t="str">
            <v>x</v>
          </cell>
          <cell r="AP44">
            <v>23</v>
          </cell>
          <cell r="AQ44">
            <v>7</v>
          </cell>
          <cell r="AR44">
            <v>0</v>
          </cell>
          <cell r="AS44">
            <v>0</v>
          </cell>
          <cell r="AT44">
            <v>0</v>
          </cell>
          <cell r="AU44">
            <v>0</v>
          </cell>
          <cell r="AV44">
            <v>74.5</v>
          </cell>
          <cell r="AW44">
            <v>20</v>
          </cell>
          <cell r="AX44">
            <v>30</v>
          </cell>
          <cell r="AY44">
            <v>23</v>
          </cell>
          <cell r="AZ44">
            <v>30</v>
          </cell>
          <cell r="CF44">
            <v>32</v>
          </cell>
          <cell r="CG44">
            <v>60</v>
          </cell>
          <cell r="CH44">
            <v>6</v>
          </cell>
          <cell r="CM44">
            <v>123</v>
          </cell>
          <cell r="CN44" t="str">
            <v>Owed 32 hours overtime extra overtime from 10th and 16th to 18th and 20th to 23rd October'2008. Owed 123 rials Eid bonus, 60 hours 200%, 6 days desert allowance for Eid Al Adhah'2008 from 8th to 13th December'2008.</v>
          </cell>
        </row>
        <row r="45">
          <cell r="B45">
            <v>139</v>
          </cell>
          <cell r="C45" t="str">
            <v>V</v>
          </cell>
          <cell r="D45" t="str">
            <v>Saleh Ali Hamed Al Hina'I</v>
          </cell>
          <cell r="E45" t="str">
            <v>Vibe Operator</v>
          </cell>
          <cell r="G45">
            <v>32871</v>
          </cell>
          <cell r="H45">
            <v>38145</v>
          </cell>
          <cell r="I45" t="str">
            <v>E</v>
          </cell>
          <cell r="J45" t="str">
            <v>Sh:3</v>
          </cell>
          <cell r="K45">
            <v>8</v>
          </cell>
          <cell r="L45">
            <v>8</v>
          </cell>
          <cell r="M45">
            <v>8</v>
          </cell>
          <cell r="N45">
            <v>8</v>
          </cell>
          <cell r="O45">
            <v>8</v>
          </cell>
          <cell r="P45">
            <v>8</v>
          </cell>
          <cell r="Q45">
            <v>8</v>
          </cell>
          <cell r="R45" t="str">
            <v>L</v>
          </cell>
          <cell r="S45" t="str">
            <v>L</v>
          </cell>
          <cell r="T45" t="str">
            <v>L</v>
          </cell>
          <cell r="U45" t="str">
            <v>L</v>
          </cell>
          <cell r="V45" t="str">
            <v>L</v>
          </cell>
          <cell r="W45" t="str">
            <v>L</v>
          </cell>
          <cell r="X45" t="str">
            <v>L</v>
          </cell>
          <cell r="Y45" t="str">
            <v>L</v>
          </cell>
          <cell r="Z45" t="str">
            <v>L</v>
          </cell>
          <cell r="AA45" t="str">
            <v>L</v>
          </cell>
          <cell r="AB45" t="str">
            <v>L</v>
          </cell>
          <cell r="AC45" t="str">
            <v>L</v>
          </cell>
          <cell r="AD45" t="str">
            <v>L</v>
          </cell>
          <cell r="AE45" t="str">
            <v>L</v>
          </cell>
          <cell r="AF45">
            <v>9</v>
          </cell>
          <cell r="AG45">
            <v>9</v>
          </cell>
          <cell r="AH45">
            <v>9</v>
          </cell>
          <cell r="AI45">
            <v>9</v>
          </cell>
          <cell r="AJ45">
            <v>17</v>
          </cell>
          <cell r="AK45">
            <v>17</v>
          </cell>
          <cell r="AL45">
            <v>9</v>
          </cell>
          <cell r="AM45">
            <v>9</v>
          </cell>
          <cell r="AN45">
            <v>9</v>
          </cell>
          <cell r="AO45" t="str">
            <v>x</v>
          </cell>
          <cell r="AP45">
            <v>16</v>
          </cell>
          <cell r="AQ45">
            <v>14</v>
          </cell>
          <cell r="AR45">
            <v>0</v>
          </cell>
          <cell r="AS45">
            <v>0</v>
          </cell>
          <cell r="AT45">
            <v>0</v>
          </cell>
          <cell r="AU45">
            <v>0</v>
          </cell>
          <cell r="AV45">
            <v>119</v>
          </cell>
          <cell r="AW45">
            <v>34</v>
          </cell>
          <cell r="AX45">
            <v>30</v>
          </cell>
          <cell r="AY45">
            <v>16</v>
          </cell>
          <cell r="AZ45">
            <v>30</v>
          </cell>
          <cell r="CG45">
            <v>102</v>
          </cell>
          <cell r="CH45">
            <v>6</v>
          </cell>
          <cell r="CM45">
            <v>123</v>
          </cell>
          <cell r="CN45" t="str">
            <v>Owed 123 rials Eid bonus, 102 hours 200%, 6 days desert allowance for Eid Al Adhah'2008 from 8th to 13th December'2008.</v>
          </cell>
        </row>
        <row r="46">
          <cell r="B46">
            <v>142</v>
          </cell>
          <cell r="C46" t="str">
            <v>R</v>
          </cell>
          <cell r="D46" t="str">
            <v>Salim Huwaishal Sulaiyam</v>
          </cell>
          <cell r="E46" t="str">
            <v>Labour</v>
          </cell>
          <cell r="G46">
            <v>32896</v>
          </cell>
          <cell r="H46">
            <v>38110</v>
          </cell>
          <cell r="I46" t="str">
            <v>A</v>
          </cell>
          <cell r="J46" t="str">
            <v>Sh:3</v>
          </cell>
          <cell r="K46">
            <v>6</v>
          </cell>
          <cell r="L46">
            <v>6</v>
          </cell>
          <cell r="M46">
            <v>6</v>
          </cell>
          <cell r="N46">
            <v>6</v>
          </cell>
          <cell r="O46">
            <v>6</v>
          </cell>
          <cell r="P46">
            <v>2</v>
          </cell>
          <cell r="Q46">
            <v>2</v>
          </cell>
          <cell r="R46" t="str">
            <v>L</v>
          </cell>
          <cell r="S46" t="str">
            <v>L</v>
          </cell>
          <cell r="T46" t="str">
            <v>L</v>
          </cell>
          <cell r="U46" t="str">
            <v>L</v>
          </cell>
          <cell r="V46" t="str">
            <v>L</v>
          </cell>
          <cell r="W46" t="str">
            <v>L</v>
          </cell>
          <cell r="X46" t="str">
            <v>L</v>
          </cell>
          <cell r="Y46" t="str">
            <v>L</v>
          </cell>
          <cell r="Z46" t="str">
            <v>L</v>
          </cell>
          <cell r="AA46" t="str">
            <v>L</v>
          </cell>
          <cell r="AB46" t="str">
            <v>L</v>
          </cell>
          <cell r="AC46" t="str">
            <v>L</v>
          </cell>
          <cell r="AD46" t="str">
            <v>L</v>
          </cell>
          <cell r="AE46" t="str">
            <v>L</v>
          </cell>
          <cell r="AF46">
            <v>2</v>
          </cell>
          <cell r="AG46">
            <v>2</v>
          </cell>
          <cell r="AH46">
            <v>2</v>
          </cell>
          <cell r="AI46">
            <v>2</v>
          </cell>
          <cell r="AJ46">
            <v>10</v>
          </cell>
          <cell r="AK46">
            <v>10</v>
          </cell>
          <cell r="AL46">
            <v>2</v>
          </cell>
          <cell r="AM46">
            <v>2</v>
          </cell>
          <cell r="AN46">
            <v>2</v>
          </cell>
          <cell r="AO46" t="str">
            <v>x</v>
          </cell>
          <cell r="AP46">
            <v>16</v>
          </cell>
          <cell r="AQ46">
            <v>14</v>
          </cell>
          <cell r="AR46">
            <v>0</v>
          </cell>
          <cell r="AS46">
            <v>0</v>
          </cell>
          <cell r="AT46">
            <v>0</v>
          </cell>
          <cell r="AU46">
            <v>0</v>
          </cell>
          <cell r="AV46">
            <v>48</v>
          </cell>
          <cell r="AW46">
            <v>20</v>
          </cell>
          <cell r="AX46">
            <v>30</v>
          </cell>
          <cell r="AY46">
            <v>16</v>
          </cell>
          <cell r="AZ46">
            <v>30</v>
          </cell>
          <cell r="CF46">
            <v>60</v>
          </cell>
          <cell r="CN46" t="str">
            <v>Owed 60 hours overtime extra overtime from 16th to 17th and 19th to 31st October'2008.</v>
          </cell>
        </row>
        <row r="47">
          <cell r="B47">
            <v>144</v>
          </cell>
          <cell r="C47" t="str">
            <v>V</v>
          </cell>
          <cell r="D47" t="str">
            <v>Mohamed Abdullah Surur</v>
          </cell>
          <cell r="E47" t="str">
            <v>Vibe Operator</v>
          </cell>
          <cell r="G47">
            <v>32926</v>
          </cell>
          <cell r="H47">
            <v>38136</v>
          </cell>
          <cell r="I47" t="str">
            <v>E</v>
          </cell>
          <cell r="J47" t="str">
            <v>Sh:1</v>
          </cell>
          <cell r="K47">
            <v>8</v>
          </cell>
          <cell r="L47">
            <v>8</v>
          </cell>
          <cell r="M47">
            <v>8</v>
          </cell>
          <cell r="N47">
            <v>8</v>
          </cell>
          <cell r="O47">
            <v>8</v>
          </cell>
          <cell r="P47">
            <v>8</v>
          </cell>
          <cell r="Q47">
            <v>8</v>
          </cell>
          <cell r="R47" t="str">
            <v>A</v>
          </cell>
          <cell r="S47" t="str">
            <v>A</v>
          </cell>
          <cell r="T47">
            <v>8</v>
          </cell>
          <cell r="U47">
            <v>8</v>
          </cell>
          <cell r="V47">
            <v>8</v>
          </cell>
          <cell r="W47">
            <v>8</v>
          </cell>
          <cell r="X47">
            <v>9</v>
          </cell>
          <cell r="Y47">
            <v>9</v>
          </cell>
          <cell r="Z47">
            <v>9</v>
          </cell>
          <cell r="AA47">
            <v>9</v>
          </cell>
          <cell r="AB47">
            <v>9</v>
          </cell>
          <cell r="AC47">
            <v>9</v>
          </cell>
          <cell r="AD47">
            <v>9</v>
          </cell>
          <cell r="AE47">
            <v>9</v>
          </cell>
          <cell r="AF47" t="str">
            <v>L</v>
          </cell>
          <cell r="AG47" t="str">
            <v>L</v>
          </cell>
          <cell r="AH47" t="str">
            <v>L</v>
          </cell>
          <cell r="AI47" t="str">
            <v>L</v>
          </cell>
          <cell r="AJ47" t="str">
            <v>L</v>
          </cell>
          <cell r="AK47" t="str">
            <v>L</v>
          </cell>
          <cell r="AL47" t="str">
            <v>L</v>
          </cell>
          <cell r="AM47" t="str">
            <v>L</v>
          </cell>
          <cell r="AN47" t="str">
            <v>L</v>
          </cell>
          <cell r="AO47" t="str">
            <v>x</v>
          </cell>
          <cell r="AP47">
            <v>19</v>
          </cell>
          <cell r="AQ47">
            <v>9</v>
          </cell>
          <cell r="AR47">
            <v>0</v>
          </cell>
          <cell r="AS47">
            <v>0</v>
          </cell>
          <cell r="AT47">
            <v>2</v>
          </cell>
          <cell r="AU47">
            <v>0</v>
          </cell>
          <cell r="AV47">
            <v>160</v>
          </cell>
          <cell r="AW47">
            <v>0</v>
          </cell>
          <cell r="AX47">
            <v>28</v>
          </cell>
          <cell r="AY47">
            <v>19</v>
          </cell>
          <cell r="AZ47">
            <v>28</v>
          </cell>
          <cell r="CG47">
            <v>102</v>
          </cell>
          <cell r="CH47">
            <v>6</v>
          </cell>
          <cell r="CM47">
            <v>123</v>
          </cell>
          <cell r="CN47" t="str">
            <v>Owed 123 rials Eid bonus, 102 hours 200%, 6 days desert allowance for Eid Al Adhah'2008 from 8th to 13th December'2008.</v>
          </cell>
        </row>
        <row r="48">
          <cell r="B48">
            <v>151</v>
          </cell>
          <cell r="C48" t="str">
            <v>JR</v>
          </cell>
          <cell r="D48" t="str">
            <v>Sa'ad Khalfan Sa'ad</v>
          </cell>
          <cell r="E48" t="str">
            <v>Heavy Duty Dvr</v>
          </cell>
          <cell r="G48">
            <v>33025</v>
          </cell>
          <cell r="H48">
            <v>38136</v>
          </cell>
          <cell r="I48" t="str">
            <v>E</v>
          </cell>
          <cell r="J48" t="str">
            <v>Sh:1</v>
          </cell>
          <cell r="K48">
            <v>8</v>
          </cell>
          <cell r="L48">
            <v>8</v>
          </cell>
          <cell r="M48">
            <v>8</v>
          </cell>
          <cell r="N48">
            <v>8</v>
          </cell>
          <cell r="O48">
            <v>8</v>
          </cell>
          <cell r="P48">
            <v>8</v>
          </cell>
          <cell r="Q48">
            <v>8</v>
          </cell>
          <cell r="R48">
            <v>8</v>
          </cell>
          <cell r="S48">
            <v>8</v>
          </cell>
          <cell r="T48">
            <v>8</v>
          </cell>
          <cell r="U48">
            <v>8</v>
          </cell>
          <cell r="V48">
            <v>8</v>
          </cell>
          <cell r="W48">
            <v>8</v>
          </cell>
          <cell r="X48">
            <v>9</v>
          </cell>
          <cell r="Y48">
            <v>9</v>
          </cell>
          <cell r="Z48">
            <v>9</v>
          </cell>
          <cell r="AA48">
            <v>9</v>
          </cell>
          <cell r="AB48">
            <v>9</v>
          </cell>
          <cell r="AC48">
            <v>9</v>
          </cell>
          <cell r="AD48">
            <v>9</v>
          </cell>
          <cell r="AE48">
            <v>9</v>
          </cell>
          <cell r="AF48" t="str">
            <v>L</v>
          </cell>
          <cell r="AG48" t="str">
            <v>L</v>
          </cell>
          <cell r="AH48" t="str">
            <v>L</v>
          </cell>
          <cell r="AI48" t="str">
            <v>L</v>
          </cell>
          <cell r="AJ48" t="str">
            <v>L</v>
          </cell>
          <cell r="AK48" t="str">
            <v>L</v>
          </cell>
          <cell r="AL48" t="str">
            <v>L</v>
          </cell>
          <cell r="AM48" t="str">
            <v>L</v>
          </cell>
          <cell r="AN48" t="str">
            <v>L</v>
          </cell>
          <cell r="AO48" t="str">
            <v>x</v>
          </cell>
          <cell r="AP48">
            <v>21</v>
          </cell>
          <cell r="AQ48">
            <v>9</v>
          </cell>
          <cell r="AR48">
            <v>0</v>
          </cell>
          <cell r="AS48">
            <v>0</v>
          </cell>
          <cell r="AT48">
            <v>0</v>
          </cell>
          <cell r="AU48">
            <v>0</v>
          </cell>
          <cell r="AV48">
            <v>176</v>
          </cell>
          <cell r="AW48">
            <v>0</v>
          </cell>
          <cell r="AX48">
            <v>30</v>
          </cell>
          <cell r="AY48">
            <v>21</v>
          </cell>
          <cell r="AZ48">
            <v>30</v>
          </cell>
          <cell r="CF48">
            <v>20</v>
          </cell>
          <cell r="CG48">
            <v>63</v>
          </cell>
          <cell r="CH48">
            <v>6</v>
          </cell>
          <cell r="CM48">
            <v>123</v>
          </cell>
          <cell r="CN48" t="str">
            <v>Owed 20 hours overtime extra overtime from 25th to 26th and 28th to 30th October'2008. Owed 123 rials Eid bonus, 63 hours 200%, 6 days desert allowance for Eid Al Adhah'2008 from 8th to 13th December'2008.</v>
          </cell>
        </row>
        <row r="49">
          <cell r="B49">
            <v>157</v>
          </cell>
          <cell r="C49" t="str">
            <v>SH</v>
          </cell>
          <cell r="D49" t="str">
            <v>Salim Ghanim Salam</v>
          </cell>
          <cell r="E49" t="str">
            <v>Line Foreman</v>
          </cell>
          <cell r="G49">
            <v>33117</v>
          </cell>
          <cell r="H49">
            <v>38145</v>
          </cell>
          <cell r="I49" t="str">
            <v>E</v>
          </cell>
          <cell r="J49" t="str">
            <v>Sh:1</v>
          </cell>
          <cell r="K49">
            <v>6.5</v>
          </cell>
          <cell r="L49">
            <v>6.5</v>
          </cell>
          <cell r="M49">
            <v>6.5</v>
          </cell>
          <cell r="N49">
            <v>6.5</v>
          </cell>
          <cell r="O49">
            <v>6.5</v>
          </cell>
          <cell r="P49">
            <v>6.5</v>
          </cell>
          <cell r="Q49">
            <v>6.5</v>
          </cell>
          <cell r="R49">
            <v>6.5</v>
          </cell>
          <cell r="S49">
            <v>6.5</v>
          </cell>
          <cell r="T49">
            <v>6.5</v>
          </cell>
          <cell r="U49">
            <v>6.5</v>
          </cell>
          <cell r="V49">
            <v>6.5</v>
          </cell>
          <cell r="W49">
            <v>6.5</v>
          </cell>
          <cell r="X49">
            <v>6.5</v>
          </cell>
          <cell r="Y49">
            <v>6.5</v>
          </cell>
          <cell r="Z49">
            <v>2.5</v>
          </cell>
          <cell r="AA49">
            <v>2.5</v>
          </cell>
          <cell r="AB49">
            <v>2.5</v>
          </cell>
          <cell r="AC49">
            <v>2.5</v>
          </cell>
          <cell r="AD49">
            <v>2.5</v>
          </cell>
          <cell r="AE49">
            <v>2.5</v>
          </cell>
          <cell r="AF49" t="str">
            <v>L</v>
          </cell>
          <cell r="AG49" t="str">
            <v>L</v>
          </cell>
          <cell r="AH49" t="str">
            <v>L</v>
          </cell>
          <cell r="AI49" t="str">
            <v>L</v>
          </cell>
          <cell r="AJ49" t="str">
            <v>L</v>
          </cell>
          <cell r="AK49" t="str">
            <v>L</v>
          </cell>
          <cell r="AL49" t="str">
            <v>L</v>
          </cell>
          <cell r="AM49" t="str">
            <v>L</v>
          </cell>
          <cell r="AN49" t="str">
            <v>L</v>
          </cell>
          <cell r="AO49" t="str">
            <v>x</v>
          </cell>
          <cell r="AP49">
            <v>21</v>
          </cell>
          <cell r="AQ49">
            <v>9</v>
          </cell>
          <cell r="AR49">
            <v>0</v>
          </cell>
          <cell r="AS49">
            <v>0</v>
          </cell>
          <cell r="AT49">
            <v>0</v>
          </cell>
          <cell r="AU49">
            <v>0</v>
          </cell>
          <cell r="AV49">
            <v>112.5</v>
          </cell>
          <cell r="AW49">
            <v>0</v>
          </cell>
          <cell r="AX49">
            <v>30</v>
          </cell>
          <cell r="AY49">
            <v>21</v>
          </cell>
          <cell r="AZ49">
            <v>30</v>
          </cell>
          <cell r="CF49">
            <v>28</v>
          </cell>
          <cell r="CN49" t="str">
            <v>Owed 28 hours overtime extra overtime from 25th to 31st October'2008.</v>
          </cell>
        </row>
        <row r="50">
          <cell r="B50">
            <v>158</v>
          </cell>
          <cell r="C50" t="str">
            <v>RL</v>
          </cell>
          <cell r="D50" t="str">
            <v>Khalfan Said Khalfan</v>
          </cell>
          <cell r="E50" t="str">
            <v>Group Foreman</v>
          </cell>
          <cell r="G50">
            <v>33122</v>
          </cell>
          <cell r="H50">
            <v>38145</v>
          </cell>
          <cell r="I50" t="str">
            <v>A</v>
          </cell>
          <cell r="J50" t="str">
            <v>Sh:1</v>
          </cell>
          <cell r="K50">
            <v>6.5</v>
          </cell>
          <cell r="L50">
            <v>2.5</v>
          </cell>
          <cell r="M50" t="str">
            <v>L</v>
          </cell>
          <cell r="N50" t="str">
            <v>L</v>
          </cell>
          <cell r="O50">
            <v>8.5</v>
          </cell>
          <cell r="P50">
            <v>7.5</v>
          </cell>
          <cell r="Q50">
            <v>8.5</v>
          </cell>
          <cell r="R50">
            <v>8.5</v>
          </cell>
          <cell r="S50">
            <v>8.5</v>
          </cell>
          <cell r="T50">
            <v>8.5</v>
          </cell>
          <cell r="U50">
            <v>6.5</v>
          </cell>
          <cell r="V50">
            <v>10.5</v>
          </cell>
          <cell r="W50">
            <v>10.5</v>
          </cell>
          <cell r="X50">
            <v>10.5</v>
          </cell>
          <cell r="Y50">
            <v>10.5</v>
          </cell>
          <cell r="Z50">
            <v>4.5</v>
          </cell>
          <cell r="AA50">
            <v>2.5</v>
          </cell>
          <cell r="AB50">
            <v>2.5</v>
          </cell>
          <cell r="AC50">
            <v>2.5</v>
          </cell>
          <cell r="AD50">
            <v>2.5</v>
          </cell>
          <cell r="AE50">
            <v>2.5</v>
          </cell>
          <cell r="AF50" t="str">
            <v>L</v>
          </cell>
          <cell r="AG50" t="str">
            <v>L</v>
          </cell>
          <cell r="AH50" t="str">
            <v>L</v>
          </cell>
          <cell r="AI50" t="str">
            <v>L</v>
          </cell>
          <cell r="AJ50" t="str">
            <v>L</v>
          </cell>
          <cell r="AK50" t="str">
            <v>L</v>
          </cell>
          <cell r="AL50" t="str">
            <v>L</v>
          </cell>
          <cell r="AM50" t="str">
            <v>L</v>
          </cell>
          <cell r="AN50" t="str">
            <v>L</v>
          </cell>
          <cell r="AO50" t="str">
            <v>x</v>
          </cell>
          <cell r="AP50">
            <v>19</v>
          </cell>
          <cell r="AQ50">
            <v>11</v>
          </cell>
          <cell r="AR50">
            <v>0</v>
          </cell>
          <cell r="AS50">
            <v>0</v>
          </cell>
          <cell r="AT50">
            <v>0</v>
          </cell>
          <cell r="AU50">
            <v>0</v>
          </cell>
          <cell r="AV50">
            <v>124.5</v>
          </cell>
          <cell r="AW50">
            <v>0</v>
          </cell>
          <cell r="AX50">
            <v>30</v>
          </cell>
          <cell r="AY50">
            <v>19</v>
          </cell>
          <cell r="AZ50">
            <v>30</v>
          </cell>
          <cell r="CF50">
            <v>38</v>
          </cell>
          <cell r="CG50">
            <v>63</v>
          </cell>
          <cell r="CH50">
            <v>6</v>
          </cell>
          <cell r="CM50">
            <v>123</v>
          </cell>
          <cell r="CN50" t="str">
            <v>Owed 38 hours overtime extra overtime from 25th to 31st October'2008. Owed 123 rials Eid bonus, 63 hours 200%, 6 days desert allowance for Eid Al Adhah'2008 from 8th to 13th December'2008.</v>
          </cell>
        </row>
        <row r="51">
          <cell r="B51">
            <v>159</v>
          </cell>
          <cell r="C51" t="str">
            <v>RL</v>
          </cell>
          <cell r="D51" t="str">
            <v>Nasser Salim Nasser Al Ghafri</v>
          </cell>
          <cell r="E51" t="str">
            <v>Line Foreman</v>
          </cell>
          <cell r="G51">
            <v>33147</v>
          </cell>
          <cell r="H51">
            <v>38145</v>
          </cell>
          <cell r="I51" t="str">
            <v>E</v>
          </cell>
          <cell r="J51" t="str">
            <v>Sh:3</v>
          </cell>
          <cell r="K51">
            <v>6.5</v>
          </cell>
          <cell r="L51">
            <v>6.5</v>
          </cell>
          <cell r="M51">
            <v>6.5</v>
          </cell>
          <cell r="N51">
            <v>6.5</v>
          </cell>
          <cell r="O51">
            <v>6.5</v>
          </cell>
          <cell r="P51">
            <v>6.5</v>
          </cell>
          <cell r="Q51">
            <v>2.5</v>
          </cell>
          <cell r="R51" t="str">
            <v>L</v>
          </cell>
          <cell r="S51" t="str">
            <v>L</v>
          </cell>
          <cell r="T51" t="str">
            <v>L</v>
          </cell>
          <cell r="U51" t="str">
            <v>L</v>
          </cell>
          <cell r="V51" t="str">
            <v>L</v>
          </cell>
          <cell r="W51" t="str">
            <v>L</v>
          </cell>
          <cell r="X51" t="str">
            <v>L</v>
          </cell>
          <cell r="Y51" t="str">
            <v>L</v>
          </cell>
          <cell r="Z51" t="str">
            <v>L</v>
          </cell>
          <cell r="AA51" t="str">
            <v>L</v>
          </cell>
          <cell r="AB51" t="str">
            <v>L</v>
          </cell>
          <cell r="AC51" t="str">
            <v>L</v>
          </cell>
          <cell r="AD51" t="str">
            <v>L</v>
          </cell>
          <cell r="AE51" t="str">
            <v>L</v>
          </cell>
          <cell r="AF51">
            <v>2.5</v>
          </cell>
          <cell r="AG51">
            <v>2.5</v>
          </cell>
          <cell r="AH51">
            <v>2.5</v>
          </cell>
          <cell r="AI51">
            <v>2.5</v>
          </cell>
          <cell r="AJ51">
            <v>10.5</v>
          </cell>
          <cell r="AK51">
            <v>10.5</v>
          </cell>
          <cell r="AL51">
            <v>2.5</v>
          </cell>
          <cell r="AM51">
            <v>2.5</v>
          </cell>
          <cell r="AN51">
            <v>2.5</v>
          </cell>
          <cell r="AO51" t="str">
            <v>x</v>
          </cell>
          <cell r="AP51">
            <v>16</v>
          </cell>
          <cell r="AQ51">
            <v>14</v>
          </cell>
          <cell r="AR51">
            <v>0</v>
          </cell>
          <cell r="AS51">
            <v>0</v>
          </cell>
          <cell r="AT51">
            <v>0</v>
          </cell>
          <cell r="AU51">
            <v>0</v>
          </cell>
          <cell r="AV51">
            <v>59</v>
          </cell>
          <cell r="AW51">
            <v>21</v>
          </cell>
          <cell r="AX51">
            <v>30</v>
          </cell>
          <cell r="AY51">
            <v>16</v>
          </cell>
          <cell r="AZ51">
            <v>30</v>
          </cell>
          <cell r="CF51">
            <v>48</v>
          </cell>
          <cell r="CN51" t="str">
            <v>Owed 48 hours overtime extra overtime from 20th to 31st October'2008.</v>
          </cell>
        </row>
        <row r="52">
          <cell r="B52">
            <v>161</v>
          </cell>
          <cell r="C52" t="str">
            <v>SH</v>
          </cell>
          <cell r="D52" t="str">
            <v>Salim Abdullah Saif Al Harrasi</v>
          </cell>
          <cell r="E52" t="str">
            <v>Vibe Operator</v>
          </cell>
          <cell r="G52">
            <v>33178</v>
          </cell>
          <cell r="H52">
            <v>38147</v>
          </cell>
          <cell r="I52" t="str">
            <v>E</v>
          </cell>
          <cell r="J52" t="str">
            <v>Sh:3</v>
          </cell>
          <cell r="K52" t="str">
            <v>H</v>
          </cell>
          <cell r="L52" t="str">
            <v>H</v>
          </cell>
          <cell r="M52" t="str">
            <v>H</v>
          </cell>
          <cell r="N52" t="str">
            <v>H</v>
          </cell>
          <cell r="O52" t="str">
            <v>H</v>
          </cell>
          <cell r="P52" t="str">
            <v>H</v>
          </cell>
          <cell r="Q52" t="str">
            <v>H</v>
          </cell>
          <cell r="R52" t="str">
            <v>H</v>
          </cell>
          <cell r="S52" t="str">
            <v>H</v>
          </cell>
          <cell r="T52" t="str">
            <v>H</v>
          </cell>
          <cell r="U52" t="str">
            <v>H</v>
          </cell>
          <cell r="V52" t="str">
            <v>H</v>
          </cell>
          <cell r="W52" t="str">
            <v>H</v>
          </cell>
          <cell r="X52" t="str">
            <v>H</v>
          </cell>
          <cell r="Y52" t="str">
            <v>H</v>
          </cell>
          <cell r="Z52" t="str">
            <v>H</v>
          </cell>
          <cell r="AA52" t="str">
            <v>H</v>
          </cell>
          <cell r="AB52" t="str">
            <v>H</v>
          </cell>
          <cell r="AC52" t="str">
            <v>H</v>
          </cell>
          <cell r="AD52" t="str">
            <v>H</v>
          </cell>
          <cell r="AE52" t="str">
            <v>H</v>
          </cell>
          <cell r="AF52" t="str">
            <v>H</v>
          </cell>
          <cell r="AG52" t="str">
            <v>H</v>
          </cell>
          <cell r="AH52" t="str">
            <v>H</v>
          </cell>
          <cell r="AI52" t="str">
            <v>H</v>
          </cell>
          <cell r="AJ52" t="str">
            <v>H</v>
          </cell>
          <cell r="AK52" t="str">
            <v>H</v>
          </cell>
          <cell r="AL52" t="str">
            <v>H</v>
          </cell>
          <cell r="AM52" t="str">
            <v>H</v>
          </cell>
          <cell r="AN52" t="str">
            <v>H</v>
          </cell>
          <cell r="AO52" t="str">
            <v>x</v>
          </cell>
          <cell r="AP52">
            <v>0</v>
          </cell>
          <cell r="AQ52">
            <v>0</v>
          </cell>
          <cell r="AR52">
            <v>0</v>
          </cell>
          <cell r="AS52">
            <v>0</v>
          </cell>
          <cell r="AT52">
            <v>0</v>
          </cell>
          <cell r="AU52">
            <v>30</v>
          </cell>
          <cell r="AV52">
            <v>0</v>
          </cell>
          <cell r="AW52">
            <v>0</v>
          </cell>
          <cell r="AX52">
            <v>0</v>
          </cell>
          <cell r="AY52">
            <v>0</v>
          </cell>
          <cell r="AZ52">
            <v>0</v>
          </cell>
        </row>
        <row r="53">
          <cell r="B53">
            <v>163</v>
          </cell>
          <cell r="C53" t="str">
            <v>R</v>
          </cell>
          <cell r="D53" t="str">
            <v>Musabah Ali Saif Al Hina'I</v>
          </cell>
          <cell r="E53" t="str">
            <v>Group Foreman</v>
          </cell>
          <cell r="G53">
            <v>33208</v>
          </cell>
          <cell r="H53">
            <v>38136</v>
          </cell>
          <cell r="I53" t="str">
            <v>A</v>
          </cell>
          <cell r="J53" t="str">
            <v>Sh:1</v>
          </cell>
          <cell r="K53">
            <v>6.5</v>
          </cell>
          <cell r="L53">
            <v>6.5</v>
          </cell>
          <cell r="M53">
            <v>6.5</v>
          </cell>
          <cell r="N53">
            <v>6.5</v>
          </cell>
          <cell r="O53">
            <v>6.5</v>
          </cell>
          <cell r="P53">
            <v>6.5</v>
          </cell>
          <cell r="Q53">
            <v>6.5</v>
          </cell>
          <cell r="R53">
            <v>6.5</v>
          </cell>
          <cell r="S53">
            <v>7.5</v>
          </cell>
          <cell r="T53">
            <v>7.5</v>
          </cell>
          <cell r="U53">
            <v>7.5</v>
          </cell>
          <cell r="V53">
            <v>7.5</v>
          </cell>
          <cell r="W53">
            <v>7.5</v>
          </cell>
          <cell r="X53">
            <v>7.5</v>
          </cell>
          <cell r="Y53">
            <v>7.5</v>
          </cell>
          <cell r="Z53">
            <v>2.5</v>
          </cell>
          <cell r="AA53">
            <v>2.5</v>
          </cell>
          <cell r="AB53">
            <v>2.5</v>
          </cell>
          <cell r="AC53">
            <v>0</v>
          </cell>
          <cell r="AD53" t="str">
            <v>C</v>
          </cell>
          <cell r="AE53" t="str">
            <v>C</v>
          </cell>
          <cell r="AF53" t="str">
            <v>L</v>
          </cell>
          <cell r="AG53" t="str">
            <v>L</v>
          </cell>
          <cell r="AH53" t="str">
            <v>L</v>
          </cell>
          <cell r="AI53" t="str">
            <v>L</v>
          </cell>
          <cell r="AJ53" t="str">
            <v>L</v>
          </cell>
          <cell r="AK53" t="str">
            <v>L</v>
          </cell>
          <cell r="AL53" t="str">
            <v>L</v>
          </cell>
          <cell r="AM53" t="str">
            <v>L</v>
          </cell>
          <cell r="AN53" t="str">
            <v>L</v>
          </cell>
          <cell r="AO53" t="str">
            <v>x</v>
          </cell>
          <cell r="AP53">
            <v>19</v>
          </cell>
          <cell r="AQ53">
            <v>11</v>
          </cell>
          <cell r="AR53">
            <v>0</v>
          </cell>
          <cell r="AS53">
            <v>0</v>
          </cell>
          <cell r="AT53">
            <v>0</v>
          </cell>
          <cell r="AU53">
            <v>0</v>
          </cell>
          <cell r="AV53">
            <v>112</v>
          </cell>
          <cell r="AW53">
            <v>0</v>
          </cell>
          <cell r="AX53">
            <v>30</v>
          </cell>
          <cell r="AY53">
            <v>19</v>
          </cell>
          <cell r="AZ53">
            <v>30</v>
          </cell>
          <cell r="CF53">
            <v>34.5</v>
          </cell>
          <cell r="CN53" t="str">
            <v xml:space="preserve">Owed 28 hours overtime extra overtime from 25th to 31st October'2008. Owed 6.5 hours overtime for September'2008. </v>
          </cell>
        </row>
        <row r="54">
          <cell r="B54">
            <v>165</v>
          </cell>
          <cell r="C54" t="str">
            <v>SHE</v>
          </cell>
          <cell r="D54" t="str">
            <v>Nasser Hamoud Yasir</v>
          </cell>
          <cell r="E54" t="str">
            <v>GPS Operator</v>
          </cell>
          <cell r="G54">
            <v>33270</v>
          </cell>
          <cell r="H54">
            <v>38108</v>
          </cell>
          <cell r="I54" t="str">
            <v>E</v>
          </cell>
          <cell r="J54" t="str">
            <v>Sh:2</v>
          </cell>
          <cell r="K54">
            <v>2.5</v>
          </cell>
          <cell r="L54">
            <v>2.5</v>
          </cell>
          <cell r="M54">
            <v>2.5</v>
          </cell>
          <cell r="N54">
            <v>2.5</v>
          </cell>
          <cell r="O54">
            <v>2.5</v>
          </cell>
          <cell r="P54">
            <v>2.5</v>
          </cell>
          <cell r="Q54">
            <v>2.5</v>
          </cell>
          <cell r="R54">
            <v>2.5</v>
          </cell>
          <cell r="S54">
            <v>2.5</v>
          </cell>
          <cell r="T54">
            <v>2.5</v>
          </cell>
          <cell r="U54">
            <v>2.5</v>
          </cell>
          <cell r="V54">
            <v>2.5</v>
          </cell>
          <cell r="W54">
            <v>2.5</v>
          </cell>
          <cell r="X54">
            <v>2.5</v>
          </cell>
          <cell r="Y54">
            <v>2.5</v>
          </cell>
          <cell r="Z54">
            <v>2.5</v>
          </cell>
          <cell r="AA54">
            <v>2.5</v>
          </cell>
          <cell r="AB54">
            <v>2.5</v>
          </cell>
          <cell r="AC54">
            <v>2.5</v>
          </cell>
          <cell r="AD54">
            <v>2.5</v>
          </cell>
          <cell r="AE54">
            <v>2.5</v>
          </cell>
          <cell r="AF54">
            <v>2.5</v>
          </cell>
          <cell r="AG54">
            <v>2.5</v>
          </cell>
          <cell r="AH54">
            <v>2.5</v>
          </cell>
          <cell r="AI54">
            <v>2.5</v>
          </cell>
          <cell r="AJ54">
            <v>10.5</v>
          </cell>
          <cell r="AK54">
            <v>10.5</v>
          </cell>
          <cell r="AL54">
            <v>2.5</v>
          </cell>
          <cell r="AM54">
            <v>2.5</v>
          </cell>
          <cell r="AN54">
            <v>2.5</v>
          </cell>
          <cell r="AO54" t="str">
            <v>x</v>
          </cell>
          <cell r="AP54">
            <v>30</v>
          </cell>
          <cell r="AQ54">
            <v>0</v>
          </cell>
          <cell r="AR54">
            <v>0</v>
          </cell>
          <cell r="AS54">
            <v>0</v>
          </cell>
          <cell r="AT54">
            <v>0</v>
          </cell>
          <cell r="AU54">
            <v>0</v>
          </cell>
          <cell r="AV54">
            <v>70</v>
          </cell>
          <cell r="AW54">
            <v>21</v>
          </cell>
          <cell r="AX54">
            <v>30</v>
          </cell>
          <cell r="AY54">
            <v>30</v>
          </cell>
          <cell r="AZ54">
            <v>30</v>
          </cell>
          <cell r="CG54">
            <v>63</v>
          </cell>
          <cell r="CH54">
            <v>6</v>
          </cell>
          <cell r="CM54">
            <v>123</v>
          </cell>
          <cell r="CN54" t="str">
            <v>Owed 123 rials Eid bonus, 63 hours 200%, 6 days desert allowance for Eid Al Adhah'2008 from 8th to 13th December'2008.</v>
          </cell>
        </row>
        <row r="55">
          <cell r="B55">
            <v>167</v>
          </cell>
          <cell r="C55" t="str">
            <v>SG</v>
          </cell>
          <cell r="D55" t="str">
            <v>Salim Mubarak Abdullah</v>
          </cell>
          <cell r="E55" t="str">
            <v>GPS Operator</v>
          </cell>
          <cell r="G55">
            <v>33270</v>
          </cell>
          <cell r="H55">
            <v>38132</v>
          </cell>
          <cell r="I55" t="str">
            <v>C</v>
          </cell>
          <cell r="J55" t="str">
            <v>Sh:3</v>
          </cell>
          <cell r="K55">
            <v>2.5</v>
          </cell>
          <cell r="L55">
            <v>2.5</v>
          </cell>
          <cell r="M55">
            <v>2.5</v>
          </cell>
          <cell r="N55">
            <v>2.5</v>
          </cell>
          <cell r="O55">
            <v>2.5</v>
          </cell>
          <cell r="P55">
            <v>2.5</v>
          </cell>
          <cell r="Q55">
            <v>2.5</v>
          </cell>
          <cell r="R55" t="str">
            <v>L</v>
          </cell>
          <cell r="S55" t="str">
            <v>L</v>
          </cell>
          <cell r="T55" t="str">
            <v>L</v>
          </cell>
          <cell r="U55" t="str">
            <v>L</v>
          </cell>
          <cell r="V55" t="str">
            <v>L</v>
          </cell>
          <cell r="W55" t="str">
            <v>L</v>
          </cell>
          <cell r="X55" t="str">
            <v>L</v>
          </cell>
          <cell r="Y55" t="str">
            <v>L</v>
          </cell>
          <cell r="Z55" t="str">
            <v>L</v>
          </cell>
          <cell r="AA55" t="str">
            <v>L</v>
          </cell>
          <cell r="AB55" t="str">
            <v>L</v>
          </cell>
          <cell r="AC55" t="str">
            <v>L</v>
          </cell>
          <cell r="AD55" t="str">
            <v>L</v>
          </cell>
          <cell r="AE55" t="str">
            <v>L</v>
          </cell>
          <cell r="AF55">
            <v>2.5</v>
          </cell>
          <cell r="AG55">
            <v>2.5</v>
          </cell>
          <cell r="AH55">
            <v>2.5</v>
          </cell>
          <cell r="AI55">
            <v>2.5</v>
          </cell>
          <cell r="AJ55">
            <v>10.5</v>
          </cell>
          <cell r="AK55">
            <v>10.5</v>
          </cell>
          <cell r="AL55">
            <v>2.5</v>
          </cell>
          <cell r="AM55">
            <v>2.5</v>
          </cell>
          <cell r="AN55">
            <v>2.5</v>
          </cell>
          <cell r="AO55" t="str">
            <v>x</v>
          </cell>
          <cell r="AP55">
            <v>16</v>
          </cell>
          <cell r="AQ55">
            <v>14</v>
          </cell>
          <cell r="AR55">
            <v>0</v>
          </cell>
          <cell r="AS55">
            <v>0</v>
          </cell>
          <cell r="AT55">
            <v>0</v>
          </cell>
          <cell r="AU55">
            <v>0</v>
          </cell>
          <cell r="AV55">
            <v>35</v>
          </cell>
          <cell r="AW55">
            <v>21</v>
          </cell>
          <cell r="AX55">
            <v>30</v>
          </cell>
          <cell r="AY55">
            <v>16</v>
          </cell>
          <cell r="AZ55">
            <v>30</v>
          </cell>
          <cell r="CF55">
            <v>45</v>
          </cell>
          <cell r="CG55">
            <v>63</v>
          </cell>
          <cell r="CH55">
            <v>6</v>
          </cell>
          <cell r="CM55">
            <v>123</v>
          </cell>
          <cell r="CN55" t="str">
            <v>Owed 45 hours overtime extra overtime from 23rd and 25th and 27th to 29th October'2008. Owed 123 rials Eid bonus, 63 hours 200%, 6 days desert allowance for Eid Al Adhah'2008 from 8th to 13th December'2008.</v>
          </cell>
        </row>
        <row r="56">
          <cell r="B56">
            <v>168</v>
          </cell>
          <cell r="C56" t="str">
            <v>AN</v>
          </cell>
          <cell r="D56" t="str">
            <v>Lahimar Sulaiyam Haid</v>
          </cell>
          <cell r="E56" t="str">
            <v>Heavy Duty Dvr</v>
          </cell>
          <cell r="G56">
            <v>33270</v>
          </cell>
          <cell r="H56">
            <v>38145</v>
          </cell>
          <cell r="I56" t="str">
            <v>E</v>
          </cell>
          <cell r="J56" t="str">
            <v>Sh:2</v>
          </cell>
          <cell r="K56" t="str">
            <v>L</v>
          </cell>
          <cell r="L56" t="str">
            <v>L</v>
          </cell>
          <cell r="M56" t="str">
            <v>L</v>
          </cell>
          <cell r="N56" t="str">
            <v>L</v>
          </cell>
          <cell r="O56" t="str">
            <v>L</v>
          </cell>
          <cell r="P56" t="str">
            <v>L</v>
          </cell>
          <cell r="Q56" t="str">
            <v>L</v>
          </cell>
          <cell r="R56" t="str">
            <v>S</v>
          </cell>
          <cell r="S56" t="str">
            <v>S</v>
          </cell>
          <cell r="T56" t="str">
            <v>L</v>
          </cell>
          <cell r="U56" t="str">
            <v>L</v>
          </cell>
          <cell r="V56">
            <v>2.5</v>
          </cell>
          <cell r="W56">
            <v>2.5</v>
          </cell>
          <cell r="X56">
            <v>4</v>
          </cell>
          <cell r="Y56">
            <v>3</v>
          </cell>
          <cell r="Z56">
            <v>2.5</v>
          </cell>
          <cell r="AA56" t="str">
            <v>S</v>
          </cell>
          <cell r="AB56">
            <v>2.5</v>
          </cell>
          <cell r="AC56">
            <v>2.5</v>
          </cell>
          <cell r="AD56">
            <v>2.5</v>
          </cell>
          <cell r="AE56">
            <v>2.5</v>
          </cell>
          <cell r="AF56">
            <v>2.5</v>
          </cell>
          <cell r="AG56">
            <v>2.5</v>
          </cell>
          <cell r="AH56">
            <v>2.5</v>
          </cell>
          <cell r="AI56">
            <v>2.5</v>
          </cell>
          <cell r="AJ56">
            <v>10.5</v>
          </cell>
          <cell r="AK56">
            <v>10.5</v>
          </cell>
          <cell r="AL56">
            <v>2.5</v>
          </cell>
          <cell r="AM56">
            <v>2.5</v>
          </cell>
          <cell r="AN56">
            <v>2.5</v>
          </cell>
          <cell r="AO56" t="str">
            <v>x</v>
          </cell>
          <cell r="AP56">
            <v>18</v>
          </cell>
          <cell r="AQ56">
            <v>9</v>
          </cell>
          <cell r="AR56">
            <v>3</v>
          </cell>
          <cell r="AS56">
            <v>0</v>
          </cell>
          <cell r="AT56">
            <v>0</v>
          </cell>
          <cell r="AU56">
            <v>0</v>
          </cell>
          <cell r="AV56">
            <v>42</v>
          </cell>
          <cell r="AW56">
            <v>21</v>
          </cell>
          <cell r="AX56">
            <v>30</v>
          </cell>
          <cell r="AY56">
            <v>18</v>
          </cell>
          <cell r="AZ56">
            <v>30</v>
          </cell>
          <cell r="CG56">
            <v>63</v>
          </cell>
          <cell r="CH56">
            <v>6</v>
          </cell>
          <cell r="CM56">
            <v>123</v>
          </cell>
          <cell r="CN56" t="str">
            <v>Owed 123 rials Eid bonus, 102 hours 200%, 6 days desert allowance for Eid Al Adhah'2008 from 8th to 13th December'2008.</v>
          </cell>
        </row>
        <row r="57">
          <cell r="B57">
            <v>171</v>
          </cell>
          <cell r="C57" t="str">
            <v>MA</v>
          </cell>
          <cell r="D57" t="str">
            <v>Rashid Khalfan Khamis</v>
          </cell>
          <cell r="E57" t="str">
            <v>Asst Mech ' Workshop '</v>
          </cell>
          <cell r="G57">
            <v>33276</v>
          </cell>
          <cell r="H57">
            <v>38136</v>
          </cell>
          <cell r="I57" t="str">
            <v>C</v>
          </cell>
          <cell r="J57" t="str">
            <v>Sh:1</v>
          </cell>
          <cell r="K57">
            <v>2</v>
          </cell>
          <cell r="L57">
            <v>2</v>
          </cell>
          <cell r="M57">
            <v>2</v>
          </cell>
          <cell r="N57">
            <v>2</v>
          </cell>
          <cell r="O57">
            <v>2</v>
          </cell>
          <cell r="P57">
            <v>2</v>
          </cell>
          <cell r="Q57">
            <v>2</v>
          </cell>
          <cell r="R57">
            <v>2</v>
          </cell>
          <cell r="S57">
            <v>2</v>
          </cell>
          <cell r="T57">
            <v>2</v>
          </cell>
          <cell r="U57">
            <v>2</v>
          </cell>
          <cell r="V57">
            <v>2</v>
          </cell>
          <cell r="W57">
            <v>2</v>
          </cell>
          <cell r="X57">
            <v>2</v>
          </cell>
          <cell r="Y57">
            <v>2</v>
          </cell>
          <cell r="Z57">
            <v>2</v>
          </cell>
          <cell r="AA57">
            <v>2</v>
          </cell>
          <cell r="AB57">
            <v>2</v>
          </cell>
          <cell r="AC57">
            <v>2</v>
          </cell>
          <cell r="AD57">
            <v>2</v>
          </cell>
          <cell r="AE57">
            <v>2</v>
          </cell>
          <cell r="AF57" t="str">
            <v>L</v>
          </cell>
          <cell r="AG57" t="str">
            <v>L</v>
          </cell>
          <cell r="AH57" t="str">
            <v>L</v>
          </cell>
          <cell r="AI57" t="str">
            <v>L</v>
          </cell>
          <cell r="AJ57" t="str">
            <v>L</v>
          </cell>
          <cell r="AK57" t="str">
            <v>L</v>
          </cell>
          <cell r="AL57" t="str">
            <v>L</v>
          </cell>
          <cell r="AM57" t="str">
            <v>L</v>
          </cell>
          <cell r="AN57" t="str">
            <v>L</v>
          </cell>
          <cell r="AO57" t="str">
            <v>x</v>
          </cell>
          <cell r="AP57">
            <v>21</v>
          </cell>
          <cell r="AQ57">
            <v>9</v>
          </cell>
          <cell r="AR57">
            <v>0</v>
          </cell>
          <cell r="AS57">
            <v>0</v>
          </cell>
          <cell r="AT57">
            <v>0</v>
          </cell>
          <cell r="AU57">
            <v>0</v>
          </cell>
          <cell r="AV57">
            <v>42</v>
          </cell>
          <cell r="AW57">
            <v>0</v>
          </cell>
          <cell r="AX57">
            <v>30</v>
          </cell>
          <cell r="AY57">
            <v>21</v>
          </cell>
          <cell r="AZ57">
            <v>30</v>
          </cell>
          <cell r="CF57">
            <v>50</v>
          </cell>
          <cell r="CN57" t="str">
            <v xml:space="preserve">Owed 50 hours overtime extra overtime from 5th to to 7th and 25th to 31st October'2008. </v>
          </cell>
        </row>
        <row r="58">
          <cell r="B58">
            <v>178</v>
          </cell>
          <cell r="C58" t="str">
            <v>VM</v>
          </cell>
          <cell r="D58" t="str">
            <v>Hamoud Yasir Nasser</v>
          </cell>
          <cell r="E58" t="str">
            <v>Asst Mech ' Vibe '</v>
          </cell>
          <cell r="G58">
            <v>33570</v>
          </cell>
          <cell r="H58">
            <v>38145</v>
          </cell>
          <cell r="I58" t="str">
            <v>E</v>
          </cell>
          <cell r="J58" t="str">
            <v>Sh:3</v>
          </cell>
          <cell r="K58">
            <v>2</v>
          </cell>
          <cell r="L58">
            <v>2</v>
          </cell>
          <cell r="M58">
            <v>2</v>
          </cell>
          <cell r="N58">
            <v>2</v>
          </cell>
          <cell r="O58">
            <v>2</v>
          </cell>
          <cell r="P58">
            <v>2</v>
          </cell>
          <cell r="Q58">
            <v>2</v>
          </cell>
          <cell r="R58" t="str">
            <v>L</v>
          </cell>
          <cell r="S58" t="str">
            <v>L</v>
          </cell>
          <cell r="T58" t="str">
            <v>L</v>
          </cell>
          <cell r="U58" t="str">
            <v>L</v>
          </cell>
          <cell r="V58" t="str">
            <v>L</v>
          </cell>
          <cell r="W58" t="str">
            <v>L</v>
          </cell>
          <cell r="X58" t="str">
            <v>L</v>
          </cell>
          <cell r="Y58" t="str">
            <v>L</v>
          </cell>
          <cell r="Z58" t="str">
            <v>L</v>
          </cell>
          <cell r="AA58" t="str">
            <v>L</v>
          </cell>
          <cell r="AB58" t="str">
            <v>L</v>
          </cell>
          <cell r="AC58" t="str">
            <v>L</v>
          </cell>
          <cell r="AD58" t="str">
            <v>L</v>
          </cell>
          <cell r="AE58" t="str">
            <v>L</v>
          </cell>
          <cell r="AF58">
            <v>2</v>
          </cell>
          <cell r="AG58">
            <v>2</v>
          </cell>
          <cell r="AH58">
            <v>2</v>
          </cell>
          <cell r="AI58">
            <v>2</v>
          </cell>
          <cell r="AJ58">
            <v>10</v>
          </cell>
          <cell r="AK58">
            <v>10</v>
          </cell>
          <cell r="AL58">
            <v>2</v>
          </cell>
          <cell r="AM58">
            <v>2</v>
          </cell>
          <cell r="AN58">
            <v>2</v>
          </cell>
          <cell r="AO58" t="str">
            <v>x</v>
          </cell>
          <cell r="AP58">
            <v>16</v>
          </cell>
          <cell r="AQ58">
            <v>14</v>
          </cell>
          <cell r="AR58">
            <v>0</v>
          </cell>
          <cell r="AS58">
            <v>0</v>
          </cell>
          <cell r="AT58">
            <v>0</v>
          </cell>
          <cell r="AU58">
            <v>0</v>
          </cell>
          <cell r="AV58">
            <v>28</v>
          </cell>
          <cell r="AW58">
            <v>20</v>
          </cell>
          <cell r="AX58">
            <v>30</v>
          </cell>
          <cell r="AY58">
            <v>16</v>
          </cell>
          <cell r="AZ58">
            <v>30</v>
          </cell>
          <cell r="CF58">
            <v>190</v>
          </cell>
          <cell r="CN58" t="str">
            <v>Owed 190 hours overtime extra overtime from 2nd to 4th and 11th to 31st October'2008.</v>
          </cell>
        </row>
        <row r="59">
          <cell r="B59">
            <v>181</v>
          </cell>
          <cell r="C59" t="str">
            <v>R</v>
          </cell>
          <cell r="D59" t="str">
            <v>Salim Ali Musabah Al Busaidi</v>
          </cell>
          <cell r="E59" t="str">
            <v>Group Foreman</v>
          </cell>
          <cell r="G59">
            <v>33573</v>
          </cell>
          <cell r="H59">
            <v>38145</v>
          </cell>
          <cell r="I59" t="str">
            <v>A</v>
          </cell>
          <cell r="J59" t="str">
            <v>Sh:1</v>
          </cell>
          <cell r="K59">
            <v>6.5</v>
          </cell>
          <cell r="L59">
            <v>6.5</v>
          </cell>
          <cell r="M59">
            <v>6.5</v>
          </cell>
          <cell r="N59">
            <v>2.5</v>
          </cell>
          <cell r="O59">
            <v>2.5</v>
          </cell>
          <cell r="P59" t="str">
            <v>S</v>
          </cell>
          <cell r="Q59" t="str">
            <v>S</v>
          </cell>
          <cell r="R59">
            <v>6.5</v>
          </cell>
          <cell r="S59">
            <v>6.5</v>
          </cell>
          <cell r="T59">
            <v>6.5</v>
          </cell>
          <cell r="U59">
            <v>6.5</v>
          </cell>
          <cell r="V59">
            <v>6.5</v>
          </cell>
          <cell r="W59">
            <v>0</v>
          </cell>
          <cell r="X59">
            <v>6.5</v>
          </cell>
          <cell r="Y59">
            <v>2.5</v>
          </cell>
          <cell r="Z59">
            <v>2.5</v>
          </cell>
          <cell r="AA59">
            <v>2.5</v>
          </cell>
          <cell r="AB59">
            <v>2.5</v>
          </cell>
          <cell r="AC59">
            <v>2.5</v>
          </cell>
          <cell r="AD59">
            <v>2.5</v>
          </cell>
          <cell r="AE59">
            <v>2.5</v>
          </cell>
          <cell r="AF59" t="str">
            <v>L</v>
          </cell>
          <cell r="AG59" t="str">
            <v>L</v>
          </cell>
          <cell r="AH59" t="str">
            <v>L</v>
          </cell>
          <cell r="AI59" t="str">
            <v>L</v>
          </cell>
          <cell r="AJ59" t="str">
            <v>L</v>
          </cell>
          <cell r="AK59" t="str">
            <v>L</v>
          </cell>
          <cell r="AL59" t="str">
            <v>L</v>
          </cell>
          <cell r="AM59" t="str">
            <v>L</v>
          </cell>
          <cell r="AN59" t="str">
            <v>L</v>
          </cell>
          <cell r="AO59" t="str">
            <v>x</v>
          </cell>
          <cell r="AP59">
            <v>19</v>
          </cell>
          <cell r="AQ59">
            <v>9</v>
          </cell>
          <cell r="AR59">
            <v>2</v>
          </cell>
          <cell r="AS59">
            <v>0</v>
          </cell>
          <cell r="AT59">
            <v>0</v>
          </cell>
          <cell r="AU59">
            <v>0</v>
          </cell>
          <cell r="AV59">
            <v>81</v>
          </cell>
          <cell r="AW59">
            <v>0</v>
          </cell>
          <cell r="AX59">
            <v>30</v>
          </cell>
          <cell r="AY59">
            <v>19</v>
          </cell>
          <cell r="AZ59">
            <v>30</v>
          </cell>
          <cell r="CF59">
            <v>28</v>
          </cell>
          <cell r="CN59" t="str">
            <v>Owed 28 hours overtime extra overtime from 25th to 31st October'2008.</v>
          </cell>
        </row>
        <row r="60">
          <cell r="B60">
            <v>182</v>
          </cell>
          <cell r="C60" t="str">
            <v>R</v>
          </cell>
          <cell r="D60" t="str">
            <v>Sulaiman Salim Dhahi Al Ghafri</v>
          </cell>
          <cell r="E60" t="str">
            <v>Labour / Cable</v>
          </cell>
          <cell r="G60">
            <v>33573</v>
          </cell>
          <cell r="H60">
            <v>38093</v>
          </cell>
          <cell r="I60" t="str">
            <v>A</v>
          </cell>
          <cell r="J60" t="str">
            <v>Sh:1</v>
          </cell>
          <cell r="K60">
            <v>12</v>
          </cell>
          <cell r="L60">
            <v>12</v>
          </cell>
          <cell r="M60">
            <v>8.5</v>
          </cell>
          <cell r="N60">
            <v>11</v>
          </cell>
          <cell r="O60">
            <v>11</v>
          </cell>
          <cell r="P60">
            <v>11</v>
          </cell>
          <cell r="Q60">
            <v>11</v>
          </cell>
          <cell r="R60">
            <v>11</v>
          </cell>
          <cell r="S60">
            <v>11</v>
          </cell>
          <cell r="T60">
            <v>11</v>
          </cell>
          <cell r="U60">
            <v>11</v>
          </cell>
          <cell r="V60">
            <v>11</v>
          </cell>
          <cell r="W60">
            <v>11</v>
          </cell>
          <cell r="X60">
            <v>11</v>
          </cell>
          <cell r="Y60">
            <v>11</v>
          </cell>
          <cell r="Z60">
            <v>4</v>
          </cell>
          <cell r="AA60">
            <v>4</v>
          </cell>
          <cell r="AB60">
            <v>4</v>
          </cell>
          <cell r="AC60">
            <v>4</v>
          </cell>
          <cell r="AD60">
            <v>4</v>
          </cell>
          <cell r="AE60">
            <v>4</v>
          </cell>
          <cell r="AF60" t="str">
            <v>L</v>
          </cell>
          <cell r="AG60" t="str">
            <v>L</v>
          </cell>
          <cell r="AH60" t="str">
            <v>L</v>
          </cell>
          <cell r="AI60" t="str">
            <v>L</v>
          </cell>
          <cell r="AJ60" t="str">
            <v>L</v>
          </cell>
          <cell r="AK60" t="str">
            <v>L</v>
          </cell>
          <cell r="AL60" t="str">
            <v>L</v>
          </cell>
          <cell r="AM60" t="str">
            <v>L</v>
          </cell>
          <cell r="AN60" t="str">
            <v>L</v>
          </cell>
          <cell r="AO60" t="str">
            <v>x</v>
          </cell>
          <cell r="AP60">
            <v>21</v>
          </cell>
          <cell r="AQ60">
            <v>9</v>
          </cell>
          <cell r="AR60">
            <v>0</v>
          </cell>
          <cell r="AS60">
            <v>0</v>
          </cell>
          <cell r="AT60">
            <v>0</v>
          </cell>
          <cell r="AU60">
            <v>0</v>
          </cell>
          <cell r="AV60">
            <v>188.5</v>
          </cell>
          <cell r="AW60">
            <v>0</v>
          </cell>
          <cell r="AX60">
            <v>30</v>
          </cell>
          <cell r="AY60">
            <v>21</v>
          </cell>
          <cell r="AZ60">
            <v>30</v>
          </cell>
          <cell r="CF60">
            <v>32</v>
          </cell>
          <cell r="CG60">
            <v>72</v>
          </cell>
          <cell r="CH60">
            <v>6</v>
          </cell>
          <cell r="CM60">
            <v>123</v>
          </cell>
          <cell r="CN60" t="str">
            <v>Owed 32 hours overtime extra overtime from 25th to 31st October'2008. Owed 123 rials Eid bonus, 72 hours 200%, 6 days desert allowance for Eid Al Adhah'2008 from 8th to 13th December'2008.</v>
          </cell>
        </row>
        <row r="61">
          <cell r="B61">
            <v>184</v>
          </cell>
          <cell r="C61" t="str">
            <v>R</v>
          </cell>
          <cell r="D61" t="str">
            <v>Habib Mohamed Harib Al Dara'I</v>
          </cell>
          <cell r="E61" t="str">
            <v>Group Foreman</v>
          </cell>
          <cell r="G61">
            <v>33640</v>
          </cell>
          <cell r="H61">
            <v>38145</v>
          </cell>
          <cell r="I61" t="str">
            <v>A</v>
          </cell>
          <cell r="J61" t="str">
            <v>Sh:3</v>
          </cell>
          <cell r="K61">
            <v>5.5</v>
          </cell>
          <cell r="L61">
            <v>5.5</v>
          </cell>
          <cell r="M61">
            <v>5.5</v>
          </cell>
          <cell r="N61">
            <v>5.5</v>
          </cell>
          <cell r="O61">
            <v>5.5</v>
          </cell>
          <cell r="P61">
            <v>5.5</v>
          </cell>
          <cell r="Q61">
            <v>2.5</v>
          </cell>
          <cell r="R61" t="str">
            <v>L</v>
          </cell>
          <cell r="S61" t="str">
            <v>L</v>
          </cell>
          <cell r="T61" t="str">
            <v>L</v>
          </cell>
          <cell r="U61" t="str">
            <v>L</v>
          </cell>
          <cell r="V61" t="str">
            <v>L</v>
          </cell>
          <cell r="W61" t="str">
            <v>L</v>
          </cell>
          <cell r="X61" t="str">
            <v>L</v>
          </cell>
          <cell r="Y61" t="str">
            <v>L</v>
          </cell>
          <cell r="Z61" t="str">
            <v>L</v>
          </cell>
          <cell r="AA61" t="str">
            <v>L</v>
          </cell>
          <cell r="AB61" t="str">
            <v>L</v>
          </cell>
          <cell r="AC61" t="str">
            <v>L</v>
          </cell>
          <cell r="AD61" t="str">
            <v>L</v>
          </cell>
          <cell r="AE61" t="str">
            <v>L</v>
          </cell>
          <cell r="AF61">
            <v>2.5</v>
          </cell>
          <cell r="AG61">
            <v>2.5</v>
          </cell>
          <cell r="AH61">
            <v>2.5</v>
          </cell>
          <cell r="AI61">
            <v>2.5</v>
          </cell>
          <cell r="AJ61">
            <v>10.5</v>
          </cell>
          <cell r="AK61">
            <v>10.5</v>
          </cell>
          <cell r="AL61">
            <v>2.5</v>
          </cell>
          <cell r="AM61">
            <v>2.5</v>
          </cell>
          <cell r="AN61">
            <v>2.5</v>
          </cell>
          <cell r="AO61" t="str">
            <v>x</v>
          </cell>
          <cell r="AP61">
            <v>16</v>
          </cell>
          <cell r="AQ61">
            <v>14</v>
          </cell>
          <cell r="AR61">
            <v>0</v>
          </cell>
          <cell r="AS61">
            <v>0</v>
          </cell>
          <cell r="AT61">
            <v>0</v>
          </cell>
          <cell r="AU61">
            <v>0</v>
          </cell>
          <cell r="AV61">
            <v>53</v>
          </cell>
          <cell r="AW61">
            <v>21</v>
          </cell>
          <cell r="AX61">
            <v>30</v>
          </cell>
          <cell r="AY61">
            <v>16</v>
          </cell>
          <cell r="AZ61">
            <v>30</v>
          </cell>
          <cell r="CF61">
            <v>48</v>
          </cell>
          <cell r="CN61" t="str">
            <v>Owed 48 hours overtime extra overtime from 16th to 31st October'2008.</v>
          </cell>
        </row>
        <row r="62">
          <cell r="B62">
            <v>185</v>
          </cell>
          <cell r="C62" t="str">
            <v>VM</v>
          </cell>
          <cell r="D62" t="str">
            <v>Musallam Hamdan Salim Al Hina'I</v>
          </cell>
          <cell r="E62" t="str">
            <v>Asst Mech ' Vibe '</v>
          </cell>
          <cell r="G62">
            <v>33640</v>
          </cell>
          <cell r="H62">
            <v>38145</v>
          </cell>
          <cell r="I62" t="str">
            <v>C</v>
          </cell>
          <cell r="J62" t="str">
            <v>Sh:1</v>
          </cell>
          <cell r="K62" t="str">
            <v>H</v>
          </cell>
          <cell r="L62" t="str">
            <v>H</v>
          </cell>
          <cell r="M62" t="str">
            <v>H</v>
          </cell>
          <cell r="N62" t="str">
            <v>H</v>
          </cell>
          <cell r="O62" t="str">
            <v>H</v>
          </cell>
          <cell r="P62" t="str">
            <v>H</v>
          </cell>
          <cell r="Q62" t="str">
            <v>H</v>
          </cell>
          <cell r="R62" t="str">
            <v>H</v>
          </cell>
          <cell r="S62" t="str">
            <v>H</v>
          </cell>
          <cell r="T62" t="str">
            <v>H</v>
          </cell>
          <cell r="U62" t="str">
            <v>H</v>
          </cell>
          <cell r="V62" t="str">
            <v>H</v>
          </cell>
          <cell r="W62" t="str">
            <v>H</v>
          </cell>
          <cell r="X62" t="str">
            <v>H</v>
          </cell>
          <cell r="Y62" t="str">
            <v>H</v>
          </cell>
          <cell r="Z62" t="str">
            <v>H</v>
          </cell>
          <cell r="AA62" t="str">
            <v>H</v>
          </cell>
          <cell r="AB62" t="str">
            <v>H</v>
          </cell>
          <cell r="AC62" t="str">
            <v>H</v>
          </cell>
          <cell r="AD62" t="str">
            <v>H</v>
          </cell>
          <cell r="AE62" t="str">
            <v>H</v>
          </cell>
          <cell r="AF62" t="str">
            <v>H</v>
          </cell>
          <cell r="AG62" t="str">
            <v>H</v>
          </cell>
          <cell r="AH62" t="str">
            <v>H</v>
          </cell>
          <cell r="AI62" t="str">
            <v>H</v>
          </cell>
          <cell r="AJ62" t="str">
            <v>H</v>
          </cell>
          <cell r="AK62" t="str">
            <v>H</v>
          </cell>
          <cell r="AL62" t="str">
            <v>H</v>
          </cell>
          <cell r="AM62" t="str">
            <v>H</v>
          </cell>
          <cell r="AN62" t="str">
            <v>H</v>
          </cell>
          <cell r="AO62" t="str">
            <v>x</v>
          </cell>
          <cell r="AP62">
            <v>0</v>
          </cell>
          <cell r="AQ62">
            <v>0</v>
          </cell>
          <cell r="AR62">
            <v>0</v>
          </cell>
          <cell r="AS62">
            <v>0</v>
          </cell>
          <cell r="AT62">
            <v>0</v>
          </cell>
          <cell r="AU62">
            <v>30</v>
          </cell>
          <cell r="AV62">
            <v>0</v>
          </cell>
          <cell r="AW62">
            <v>0</v>
          </cell>
          <cell r="AX62">
            <v>0</v>
          </cell>
          <cell r="AY62">
            <v>0</v>
          </cell>
          <cell r="AZ62">
            <v>0</v>
          </cell>
        </row>
        <row r="63">
          <cell r="B63">
            <v>189</v>
          </cell>
          <cell r="C63" t="str">
            <v>RL</v>
          </cell>
          <cell r="D63" t="str">
            <v>Sulaiman Sulaiyam Hamdan Al Hana'i</v>
          </cell>
          <cell r="E63" t="str">
            <v>Heavy Duty Dvr</v>
          </cell>
          <cell r="G63">
            <v>33738</v>
          </cell>
          <cell r="H63">
            <v>38145</v>
          </cell>
          <cell r="I63" t="str">
            <v>C</v>
          </cell>
          <cell r="J63" t="str">
            <v>Sh:3</v>
          </cell>
          <cell r="K63">
            <v>8</v>
          </cell>
          <cell r="L63">
            <v>8</v>
          </cell>
          <cell r="M63">
            <v>8</v>
          </cell>
          <cell r="N63">
            <v>8</v>
          </cell>
          <cell r="O63">
            <v>8</v>
          </cell>
          <cell r="P63">
            <v>8</v>
          </cell>
          <cell r="Q63">
            <v>8</v>
          </cell>
          <cell r="R63" t="str">
            <v>L</v>
          </cell>
          <cell r="S63" t="str">
            <v>L</v>
          </cell>
          <cell r="T63" t="str">
            <v>L</v>
          </cell>
          <cell r="U63" t="str">
            <v>L</v>
          </cell>
          <cell r="V63" t="str">
            <v>L</v>
          </cell>
          <cell r="W63" t="str">
            <v>L</v>
          </cell>
          <cell r="X63" t="str">
            <v>L</v>
          </cell>
          <cell r="Y63" t="str">
            <v>L</v>
          </cell>
          <cell r="Z63" t="str">
            <v>L</v>
          </cell>
          <cell r="AA63" t="str">
            <v>L</v>
          </cell>
          <cell r="AB63" t="str">
            <v>L</v>
          </cell>
          <cell r="AC63" t="str">
            <v>L</v>
          </cell>
          <cell r="AD63" t="str">
            <v>L</v>
          </cell>
          <cell r="AE63" t="str">
            <v>L</v>
          </cell>
          <cell r="AF63">
            <v>2.5</v>
          </cell>
          <cell r="AG63">
            <v>2.5</v>
          </cell>
          <cell r="AH63">
            <v>2.5</v>
          </cell>
          <cell r="AI63">
            <v>2.5</v>
          </cell>
          <cell r="AJ63">
            <v>10.5</v>
          </cell>
          <cell r="AK63">
            <v>10.5</v>
          </cell>
          <cell r="AL63">
            <v>2.5</v>
          </cell>
          <cell r="AM63">
            <v>2.5</v>
          </cell>
          <cell r="AN63">
            <v>2.5</v>
          </cell>
          <cell r="AO63" t="str">
            <v>x</v>
          </cell>
          <cell r="AP63">
            <v>16</v>
          </cell>
          <cell r="AQ63">
            <v>14</v>
          </cell>
          <cell r="AR63">
            <v>0</v>
          </cell>
          <cell r="AS63">
            <v>0</v>
          </cell>
          <cell r="AT63">
            <v>0</v>
          </cell>
          <cell r="AU63">
            <v>0</v>
          </cell>
          <cell r="AV63">
            <v>73.5</v>
          </cell>
          <cell r="AW63">
            <v>21</v>
          </cell>
          <cell r="AX63">
            <v>30</v>
          </cell>
          <cell r="AY63">
            <v>16</v>
          </cell>
          <cell r="AZ63">
            <v>30</v>
          </cell>
          <cell r="CF63">
            <v>67.5</v>
          </cell>
          <cell r="CN63" t="str">
            <v>Owed 67.5 hours overtime extra overtime from 16th to 24th and 25th to 31st October'2008.</v>
          </cell>
        </row>
        <row r="64">
          <cell r="B64">
            <v>194</v>
          </cell>
          <cell r="C64" t="str">
            <v>SH</v>
          </cell>
          <cell r="D64" t="str">
            <v>Ahmed Mohamed Ahmed Al Mahrouqi</v>
          </cell>
          <cell r="E64" t="str">
            <v>Mechanic</v>
          </cell>
          <cell r="G64">
            <v>27441</v>
          </cell>
          <cell r="H64">
            <v>38145</v>
          </cell>
          <cell r="I64" t="str">
            <v>E</v>
          </cell>
          <cell r="J64" t="str">
            <v>Sh:2</v>
          </cell>
          <cell r="K64" t="str">
            <v>L</v>
          </cell>
          <cell r="L64" t="str">
            <v>L</v>
          </cell>
          <cell r="M64" t="str">
            <v>L</v>
          </cell>
          <cell r="N64" t="str">
            <v>L</v>
          </cell>
          <cell r="O64" t="str">
            <v>L</v>
          </cell>
          <cell r="P64" t="str">
            <v>L</v>
          </cell>
          <cell r="Q64" t="str">
            <v>L</v>
          </cell>
          <cell r="R64">
            <v>2</v>
          </cell>
          <cell r="S64">
            <v>2</v>
          </cell>
          <cell r="T64">
            <v>2</v>
          </cell>
          <cell r="U64">
            <v>2</v>
          </cell>
          <cell r="V64">
            <v>2</v>
          </cell>
          <cell r="W64">
            <v>2</v>
          </cell>
          <cell r="X64">
            <v>2</v>
          </cell>
          <cell r="Y64">
            <v>2</v>
          </cell>
          <cell r="Z64">
            <v>2</v>
          </cell>
          <cell r="AA64">
            <v>2</v>
          </cell>
          <cell r="AB64" t="str">
            <v>C</v>
          </cell>
          <cell r="AC64" t="str">
            <v>C</v>
          </cell>
          <cell r="AD64">
            <v>2</v>
          </cell>
          <cell r="AE64">
            <v>2</v>
          </cell>
          <cell r="AF64">
            <v>2</v>
          </cell>
          <cell r="AG64">
            <v>2</v>
          </cell>
          <cell r="AH64">
            <v>2</v>
          </cell>
          <cell r="AI64">
            <v>2</v>
          </cell>
          <cell r="AJ64">
            <v>10</v>
          </cell>
          <cell r="AK64">
            <v>10</v>
          </cell>
          <cell r="AL64">
            <v>2</v>
          </cell>
          <cell r="AM64">
            <v>2</v>
          </cell>
          <cell r="AN64">
            <v>2</v>
          </cell>
          <cell r="AO64" t="str">
            <v>x</v>
          </cell>
          <cell r="AP64">
            <v>21</v>
          </cell>
          <cell r="AQ64">
            <v>9</v>
          </cell>
          <cell r="AR64">
            <v>0</v>
          </cell>
          <cell r="AS64">
            <v>0</v>
          </cell>
          <cell r="AT64">
            <v>0</v>
          </cell>
          <cell r="AU64">
            <v>0</v>
          </cell>
          <cell r="AV64">
            <v>38</v>
          </cell>
          <cell r="AW64">
            <v>20</v>
          </cell>
          <cell r="AX64">
            <v>30</v>
          </cell>
          <cell r="AY64">
            <v>21</v>
          </cell>
          <cell r="AZ64">
            <v>30</v>
          </cell>
          <cell r="CF64">
            <v>113</v>
          </cell>
          <cell r="CG64">
            <v>60</v>
          </cell>
          <cell r="CH64">
            <v>6</v>
          </cell>
          <cell r="CM64">
            <v>123</v>
          </cell>
          <cell r="CN64" t="str">
            <v>Owed 113 hours overtime extra overtime from 2nd to 7th and 10th to 24th October'2008. Owed 123 rials Eid bonus, 60 hours 200%, 6 days desert allowance for Eid Al Adhah'2008 from 8th to 13th December'2008.</v>
          </cell>
        </row>
        <row r="65">
          <cell r="B65">
            <v>196</v>
          </cell>
          <cell r="C65" t="str">
            <v>V</v>
          </cell>
          <cell r="D65" t="str">
            <v>Ali Said Salim</v>
          </cell>
          <cell r="E65" t="str">
            <v>Vibe Operator</v>
          </cell>
          <cell r="G65">
            <v>33909</v>
          </cell>
          <cell r="H65">
            <v>38145</v>
          </cell>
          <cell r="I65" t="str">
            <v>E</v>
          </cell>
          <cell r="J65" t="str">
            <v>Sh:1</v>
          </cell>
          <cell r="K65">
            <v>8</v>
          </cell>
          <cell r="L65">
            <v>8</v>
          </cell>
          <cell r="M65">
            <v>8</v>
          </cell>
          <cell r="N65">
            <v>8</v>
          </cell>
          <cell r="O65">
            <v>8</v>
          </cell>
          <cell r="P65">
            <v>8</v>
          </cell>
          <cell r="Q65">
            <v>8</v>
          </cell>
          <cell r="R65">
            <v>8</v>
          </cell>
          <cell r="S65">
            <v>8</v>
          </cell>
          <cell r="T65">
            <v>8</v>
          </cell>
          <cell r="U65">
            <v>8</v>
          </cell>
          <cell r="V65">
            <v>8</v>
          </cell>
          <cell r="W65">
            <v>8</v>
          </cell>
          <cell r="X65">
            <v>9</v>
          </cell>
          <cell r="Y65">
            <v>9</v>
          </cell>
          <cell r="Z65">
            <v>9</v>
          </cell>
          <cell r="AA65">
            <v>9</v>
          </cell>
          <cell r="AB65">
            <v>9</v>
          </cell>
          <cell r="AC65">
            <v>9</v>
          </cell>
          <cell r="AD65">
            <v>9</v>
          </cell>
          <cell r="AE65">
            <v>9</v>
          </cell>
          <cell r="AF65" t="str">
            <v>L</v>
          </cell>
          <cell r="AG65" t="str">
            <v>L</v>
          </cell>
          <cell r="AH65" t="str">
            <v>L</v>
          </cell>
          <cell r="AI65" t="str">
            <v>L</v>
          </cell>
          <cell r="AJ65" t="str">
            <v>L</v>
          </cell>
          <cell r="AK65" t="str">
            <v>L</v>
          </cell>
          <cell r="AL65" t="str">
            <v>L</v>
          </cell>
          <cell r="AM65" t="str">
            <v>L</v>
          </cell>
          <cell r="AN65" t="str">
            <v>L</v>
          </cell>
          <cell r="AO65" t="str">
            <v>x</v>
          </cell>
          <cell r="AP65">
            <v>21</v>
          </cell>
          <cell r="AQ65">
            <v>9</v>
          </cell>
          <cell r="AR65">
            <v>0</v>
          </cell>
          <cell r="AS65">
            <v>0</v>
          </cell>
          <cell r="AT65">
            <v>0</v>
          </cell>
          <cell r="AU65">
            <v>0</v>
          </cell>
          <cell r="AV65">
            <v>176</v>
          </cell>
          <cell r="AW65">
            <v>0</v>
          </cell>
          <cell r="AX65">
            <v>30</v>
          </cell>
          <cell r="AY65">
            <v>21</v>
          </cell>
          <cell r="AZ65">
            <v>30</v>
          </cell>
          <cell r="CF65">
            <v>112</v>
          </cell>
          <cell r="CH65">
            <v>14</v>
          </cell>
          <cell r="CN65" t="str">
            <v>Owed 14 days desert allowance, 112 hours overtime is doubles shift from 11th to 24th October'2008.</v>
          </cell>
        </row>
        <row r="66">
          <cell r="B66">
            <v>197</v>
          </cell>
          <cell r="C66" t="str">
            <v>V</v>
          </cell>
          <cell r="D66" t="str">
            <v xml:space="preserve">Sulaiman Said Ali Al Mahrouqi </v>
          </cell>
          <cell r="E66" t="str">
            <v>Vibe Operator</v>
          </cell>
          <cell r="G66">
            <v>33909</v>
          </cell>
          <cell r="H66">
            <v>38145</v>
          </cell>
          <cell r="I66" t="str">
            <v>E</v>
          </cell>
          <cell r="J66" t="str">
            <v>Sh:1</v>
          </cell>
          <cell r="K66">
            <v>8</v>
          </cell>
          <cell r="L66">
            <v>8</v>
          </cell>
          <cell r="M66">
            <v>8</v>
          </cell>
          <cell r="N66">
            <v>8</v>
          </cell>
          <cell r="O66">
            <v>8</v>
          </cell>
          <cell r="P66">
            <v>8</v>
          </cell>
          <cell r="Q66">
            <v>8</v>
          </cell>
          <cell r="R66">
            <v>8</v>
          </cell>
          <cell r="S66">
            <v>8</v>
          </cell>
          <cell r="T66">
            <v>8</v>
          </cell>
          <cell r="U66" t="str">
            <v>S</v>
          </cell>
          <cell r="V66" t="str">
            <v>L</v>
          </cell>
          <cell r="W66">
            <v>8</v>
          </cell>
          <cell r="X66">
            <v>9</v>
          </cell>
          <cell r="Y66">
            <v>9</v>
          </cell>
          <cell r="Z66">
            <v>9</v>
          </cell>
          <cell r="AA66">
            <v>9</v>
          </cell>
          <cell r="AB66">
            <v>9</v>
          </cell>
          <cell r="AC66">
            <v>9</v>
          </cell>
          <cell r="AD66">
            <v>9</v>
          </cell>
          <cell r="AE66">
            <v>9</v>
          </cell>
          <cell r="AF66" t="str">
            <v>L</v>
          </cell>
          <cell r="AG66" t="str">
            <v>L</v>
          </cell>
          <cell r="AH66" t="str">
            <v>L</v>
          </cell>
          <cell r="AI66" t="str">
            <v>L</v>
          </cell>
          <cell r="AJ66" t="str">
            <v>L</v>
          </cell>
          <cell r="AK66" t="str">
            <v>L</v>
          </cell>
          <cell r="AL66" t="str">
            <v>L</v>
          </cell>
          <cell r="AM66" t="str">
            <v>L</v>
          </cell>
          <cell r="AN66" t="str">
            <v>L</v>
          </cell>
          <cell r="AO66" t="str">
            <v>x</v>
          </cell>
          <cell r="AP66">
            <v>19</v>
          </cell>
          <cell r="AQ66">
            <v>10</v>
          </cell>
          <cell r="AR66">
            <v>1</v>
          </cell>
          <cell r="AS66">
            <v>0</v>
          </cell>
          <cell r="AT66">
            <v>0</v>
          </cell>
          <cell r="AU66">
            <v>0</v>
          </cell>
          <cell r="AV66">
            <v>160</v>
          </cell>
          <cell r="AW66">
            <v>0</v>
          </cell>
          <cell r="AX66">
            <v>30</v>
          </cell>
          <cell r="AY66">
            <v>19</v>
          </cell>
          <cell r="AZ66">
            <v>30</v>
          </cell>
        </row>
        <row r="67">
          <cell r="B67">
            <v>198</v>
          </cell>
          <cell r="C67" t="str">
            <v>V</v>
          </cell>
          <cell r="D67" t="str">
            <v>Ali Ahmed Hamed</v>
          </cell>
          <cell r="E67" t="str">
            <v>Vibe Operator</v>
          </cell>
          <cell r="G67">
            <v>33909</v>
          </cell>
          <cell r="H67">
            <v>38145</v>
          </cell>
          <cell r="I67" t="str">
            <v>E</v>
          </cell>
          <cell r="J67" t="str">
            <v>Sh:1</v>
          </cell>
          <cell r="K67" t="str">
            <v>S</v>
          </cell>
          <cell r="L67" t="str">
            <v>S</v>
          </cell>
          <cell r="M67" t="str">
            <v>S</v>
          </cell>
          <cell r="N67" t="str">
            <v>S</v>
          </cell>
          <cell r="O67" t="str">
            <v>S</v>
          </cell>
          <cell r="P67" t="str">
            <v>S</v>
          </cell>
          <cell r="Q67" t="str">
            <v>S</v>
          </cell>
          <cell r="R67" t="str">
            <v>S</v>
          </cell>
          <cell r="S67" t="str">
            <v>S</v>
          </cell>
          <cell r="T67" t="str">
            <v>S</v>
          </cell>
          <cell r="U67">
            <v>8</v>
          </cell>
          <cell r="V67">
            <v>8</v>
          </cell>
          <cell r="W67">
            <v>8</v>
          </cell>
          <cell r="X67">
            <v>0</v>
          </cell>
          <cell r="Y67" t="str">
            <v>L</v>
          </cell>
          <cell r="Z67" t="str">
            <v>S</v>
          </cell>
          <cell r="AA67" t="str">
            <v>S</v>
          </cell>
          <cell r="AB67" t="str">
            <v>S</v>
          </cell>
          <cell r="AC67" t="str">
            <v>S</v>
          </cell>
          <cell r="AD67" t="str">
            <v>S</v>
          </cell>
          <cell r="AE67" t="str">
            <v>S</v>
          </cell>
          <cell r="AF67" t="str">
            <v>L</v>
          </cell>
          <cell r="AG67" t="str">
            <v>L</v>
          </cell>
          <cell r="AH67" t="str">
            <v>L</v>
          </cell>
          <cell r="AI67" t="str">
            <v>L</v>
          </cell>
          <cell r="AJ67" t="str">
            <v>L</v>
          </cell>
          <cell r="AK67" t="str">
            <v>L</v>
          </cell>
          <cell r="AL67" t="str">
            <v>L</v>
          </cell>
          <cell r="AM67" t="str">
            <v>L</v>
          </cell>
          <cell r="AN67" t="str">
            <v>L</v>
          </cell>
          <cell r="AO67" t="str">
            <v>x</v>
          </cell>
          <cell r="AP67">
            <v>4</v>
          </cell>
          <cell r="AQ67">
            <v>10</v>
          </cell>
          <cell r="AR67">
            <v>16</v>
          </cell>
          <cell r="AS67">
            <v>0</v>
          </cell>
          <cell r="AT67">
            <v>0</v>
          </cell>
          <cell r="AU67">
            <v>0</v>
          </cell>
          <cell r="AV67">
            <v>24</v>
          </cell>
          <cell r="AW67">
            <v>0</v>
          </cell>
          <cell r="AX67">
            <v>30</v>
          </cell>
          <cell r="AY67">
            <v>4</v>
          </cell>
          <cell r="AZ67">
            <v>30</v>
          </cell>
          <cell r="CF67">
            <v>-24</v>
          </cell>
          <cell r="CG67">
            <v>102</v>
          </cell>
          <cell r="CH67">
            <v>3</v>
          </cell>
          <cell r="CM67">
            <v>123</v>
          </cell>
          <cell r="CN67" t="str">
            <v>Deducted 3 days desert allowance, 24 hours overtime is sick from 29th to 31st October'2008. Owed 123 rials Eid bonus, 102 hours 200%, 6 days desert allowance for Eid Al Adhah'2008 from 8th to 13th December'2008.</v>
          </cell>
        </row>
        <row r="68">
          <cell r="B68">
            <v>199</v>
          </cell>
          <cell r="C68" t="str">
            <v>RL</v>
          </cell>
          <cell r="D68" t="str">
            <v>Ahmed Sa'ad Khalfan</v>
          </cell>
          <cell r="E68" t="str">
            <v>Vibe Operator</v>
          </cell>
          <cell r="G68">
            <v>33920</v>
          </cell>
          <cell r="H68">
            <v>38145</v>
          </cell>
          <cell r="I68" t="str">
            <v>E</v>
          </cell>
          <cell r="J68" t="str">
            <v>Sh:3</v>
          </cell>
          <cell r="K68">
            <v>8</v>
          </cell>
          <cell r="L68">
            <v>8</v>
          </cell>
          <cell r="M68">
            <v>8</v>
          </cell>
          <cell r="N68">
            <v>8</v>
          </cell>
          <cell r="O68">
            <v>8</v>
          </cell>
          <cell r="P68">
            <v>8</v>
          </cell>
          <cell r="Q68">
            <v>8</v>
          </cell>
          <cell r="R68" t="str">
            <v>L</v>
          </cell>
          <cell r="S68" t="str">
            <v>L</v>
          </cell>
          <cell r="T68" t="str">
            <v>L</v>
          </cell>
          <cell r="U68" t="str">
            <v>L</v>
          </cell>
          <cell r="V68" t="str">
            <v>L</v>
          </cell>
          <cell r="W68" t="str">
            <v>L</v>
          </cell>
          <cell r="X68" t="str">
            <v>L</v>
          </cell>
          <cell r="Y68" t="str">
            <v>L</v>
          </cell>
          <cell r="Z68" t="str">
            <v>L</v>
          </cell>
          <cell r="AA68" t="str">
            <v>L</v>
          </cell>
          <cell r="AB68" t="str">
            <v>L</v>
          </cell>
          <cell r="AC68" t="str">
            <v>L</v>
          </cell>
          <cell r="AD68" t="str">
            <v>L</v>
          </cell>
          <cell r="AE68" t="str">
            <v>L</v>
          </cell>
          <cell r="AF68">
            <v>9</v>
          </cell>
          <cell r="AG68">
            <v>9</v>
          </cell>
          <cell r="AH68">
            <v>9</v>
          </cell>
          <cell r="AI68">
            <v>9</v>
          </cell>
          <cell r="AJ68">
            <v>17</v>
          </cell>
          <cell r="AK68">
            <v>17</v>
          </cell>
          <cell r="AL68">
            <v>9</v>
          </cell>
          <cell r="AM68">
            <v>9</v>
          </cell>
          <cell r="AN68">
            <v>9</v>
          </cell>
          <cell r="AO68" t="str">
            <v>x</v>
          </cell>
          <cell r="AP68">
            <v>16</v>
          </cell>
          <cell r="AQ68">
            <v>14</v>
          </cell>
          <cell r="AR68">
            <v>0</v>
          </cell>
          <cell r="AS68">
            <v>0</v>
          </cell>
          <cell r="AT68">
            <v>0</v>
          </cell>
          <cell r="AU68">
            <v>0</v>
          </cell>
          <cell r="AV68">
            <v>119</v>
          </cell>
          <cell r="AW68">
            <v>34</v>
          </cell>
          <cell r="AX68">
            <v>30</v>
          </cell>
          <cell r="AY68">
            <v>16</v>
          </cell>
          <cell r="AZ68">
            <v>30</v>
          </cell>
        </row>
        <row r="69">
          <cell r="B69">
            <v>200</v>
          </cell>
          <cell r="C69" t="str">
            <v>RL</v>
          </cell>
          <cell r="D69" t="str">
            <v>Salim Humaid Ali Al Hinai'I</v>
          </cell>
          <cell r="E69" t="str">
            <v>Group Foreman</v>
          </cell>
          <cell r="G69">
            <v>33920</v>
          </cell>
          <cell r="H69">
            <v>38147</v>
          </cell>
          <cell r="I69" t="str">
            <v>A</v>
          </cell>
          <cell r="J69" t="str">
            <v>Sh:1</v>
          </cell>
          <cell r="K69">
            <v>2.5</v>
          </cell>
          <cell r="L69">
            <v>2.5</v>
          </cell>
          <cell r="M69">
            <v>2.5</v>
          </cell>
          <cell r="N69">
            <v>2.5</v>
          </cell>
          <cell r="O69">
            <v>2.5</v>
          </cell>
          <cell r="P69">
            <v>2.5</v>
          </cell>
          <cell r="Q69">
            <v>2.5</v>
          </cell>
          <cell r="R69">
            <v>2.5</v>
          </cell>
          <cell r="S69">
            <v>2.5</v>
          </cell>
          <cell r="T69">
            <v>2.5</v>
          </cell>
          <cell r="U69">
            <v>2.5</v>
          </cell>
          <cell r="V69">
            <v>2.5</v>
          </cell>
          <cell r="W69">
            <v>2.5</v>
          </cell>
          <cell r="X69">
            <v>2.5</v>
          </cell>
          <cell r="Y69">
            <v>2.5</v>
          </cell>
          <cell r="Z69">
            <v>2.5</v>
          </cell>
          <cell r="AA69">
            <v>2.5</v>
          </cell>
          <cell r="AB69">
            <v>2.5</v>
          </cell>
          <cell r="AC69">
            <v>2.5</v>
          </cell>
          <cell r="AD69">
            <v>2.5</v>
          </cell>
          <cell r="AE69">
            <v>2.5</v>
          </cell>
          <cell r="AF69" t="str">
            <v>L</v>
          </cell>
          <cell r="AG69" t="str">
            <v>L</v>
          </cell>
          <cell r="AH69" t="str">
            <v>L</v>
          </cell>
          <cell r="AI69" t="str">
            <v>L</v>
          </cell>
          <cell r="AJ69" t="str">
            <v>L</v>
          </cell>
          <cell r="AK69" t="str">
            <v>L</v>
          </cell>
          <cell r="AL69" t="str">
            <v>L</v>
          </cell>
          <cell r="AM69" t="str">
            <v>L</v>
          </cell>
          <cell r="AN69" t="str">
            <v>L</v>
          </cell>
          <cell r="AO69" t="str">
            <v>x</v>
          </cell>
          <cell r="AP69">
            <v>21</v>
          </cell>
          <cell r="AQ69">
            <v>9</v>
          </cell>
          <cell r="AR69">
            <v>0</v>
          </cell>
          <cell r="AS69">
            <v>0</v>
          </cell>
          <cell r="AT69">
            <v>0</v>
          </cell>
          <cell r="AU69">
            <v>0</v>
          </cell>
          <cell r="AV69">
            <v>52.5</v>
          </cell>
          <cell r="AW69">
            <v>0</v>
          </cell>
          <cell r="AX69">
            <v>30</v>
          </cell>
          <cell r="AY69">
            <v>21</v>
          </cell>
          <cell r="AZ69">
            <v>30</v>
          </cell>
          <cell r="CF69">
            <v>86.5</v>
          </cell>
          <cell r="CN69" t="str">
            <v>Owed 86.5 hours overtime extra overtime from 1st to 9th and 25th to 31st October'2008.</v>
          </cell>
        </row>
        <row r="70">
          <cell r="B70">
            <v>204</v>
          </cell>
          <cell r="C70" t="str">
            <v>SH</v>
          </cell>
          <cell r="D70" t="str">
            <v>Mohamed Abdullah Said Al Mahrooqi</v>
          </cell>
          <cell r="E70" t="str">
            <v>Vibe Operator</v>
          </cell>
          <cell r="G70">
            <v>33970</v>
          </cell>
          <cell r="H70">
            <v>38145</v>
          </cell>
          <cell r="I70" t="str">
            <v>E</v>
          </cell>
          <cell r="J70" t="str">
            <v>Sh:2</v>
          </cell>
          <cell r="K70" t="str">
            <v>L</v>
          </cell>
          <cell r="L70" t="str">
            <v>L</v>
          </cell>
          <cell r="M70" t="str">
            <v>L</v>
          </cell>
          <cell r="N70" t="str">
            <v>L</v>
          </cell>
          <cell r="O70" t="str">
            <v>L</v>
          </cell>
          <cell r="P70" t="str">
            <v>L</v>
          </cell>
          <cell r="Q70" t="str">
            <v>L</v>
          </cell>
          <cell r="R70">
            <v>8</v>
          </cell>
          <cell r="S70">
            <v>8</v>
          </cell>
          <cell r="T70">
            <v>8</v>
          </cell>
          <cell r="U70">
            <v>8</v>
          </cell>
          <cell r="V70">
            <v>8</v>
          </cell>
          <cell r="W70">
            <v>8</v>
          </cell>
          <cell r="X70">
            <v>9</v>
          </cell>
          <cell r="Y70">
            <v>9</v>
          </cell>
          <cell r="Z70">
            <v>9</v>
          </cell>
          <cell r="AA70">
            <v>9</v>
          </cell>
          <cell r="AB70">
            <v>9</v>
          </cell>
          <cell r="AC70">
            <v>9</v>
          </cell>
          <cell r="AD70">
            <v>9</v>
          </cell>
          <cell r="AE70">
            <v>9</v>
          </cell>
          <cell r="AF70">
            <v>9</v>
          </cell>
          <cell r="AG70">
            <v>9</v>
          </cell>
          <cell r="AH70">
            <v>9</v>
          </cell>
          <cell r="AI70">
            <v>9</v>
          </cell>
          <cell r="AJ70">
            <v>17</v>
          </cell>
          <cell r="AK70">
            <v>17</v>
          </cell>
          <cell r="AL70">
            <v>9</v>
          </cell>
          <cell r="AM70">
            <v>9</v>
          </cell>
          <cell r="AN70">
            <v>9</v>
          </cell>
          <cell r="AO70" t="str">
            <v>x</v>
          </cell>
          <cell r="AP70">
            <v>23</v>
          </cell>
          <cell r="AQ70">
            <v>7</v>
          </cell>
          <cell r="AR70">
            <v>0</v>
          </cell>
          <cell r="AS70">
            <v>0</v>
          </cell>
          <cell r="AT70">
            <v>0</v>
          </cell>
          <cell r="AU70">
            <v>0</v>
          </cell>
          <cell r="AV70">
            <v>183</v>
          </cell>
          <cell r="AW70">
            <v>34</v>
          </cell>
          <cell r="AX70">
            <v>30</v>
          </cell>
          <cell r="AY70">
            <v>23</v>
          </cell>
          <cell r="AZ70">
            <v>30</v>
          </cell>
          <cell r="CG70">
            <v>102</v>
          </cell>
          <cell r="CH70">
            <v>6</v>
          </cell>
          <cell r="CM70">
            <v>123</v>
          </cell>
          <cell r="CN70" t="str">
            <v>Owed 123 rials Eid bonus, 102 hours 200%, 6 days desert allowance for Eid Al Adhah'2008 from 8th to 13th December'2008.</v>
          </cell>
        </row>
        <row r="71">
          <cell r="B71">
            <v>206</v>
          </cell>
          <cell r="C71" t="str">
            <v>RL</v>
          </cell>
          <cell r="D71" t="str">
            <v>Azan Sulaiman Mohamed</v>
          </cell>
          <cell r="E71" t="str">
            <v>GPS Operator</v>
          </cell>
          <cell r="G71">
            <v>34151</v>
          </cell>
          <cell r="H71">
            <v>38484</v>
          </cell>
          <cell r="I71" t="str">
            <v>C</v>
          </cell>
          <cell r="J71" t="str">
            <v>Sh:3</v>
          </cell>
          <cell r="K71">
            <v>2.5</v>
          </cell>
          <cell r="L71">
            <v>2.5</v>
          </cell>
          <cell r="M71">
            <v>2.5</v>
          </cell>
          <cell r="N71">
            <v>2.5</v>
          </cell>
          <cell r="O71">
            <v>2.5</v>
          </cell>
          <cell r="P71">
            <v>2.5</v>
          </cell>
          <cell r="Q71">
            <v>2.5</v>
          </cell>
          <cell r="R71" t="str">
            <v>L</v>
          </cell>
          <cell r="S71" t="str">
            <v>L</v>
          </cell>
          <cell r="T71" t="str">
            <v>L</v>
          </cell>
          <cell r="U71" t="str">
            <v>L</v>
          </cell>
          <cell r="V71" t="str">
            <v>L</v>
          </cell>
          <cell r="W71" t="str">
            <v>L</v>
          </cell>
          <cell r="X71" t="str">
            <v>L</v>
          </cell>
          <cell r="Y71" t="str">
            <v>L</v>
          </cell>
          <cell r="Z71" t="str">
            <v>L</v>
          </cell>
          <cell r="AA71" t="str">
            <v>L</v>
          </cell>
          <cell r="AB71" t="str">
            <v>L</v>
          </cell>
          <cell r="AC71" t="str">
            <v>L</v>
          </cell>
          <cell r="AD71" t="str">
            <v>L</v>
          </cell>
          <cell r="AE71" t="str">
            <v>L</v>
          </cell>
          <cell r="AF71">
            <v>2.5</v>
          </cell>
          <cell r="AG71">
            <v>2.5</v>
          </cell>
          <cell r="AH71">
            <v>2.5</v>
          </cell>
          <cell r="AI71">
            <v>2.5</v>
          </cell>
          <cell r="AJ71">
            <v>10.5</v>
          </cell>
          <cell r="AK71">
            <v>10.5</v>
          </cell>
          <cell r="AL71">
            <v>2.5</v>
          </cell>
          <cell r="AM71">
            <v>2.5</v>
          </cell>
          <cell r="AN71">
            <v>2.5</v>
          </cell>
          <cell r="AO71" t="str">
            <v>x</v>
          </cell>
          <cell r="AP71">
            <v>16</v>
          </cell>
          <cell r="AQ71">
            <v>14</v>
          </cell>
          <cell r="AR71">
            <v>0</v>
          </cell>
          <cell r="AS71">
            <v>0</v>
          </cell>
          <cell r="AT71">
            <v>0</v>
          </cell>
          <cell r="AU71">
            <v>0</v>
          </cell>
          <cell r="AV71">
            <v>35</v>
          </cell>
          <cell r="AW71">
            <v>21</v>
          </cell>
          <cell r="AX71">
            <v>30</v>
          </cell>
          <cell r="AY71">
            <v>16</v>
          </cell>
          <cell r="AZ71">
            <v>30</v>
          </cell>
          <cell r="CF71">
            <v>12</v>
          </cell>
          <cell r="CG71">
            <v>63</v>
          </cell>
          <cell r="CH71">
            <v>6</v>
          </cell>
          <cell r="CM71">
            <v>123</v>
          </cell>
          <cell r="CN71" t="str">
            <v>Owed 12 hours overtime extra overtime from 12th to 14th October'2008. Owed 123 rials Eid bonus, 63 hours 200%, 6 days desert allowance for Eid Al Adhah'2008 from 8th to 13th December'2008.</v>
          </cell>
        </row>
        <row r="72">
          <cell r="B72">
            <v>207</v>
          </cell>
          <cell r="C72" t="str">
            <v>SH</v>
          </cell>
          <cell r="D72" t="str">
            <v>Saif Abdullah Saif Al Harassi</v>
          </cell>
          <cell r="E72" t="str">
            <v>Group Foreman</v>
          </cell>
          <cell r="G72">
            <v>34151</v>
          </cell>
          <cell r="H72">
            <v>38145</v>
          </cell>
          <cell r="I72" t="str">
            <v>A</v>
          </cell>
          <cell r="J72" t="str">
            <v>Sh:2</v>
          </cell>
          <cell r="K72" t="str">
            <v>L</v>
          </cell>
          <cell r="L72" t="str">
            <v>L</v>
          </cell>
          <cell r="M72" t="str">
            <v>L</v>
          </cell>
          <cell r="N72" t="str">
            <v>L</v>
          </cell>
          <cell r="O72" t="str">
            <v>L</v>
          </cell>
          <cell r="P72" t="str">
            <v>L</v>
          </cell>
          <cell r="Q72" t="str">
            <v>L</v>
          </cell>
          <cell r="R72">
            <v>10.5</v>
          </cell>
          <cell r="S72">
            <v>8.5</v>
          </cell>
          <cell r="T72">
            <v>8.5</v>
          </cell>
          <cell r="U72">
            <v>8.5</v>
          </cell>
          <cell r="V72">
            <v>10.5</v>
          </cell>
          <cell r="W72">
            <v>8.5</v>
          </cell>
          <cell r="X72">
            <v>11.5</v>
          </cell>
          <cell r="Y72">
            <v>8.5</v>
          </cell>
          <cell r="Z72">
            <v>2.5</v>
          </cell>
          <cell r="AA72">
            <v>2.5</v>
          </cell>
          <cell r="AB72">
            <v>2.5</v>
          </cell>
          <cell r="AC72">
            <v>2.5</v>
          </cell>
          <cell r="AD72">
            <v>2.5</v>
          </cell>
          <cell r="AE72">
            <v>2.5</v>
          </cell>
          <cell r="AF72">
            <v>2.5</v>
          </cell>
          <cell r="AG72">
            <v>2.5</v>
          </cell>
          <cell r="AH72">
            <v>2.5</v>
          </cell>
          <cell r="AI72">
            <v>2.5</v>
          </cell>
          <cell r="AJ72">
            <v>10.5</v>
          </cell>
          <cell r="AK72">
            <v>10.5</v>
          </cell>
          <cell r="AL72">
            <v>2.5</v>
          </cell>
          <cell r="AM72">
            <v>2.5</v>
          </cell>
          <cell r="AN72">
            <v>2.5</v>
          </cell>
          <cell r="AO72" t="str">
            <v>x</v>
          </cell>
          <cell r="AP72">
            <v>23</v>
          </cell>
          <cell r="AQ72">
            <v>7</v>
          </cell>
          <cell r="AR72">
            <v>0</v>
          </cell>
          <cell r="AS72">
            <v>0</v>
          </cell>
          <cell r="AT72">
            <v>0</v>
          </cell>
          <cell r="AU72">
            <v>0</v>
          </cell>
          <cell r="AV72">
            <v>107.5</v>
          </cell>
          <cell r="AW72">
            <v>21</v>
          </cell>
          <cell r="AX72">
            <v>30</v>
          </cell>
          <cell r="AY72">
            <v>23</v>
          </cell>
          <cell r="AZ72">
            <v>30</v>
          </cell>
        </row>
        <row r="73">
          <cell r="B73">
            <v>208</v>
          </cell>
          <cell r="C73" t="str">
            <v>SH</v>
          </cell>
          <cell r="D73" t="str">
            <v>Salim Said Salim Al Ghafri</v>
          </cell>
          <cell r="E73" t="str">
            <v xml:space="preserve">Labour </v>
          </cell>
          <cell r="G73">
            <v>34182</v>
          </cell>
          <cell r="H73">
            <v>38145</v>
          </cell>
          <cell r="I73" t="str">
            <v>A</v>
          </cell>
          <cell r="J73" t="str">
            <v>Sh:2</v>
          </cell>
          <cell r="K73" t="str">
            <v>L</v>
          </cell>
          <cell r="L73" t="str">
            <v>L</v>
          </cell>
          <cell r="M73" t="str">
            <v>L</v>
          </cell>
          <cell r="N73" t="str">
            <v>L</v>
          </cell>
          <cell r="O73" t="str">
            <v>L</v>
          </cell>
          <cell r="P73" t="str">
            <v>L</v>
          </cell>
          <cell r="Q73" t="str">
            <v>L</v>
          </cell>
          <cell r="R73">
            <v>6</v>
          </cell>
          <cell r="S73">
            <v>6</v>
          </cell>
          <cell r="T73">
            <v>6</v>
          </cell>
          <cell r="U73">
            <v>6</v>
          </cell>
          <cell r="V73">
            <v>6</v>
          </cell>
          <cell r="W73">
            <v>6</v>
          </cell>
          <cell r="X73">
            <v>6</v>
          </cell>
          <cell r="Y73">
            <v>6</v>
          </cell>
          <cell r="Z73">
            <v>2</v>
          </cell>
          <cell r="AA73">
            <v>2</v>
          </cell>
          <cell r="AB73">
            <v>2</v>
          </cell>
          <cell r="AC73">
            <v>2</v>
          </cell>
          <cell r="AD73">
            <v>2</v>
          </cell>
          <cell r="AE73">
            <v>2</v>
          </cell>
          <cell r="AF73">
            <v>2</v>
          </cell>
          <cell r="AG73">
            <v>2</v>
          </cell>
          <cell r="AH73">
            <v>2</v>
          </cell>
          <cell r="AI73">
            <v>2</v>
          </cell>
          <cell r="AJ73">
            <v>10</v>
          </cell>
          <cell r="AK73">
            <v>10</v>
          </cell>
          <cell r="AL73">
            <v>2</v>
          </cell>
          <cell r="AM73">
            <v>2</v>
          </cell>
          <cell r="AN73">
            <v>2</v>
          </cell>
          <cell r="AO73" t="str">
            <v>x</v>
          </cell>
          <cell r="AP73">
            <v>23</v>
          </cell>
          <cell r="AQ73">
            <v>7</v>
          </cell>
          <cell r="AR73">
            <v>0</v>
          </cell>
          <cell r="AS73">
            <v>0</v>
          </cell>
          <cell r="AT73">
            <v>0</v>
          </cell>
          <cell r="AU73">
            <v>0</v>
          </cell>
          <cell r="AV73">
            <v>74</v>
          </cell>
          <cell r="AW73">
            <v>20</v>
          </cell>
          <cell r="AX73">
            <v>30</v>
          </cell>
          <cell r="AY73">
            <v>23</v>
          </cell>
          <cell r="AZ73">
            <v>30</v>
          </cell>
          <cell r="CF73">
            <v>8</v>
          </cell>
          <cell r="CG73">
            <v>60</v>
          </cell>
          <cell r="CH73">
            <v>1</v>
          </cell>
          <cell r="CM73">
            <v>123</v>
          </cell>
          <cell r="CN73" t="str">
            <v xml:space="preserve">Deducted 5 days desert allowance, 20 hours overtime Wall call him from 20th to 24th October'2008. Owed 16 hours overtime extra overtime from 16th to 19th October'2008. Owed 12 hours overtime extra overtime from 11th to 13th September'2008. Owed 123 rials </v>
          </cell>
        </row>
        <row r="74">
          <cell r="B74">
            <v>210</v>
          </cell>
          <cell r="C74" t="str">
            <v>S</v>
          </cell>
          <cell r="D74" t="str">
            <v>Musallam Salim Said Al Hina'I</v>
          </cell>
          <cell r="E74" t="str">
            <v>Labour / Driver</v>
          </cell>
          <cell r="G74">
            <v>34182</v>
          </cell>
          <cell r="H74">
            <v>38150</v>
          </cell>
          <cell r="I74" t="str">
            <v>A</v>
          </cell>
          <cell r="J74" t="str">
            <v>Sh:3</v>
          </cell>
          <cell r="K74">
            <v>11.5</v>
          </cell>
          <cell r="L74">
            <v>11.5</v>
          </cell>
          <cell r="M74">
            <v>11.5</v>
          </cell>
          <cell r="N74">
            <v>6.5</v>
          </cell>
          <cell r="O74">
            <v>12.5</v>
          </cell>
          <cell r="P74">
            <v>11.5</v>
          </cell>
          <cell r="Q74">
            <v>2.5</v>
          </cell>
          <cell r="R74" t="str">
            <v>L</v>
          </cell>
          <cell r="S74" t="str">
            <v>L</v>
          </cell>
          <cell r="T74" t="str">
            <v>L</v>
          </cell>
          <cell r="U74" t="str">
            <v>L</v>
          </cell>
          <cell r="V74" t="str">
            <v>L</v>
          </cell>
          <cell r="W74" t="str">
            <v>L</v>
          </cell>
          <cell r="X74" t="str">
            <v>L</v>
          </cell>
          <cell r="Y74" t="str">
            <v>L</v>
          </cell>
          <cell r="Z74" t="str">
            <v>L</v>
          </cell>
          <cell r="AA74" t="str">
            <v>L</v>
          </cell>
          <cell r="AB74" t="str">
            <v>L</v>
          </cell>
          <cell r="AC74" t="str">
            <v>L</v>
          </cell>
          <cell r="AD74" t="str">
            <v>L</v>
          </cell>
          <cell r="AE74" t="str">
            <v>L</v>
          </cell>
          <cell r="AF74">
            <v>2.5</v>
          </cell>
          <cell r="AG74">
            <v>2.5</v>
          </cell>
          <cell r="AH74">
            <v>2.5</v>
          </cell>
          <cell r="AI74">
            <v>2.5</v>
          </cell>
          <cell r="AJ74">
            <v>10.5</v>
          </cell>
          <cell r="AK74">
            <v>10.5</v>
          </cell>
          <cell r="AL74">
            <v>2.5</v>
          </cell>
          <cell r="AM74">
            <v>2.5</v>
          </cell>
          <cell r="AN74">
            <v>2.5</v>
          </cell>
          <cell r="AO74" t="str">
            <v>x</v>
          </cell>
          <cell r="AP74">
            <v>16</v>
          </cell>
          <cell r="AQ74">
            <v>14</v>
          </cell>
          <cell r="AR74">
            <v>0</v>
          </cell>
          <cell r="AS74">
            <v>0</v>
          </cell>
          <cell r="AT74">
            <v>0</v>
          </cell>
          <cell r="AU74">
            <v>0</v>
          </cell>
          <cell r="AV74">
            <v>85</v>
          </cell>
          <cell r="AW74">
            <v>21</v>
          </cell>
          <cell r="AX74">
            <v>30</v>
          </cell>
          <cell r="AY74">
            <v>16</v>
          </cell>
          <cell r="AZ74">
            <v>30</v>
          </cell>
          <cell r="CF74">
            <v>79</v>
          </cell>
          <cell r="CN74" t="str">
            <v>Owed 79 hours overtime extra overtime from 13th and 16th to 31st October'2008.</v>
          </cell>
        </row>
        <row r="75">
          <cell r="B75">
            <v>216</v>
          </cell>
          <cell r="C75" t="str">
            <v>GR</v>
          </cell>
          <cell r="D75" t="str">
            <v>Abdullah Sulaiman Taeeb</v>
          </cell>
          <cell r="E75" t="str">
            <v>Geophysical Asst / Cable</v>
          </cell>
          <cell r="G75">
            <v>34496</v>
          </cell>
          <cell r="H75">
            <v>38136</v>
          </cell>
          <cell r="I75" t="str">
            <v>C</v>
          </cell>
          <cell r="J75" t="str">
            <v>Sh:1</v>
          </cell>
          <cell r="K75">
            <v>4</v>
          </cell>
          <cell r="L75">
            <v>4</v>
          </cell>
          <cell r="M75">
            <v>4</v>
          </cell>
          <cell r="N75">
            <v>4</v>
          </cell>
          <cell r="O75">
            <v>4</v>
          </cell>
          <cell r="P75">
            <v>4</v>
          </cell>
          <cell r="Q75">
            <v>4</v>
          </cell>
          <cell r="R75">
            <v>4</v>
          </cell>
          <cell r="S75">
            <v>4</v>
          </cell>
          <cell r="T75">
            <v>4</v>
          </cell>
          <cell r="U75">
            <v>4</v>
          </cell>
          <cell r="V75">
            <v>4</v>
          </cell>
          <cell r="W75">
            <v>4</v>
          </cell>
          <cell r="X75">
            <v>4</v>
          </cell>
          <cell r="Y75">
            <v>4</v>
          </cell>
          <cell r="Z75">
            <v>4</v>
          </cell>
          <cell r="AA75">
            <v>4</v>
          </cell>
          <cell r="AB75">
            <v>4</v>
          </cell>
          <cell r="AC75">
            <v>4</v>
          </cell>
          <cell r="AD75">
            <v>4</v>
          </cell>
          <cell r="AE75">
            <v>4</v>
          </cell>
          <cell r="AF75" t="str">
            <v>L</v>
          </cell>
          <cell r="AG75" t="str">
            <v>L</v>
          </cell>
          <cell r="AH75" t="str">
            <v>L</v>
          </cell>
          <cell r="AI75" t="str">
            <v>L</v>
          </cell>
          <cell r="AJ75" t="str">
            <v>L</v>
          </cell>
          <cell r="AK75" t="str">
            <v>L</v>
          </cell>
          <cell r="AL75" t="str">
            <v>L</v>
          </cell>
          <cell r="AM75" t="str">
            <v>L</v>
          </cell>
          <cell r="AN75" t="str">
            <v>L</v>
          </cell>
          <cell r="AO75" t="str">
            <v>x</v>
          </cell>
          <cell r="AP75">
            <v>21</v>
          </cell>
          <cell r="AQ75">
            <v>9</v>
          </cell>
          <cell r="AR75">
            <v>0</v>
          </cell>
          <cell r="AS75">
            <v>0</v>
          </cell>
          <cell r="AT75">
            <v>0</v>
          </cell>
          <cell r="AU75">
            <v>0</v>
          </cell>
          <cell r="AV75">
            <v>84</v>
          </cell>
          <cell r="AW75">
            <v>0</v>
          </cell>
          <cell r="AX75">
            <v>30</v>
          </cell>
          <cell r="AY75">
            <v>21</v>
          </cell>
          <cell r="AZ75">
            <v>30</v>
          </cell>
          <cell r="CF75">
            <v>44</v>
          </cell>
          <cell r="CG75">
            <v>72</v>
          </cell>
          <cell r="CH75">
            <v>6</v>
          </cell>
          <cell r="CM75">
            <v>123</v>
          </cell>
          <cell r="CN75" t="str">
            <v>Owed 44 hours overtime extra overtime from 5th to 7th and 25th to 31st October'2008. Owed 123 rials Eid bonus, 102 hours 200%, 6 days desert allowance for Eid Al Adhah'2008 from 8th to 13th December'2008.</v>
          </cell>
        </row>
        <row r="76">
          <cell r="B76">
            <v>217</v>
          </cell>
          <cell r="C76" t="str">
            <v>V</v>
          </cell>
          <cell r="D76" t="str">
            <v>Salim Sulaiman Taeeb</v>
          </cell>
          <cell r="E76" t="str">
            <v>Vibe Operator</v>
          </cell>
          <cell r="G76">
            <v>34516</v>
          </cell>
          <cell r="H76">
            <v>38513</v>
          </cell>
          <cell r="I76" t="str">
            <v>E</v>
          </cell>
          <cell r="J76" t="str">
            <v>Sh:1</v>
          </cell>
          <cell r="K76">
            <v>8</v>
          </cell>
          <cell r="L76">
            <v>8</v>
          </cell>
          <cell r="M76">
            <v>8</v>
          </cell>
          <cell r="N76">
            <v>8</v>
          </cell>
          <cell r="O76">
            <v>8</v>
          </cell>
          <cell r="P76">
            <v>8</v>
          </cell>
          <cell r="Q76">
            <v>8</v>
          </cell>
          <cell r="R76">
            <v>8</v>
          </cell>
          <cell r="S76">
            <v>8</v>
          </cell>
          <cell r="T76">
            <v>8</v>
          </cell>
          <cell r="U76">
            <v>8</v>
          </cell>
          <cell r="V76">
            <v>8</v>
          </cell>
          <cell r="W76">
            <v>8</v>
          </cell>
          <cell r="X76">
            <v>9</v>
          </cell>
          <cell r="Y76">
            <v>9</v>
          </cell>
          <cell r="Z76">
            <v>9</v>
          </cell>
          <cell r="AA76">
            <v>9</v>
          </cell>
          <cell r="AB76">
            <v>9</v>
          </cell>
          <cell r="AC76">
            <v>9</v>
          </cell>
          <cell r="AD76">
            <v>9</v>
          </cell>
          <cell r="AE76">
            <v>9</v>
          </cell>
          <cell r="AF76" t="str">
            <v>L</v>
          </cell>
          <cell r="AG76" t="str">
            <v>L</v>
          </cell>
          <cell r="AH76" t="str">
            <v>L</v>
          </cell>
          <cell r="AI76" t="str">
            <v>L</v>
          </cell>
          <cell r="AJ76" t="str">
            <v>L</v>
          </cell>
          <cell r="AK76" t="str">
            <v>L</v>
          </cell>
          <cell r="AL76" t="str">
            <v>L</v>
          </cell>
          <cell r="AM76" t="str">
            <v>L</v>
          </cell>
          <cell r="AN76" t="str">
            <v>L</v>
          </cell>
          <cell r="AO76" t="str">
            <v>x</v>
          </cell>
          <cell r="AP76">
            <v>21</v>
          </cell>
          <cell r="AQ76">
            <v>9</v>
          </cell>
          <cell r="AR76">
            <v>0</v>
          </cell>
          <cell r="AS76">
            <v>0</v>
          </cell>
          <cell r="AT76">
            <v>0</v>
          </cell>
          <cell r="AU76">
            <v>0</v>
          </cell>
          <cell r="AV76">
            <v>176</v>
          </cell>
          <cell r="AW76">
            <v>0</v>
          </cell>
          <cell r="AX76">
            <v>30</v>
          </cell>
          <cell r="AY76">
            <v>21</v>
          </cell>
          <cell r="AZ76">
            <v>30</v>
          </cell>
          <cell r="CG76">
            <v>102</v>
          </cell>
          <cell r="CH76">
            <v>6</v>
          </cell>
          <cell r="CM76">
            <v>123</v>
          </cell>
          <cell r="CN76" t="str">
            <v xml:space="preserve">Owed 123 rials Eid bonus, 102 hours 200%, 6 days desert allowance for Eid Al Adhah'2008 from 8th to 13th December'2008. </v>
          </cell>
        </row>
        <row r="77">
          <cell r="B77">
            <v>229</v>
          </cell>
          <cell r="C77" t="str">
            <v>SH</v>
          </cell>
          <cell r="D77" t="str">
            <v>Said Marhoun Said</v>
          </cell>
          <cell r="E77" t="str">
            <v>Vibe Operator</v>
          </cell>
          <cell r="G77">
            <v>35380</v>
          </cell>
          <cell r="H77">
            <v>38145</v>
          </cell>
          <cell r="I77" t="str">
            <v>E</v>
          </cell>
          <cell r="J77" t="str">
            <v>Sh:2</v>
          </cell>
          <cell r="K77" t="str">
            <v>L</v>
          </cell>
          <cell r="L77" t="str">
            <v>L</v>
          </cell>
          <cell r="M77" t="str">
            <v>L</v>
          </cell>
          <cell r="N77" t="str">
            <v>L</v>
          </cell>
          <cell r="O77" t="str">
            <v>L</v>
          </cell>
          <cell r="P77" t="str">
            <v>L</v>
          </cell>
          <cell r="Q77" t="str">
            <v>L</v>
          </cell>
          <cell r="R77">
            <v>8</v>
          </cell>
          <cell r="S77">
            <v>8</v>
          </cell>
          <cell r="T77">
            <v>8</v>
          </cell>
          <cell r="U77">
            <v>8</v>
          </cell>
          <cell r="V77">
            <v>8</v>
          </cell>
          <cell r="W77">
            <v>8</v>
          </cell>
          <cell r="X77">
            <v>9</v>
          </cell>
          <cell r="Y77">
            <v>9</v>
          </cell>
          <cell r="Z77">
            <v>9</v>
          </cell>
          <cell r="AA77">
            <v>9</v>
          </cell>
          <cell r="AB77">
            <v>9</v>
          </cell>
          <cell r="AC77">
            <v>9</v>
          </cell>
          <cell r="AD77">
            <v>9</v>
          </cell>
          <cell r="AE77">
            <v>9</v>
          </cell>
          <cell r="AF77">
            <v>9</v>
          </cell>
          <cell r="AG77">
            <v>9</v>
          </cell>
          <cell r="AH77">
            <v>9</v>
          </cell>
          <cell r="AI77">
            <v>9</v>
          </cell>
          <cell r="AJ77">
            <v>17</v>
          </cell>
          <cell r="AK77">
            <v>17</v>
          </cell>
          <cell r="AL77">
            <v>9</v>
          </cell>
          <cell r="AM77">
            <v>9</v>
          </cell>
          <cell r="AN77">
            <v>9</v>
          </cell>
          <cell r="AO77" t="str">
            <v>x</v>
          </cell>
          <cell r="AP77">
            <v>23</v>
          </cell>
          <cell r="AQ77">
            <v>7</v>
          </cell>
          <cell r="AR77">
            <v>0</v>
          </cell>
          <cell r="AS77">
            <v>0</v>
          </cell>
          <cell r="AT77">
            <v>0</v>
          </cell>
          <cell r="AU77">
            <v>0</v>
          </cell>
          <cell r="AV77">
            <v>183</v>
          </cell>
          <cell r="AW77">
            <v>34</v>
          </cell>
          <cell r="AX77">
            <v>30</v>
          </cell>
          <cell r="AY77">
            <v>23</v>
          </cell>
          <cell r="AZ77">
            <v>30</v>
          </cell>
          <cell r="CG77">
            <v>102</v>
          </cell>
          <cell r="CH77">
            <v>6</v>
          </cell>
          <cell r="CM77">
            <v>123</v>
          </cell>
          <cell r="CN77" t="str">
            <v>Owed 123 rials Eid bonus, 102 hours 200%, 6 days desert allowance for Eid Al Adhah'2008 from 8th to 13th December'2008.</v>
          </cell>
        </row>
        <row r="78">
          <cell r="B78">
            <v>230</v>
          </cell>
          <cell r="C78" t="str">
            <v>G</v>
          </cell>
          <cell r="D78" t="str">
            <v>Sammi Eid Khamis Al Sawafi</v>
          </cell>
          <cell r="E78" t="str">
            <v>Labour / Cable</v>
          </cell>
          <cell r="G78">
            <v>35582</v>
          </cell>
          <cell r="H78">
            <v>38110</v>
          </cell>
          <cell r="I78" t="str">
            <v>A</v>
          </cell>
          <cell r="J78" t="str">
            <v>Sh:3</v>
          </cell>
          <cell r="K78">
            <v>8.5</v>
          </cell>
          <cell r="L78">
            <v>8.5</v>
          </cell>
          <cell r="M78">
            <v>8.5</v>
          </cell>
          <cell r="N78">
            <v>8.5</v>
          </cell>
          <cell r="O78">
            <v>8.5</v>
          </cell>
          <cell r="P78">
            <v>8.5</v>
          </cell>
          <cell r="Q78">
            <v>4</v>
          </cell>
          <cell r="R78" t="str">
            <v>L</v>
          </cell>
          <cell r="S78" t="str">
            <v>L</v>
          </cell>
          <cell r="T78" t="str">
            <v>L</v>
          </cell>
          <cell r="U78" t="str">
            <v>L</v>
          </cell>
          <cell r="V78" t="str">
            <v>L</v>
          </cell>
          <cell r="W78" t="str">
            <v>L</v>
          </cell>
          <cell r="X78" t="str">
            <v>L</v>
          </cell>
          <cell r="Y78" t="str">
            <v>L</v>
          </cell>
          <cell r="Z78" t="str">
            <v>L</v>
          </cell>
          <cell r="AA78" t="str">
            <v>L</v>
          </cell>
          <cell r="AB78" t="str">
            <v>L</v>
          </cell>
          <cell r="AC78" t="str">
            <v>L</v>
          </cell>
          <cell r="AD78" t="str">
            <v>L</v>
          </cell>
          <cell r="AE78" t="str">
            <v>L</v>
          </cell>
          <cell r="AF78">
            <v>4</v>
          </cell>
          <cell r="AG78">
            <v>4</v>
          </cell>
          <cell r="AH78">
            <v>4</v>
          </cell>
          <cell r="AI78">
            <v>4</v>
          </cell>
          <cell r="AJ78">
            <v>12</v>
          </cell>
          <cell r="AK78">
            <v>12</v>
          </cell>
          <cell r="AL78">
            <v>4</v>
          </cell>
          <cell r="AM78">
            <v>4</v>
          </cell>
          <cell r="AN78">
            <v>4</v>
          </cell>
          <cell r="AO78" t="str">
            <v>x</v>
          </cell>
          <cell r="AP78">
            <v>16</v>
          </cell>
          <cell r="AQ78">
            <v>14</v>
          </cell>
          <cell r="AR78">
            <v>0</v>
          </cell>
          <cell r="AS78">
            <v>0</v>
          </cell>
          <cell r="AT78">
            <v>0</v>
          </cell>
          <cell r="AU78">
            <v>0</v>
          </cell>
          <cell r="AV78">
            <v>83</v>
          </cell>
          <cell r="AW78">
            <v>24</v>
          </cell>
          <cell r="AX78">
            <v>30</v>
          </cell>
          <cell r="AY78">
            <v>16</v>
          </cell>
          <cell r="AZ78">
            <v>30</v>
          </cell>
          <cell r="CF78">
            <v>117</v>
          </cell>
          <cell r="CN78" t="str">
            <v>Owed 117 hours overtime extra overtime from 12th to 25th and 28th to 31st October'2008.</v>
          </cell>
        </row>
        <row r="79">
          <cell r="B79">
            <v>231</v>
          </cell>
          <cell r="C79" t="str">
            <v>R</v>
          </cell>
          <cell r="D79" t="str">
            <v>Nasser Sulaiyam Humaid Al Sawafi</v>
          </cell>
          <cell r="E79" t="str">
            <v>Labour</v>
          </cell>
          <cell r="G79">
            <v>35582</v>
          </cell>
          <cell r="H79">
            <v>38136</v>
          </cell>
          <cell r="I79" t="str">
            <v>A</v>
          </cell>
          <cell r="J79" t="str">
            <v>Sh:3</v>
          </cell>
          <cell r="K79">
            <v>6</v>
          </cell>
          <cell r="L79">
            <v>6</v>
          </cell>
          <cell r="M79">
            <v>6</v>
          </cell>
          <cell r="N79">
            <v>6</v>
          </cell>
          <cell r="O79">
            <v>6</v>
          </cell>
          <cell r="P79">
            <v>0</v>
          </cell>
          <cell r="Q79">
            <v>2</v>
          </cell>
          <cell r="R79" t="str">
            <v>L</v>
          </cell>
          <cell r="S79" t="str">
            <v>L</v>
          </cell>
          <cell r="T79" t="str">
            <v>L</v>
          </cell>
          <cell r="U79" t="str">
            <v>L</v>
          </cell>
          <cell r="V79" t="str">
            <v>L</v>
          </cell>
          <cell r="W79" t="str">
            <v>L</v>
          </cell>
          <cell r="X79" t="str">
            <v>L</v>
          </cell>
          <cell r="Y79" t="str">
            <v>L</v>
          </cell>
          <cell r="Z79" t="str">
            <v>L</v>
          </cell>
          <cell r="AA79" t="str">
            <v>L</v>
          </cell>
          <cell r="AB79" t="str">
            <v>L</v>
          </cell>
          <cell r="AC79" t="str">
            <v>L</v>
          </cell>
          <cell r="AD79" t="str">
            <v>L</v>
          </cell>
          <cell r="AE79" t="str">
            <v>L</v>
          </cell>
          <cell r="AF79">
            <v>2</v>
          </cell>
          <cell r="AG79">
            <v>2</v>
          </cell>
          <cell r="AH79">
            <v>2</v>
          </cell>
          <cell r="AI79">
            <v>2</v>
          </cell>
          <cell r="AJ79">
            <v>10</v>
          </cell>
          <cell r="AK79">
            <v>10</v>
          </cell>
          <cell r="AL79">
            <v>2</v>
          </cell>
          <cell r="AM79">
            <v>2</v>
          </cell>
          <cell r="AN79">
            <v>2</v>
          </cell>
          <cell r="AO79" t="str">
            <v>x</v>
          </cell>
          <cell r="AP79">
            <v>16</v>
          </cell>
          <cell r="AQ79">
            <v>14</v>
          </cell>
          <cell r="AR79">
            <v>0</v>
          </cell>
          <cell r="AS79">
            <v>0</v>
          </cell>
          <cell r="AT79">
            <v>0</v>
          </cell>
          <cell r="AU79">
            <v>0</v>
          </cell>
          <cell r="AV79">
            <v>46</v>
          </cell>
          <cell r="AW79">
            <v>20</v>
          </cell>
          <cell r="AX79">
            <v>30</v>
          </cell>
          <cell r="AY79">
            <v>16</v>
          </cell>
          <cell r="AZ79">
            <v>30</v>
          </cell>
          <cell r="CF79">
            <v>48</v>
          </cell>
          <cell r="CG79">
            <v>60</v>
          </cell>
          <cell r="CH79">
            <v>5</v>
          </cell>
          <cell r="CM79">
            <v>123</v>
          </cell>
          <cell r="CN79" t="str">
            <v>Deducted one day desert allowance, 4 hours overtime left morning on 29th &amp; take leave from 30th October'2008. Owed 52 hours overtime extra overtime from 17th to 28th and 31st October'2008. Owed 123 rials Eid bonus, 60 hours 200%, 6 days desert allowance f</v>
          </cell>
        </row>
        <row r="80">
          <cell r="B80">
            <v>234</v>
          </cell>
          <cell r="C80" t="str">
            <v>V</v>
          </cell>
          <cell r="D80" t="str">
            <v>Humaid Hamoud Humaid</v>
          </cell>
          <cell r="E80" t="str">
            <v>Vibe Operator</v>
          </cell>
          <cell r="G80">
            <v>35582</v>
          </cell>
          <cell r="H80">
            <v>38145</v>
          </cell>
          <cell r="I80" t="str">
            <v>E</v>
          </cell>
          <cell r="J80" t="str">
            <v>Sh:1</v>
          </cell>
          <cell r="K80">
            <v>8</v>
          </cell>
          <cell r="L80">
            <v>8</v>
          </cell>
          <cell r="M80">
            <v>8</v>
          </cell>
          <cell r="N80">
            <v>8</v>
          </cell>
          <cell r="O80">
            <v>8</v>
          </cell>
          <cell r="P80">
            <v>8</v>
          </cell>
          <cell r="Q80">
            <v>8</v>
          </cell>
          <cell r="R80">
            <v>8</v>
          </cell>
          <cell r="S80">
            <v>8</v>
          </cell>
          <cell r="T80">
            <v>8</v>
          </cell>
          <cell r="U80">
            <v>8</v>
          </cell>
          <cell r="V80">
            <v>8</v>
          </cell>
          <cell r="W80">
            <v>8</v>
          </cell>
          <cell r="X80">
            <v>9</v>
          </cell>
          <cell r="Y80">
            <v>9</v>
          </cell>
          <cell r="Z80">
            <v>9</v>
          </cell>
          <cell r="AA80">
            <v>9</v>
          </cell>
          <cell r="AB80">
            <v>9</v>
          </cell>
          <cell r="AC80">
            <v>9</v>
          </cell>
          <cell r="AD80">
            <v>9</v>
          </cell>
          <cell r="AE80">
            <v>9</v>
          </cell>
          <cell r="AF80" t="str">
            <v>L</v>
          </cell>
          <cell r="AG80" t="str">
            <v>L</v>
          </cell>
          <cell r="AH80" t="str">
            <v>L</v>
          </cell>
          <cell r="AI80" t="str">
            <v>L</v>
          </cell>
          <cell r="AJ80" t="str">
            <v>L</v>
          </cell>
          <cell r="AK80" t="str">
            <v>L</v>
          </cell>
          <cell r="AL80" t="str">
            <v>L</v>
          </cell>
          <cell r="AM80" t="str">
            <v>L</v>
          </cell>
          <cell r="AN80" t="str">
            <v>L</v>
          </cell>
          <cell r="AO80" t="str">
            <v>x</v>
          </cell>
          <cell r="AP80">
            <v>21</v>
          </cell>
          <cell r="AQ80">
            <v>9</v>
          </cell>
          <cell r="AR80">
            <v>0</v>
          </cell>
          <cell r="AS80">
            <v>0</v>
          </cell>
          <cell r="AT80">
            <v>0</v>
          </cell>
          <cell r="AU80">
            <v>0</v>
          </cell>
          <cell r="AV80">
            <v>176</v>
          </cell>
          <cell r="AW80">
            <v>0</v>
          </cell>
          <cell r="AX80">
            <v>30</v>
          </cell>
          <cell r="AY80">
            <v>21</v>
          </cell>
          <cell r="AZ80">
            <v>30</v>
          </cell>
          <cell r="CF80">
            <v>-16</v>
          </cell>
          <cell r="CG80">
            <v>102</v>
          </cell>
          <cell r="CH80">
            <v>4</v>
          </cell>
          <cell r="CM80">
            <v>123</v>
          </cell>
          <cell r="CN80" t="str">
            <v xml:space="preserve">Deducted 2 days desert allowance, 16 hours overtime take emergence leave from 26th to 27th October'2008. Owed 123 rials Eid bonus, 102 hours 200%, 6 days desert allowance for Eid Al Adhah'2008 from 8th to 13th December'2008. </v>
          </cell>
        </row>
        <row r="81">
          <cell r="B81">
            <v>235</v>
          </cell>
          <cell r="C81" t="str">
            <v>RL</v>
          </cell>
          <cell r="D81" t="str">
            <v>Nasser Hamed Suleiman</v>
          </cell>
          <cell r="E81" t="str">
            <v>Vibe Operator</v>
          </cell>
          <cell r="G81">
            <v>35582</v>
          </cell>
          <cell r="H81">
            <v>38136</v>
          </cell>
          <cell r="I81" t="str">
            <v>E</v>
          </cell>
          <cell r="J81" t="str">
            <v>Sh:1</v>
          </cell>
          <cell r="K81">
            <v>8</v>
          </cell>
          <cell r="L81">
            <v>8</v>
          </cell>
          <cell r="M81">
            <v>8</v>
          </cell>
          <cell r="N81">
            <v>8</v>
          </cell>
          <cell r="O81">
            <v>8</v>
          </cell>
          <cell r="P81">
            <v>8</v>
          </cell>
          <cell r="Q81">
            <v>8</v>
          </cell>
          <cell r="R81">
            <v>8</v>
          </cell>
          <cell r="S81">
            <v>8</v>
          </cell>
          <cell r="T81">
            <v>8</v>
          </cell>
          <cell r="U81">
            <v>8</v>
          </cell>
          <cell r="V81">
            <v>8</v>
          </cell>
          <cell r="W81">
            <v>8</v>
          </cell>
          <cell r="X81">
            <v>9</v>
          </cell>
          <cell r="Y81">
            <v>9</v>
          </cell>
          <cell r="Z81">
            <v>9</v>
          </cell>
          <cell r="AA81">
            <v>9</v>
          </cell>
          <cell r="AB81">
            <v>9</v>
          </cell>
          <cell r="AC81">
            <v>9</v>
          </cell>
          <cell r="AD81">
            <v>9</v>
          </cell>
          <cell r="AE81">
            <v>9</v>
          </cell>
          <cell r="AF81" t="str">
            <v>L</v>
          </cell>
          <cell r="AG81" t="str">
            <v>L</v>
          </cell>
          <cell r="AH81" t="str">
            <v>L</v>
          </cell>
          <cell r="AI81" t="str">
            <v>L</v>
          </cell>
          <cell r="AJ81" t="str">
            <v>L</v>
          </cell>
          <cell r="AK81" t="str">
            <v>L</v>
          </cell>
          <cell r="AL81" t="str">
            <v>L</v>
          </cell>
          <cell r="AM81" t="str">
            <v>L</v>
          </cell>
          <cell r="AN81" t="str">
            <v>L</v>
          </cell>
          <cell r="AO81" t="str">
            <v>x</v>
          </cell>
          <cell r="AP81">
            <v>21</v>
          </cell>
          <cell r="AQ81">
            <v>9</v>
          </cell>
          <cell r="AR81">
            <v>0</v>
          </cell>
          <cell r="AS81">
            <v>0</v>
          </cell>
          <cell r="AT81">
            <v>0</v>
          </cell>
          <cell r="AU81">
            <v>0</v>
          </cell>
          <cell r="AV81">
            <v>176</v>
          </cell>
          <cell r="AW81">
            <v>0</v>
          </cell>
          <cell r="AX81">
            <v>30</v>
          </cell>
          <cell r="AY81">
            <v>21</v>
          </cell>
          <cell r="AZ81">
            <v>30</v>
          </cell>
          <cell r="CG81">
            <v>102</v>
          </cell>
          <cell r="CH81">
            <v>6</v>
          </cell>
          <cell r="CM81">
            <v>123</v>
          </cell>
          <cell r="CN81" t="str">
            <v xml:space="preserve">Owed 123 rials Eid bonus, 102 hours 200%, 6 days desert allowance for Eid Al Adhah'2008 8th to 13th December'2008. </v>
          </cell>
        </row>
        <row r="82">
          <cell r="B82">
            <v>236</v>
          </cell>
          <cell r="C82" t="str">
            <v>G</v>
          </cell>
          <cell r="D82" t="str">
            <v>Sulaiman Mohamed Salman</v>
          </cell>
          <cell r="E82" t="str">
            <v>Labour / Chain Crew</v>
          </cell>
          <cell r="G82">
            <v>35585</v>
          </cell>
          <cell r="H82">
            <v>38132</v>
          </cell>
          <cell r="I82" t="str">
            <v>A</v>
          </cell>
          <cell r="J82" t="str">
            <v>Sh:3</v>
          </cell>
          <cell r="K82">
            <v>8</v>
          </cell>
          <cell r="L82">
            <v>8</v>
          </cell>
          <cell r="M82">
            <v>8</v>
          </cell>
          <cell r="N82">
            <v>0</v>
          </cell>
          <cell r="O82" t="str">
            <v>L</v>
          </cell>
          <cell r="P82" t="str">
            <v>L</v>
          </cell>
          <cell r="Q82" t="str">
            <v>L</v>
          </cell>
          <cell r="R82" t="str">
            <v>L</v>
          </cell>
          <cell r="S82" t="str">
            <v>L</v>
          </cell>
          <cell r="T82" t="str">
            <v>L</v>
          </cell>
          <cell r="U82" t="str">
            <v>L</v>
          </cell>
          <cell r="V82" t="str">
            <v>L</v>
          </cell>
          <cell r="W82" t="str">
            <v>L</v>
          </cell>
          <cell r="X82" t="str">
            <v>L</v>
          </cell>
          <cell r="Y82" t="str">
            <v>L</v>
          </cell>
          <cell r="Z82" t="str">
            <v>L</v>
          </cell>
          <cell r="AA82" t="str">
            <v>L</v>
          </cell>
          <cell r="AB82" t="str">
            <v>L</v>
          </cell>
          <cell r="AC82" t="str">
            <v>L</v>
          </cell>
          <cell r="AD82" t="str">
            <v>L</v>
          </cell>
          <cell r="AE82" t="str">
            <v>L</v>
          </cell>
          <cell r="AF82">
            <v>2</v>
          </cell>
          <cell r="AG82">
            <v>2</v>
          </cell>
          <cell r="AH82">
            <v>2</v>
          </cell>
          <cell r="AI82">
            <v>2</v>
          </cell>
          <cell r="AJ82">
            <v>10</v>
          </cell>
          <cell r="AK82">
            <v>10</v>
          </cell>
          <cell r="AL82">
            <v>2</v>
          </cell>
          <cell r="AM82">
            <v>2</v>
          </cell>
          <cell r="AN82">
            <v>2</v>
          </cell>
          <cell r="AO82" t="str">
            <v>x</v>
          </cell>
          <cell r="AP82">
            <v>13</v>
          </cell>
          <cell r="AQ82">
            <v>17</v>
          </cell>
          <cell r="AR82">
            <v>0</v>
          </cell>
          <cell r="AS82">
            <v>0</v>
          </cell>
          <cell r="AT82">
            <v>0</v>
          </cell>
          <cell r="AU82">
            <v>0</v>
          </cell>
          <cell r="AV82">
            <v>38</v>
          </cell>
          <cell r="AW82">
            <v>20</v>
          </cell>
          <cell r="AX82">
            <v>30</v>
          </cell>
          <cell r="AY82">
            <v>13</v>
          </cell>
          <cell r="AZ82">
            <v>30</v>
          </cell>
          <cell r="CF82">
            <v>64</v>
          </cell>
          <cell r="CN82" t="str">
            <v>Owed 64 hours overtime extra overtime from 16th to 31st October'2008.</v>
          </cell>
        </row>
        <row r="83">
          <cell r="B83">
            <v>239</v>
          </cell>
          <cell r="C83" t="str">
            <v>R</v>
          </cell>
          <cell r="D83" t="str">
            <v>Ahmed Ali Khamis Al Azri</v>
          </cell>
          <cell r="E83" t="str">
            <v>Light Dvr / Bus Dvr</v>
          </cell>
          <cell r="G83">
            <v>35587</v>
          </cell>
          <cell r="H83">
            <v>38513</v>
          </cell>
          <cell r="I83" t="str">
            <v>A</v>
          </cell>
          <cell r="J83" t="str">
            <v>Sh:3</v>
          </cell>
          <cell r="K83">
            <v>2.5</v>
          </cell>
          <cell r="L83">
            <v>2.5</v>
          </cell>
          <cell r="M83">
            <v>2.5</v>
          </cell>
          <cell r="N83">
            <v>2.5</v>
          </cell>
          <cell r="O83">
            <v>2.5</v>
          </cell>
          <cell r="P83">
            <v>2.5</v>
          </cell>
          <cell r="Q83">
            <v>2.5</v>
          </cell>
          <cell r="R83" t="str">
            <v>L</v>
          </cell>
          <cell r="S83" t="str">
            <v>L</v>
          </cell>
          <cell r="T83" t="str">
            <v>L</v>
          </cell>
          <cell r="U83" t="str">
            <v>L</v>
          </cell>
          <cell r="V83" t="str">
            <v>L</v>
          </cell>
          <cell r="W83" t="str">
            <v>L</v>
          </cell>
          <cell r="X83" t="str">
            <v>L</v>
          </cell>
          <cell r="Y83" t="str">
            <v>L</v>
          </cell>
          <cell r="Z83" t="str">
            <v>L</v>
          </cell>
          <cell r="AA83" t="str">
            <v>L</v>
          </cell>
          <cell r="AB83" t="str">
            <v>L</v>
          </cell>
          <cell r="AC83" t="str">
            <v>L</v>
          </cell>
          <cell r="AD83" t="str">
            <v>L</v>
          </cell>
          <cell r="AE83" t="str">
            <v>L</v>
          </cell>
          <cell r="AF83">
            <v>2.5</v>
          </cell>
          <cell r="AG83">
            <v>2.5</v>
          </cell>
          <cell r="AH83">
            <v>2.5</v>
          </cell>
          <cell r="AI83">
            <v>2.5</v>
          </cell>
          <cell r="AJ83">
            <v>10.5</v>
          </cell>
          <cell r="AK83">
            <v>10.5</v>
          </cell>
          <cell r="AL83">
            <v>2.5</v>
          </cell>
          <cell r="AM83">
            <v>2.5</v>
          </cell>
          <cell r="AN83">
            <v>2.5</v>
          </cell>
          <cell r="AO83" t="str">
            <v>x</v>
          </cell>
          <cell r="AP83">
            <v>16</v>
          </cell>
          <cell r="AQ83">
            <v>14</v>
          </cell>
          <cell r="AR83">
            <v>0</v>
          </cell>
          <cell r="AS83">
            <v>0</v>
          </cell>
          <cell r="AT83">
            <v>0</v>
          </cell>
          <cell r="AU83">
            <v>0</v>
          </cell>
          <cell r="AV83">
            <v>35</v>
          </cell>
          <cell r="AW83">
            <v>21</v>
          </cell>
          <cell r="AX83">
            <v>30</v>
          </cell>
          <cell r="AY83">
            <v>16</v>
          </cell>
          <cell r="AZ83">
            <v>30</v>
          </cell>
          <cell r="CF83">
            <v>85</v>
          </cell>
          <cell r="CG83">
            <v>63</v>
          </cell>
          <cell r="CH83">
            <v>6</v>
          </cell>
          <cell r="CM83">
            <v>123</v>
          </cell>
          <cell r="CN83" t="str">
            <v>Owed 85 hours overtime extra overtime from 15th to 31st October'2008. Owed 123 rials Eid bonus, 63 hours 200%, 6 days desert allowance for Eid Al Adhah'2008 from 8th to 13th December'2008.</v>
          </cell>
        </row>
        <row r="84">
          <cell r="B84">
            <v>243</v>
          </cell>
          <cell r="C84" t="str">
            <v>G</v>
          </cell>
          <cell r="D84" t="str">
            <v xml:space="preserve">Hilal Mohamed Nasser </v>
          </cell>
          <cell r="E84" t="str">
            <v>Radio Operator</v>
          </cell>
          <cell r="G84">
            <v>35588</v>
          </cell>
          <cell r="H84">
            <v>38145</v>
          </cell>
          <cell r="I84" t="str">
            <v>C1</v>
          </cell>
          <cell r="J84" t="str">
            <v>Sh:3</v>
          </cell>
          <cell r="K84">
            <v>8.5</v>
          </cell>
          <cell r="L84">
            <v>8</v>
          </cell>
          <cell r="M84">
            <v>7.5</v>
          </cell>
          <cell r="N84">
            <v>9</v>
          </cell>
          <cell r="O84">
            <v>8</v>
          </cell>
          <cell r="P84">
            <v>8.5</v>
          </cell>
          <cell r="Q84">
            <v>2</v>
          </cell>
          <cell r="R84" t="str">
            <v>L</v>
          </cell>
          <cell r="S84" t="str">
            <v>L</v>
          </cell>
          <cell r="T84" t="str">
            <v>L</v>
          </cell>
          <cell r="U84" t="str">
            <v>L</v>
          </cell>
          <cell r="V84" t="str">
            <v>L</v>
          </cell>
          <cell r="W84" t="str">
            <v>L</v>
          </cell>
          <cell r="X84" t="str">
            <v>L</v>
          </cell>
          <cell r="Y84" t="str">
            <v>L</v>
          </cell>
          <cell r="Z84" t="str">
            <v>L</v>
          </cell>
          <cell r="AA84" t="str">
            <v>L</v>
          </cell>
          <cell r="AB84" t="str">
            <v>L</v>
          </cell>
          <cell r="AC84" t="str">
            <v>L</v>
          </cell>
          <cell r="AD84" t="str">
            <v>L</v>
          </cell>
          <cell r="AE84" t="str">
            <v>L</v>
          </cell>
          <cell r="AF84">
            <v>2</v>
          </cell>
          <cell r="AG84">
            <v>2</v>
          </cell>
          <cell r="AH84">
            <v>2</v>
          </cell>
          <cell r="AI84">
            <v>2</v>
          </cell>
          <cell r="AJ84">
            <v>10</v>
          </cell>
          <cell r="AK84">
            <v>10</v>
          </cell>
          <cell r="AL84">
            <v>2</v>
          </cell>
          <cell r="AM84">
            <v>2</v>
          </cell>
          <cell r="AN84">
            <v>2</v>
          </cell>
          <cell r="AO84" t="str">
            <v>x</v>
          </cell>
          <cell r="AP84">
            <v>16</v>
          </cell>
          <cell r="AQ84">
            <v>14</v>
          </cell>
          <cell r="AR84">
            <v>0</v>
          </cell>
          <cell r="AS84">
            <v>0</v>
          </cell>
          <cell r="AT84">
            <v>0</v>
          </cell>
          <cell r="AU84">
            <v>0</v>
          </cell>
          <cell r="AV84">
            <v>65.5</v>
          </cell>
          <cell r="AW84">
            <v>20</v>
          </cell>
          <cell r="AX84">
            <v>30</v>
          </cell>
          <cell r="AY84">
            <v>16</v>
          </cell>
          <cell r="AZ84">
            <v>30</v>
          </cell>
          <cell r="CF84">
            <v>160</v>
          </cell>
          <cell r="CG84">
            <v>60</v>
          </cell>
          <cell r="CH84">
            <v>6</v>
          </cell>
          <cell r="CM84">
            <v>123</v>
          </cell>
          <cell r="CN84" t="str">
            <v>Owed 160 hours overtime extra overtime from 1st to 3rd and 14th and 16th to 31st October'2008. Owed 123 rials Eid bonus, 60 hours 200%, 6 days desert allowance for Eid Al Adhah'2008 from 8th to 13th December'2008.</v>
          </cell>
        </row>
        <row r="85">
          <cell r="B85">
            <v>244</v>
          </cell>
          <cell r="C85" t="str">
            <v>V</v>
          </cell>
          <cell r="D85" t="str">
            <v>Shihab Sulaiman Rashid Al Gharibi</v>
          </cell>
          <cell r="E85" t="str">
            <v>Vibe Operator</v>
          </cell>
          <cell r="G85">
            <v>35597</v>
          </cell>
          <cell r="H85">
            <v>38147</v>
          </cell>
          <cell r="I85" t="str">
            <v>E</v>
          </cell>
          <cell r="J85" t="str">
            <v>Sh:3</v>
          </cell>
          <cell r="K85">
            <v>8</v>
          </cell>
          <cell r="L85">
            <v>8</v>
          </cell>
          <cell r="M85">
            <v>8</v>
          </cell>
          <cell r="N85">
            <v>8</v>
          </cell>
          <cell r="O85">
            <v>8</v>
          </cell>
          <cell r="P85">
            <v>8</v>
          </cell>
          <cell r="Q85">
            <v>8</v>
          </cell>
          <cell r="R85" t="str">
            <v>L</v>
          </cell>
          <cell r="S85" t="str">
            <v>L</v>
          </cell>
          <cell r="T85" t="str">
            <v>L</v>
          </cell>
          <cell r="U85" t="str">
            <v>L</v>
          </cell>
          <cell r="V85" t="str">
            <v>L</v>
          </cell>
          <cell r="W85" t="str">
            <v>L</v>
          </cell>
          <cell r="X85" t="str">
            <v>L</v>
          </cell>
          <cell r="Y85" t="str">
            <v>L</v>
          </cell>
          <cell r="Z85" t="str">
            <v>L</v>
          </cell>
          <cell r="AA85" t="str">
            <v>L</v>
          </cell>
          <cell r="AB85" t="str">
            <v>L</v>
          </cell>
          <cell r="AC85" t="str">
            <v>L</v>
          </cell>
          <cell r="AD85" t="str">
            <v>L</v>
          </cell>
          <cell r="AE85" t="str">
            <v>L</v>
          </cell>
          <cell r="AF85">
            <v>9</v>
          </cell>
          <cell r="AG85">
            <v>9</v>
          </cell>
          <cell r="AH85">
            <v>9</v>
          </cell>
          <cell r="AI85">
            <v>9</v>
          </cell>
          <cell r="AJ85">
            <v>17</v>
          </cell>
          <cell r="AK85">
            <v>17</v>
          </cell>
          <cell r="AL85">
            <v>9</v>
          </cell>
          <cell r="AM85">
            <v>9</v>
          </cell>
          <cell r="AN85">
            <v>9</v>
          </cell>
          <cell r="AO85" t="str">
            <v>x</v>
          </cell>
          <cell r="AP85">
            <v>16</v>
          </cell>
          <cell r="AQ85">
            <v>14</v>
          </cell>
          <cell r="AR85">
            <v>0</v>
          </cell>
          <cell r="AS85">
            <v>0</v>
          </cell>
          <cell r="AT85">
            <v>0</v>
          </cell>
          <cell r="AU85">
            <v>0</v>
          </cell>
          <cell r="AV85">
            <v>119</v>
          </cell>
          <cell r="AW85">
            <v>34</v>
          </cell>
          <cell r="AX85">
            <v>30</v>
          </cell>
          <cell r="AY85">
            <v>16</v>
          </cell>
          <cell r="AZ85">
            <v>30</v>
          </cell>
          <cell r="CF85">
            <v>-24</v>
          </cell>
          <cell r="CG85">
            <v>102</v>
          </cell>
          <cell r="CH85">
            <v>3</v>
          </cell>
          <cell r="CM85">
            <v>123</v>
          </cell>
          <cell r="CN85" t="str">
            <v xml:space="preserve">Deducted 3 days desert allowance, 24 hours overtime take leave from 27th to 29th October'2008. Owed 123 rials Eid bonus, 102 hours 200%, 6 days desert allowance for Eid Al Adhah'2008 8th to 13th December'2008. </v>
          </cell>
        </row>
        <row r="86">
          <cell r="B86">
            <v>245</v>
          </cell>
          <cell r="C86" t="str">
            <v>SG</v>
          </cell>
          <cell r="D86" t="str">
            <v>Mahmoud Mohammed Said</v>
          </cell>
          <cell r="E86" t="str">
            <v>GPS Operator</v>
          </cell>
          <cell r="G86">
            <v>35597</v>
          </cell>
          <cell r="H86">
            <v>38132</v>
          </cell>
          <cell r="I86" t="str">
            <v>C</v>
          </cell>
          <cell r="J86" t="str">
            <v>Sh:1</v>
          </cell>
          <cell r="K86">
            <v>2.5</v>
          </cell>
          <cell r="L86">
            <v>2.5</v>
          </cell>
          <cell r="M86">
            <v>2.5</v>
          </cell>
          <cell r="N86">
            <v>6.5</v>
          </cell>
          <cell r="O86">
            <v>2.5</v>
          </cell>
          <cell r="P86">
            <v>2.5</v>
          </cell>
          <cell r="Q86">
            <v>2.5</v>
          </cell>
          <cell r="R86">
            <v>2.5</v>
          </cell>
          <cell r="S86">
            <v>2.5</v>
          </cell>
          <cell r="T86">
            <v>2.5</v>
          </cell>
          <cell r="U86">
            <v>2.5</v>
          </cell>
          <cell r="V86">
            <v>2.5</v>
          </cell>
          <cell r="W86">
            <v>2.5</v>
          </cell>
          <cell r="X86">
            <v>2.5</v>
          </cell>
          <cell r="Y86">
            <v>2.5</v>
          </cell>
          <cell r="Z86">
            <v>2.5</v>
          </cell>
          <cell r="AA86">
            <v>2.5</v>
          </cell>
          <cell r="AB86">
            <v>2.5</v>
          </cell>
          <cell r="AC86">
            <v>2.5</v>
          </cell>
          <cell r="AD86">
            <v>2.5</v>
          </cell>
          <cell r="AE86">
            <v>2.5</v>
          </cell>
          <cell r="AF86" t="str">
            <v>L</v>
          </cell>
          <cell r="AG86" t="str">
            <v>L</v>
          </cell>
          <cell r="AH86" t="str">
            <v>L</v>
          </cell>
          <cell r="AI86" t="str">
            <v>L</v>
          </cell>
          <cell r="AJ86" t="str">
            <v>L</v>
          </cell>
          <cell r="AK86" t="str">
            <v>L</v>
          </cell>
          <cell r="AL86" t="str">
            <v>L</v>
          </cell>
          <cell r="AM86" t="str">
            <v>L</v>
          </cell>
          <cell r="AN86" t="str">
            <v>L</v>
          </cell>
          <cell r="AO86" t="str">
            <v>x</v>
          </cell>
          <cell r="AP86">
            <v>21</v>
          </cell>
          <cell r="AQ86">
            <v>9</v>
          </cell>
          <cell r="AR86">
            <v>0</v>
          </cell>
          <cell r="AS86">
            <v>0</v>
          </cell>
          <cell r="AT86">
            <v>0</v>
          </cell>
          <cell r="AU86">
            <v>0</v>
          </cell>
          <cell r="AV86">
            <v>56.5</v>
          </cell>
          <cell r="AW86">
            <v>0</v>
          </cell>
          <cell r="AX86">
            <v>30</v>
          </cell>
          <cell r="AY86">
            <v>21</v>
          </cell>
          <cell r="AZ86">
            <v>30</v>
          </cell>
          <cell r="CG86">
            <v>63</v>
          </cell>
          <cell r="CH86">
            <v>6</v>
          </cell>
          <cell r="CM86">
            <v>123</v>
          </cell>
          <cell r="CN86" t="str">
            <v>Owed 123 rials Eid bonus, 63 hours 200%, 6 days desert allowance for Eid Al Adhah'2008 from 8th to 13th December'2008.</v>
          </cell>
        </row>
        <row r="87">
          <cell r="B87">
            <v>248</v>
          </cell>
          <cell r="C87" t="str">
            <v>SH</v>
          </cell>
          <cell r="D87" t="str">
            <v>Salem Sultan Muhanna</v>
          </cell>
          <cell r="E87" t="str">
            <v>Light Dvr / Bus Dvr</v>
          </cell>
          <cell r="G87">
            <v>35566</v>
          </cell>
          <cell r="H87">
            <v>38107</v>
          </cell>
          <cell r="I87" t="str">
            <v>A</v>
          </cell>
          <cell r="J87" t="str">
            <v>Sh:2</v>
          </cell>
          <cell r="K87" t="str">
            <v>L</v>
          </cell>
          <cell r="L87" t="str">
            <v>L</v>
          </cell>
          <cell r="M87" t="str">
            <v>L</v>
          </cell>
          <cell r="N87" t="str">
            <v>L</v>
          </cell>
          <cell r="O87" t="str">
            <v>L</v>
          </cell>
          <cell r="P87" t="str">
            <v>L</v>
          </cell>
          <cell r="Q87" t="str">
            <v>L</v>
          </cell>
          <cell r="R87" t="str">
            <v>L</v>
          </cell>
          <cell r="S87">
            <v>2.5</v>
          </cell>
          <cell r="T87">
            <v>6.5</v>
          </cell>
          <cell r="U87">
            <v>6.5</v>
          </cell>
          <cell r="V87">
            <v>6.5</v>
          </cell>
          <cell r="W87">
            <v>6.5</v>
          </cell>
          <cell r="X87">
            <v>2.5</v>
          </cell>
          <cell r="Y87">
            <v>2.5</v>
          </cell>
          <cell r="Z87">
            <v>2.5</v>
          </cell>
          <cell r="AA87">
            <v>2.5</v>
          </cell>
          <cell r="AB87">
            <v>2.5</v>
          </cell>
          <cell r="AC87">
            <v>2.5</v>
          </cell>
          <cell r="AD87">
            <v>2.5</v>
          </cell>
          <cell r="AE87">
            <v>2.5</v>
          </cell>
          <cell r="AF87">
            <v>2.5</v>
          </cell>
          <cell r="AG87">
            <v>2.5</v>
          </cell>
          <cell r="AH87">
            <v>2.5</v>
          </cell>
          <cell r="AI87">
            <v>2.5</v>
          </cell>
          <cell r="AJ87">
            <v>10.5</v>
          </cell>
          <cell r="AK87">
            <v>10.5</v>
          </cell>
          <cell r="AL87">
            <v>2.5</v>
          </cell>
          <cell r="AM87">
            <v>2.5</v>
          </cell>
          <cell r="AN87">
            <v>2.5</v>
          </cell>
          <cell r="AO87" t="str">
            <v>x</v>
          </cell>
          <cell r="AP87">
            <v>22</v>
          </cell>
          <cell r="AQ87">
            <v>8</v>
          </cell>
          <cell r="AR87">
            <v>0</v>
          </cell>
          <cell r="AS87">
            <v>0</v>
          </cell>
          <cell r="AT87">
            <v>0</v>
          </cell>
          <cell r="AU87">
            <v>0</v>
          </cell>
          <cell r="AV87">
            <v>66</v>
          </cell>
          <cell r="AW87">
            <v>21</v>
          </cell>
          <cell r="AX87">
            <v>30</v>
          </cell>
          <cell r="AY87">
            <v>22</v>
          </cell>
          <cell r="AZ87">
            <v>30</v>
          </cell>
          <cell r="CF87">
            <v>127</v>
          </cell>
          <cell r="CN87" t="str">
            <v>Owed 66 hours overtime extra overtime from 4th and 6th to 7th and 11th to 22nd October'2008. Owed 61 hours overtime extra overtime from 5th to 10th October'2008.</v>
          </cell>
        </row>
        <row r="88">
          <cell r="B88">
            <v>249</v>
          </cell>
          <cell r="C88" t="str">
            <v>SH</v>
          </cell>
          <cell r="D88" t="str">
            <v>Saeed Hamed Said</v>
          </cell>
          <cell r="E88" t="str">
            <v>Labour</v>
          </cell>
          <cell r="G88">
            <v>35566</v>
          </cell>
          <cell r="H88">
            <v>38110</v>
          </cell>
          <cell r="I88" t="str">
            <v>A</v>
          </cell>
          <cell r="J88" t="str">
            <v>Sh:2</v>
          </cell>
          <cell r="K88" t="str">
            <v>H</v>
          </cell>
          <cell r="L88" t="str">
            <v>H</v>
          </cell>
          <cell r="M88" t="str">
            <v>H</v>
          </cell>
          <cell r="N88" t="str">
            <v>H</v>
          </cell>
          <cell r="O88" t="str">
            <v>H</v>
          </cell>
          <cell r="P88" t="str">
            <v>H</v>
          </cell>
          <cell r="Q88" t="str">
            <v>H</v>
          </cell>
          <cell r="R88" t="str">
            <v>H</v>
          </cell>
          <cell r="S88" t="str">
            <v>H</v>
          </cell>
          <cell r="T88" t="str">
            <v>H</v>
          </cell>
          <cell r="U88" t="str">
            <v>H</v>
          </cell>
          <cell r="V88" t="str">
            <v>H</v>
          </cell>
          <cell r="W88" t="str">
            <v>H</v>
          </cell>
          <cell r="X88" t="str">
            <v>H</v>
          </cell>
          <cell r="Y88" t="str">
            <v>H</v>
          </cell>
          <cell r="Z88" t="str">
            <v>H</v>
          </cell>
          <cell r="AA88" t="str">
            <v>H</v>
          </cell>
          <cell r="AB88" t="str">
            <v>H</v>
          </cell>
          <cell r="AC88" t="str">
            <v>H</v>
          </cell>
          <cell r="AD88" t="str">
            <v>H</v>
          </cell>
          <cell r="AE88" t="str">
            <v>H</v>
          </cell>
          <cell r="AF88" t="str">
            <v>H</v>
          </cell>
          <cell r="AG88" t="str">
            <v>H</v>
          </cell>
          <cell r="AH88" t="str">
            <v>H</v>
          </cell>
          <cell r="AI88" t="str">
            <v>H</v>
          </cell>
          <cell r="AJ88" t="str">
            <v>H</v>
          </cell>
          <cell r="AK88" t="str">
            <v>H</v>
          </cell>
          <cell r="AL88" t="str">
            <v>H</v>
          </cell>
          <cell r="AM88" t="str">
            <v>H</v>
          </cell>
          <cell r="AN88" t="str">
            <v>H</v>
          </cell>
          <cell r="AO88" t="str">
            <v>x</v>
          </cell>
          <cell r="AP88">
            <v>0</v>
          </cell>
          <cell r="AQ88">
            <v>0</v>
          </cell>
          <cell r="AR88">
            <v>0</v>
          </cell>
          <cell r="AS88">
            <v>0</v>
          </cell>
          <cell r="AT88">
            <v>0</v>
          </cell>
          <cell r="AU88">
            <v>30</v>
          </cell>
          <cell r="AV88">
            <v>0</v>
          </cell>
          <cell r="AW88">
            <v>0</v>
          </cell>
          <cell r="AX88">
            <v>0</v>
          </cell>
          <cell r="AY88">
            <v>0</v>
          </cell>
          <cell r="AZ88">
            <v>0</v>
          </cell>
        </row>
        <row r="89">
          <cell r="B89">
            <v>252</v>
          </cell>
          <cell r="C89" t="str">
            <v>SH</v>
          </cell>
          <cell r="D89" t="str">
            <v>Salem Masoud Khalfan Al Yaqoubi</v>
          </cell>
          <cell r="E89" t="str">
            <v>Labour / Camp</v>
          </cell>
          <cell r="G89">
            <v>35566</v>
          </cell>
          <cell r="H89">
            <v>38145</v>
          </cell>
          <cell r="I89" t="str">
            <v>A</v>
          </cell>
          <cell r="J89" t="str">
            <v>Sh:2</v>
          </cell>
          <cell r="K89" t="str">
            <v>L</v>
          </cell>
          <cell r="L89" t="str">
            <v>L</v>
          </cell>
          <cell r="M89" t="str">
            <v>L</v>
          </cell>
          <cell r="N89" t="str">
            <v>L</v>
          </cell>
          <cell r="O89" t="str">
            <v>L</v>
          </cell>
          <cell r="P89" t="str">
            <v>L</v>
          </cell>
          <cell r="Q89" t="str">
            <v>L</v>
          </cell>
          <cell r="R89" t="str">
            <v>L</v>
          </cell>
          <cell r="S89">
            <v>6</v>
          </cell>
          <cell r="T89">
            <v>6</v>
          </cell>
          <cell r="U89">
            <v>6</v>
          </cell>
          <cell r="V89">
            <v>6</v>
          </cell>
          <cell r="W89">
            <v>6</v>
          </cell>
          <cell r="X89">
            <v>6</v>
          </cell>
          <cell r="Y89">
            <v>6</v>
          </cell>
          <cell r="Z89">
            <v>6</v>
          </cell>
          <cell r="AA89">
            <v>6</v>
          </cell>
          <cell r="AB89">
            <v>6</v>
          </cell>
          <cell r="AC89">
            <v>6</v>
          </cell>
          <cell r="AD89">
            <v>6</v>
          </cell>
          <cell r="AE89">
            <v>6</v>
          </cell>
          <cell r="AF89">
            <v>6</v>
          </cell>
          <cell r="AG89">
            <v>6</v>
          </cell>
          <cell r="AH89">
            <v>6</v>
          </cell>
          <cell r="AI89">
            <v>6</v>
          </cell>
          <cell r="AJ89">
            <v>14</v>
          </cell>
          <cell r="AK89">
            <v>14</v>
          </cell>
          <cell r="AL89">
            <v>6</v>
          </cell>
          <cell r="AM89">
            <v>6</v>
          </cell>
          <cell r="AN89">
            <v>6</v>
          </cell>
          <cell r="AO89" t="str">
            <v>x</v>
          </cell>
          <cell r="AP89">
            <v>22</v>
          </cell>
          <cell r="AQ89">
            <v>8</v>
          </cell>
          <cell r="AR89">
            <v>0</v>
          </cell>
          <cell r="AS89">
            <v>0</v>
          </cell>
          <cell r="AT89">
            <v>0</v>
          </cell>
          <cell r="AU89">
            <v>0</v>
          </cell>
          <cell r="AV89">
            <v>120</v>
          </cell>
          <cell r="AW89">
            <v>28</v>
          </cell>
          <cell r="AX89">
            <v>30</v>
          </cell>
          <cell r="AY89">
            <v>22</v>
          </cell>
          <cell r="AZ89">
            <v>30</v>
          </cell>
          <cell r="CG89">
            <v>72</v>
          </cell>
          <cell r="CH89">
            <v>6</v>
          </cell>
          <cell r="CM89">
            <v>123</v>
          </cell>
          <cell r="CN89" t="str">
            <v>Owed 123 rials Eid bonus, 72 hours 200%, 6 days desert allowance for Eid Al Adhah'2008 from 8th to 13th December'2008.</v>
          </cell>
        </row>
        <row r="90">
          <cell r="B90">
            <v>253</v>
          </cell>
          <cell r="C90" t="str">
            <v>R</v>
          </cell>
          <cell r="D90" t="str">
            <v>Suliyam Hamad Khalfan</v>
          </cell>
          <cell r="E90" t="str">
            <v>Survey Foreman</v>
          </cell>
          <cell r="G90">
            <v>35566</v>
          </cell>
          <cell r="H90">
            <v>38142</v>
          </cell>
          <cell r="I90" t="str">
            <v>A</v>
          </cell>
          <cell r="J90" t="str">
            <v>Sh:2</v>
          </cell>
          <cell r="K90" t="str">
            <v>L</v>
          </cell>
          <cell r="L90" t="str">
            <v>L</v>
          </cell>
          <cell r="M90" t="str">
            <v>L</v>
          </cell>
          <cell r="N90" t="str">
            <v>L</v>
          </cell>
          <cell r="O90" t="str">
            <v>L</v>
          </cell>
          <cell r="P90" t="str">
            <v>L</v>
          </cell>
          <cell r="Q90" t="str">
            <v>L</v>
          </cell>
          <cell r="R90">
            <v>8.5</v>
          </cell>
          <cell r="S90">
            <v>8.5</v>
          </cell>
          <cell r="T90">
            <v>8.5</v>
          </cell>
          <cell r="U90">
            <v>8.5</v>
          </cell>
          <cell r="V90">
            <v>8.5</v>
          </cell>
          <cell r="W90">
            <v>8.5</v>
          </cell>
          <cell r="X90">
            <v>8.5</v>
          </cell>
          <cell r="Y90">
            <v>8.5</v>
          </cell>
          <cell r="Z90">
            <v>2.5</v>
          </cell>
          <cell r="AA90">
            <v>2.5</v>
          </cell>
          <cell r="AB90">
            <v>2.5</v>
          </cell>
          <cell r="AC90">
            <v>2.5</v>
          </cell>
          <cell r="AD90">
            <v>2.5</v>
          </cell>
          <cell r="AE90">
            <v>2.5</v>
          </cell>
          <cell r="AF90">
            <v>2.5</v>
          </cell>
          <cell r="AG90">
            <v>2.5</v>
          </cell>
          <cell r="AH90">
            <v>2.5</v>
          </cell>
          <cell r="AI90">
            <v>2.5</v>
          </cell>
          <cell r="AJ90">
            <v>10.5</v>
          </cell>
          <cell r="AK90">
            <v>10.5</v>
          </cell>
          <cell r="AL90">
            <v>2.5</v>
          </cell>
          <cell r="AM90">
            <v>2.5</v>
          </cell>
          <cell r="AN90">
            <v>2.5</v>
          </cell>
          <cell r="AO90" t="str">
            <v>x</v>
          </cell>
          <cell r="AP90">
            <v>23</v>
          </cell>
          <cell r="AQ90">
            <v>7</v>
          </cell>
          <cell r="AR90">
            <v>0</v>
          </cell>
          <cell r="AS90">
            <v>0</v>
          </cell>
          <cell r="AT90">
            <v>0</v>
          </cell>
          <cell r="AU90">
            <v>0</v>
          </cell>
          <cell r="AV90">
            <v>100.5</v>
          </cell>
          <cell r="AW90">
            <v>21</v>
          </cell>
          <cell r="AX90">
            <v>30</v>
          </cell>
          <cell r="AY90">
            <v>23</v>
          </cell>
          <cell r="AZ90">
            <v>30</v>
          </cell>
          <cell r="CF90">
            <v>52</v>
          </cell>
          <cell r="CN90" t="str">
            <v>Owed 52 hours overtime extra overtime from 11th to 23rd and 19th to 23rd October'2008.</v>
          </cell>
        </row>
        <row r="91">
          <cell r="B91">
            <v>257</v>
          </cell>
          <cell r="C91" t="str">
            <v>R</v>
          </cell>
          <cell r="D91" t="str">
            <v>Zayid Suliyam Said</v>
          </cell>
          <cell r="E91" t="str">
            <v>Labour</v>
          </cell>
          <cell r="G91">
            <v>35566</v>
          </cell>
          <cell r="H91">
            <v>38136</v>
          </cell>
          <cell r="I91" t="str">
            <v>A</v>
          </cell>
          <cell r="J91" t="str">
            <v>Sh:1</v>
          </cell>
          <cell r="K91">
            <v>6</v>
          </cell>
          <cell r="L91">
            <v>6</v>
          </cell>
          <cell r="M91">
            <v>6</v>
          </cell>
          <cell r="N91">
            <v>2</v>
          </cell>
          <cell r="O91">
            <v>6</v>
          </cell>
          <cell r="P91">
            <v>6</v>
          </cell>
          <cell r="Q91">
            <v>6</v>
          </cell>
          <cell r="R91">
            <v>6</v>
          </cell>
          <cell r="S91">
            <v>6</v>
          </cell>
          <cell r="T91">
            <v>6</v>
          </cell>
          <cell r="U91">
            <v>6</v>
          </cell>
          <cell r="V91">
            <v>6</v>
          </cell>
          <cell r="W91">
            <v>6</v>
          </cell>
          <cell r="X91">
            <v>6</v>
          </cell>
          <cell r="Y91">
            <v>6</v>
          </cell>
          <cell r="Z91">
            <v>2</v>
          </cell>
          <cell r="AA91">
            <v>2</v>
          </cell>
          <cell r="AB91">
            <v>2</v>
          </cell>
          <cell r="AC91">
            <v>2</v>
          </cell>
          <cell r="AD91">
            <v>2</v>
          </cell>
          <cell r="AE91">
            <v>2</v>
          </cell>
          <cell r="AF91" t="str">
            <v>L</v>
          </cell>
          <cell r="AG91" t="str">
            <v>L</v>
          </cell>
          <cell r="AH91" t="str">
            <v>L</v>
          </cell>
          <cell r="AI91" t="str">
            <v>L</v>
          </cell>
          <cell r="AJ91" t="str">
            <v>L</v>
          </cell>
          <cell r="AK91" t="str">
            <v>L</v>
          </cell>
          <cell r="AL91" t="str">
            <v>L</v>
          </cell>
          <cell r="AM91" t="str">
            <v>L</v>
          </cell>
          <cell r="AN91" t="str">
            <v>L</v>
          </cell>
          <cell r="AO91" t="str">
            <v>x</v>
          </cell>
          <cell r="AP91">
            <v>21</v>
          </cell>
          <cell r="AQ91">
            <v>9</v>
          </cell>
          <cell r="AR91">
            <v>0</v>
          </cell>
          <cell r="AS91">
            <v>0</v>
          </cell>
          <cell r="AT91">
            <v>0</v>
          </cell>
          <cell r="AU91">
            <v>0</v>
          </cell>
          <cell r="AV91">
            <v>98</v>
          </cell>
          <cell r="AW91">
            <v>0</v>
          </cell>
          <cell r="AX91">
            <v>30</v>
          </cell>
          <cell r="AY91">
            <v>21</v>
          </cell>
          <cell r="AZ91">
            <v>30</v>
          </cell>
          <cell r="CF91">
            <v>40</v>
          </cell>
          <cell r="CG91">
            <v>60</v>
          </cell>
          <cell r="CH91">
            <v>6</v>
          </cell>
          <cell r="CM91">
            <v>123</v>
          </cell>
          <cell r="CN91" t="str">
            <v>Owed 40 hours overtime extra overtime from 5th to 7th and 25th to 31st October'2008 and owed 12 hours overtime 200% from 2nd to 4th October'2008. Owed 123 rials Eid bonus, 60 hours 200%, 6 days desert allowance for Eid Al Adhah'2008 from 8th to 13th Decem</v>
          </cell>
        </row>
        <row r="92">
          <cell r="B92">
            <v>258</v>
          </cell>
          <cell r="C92" t="str">
            <v>R</v>
          </cell>
          <cell r="D92" t="str">
            <v>Suliyam Said Saleem</v>
          </cell>
          <cell r="E92" t="str">
            <v>Labour</v>
          </cell>
          <cell r="G92">
            <v>35566</v>
          </cell>
          <cell r="H92">
            <v>38093</v>
          </cell>
          <cell r="I92" t="str">
            <v>A</v>
          </cell>
          <cell r="J92" t="str">
            <v>Sh:1</v>
          </cell>
          <cell r="K92">
            <v>6</v>
          </cell>
          <cell r="L92">
            <v>6</v>
          </cell>
          <cell r="M92">
            <v>6</v>
          </cell>
          <cell r="N92">
            <v>6</v>
          </cell>
          <cell r="O92">
            <v>6</v>
          </cell>
          <cell r="P92">
            <v>6</v>
          </cell>
          <cell r="Q92">
            <v>6</v>
          </cell>
          <cell r="R92">
            <v>6</v>
          </cell>
          <cell r="S92">
            <v>6</v>
          </cell>
          <cell r="T92">
            <v>6</v>
          </cell>
          <cell r="U92">
            <v>6</v>
          </cell>
          <cell r="V92">
            <v>6</v>
          </cell>
          <cell r="W92">
            <v>6</v>
          </cell>
          <cell r="X92">
            <v>6</v>
          </cell>
          <cell r="Y92">
            <v>6</v>
          </cell>
          <cell r="Z92">
            <v>2</v>
          </cell>
          <cell r="AA92">
            <v>2</v>
          </cell>
          <cell r="AB92">
            <v>2</v>
          </cell>
          <cell r="AC92">
            <v>2</v>
          </cell>
          <cell r="AD92">
            <v>2</v>
          </cell>
          <cell r="AE92">
            <v>2</v>
          </cell>
          <cell r="AF92" t="str">
            <v>L</v>
          </cell>
          <cell r="AG92" t="str">
            <v>L</v>
          </cell>
          <cell r="AH92" t="str">
            <v>L</v>
          </cell>
          <cell r="AI92" t="str">
            <v>L</v>
          </cell>
          <cell r="AJ92" t="str">
            <v>L</v>
          </cell>
          <cell r="AK92" t="str">
            <v>L</v>
          </cell>
          <cell r="AL92" t="str">
            <v>L</v>
          </cell>
          <cell r="AM92" t="str">
            <v>L</v>
          </cell>
          <cell r="AN92" t="str">
            <v>L</v>
          </cell>
          <cell r="AO92" t="str">
            <v>x</v>
          </cell>
          <cell r="AP92">
            <v>21</v>
          </cell>
          <cell r="AQ92">
            <v>9</v>
          </cell>
          <cell r="AR92">
            <v>0</v>
          </cell>
          <cell r="AS92">
            <v>0</v>
          </cell>
          <cell r="AT92">
            <v>0</v>
          </cell>
          <cell r="AU92">
            <v>0</v>
          </cell>
          <cell r="AV92">
            <v>102</v>
          </cell>
          <cell r="AW92">
            <v>0</v>
          </cell>
          <cell r="AX92">
            <v>30</v>
          </cell>
          <cell r="AY92">
            <v>21</v>
          </cell>
          <cell r="AZ92">
            <v>30</v>
          </cell>
          <cell r="CF92">
            <v>8</v>
          </cell>
          <cell r="CN92" t="str">
            <v>Owed 8 hours overtime extra overtime from 30th to 31st October'2008.</v>
          </cell>
        </row>
        <row r="93">
          <cell r="B93">
            <v>260</v>
          </cell>
          <cell r="C93" t="str">
            <v>AN</v>
          </cell>
          <cell r="D93" t="str">
            <v>Qasim Khamis Sulaiyam Al Yaqoubi</v>
          </cell>
          <cell r="E93" t="str">
            <v>GPS Operator</v>
          </cell>
          <cell r="G93">
            <v>35566</v>
          </cell>
          <cell r="H93">
            <v>38108</v>
          </cell>
          <cell r="I93" t="str">
            <v>A</v>
          </cell>
          <cell r="J93" t="str">
            <v>Sh:2</v>
          </cell>
          <cell r="K93" t="str">
            <v>L</v>
          </cell>
          <cell r="L93" t="str">
            <v>L</v>
          </cell>
          <cell r="M93" t="str">
            <v>L</v>
          </cell>
          <cell r="N93" t="str">
            <v>L</v>
          </cell>
          <cell r="O93" t="str">
            <v>L</v>
          </cell>
          <cell r="P93" t="str">
            <v>L</v>
          </cell>
          <cell r="Q93" t="str">
            <v>L</v>
          </cell>
          <cell r="R93">
            <v>2.5</v>
          </cell>
          <cell r="S93">
            <v>2.5</v>
          </cell>
          <cell r="T93">
            <v>2.5</v>
          </cell>
          <cell r="U93">
            <v>2.5</v>
          </cell>
          <cell r="V93">
            <v>2.5</v>
          </cell>
          <cell r="W93">
            <v>2.5</v>
          </cell>
          <cell r="X93">
            <v>2.5</v>
          </cell>
          <cell r="Y93">
            <v>2.5</v>
          </cell>
          <cell r="Z93">
            <v>2.5</v>
          </cell>
          <cell r="AA93">
            <v>2.5</v>
          </cell>
          <cell r="AB93">
            <v>2.5</v>
          </cell>
          <cell r="AC93">
            <v>2.5</v>
          </cell>
          <cell r="AD93">
            <v>2.5</v>
          </cell>
          <cell r="AE93">
            <v>2.5</v>
          </cell>
          <cell r="AF93">
            <v>2.5</v>
          </cell>
          <cell r="AG93">
            <v>2.5</v>
          </cell>
          <cell r="AH93">
            <v>2.5</v>
          </cell>
          <cell r="AI93">
            <v>2.5</v>
          </cell>
          <cell r="AJ93">
            <v>10.5</v>
          </cell>
          <cell r="AK93">
            <v>10.5</v>
          </cell>
          <cell r="AL93">
            <v>2.5</v>
          </cell>
          <cell r="AM93">
            <v>2.5</v>
          </cell>
          <cell r="AN93">
            <v>2.5</v>
          </cell>
          <cell r="AO93" t="str">
            <v>x</v>
          </cell>
          <cell r="AP93">
            <v>23</v>
          </cell>
          <cell r="AQ93">
            <v>7</v>
          </cell>
          <cell r="AR93">
            <v>0</v>
          </cell>
          <cell r="AS93">
            <v>0</v>
          </cell>
          <cell r="AT93">
            <v>0</v>
          </cell>
          <cell r="AU93">
            <v>0</v>
          </cell>
          <cell r="AV93">
            <v>52.5</v>
          </cell>
          <cell r="AW93">
            <v>21</v>
          </cell>
          <cell r="AX93">
            <v>30</v>
          </cell>
          <cell r="AY93">
            <v>23</v>
          </cell>
          <cell r="AZ93">
            <v>30</v>
          </cell>
          <cell r="CF93">
            <v>4.5</v>
          </cell>
          <cell r="CH93">
            <v>1</v>
          </cell>
          <cell r="CN93" t="str">
            <v>Owed one day desert allowance, 2.5 hours overtime on 5th October'2008 the shift change bus broken on the way to crew. Owed 2 hours overtime extra overtime from 19th October'2008.</v>
          </cell>
        </row>
        <row r="94">
          <cell r="B94">
            <v>265</v>
          </cell>
          <cell r="C94" t="str">
            <v>JR</v>
          </cell>
          <cell r="D94" t="str">
            <v>Nasser Mohammed Said Al Rashdi</v>
          </cell>
          <cell r="E94" t="str">
            <v>Asst HSE</v>
          </cell>
          <cell r="G94">
            <v>35604</v>
          </cell>
          <cell r="H94">
            <v>38145</v>
          </cell>
          <cell r="I94" t="str">
            <v>C1</v>
          </cell>
          <cell r="J94" t="str">
            <v>Sh:1</v>
          </cell>
          <cell r="K94">
            <v>2</v>
          </cell>
          <cell r="L94">
            <v>2</v>
          </cell>
          <cell r="M94">
            <v>2</v>
          </cell>
          <cell r="N94">
            <v>2</v>
          </cell>
          <cell r="O94">
            <v>2</v>
          </cell>
          <cell r="P94">
            <v>2</v>
          </cell>
          <cell r="Q94">
            <v>2</v>
          </cell>
          <cell r="R94">
            <v>2</v>
          </cell>
          <cell r="S94">
            <v>2</v>
          </cell>
          <cell r="T94">
            <v>2</v>
          </cell>
          <cell r="U94">
            <v>2</v>
          </cell>
          <cell r="V94">
            <v>2</v>
          </cell>
          <cell r="W94">
            <v>2</v>
          </cell>
          <cell r="X94">
            <v>2</v>
          </cell>
          <cell r="Y94">
            <v>2</v>
          </cell>
          <cell r="Z94">
            <v>2</v>
          </cell>
          <cell r="AA94">
            <v>2</v>
          </cell>
          <cell r="AB94">
            <v>2</v>
          </cell>
          <cell r="AC94">
            <v>2</v>
          </cell>
          <cell r="AD94">
            <v>2</v>
          </cell>
          <cell r="AE94">
            <v>2</v>
          </cell>
          <cell r="AF94" t="str">
            <v>L</v>
          </cell>
          <cell r="AG94" t="str">
            <v>L</v>
          </cell>
          <cell r="AH94" t="str">
            <v>L</v>
          </cell>
          <cell r="AI94" t="str">
            <v>L</v>
          </cell>
          <cell r="AJ94" t="str">
            <v>L</v>
          </cell>
          <cell r="AK94" t="str">
            <v>L</v>
          </cell>
          <cell r="AL94" t="str">
            <v>L</v>
          </cell>
          <cell r="AM94" t="str">
            <v>L</v>
          </cell>
          <cell r="AN94" t="str">
            <v>L</v>
          </cell>
          <cell r="AO94" t="str">
            <v>x</v>
          </cell>
          <cell r="AP94">
            <v>21</v>
          </cell>
          <cell r="AQ94">
            <v>9</v>
          </cell>
          <cell r="AR94">
            <v>0</v>
          </cell>
          <cell r="AS94">
            <v>0</v>
          </cell>
          <cell r="AT94">
            <v>0</v>
          </cell>
          <cell r="AU94">
            <v>0</v>
          </cell>
          <cell r="AV94">
            <v>42</v>
          </cell>
          <cell r="AW94">
            <v>0</v>
          </cell>
          <cell r="AX94">
            <v>30</v>
          </cell>
          <cell r="AY94">
            <v>21</v>
          </cell>
          <cell r="AZ94">
            <v>30</v>
          </cell>
          <cell r="CG94">
            <v>60</v>
          </cell>
          <cell r="CH94">
            <v>6</v>
          </cell>
          <cell r="CM94">
            <v>123</v>
          </cell>
          <cell r="CN94" t="str">
            <v>Owed 123 rials Eid bonus, 60 hours 200%, 6 days desert allowance for Eid Al Adhah'2008 from 8th to 13th December'2008.</v>
          </cell>
        </row>
        <row r="95">
          <cell r="B95">
            <v>266</v>
          </cell>
          <cell r="C95" t="str">
            <v>AN</v>
          </cell>
          <cell r="D95" t="str">
            <v>Hamoud Saif Bashar</v>
          </cell>
          <cell r="E95" t="str">
            <v>Line Foreman</v>
          </cell>
          <cell r="G95">
            <v>35605</v>
          </cell>
          <cell r="H95">
            <v>38145</v>
          </cell>
          <cell r="I95" t="str">
            <v>E</v>
          </cell>
          <cell r="J95" t="str">
            <v>Sh:2</v>
          </cell>
          <cell r="K95" t="str">
            <v>L</v>
          </cell>
          <cell r="L95" t="str">
            <v>L</v>
          </cell>
          <cell r="M95" t="str">
            <v>L</v>
          </cell>
          <cell r="N95" t="str">
            <v>L</v>
          </cell>
          <cell r="O95" t="str">
            <v>L</v>
          </cell>
          <cell r="P95" t="str">
            <v>L</v>
          </cell>
          <cell r="Q95" t="str">
            <v>L</v>
          </cell>
          <cell r="R95">
            <v>6.5</v>
          </cell>
          <cell r="S95">
            <v>6.5</v>
          </cell>
          <cell r="T95">
            <v>6.5</v>
          </cell>
          <cell r="U95">
            <v>6.5</v>
          </cell>
          <cell r="V95">
            <v>2.5</v>
          </cell>
          <cell r="W95" t="str">
            <v>L</v>
          </cell>
          <cell r="X95" t="str">
            <v>L</v>
          </cell>
          <cell r="Y95" t="str">
            <v>L</v>
          </cell>
          <cell r="Z95">
            <v>2.5</v>
          </cell>
          <cell r="AA95">
            <v>2.5</v>
          </cell>
          <cell r="AB95">
            <v>2.5</v>
          </cell>
          <cell r="AC95">
            <v>2.5</v>
          </cell>
          <cell r="AD95">
            <v>2.5</v>
          </cell>
          <cell r="AE95">
            <v>2.5</v>
          </cell>
          <cell r="AF95">
            <v>2.5</v>
          </cell>
          <cell r="AG95">
            <v>2.5</v>
          </cell>
          <cell r="AH95">
            <v>2.5</v>
          </cell>
          <cell r="AI95">
            <v>2.5</v>
          </cell>
          <cell r="AJ95">
            <v>10.5</v>
          </cell>
          <cell r="AK95">
            <v>10.5</v>
          </cell>
          <cell r="AL95">
            <v>2.5</v>
          </cell>
          <cell r="AM95">
            <v>2.5</v>
          </cell>
          <cell r="AN95">
            <v>2.5</v>
          </cell>
          <cell r="AO95" t="str">
            <v>x</v>
          </cell>
          <cell r="AP95">
            <v>20</v>
          </cell>
          <cell r="AQ95">
            <v>10</v>
          </cell>
          <cell r="AR95">
            <v>0</v>
          </cell>
          <cell r="AS95">
            <v>0</v>
          </cell>
          <cell r="AT95">
            <v>0</v>
          </cell>
          <cell r="AU95">
            <v>0</v>
          </cell>
          <cell r="AV95">
            <v>61</v>
          </cell>
          <cell r="AW95">
            <v>21</v>
          </cell>
          <cell r="AX95">
            <v>30</v>
          </cell>
          <cell r="AY95">
            <v>20</v>
          </cell>
          <cell r="AZ95">
            <v>30</v>
          </cell>
          <cell r="CF95">
            <v>38.5</v>
          </cell>
          <cell r="CH95">
            <v>1</v>
          </cell>
          <cell r="CN95" t="str">
            <v>Owed 38.5 hours overtime extra overtime from 6th and 16th to 23rd October'2008. Owed one days desert allowance, 2.5 hours overtime on August'2008.</v>
          </cell>
        </row>
        <row r="96">
          <cell r="B96">
            <v>268</v>
          </cell>
          <cell r="C96" t="str">
            <v>AN</v>
          </cell>
          <cell r="D96" t="str">
            <v>Mohammed Said Mehad</v>
          </cell>
          <cell r="E96" t="str">
            <v>GPS Operator</v>
          </cell>
          <cell r="G96">
            <v>35585</v>
          </cell>
          <cell r="H96">
            <v>38136</v>
          </cell>
          <cell r="I96" t="str">
            <v>A</v>
          </cell>
          <cell r="J96" t="str">
            <v>Sh:1</v>
          </cell>
          <cell r="K96">
            <v>2.5</v>
          </cell>
          <cell r="L96">
            <v>0</v>
          </cell>
          <cell r="M96" t="str">
            <v>A</v>
          </cell>
          <cell r="N96">
            <v>2.5</v>
          </cell>
          <cell r="O96">
            <v>7.5</v>
          </cell>
          <cell r="P96">
            <v>2.5</v>
          </cell>
          <cell r="Q96">
            <v>2.5</v>
          </cell>
          <cell r="R96">
            <v>12.5</v>
          </cell>
          <cell r="S96">
            <v>2.5</v>
          </cell>
          <cell r="T96">
            <v>2.5</v>
          </cell>
          <cell r="U96">
            <v>2.5</v>
          </cell>
          <cell r="V96">
            <v>2.5</v>
          </cell>
          <cell r="W96">
            <v>5.5</v>
          </cell>
          <cell r="X96">
            <v>5.5</v>
          </cell>
          <cell r="Y96">
            <v>5.5</v>
          </cell>
          <cell r="Z96">
            <v>5.5</v>
          </cell>
          <cell r="AA96">
            <v>2.5</v>
          </cell>
          <cell r="AB96">
            <v>2.5</v>
          </cell>
          <cell r="AC96">
            <v>2.5</v>
          </cell>
          <cell r="AD96">
            <v>2.5</v>
          </cell>
          <cell r="AE96">
            <v>2.5</v>
          </cell>
          <cell r="AF96" t="str">
            <v>L</v>
          </cell>
          <cell r="AG96" t="str">
            <v>L</v>
          </cell>
          <cell r="AH96" t="str">
            <v>L</v>
          </cell>
          <cell r="AI96" t="str">
            <v>L</v>
          </cell>
          <cell r="AJ96" t="str">
            <v>L</v>
          </cell>
          <cell r="AK96" t="str">
            <v>L</v>
          </cell>
          <cell r="AL96" t="str">
            <v>L</v>
          </cell>
          <cell r="AM96" t="str">
            <v>L</v>
          </cell>
          <cell r="AN96" t="str">
            <v>L</v>
          </cell>
          <cell r="AO96" t="str">
            <v>x</v>
          </cell>
          <cell r="AP96">
            <v>20</v>
          </cell>
          <cell r="AQ96">
            <v>9</v>
          </cell>
          <cell r="AR96">
            <v>0</v>
          </cell>
          <cell r="AS96">
            <v>0</v>
          </cell>
          <cell r="AT96">
            <v>1</v>
          </cell>
          <cell r="AU96">
            <v>0</v>
          </cell>
          <cell r="AV96">
            <v>74.5</v>
          </cell>
          <cell r="AW96">
            <v>0</v>
          </cell>
          <cell r="AX96">
            <v>29</v>
          </cell>
          <cell r="AY96">
            <v>20</v>
          </cell>
          <cell r="AZ96">
            <v>29</v>
          </cell>
          <cell r="CF96">
            <v>10</v>
          </cell>
          <cell r="CG96">
            <v>63</v>
          </cell>
          <cell r="CH96">
            <v>10</v>
          </cell>
          <cell r="CM96">
            <v>123</v>
          </cell>
          <cell r="CN96" t="str">
            <v>Owed 4 days desert allowance, 10 hours overtime want driving cours from 5th to 8th September'2008. Owed 123 rials Eid bonus, 63 hours 200%, 6 days desert allowance for Eid Al Adhah'2008 from 8th to 13th December'2008.</v>
          </cell>
        </row>
        <row r="97">
          <cell r="B97">
            <v>272</v>
          </cell>
          <cell r="C97" t="str">
            <v>R</v>
          </cell>
          <cell r="D97" t="str">
            <v>Jabir Musallam Salim Al Hana'i</v>
          </cell>
          <cell r="E97" t="str">
            <v>Heavy Duty Dvr</v>
          </cell>
          <cell r="G97">
            <v>35727</v>
          </cell>
          <cell r="H97">
            <v>38145</v>
          </cell>
          <cell r="I97" t="str">
            <v>C</v>
          </cell>
          <cell r="J97" t="str">
            <v>Sh:1</v>
          </cell>
          <cell r="K97">
            <v>8</v>
          </cell>
          <cell r="L97">
            <v>8</v>
          </cell>
          <cell r="M97">
            <v>8</v>
          </cell>
          <cell r="N97">
            <v>8</v>
          </cell>
          <cell r="O97">
            <v>8</v>
          </cell>
          <cell r="P97">
            <v>8</v>
          </cell>
          <cell r="Q97">
            <v>8</v>
          </cell>
          <cell r="R97">
            <v>8</v>
          </cell>
          <cell r="S97">
            <v>8</v>
          </cell>
          <cell r="T97">
            <v>8</v>
          </cell>
          <cell r="U97">
            <v>8</v>
          </cell>
          <cell r="V97">
            <v>8</v>
          </cell>
          <cell r="W97">
            <v>8</v>
          </cell>
          <cell r="X97">
            <v>9</v>
          </cell>
          <cell r="Y97">
            <v>9</v>
          </cell>
          <cell r="Z97">
            <v>9</v>
          </cell>
          <cell r="AA97">
            <v>9</v>
          </cell>
          <cell r="AB97">
            <v>9</v>
          </cell>
          <cell r="AC97">
            <v>9</v>
          </cell>
          <cell r="AD97">
            <v>9</v>
          </cell>
          <cell r="AE97">
            <v>9</v>
          </cell>
          <cell r="AF97" t="str">
            <v>L</v>
          </cell>
          <cell r="AG97" t="str">
            <v>L</v>
          </cell>
          <cell r="AH97" t="str">
            <v>L</v>
          </cell>
          <cell r="AI97" t="str">
            <v>L</v>
          </cell>
          <cell r="AJ97" t="str">
            <v>L</v>
          </cell>
          <cell r="AK97" t="str">
            <v>L</v>
          </cell>
          <cell r="AL97" t="str">
            <v>L</v>
          </cell>
          <cell r="AM97" t="str">
            <v>L</v>
          </cell>
          <cell r="AN97" t="str">
            <v>L</v>
          </cell>
          <cell r="AO97" t="str">
            <v>x</v>
          </cell>
          <cell r="AP97">
            <v>21</v>
          </cell>
          <cell r="AQ97">
            <v>9</v>
          </cell>
          <cell r="AR97">
            <v>0</v>
          </cell>
          <cell r="AS97">
            <v>0</v>
          </cell>
          <cell r="AT97">
            <v>0</v>
          </cell>
          <cell r="AU97">
            <v>0</v>
          </cell>
          <cell r="AV97">
            <v>176</v>
          </cell>
          <cell r="AW97">
            <v>0</v>
          </cell>
          <cell r="AX97">
            <v>30</v>
          </cell>
          <cell r="AY97">
            <v>21</v>
          </cell>
          <cell r="AZ97">
            <v>30</v>
          </cell>
          <cell r="CF97">
            <v>41</v>
          </cell>
          <cell r="CG97">
            <v>63</v>
          </cell>
          <cell r="CH97">
            <v>7</v>
          </cell>
          <cell r="CM97">
            <v>123</v>
          </cell>
          <cell r="CN97" t="str">
            <v>Owed one day desert allowance, 2.5 hours overtime for annual medical checkup. Owed 38.5 hours Time as he was driving vibrator from 25th to 31st October 2008. Owed 123 rials Eid bonus, 63 hours 200%, 6 days desert allowance for Eid Al Adhah'2008 from 8th t</v>
          </cell>
        </row>
        <row r="98">
          <cell r="B98">
            <v>273</v>
          </cell>
          <cell r="C98" t="str">
            <v>RL</v>
          </cell>
          <cell r="D98" t="str">
            <v>Zayid Said Khamis Al Qasasibi</v>
          </cell>
          <cell r="E98" t="str">
            <v>Asst Junior Observer</v>
          </cell>
          <cell r="G98">
            <v>35727</v>
          </cell>
          <cell r="H98">
            <v>38136</v>
          </cell>
          <cell r="I98" t="str">
            <v>C</v>
          </cell>
          <cell r="J98" t="str">
            <v>Sh:2</v>
          </cell>
          <cell r="K98" t="str">
            <v>L</v>
          </cell>
          <cell r="L98" t="str">
            <v>L</v>
          </cell>
          <cell r="M98" t="str">
            <v>L</v>
          </cell>
          <cell r="N98" t="str">
            <v>L</v>
          </cell>
          <cell r="O98" t="str">
            <v>L</v>
          </cell>
          <cell r="P98" t="str">
            <v>L</v>
          </cell>
          <cell r="Q98" t="str">
            <v>L</v>
          </cell>
          <cell r="R98">
            <v>8</v>
          </cell>
          <cell r="S98">
            <v>8</v>
          </cell>
          <cell r="T98">
            <v>8</v>
          </cell>
          <cell r="U98">
            <v>8</v>
          </cell>
          <cell r="V98">
            <v>8</v>
          </cell>
          <cell r="W98">
            <v>8</v>
          </cell>
          <cell r="X98">
            <v>9</v>
          </cell>
          <cell r="Y98">
            <v>9</v>
          </cell>
          <cell r="Z98">
            <v>9</v>
          </cell>
          <cell r="AA98">
            <v>9</v>
          </cell>
          <cell r="AB98">
            <v>4</v>
          </cell>
          <cell r="AC98">
            <v>4</v>
          </cell>
          <cell r="AD98">
            <v>4</v>
          </cell>
          <cell r="AE98">
            <v>4</v>
          </cell>
          <cell r="AF98">
            <v>4</v>
          </cell>
          <cell r="AG98">
            <v>4</v>
          </cell>
          <cell r="AH98">
            <v>4</v>
          </cell>
          <cell r="AI98">
            <v>4</v>
          </cell>
          <cell r="AJ98">
            <v>12</v>
          </cell>
          <cell r="AK98">
            <v>12</v>
          </cell>
          <cell r="AL98">
            <v>4</v>
          </cell>
          <cell r="AM98">
            <v>4</v>
          </cell>
          <cell r="AN98">
            <v>4</v>
          </cell>
          <cell r="AO98" t="str">
            <v>x</v>
          </cell>
          <cell r="AP98">
            <v>23</v>
          </cell>
          <cell r="AQ98">
            <v>7</v>
          </cell>
          <cell r="AR98">
            <v>0</v>
          </cell>
          <cell r="AS98">
            <v>0</v>
          </cell>
          <cell r="AT98">
            <v>0</v>
          </cell>
          <cell r="AU98">
            <v>0</v>
          </cell>
          <cell r="AV98">
            <v>128</v>
          </cell>
          <cell r="AW98">
            <v>24</v>
          </cell>
          <cell r="AX98">
            <v>30</v>
          </cell>
          <cell r="AY98">
            <v>23</v>
          </cell>
          <cell r="AZ98">
            <v>30</v>
          </cell>
          <cell r="CF98">
            <v>85.5</v>
          </cell>
          <cell r="CG98">
            <v>72</v>
          </cell>
          <cell r="CH98">
            <v>6</v>
          </cell>
          <cell r="CM98">
            <v>123</v>
          </cell>
          <cell r="CN98" t="str">
            <v>Owed 85.5 hours overtime extra overtime from 2nd to 7th and 12th and 15th and 17th to 23rd October'2008. Owed 123 rials Eid bonus, 72 hours 200%, 6 days desert allowance for Eid Al Adhah'2008 from 8th to 13th December'2008.</v>
          </cell>
        </row>
        <row r="99">
          <cell r="B99">
            <v>277</v>
          </cell>
          <cell r="C99" t="str">
            <v>R</v>
          </cell>
          <cell r="D99" t="str">
            <v>Musabah Musallam Salim Al Hina'I</v>
          </cell>
          <cell r="E99" t="str">
            <v>Labour / Cable</v>
          </cell>
          <cell r="G99">
            <v>35798</v>
          </cell>
          <cell r="H99">
            <v>38145</v>
          </cell>
          <cell r="I99" t="str">
            <v>A</v>
          </cell>
          <cell r="J99" t="str">
            <v>Sh:3</v>
          </cell>
          <cell r="K99">
            <v>12</v>
          </cell>
          <cell r="L99">
            <v>12</v>
          </cell>
          <cell r="M99">
            <v>8.5</v>
          </cell>
          <cell r="N99">
            <v>8.5</v>
          </cell>
          <cell r="O99">
            <v>8.5</v>
          </cell>
          <cell r="P99">
            <v>8.5</v>
          </cell>
          <cell r="Q99">
            <v>4</v>
          </cell>
          <cell r="R99" t="str">
            <v>L</v>
          </cell>
          <cell r="S99" t="str">
            <v>L</v>
          </cell>
          <cell r="T99" t="str">
            <v>L</v>
          </cell>
          <cell r="U99" t="str">
            <v>L</v>
          </cell>
          <cell r="V99" t="str">
            <v>L</v>
          </cell>
          <cell r="W99" t="str">
            <v>L</v>
          </cell>
          <cell r="X99" t="str">
            <v>L</v>
          </cell>
          <cell r="Y99" t="str">
            <v>L</v>
          </cell>
          <cell r="Z99" t="str">
            <v>L</v>
          </cell>
          <cell r="AA99" t="str">
            <v>L</v>
          </cell>
          <cell r="AB99" t="str">
            <v>L</v>
          </cell>
          <cell r="AC99" t="str">
            <v>L</v>
          </cell>
          <cell r="AD99" t="str">
            <v>L</v>
          </cell>
          <cell r="AE99" t="str">
            <v>L</v>
          </cell>
          <cell r="AF99">
            <v>4</v>
          </cell>
          <cell r="AG99">
            <v>4</v>
          </cell>
          <cell r="AH99">
            <v>4</v>
          </cell>
          <cell r="AI99">
            <v>4</v>
          </cell>
          <cell r="AJ99">
            <v>12</v>
          </cell>
          <cell r="AK99">
            <v>12</v>
          </cell>
          <cell r="AL99">
            <v>4</v>
          </cell>
          <cell r="AM99">
            <v>4</v>
          </cell>
          <cell r="AN99">
            <v>4</v>
          </cell>
          <cell r="AO99" t="str">
            <v>x</v>
          </cell>
          <cell r="AP99">
            <v>16</v>
          </cell>
          <cell r="AQ99">
            <v>14</v>
          </cell>
          <cell r="AR99">
            <v>0</v>
          </cell>
          <cell r="AS99">
            <v>0</v>
          </cell>
          <cell r="AT99">
            <v>0</v>
          </cell>
          <cell r="AU99">
            <v>0</v>
          </cell>
          <cell r="AV99">
            <v>90</v>
          </cell>
          <cell r="AW99">
            <v>24</v>
          </cell>
          <cell r="AX99">
            <v>30</v>
          </cell>
          <cell r="AY99">
            <v>16</v>
          </cell>
          <cell r="AZ99">
            <v>30</v>
          </cell>
          <cell r="CF99">
            <v>52</v>
          </cell>
          <cell r="CN99" t="str">
            <v>Owed 52 hours overtime extra overtime from 18th to 19th and 22nd to 31st October'2008.</v>
          </cell>
        </row>
        <row r="100">
          <cell r="B100">
            <v>278</v>
          </cell>
          <cell r="C100" t="str">
            <v>R</v>
          </cell>
          <cell r="D100" t="str">
            <v>Ali Suleiman Saif Al Hashemi</v>
          </cell>
          <cell r="E100" t="str">
            <v>Labour / Driver</v>
          </cell>
          <cell r="G100">
            <v>35798</v>
          </cell>
          <cell r="H100">
            <v>38136</v>
          </cell>
          <cell r="I100" t="str">
            <v xml:space="preserve">  </v>
          </cell>
          <cell r="J100" t="str">
            <v>Sh:1</v>
          </cell>
          <cell r="K100">
            <v>6.5</v>
          </cell>
          <cell r="L100">
            <v>6.5</v>
          </cell>
          <cell r="M100">
            <v>6.5</v>
          </cell>
          <cell r="N100">
            <v>6.5</v>
          </cell>
          <cell r="O100">
            <v>6.5</v>
          </cell>
          <cell r="P100">
            <v>6.5</v>
          </cell>
          <cell r="Q100">
            <v>6.5</v>
          </cell>
          <cell r="R100">
            <v>6.5</v>
          </cell>
          <cell r="S100">
            <v>6.5</v>
          </cell>
          <cell r="T100">
            <v>6.5</v>
          </cell>
          <cell r="U100">
            <v>6.5</v>
          </cell>
          <cell r="V100">
            <v>6.5</v>
          </cell>
          <cell r="W100">
            <v>6.5</v>
          </cell>
          <cell r="X100">
            <v>6.5</v>
          </cell>
          <cell r="Y100">
            <v>6.5</v>
          </cell>
          <cell r="Z100">
            <v>2.5</v>
          </cell>
          <cell r="AA100">
            <v>2.5</v>
          </cell>
          <cell r="AB100">
            <v>2.5</v>
          </cell>
          <cell r="AC100">
            <v>2.5</v>
          </cell>
          <cell r="AD100">
            <v>2.5</v>
          </cell>
          <cell r="AE100">
            <v>2.5</v>
          </cell>
          <cell r="AF100" t="str">
            <v>L</v>
          </cell>
          <cell r="AG100" t="str">
            <v>L</v>
          </cell>
          <cell r="AH100" t="str">
            <v>L</v>
          </cell>
          <cell r="AI100" t="str">
            <v>L</v>
          </cell>
          <cell r="AJ100" t="str">
            <v>L</v>
          </cell>
          <cell r="AK100" t="str">
            <v>L</v>
          </cell>
          <cell r="AL100" t="str">
            <v>L</v>
          </cell>
          <cell r="AM100" t="str">
            <v>L</v>
          </cell>
          <cell r="AN100" t="str">
            <v>L</v>
          </cell>
          <cell r="AO100" t="str">
            <v>x</v>
          </cell>
          <cell r="AP100">
            <v>21</v>
          </cell>
          <cell r="AQ100">
            <v>9</v>
          </cell>
          <cell r="AR100">
            <v>0</v>
          </cell>
          <cell r="AS100">
            <v>0</v>
          </cell>
          <cell r="AT100">
            <v>0</v>
          </cell>
          <cell r="AU100">
            <v>0</v>
          </cell>
          <cell r="AV100">
            <v>112.5</v>
          </cell>
          <cell r="AW100">
            <v>0</v>
          </cell>
          <cell r="AX100">
            <v>30</v>
          </cell>
          <cell r="AY100">
            <v>21</v>
          </cell>
          <cell r="AZ100">
            <v>30</v>
          </cell>
          <cell r="CF100">
            <v>28</v>
          </cell>
          <cell r="CN100" t="str">
            <v>Owed 28 hours overtime extra overtime from 25th to 31st October'2008.</v>
          </cell>
        </row>
        <row r="101">
          <cell r="B101">
            <v>284</v>
          </cell>
          <cell r="C101" t="str">
            <v>S</v>
          </cell>
          <cell r="D101" t="str">
            <v>Hamed Mohammed Rashid Al Maqbali</v>
          </cell>
          <cell r="E101" t="str">
            <v>Labour / Chain Crew</v>
          </cell>
          <cell r="G101">
            <v>35938</v>
          </cell>
          <cell r="H101">
            <v>38135</v>
          </cell>
          <cell r="I101" t="str">
            <v>A</v>
          </cell>
          <cell r="J101" t="str">
            <v>Sh:1</v>
          </cell>
          <cell r="K101">
            <v>8</v>
          </cell>
          <cell r="L101">
            <v>8</v>
          </cell>
          <cell r="M101">
            <v>8</v>
          </cell>
          <cell r="N101">
            <v>6</v>
          </cell>
          <cell r="O101">
            <v>8</v>
          </cell>
          <cell r="P101">
            <v>8</v>
          </cell>
          <cell r="Q101">
            <v>2</v>
          </cell>
          <cell r="R101">
            <v>8</v>
          </cell>
          <cell r="S101">
            <v>8</v>
          </cell>
          <cell r="T101">
            <v>8</v>
          </cell>
          <cell r="U101">
            <v>8</v>
          </cell>
          <cell r="V101">
            <v>8</v>
          </cell>
          <cell r="W101">
            <v>8</v>
          </cell>
          <cell r="X101">
            <v>2</v>
          </cell>
          <cell r="Y101">
            <v>2</v>
          </cell>
          <cell r="Z101">
            <v>2</v>
          </cell>
          <cell r="AA101">
            <v>2</v>
          </cell>
          <cell r="AB101">
            <v>2</v>
          </cell>
          <cell r="AC101">
            <v>2</v>
          </cell>
          <cell r="AD101">
            <v>2</v>
          </cell>
          <cell r="AE101">
            <v>2</v>
          </cell>
          <cell r="AF101" t="str">
            <v>L</v>
          </cell>
          <cell r="AG101" t="str">
            <v>L</v>
          </cell>
          <cell r="AH101" t="str">
            <v>L</v>
          </cell>
          <cell r="AI101" t="str">
            <v>L</v>
          </cell>
          <cell r="AJ101" t="str">
            <v>L</v>
          </cell>
          <cell r="AK101" t="str">
            <v>L</v>
          </cell>
          <cell r="AL101" t="str">
            <v>L</v>
          </cell>
          <cell r="AM101" t="str">
            <v>L</v>
          </cell>
          <cell r="AN101" t="str">
            <v>L</v>
          </cell>
          <cell r="AO101" t="str">
            <v>x</v>
          </cell>
          <cell r="AP101">
            <v>21</v>
          </cell>
          <cell r="AQ101">
            <v>9</v>
          </cell>
          <cell r="AR101">
            <v>0</v>
          </cell>
          <cell r="AS101">
            <v>0</v>
          </cell>
          <cell r="AT101">
            <v>0</v>
          </cell>
          <cell r="AU101">
            <v>0</v>
          </cell>
          <cell r="AV101">
            <v>112</v>
          </cell>
          <cell r="AW101">
            <v>0</v>
          </cell>
          <cell r="AX101">
            <v>30</v>
          </cell>
          <cell r="AY101">
            <v>21</v>
          </cell>
          <cell r="AZ101">
            <v>30</v>
          </cell>
          <cell r="CF101">
            <v>29.5</v>
          </cell>
          <cell r="CG101">
            <v>60</v>
          </cell>
          <cell r="CH101">
            <v>6</v>
          </cell>
          <cell r="CM101">
            <v>123</v>
          </cell>
          <cell r="CN101" t="str">
            <v>Owed 29.5 hours overtime extra overtime from 25th to 31st October'2008. Owed 123 rials Eid bonus, 60 hours 200%, 6 days desert allowance for Eid Al Adhah'2008 from 8th to 13th December'2008.</v>
          </cell>
        </row>
        <row r="102">
          <cell r="B102">
            <v>285</v>
          </cell>
          <cell r="C102" t="str">
            <v>SH</v>
          </cell>
          <cell r="D102" t="str">
            <v>Youseph Said Masoud Al Ghaibi</v>
          </cell>
          <cell r="E102" t="str">
            <v>Labour / Cable</v>
          </cell>
          <cell r="G102">
            <v>36018</v>
          </cell>
          <cell r="H102">
            <v>38068</v>
          </cell>
          <cell r="I102" t="str">
            <v>A</v>
          </cell>
          <cell r="J102" t="str">
            <v>Sh:2</v>
          </cell>
          <cell r="K102" t="str">
            <v>L</v>
          </cell>
          <cell r="L102" t="str">
            <v>L</v>
          </cell>
          <cell r="M102" t="str">
            <v>L</v>
          </cell>
          <cell r="N102" t="str">
            <v>L</v>
          </cell>
          <cell r="O102" t="str">
            <v>L</v>
          </cell>
          <cell r="P102" t="str">
            <v>L</v>
          </cell>
          <cell r="Q102" t="str">
            <v>L</v>
          </cell>
          <cell r="R102">
            <v>11</v>
          </cell>
          <cell r="S102">
            <v>12</v>
          </cell>
          <cell r="T102">
            <v>12</v>
          </cell>
          <cell r="U102">
            <v>12</v>
          </cell>
          <cell r="V102">
            <v>12</v>
          </cell>
          <cell r="W102">
            <v>12</v>
          </cell>
          <cell r="X102">
            <v>12</v>
          </cell>
          <cell r="Y102">
            <v>12</v>
          </cell>
          <cell r="Z102">
            <v>4</v>
          </cell>
          <cell r="AA102">
            <v>4</v>
          </cell>
          <cell r="AB102">
            <v>4</v>
          </cell>
          <cell r="AC102">
            <v>4</v>
          </cell>
          <cell r="AD102">
            <v>4</v>
          </cell>
          <cell r="AE102">
            <v>4</v>
          </cell>
          <cell r="AF102">
            <v>4</v>
          </cell>
          <cell r="AG102">
            <v>4</v>
          </cell>
          <cell r="AH102">
            <v>4</v>
          </cell>
          <cell r="AI102">
            <v>4</v>
          </cell>
          <cell r="AJ102">
            <v>12</v>
          </cell>
          <cell r="AK102">
            <v>12</v>
          </cell>
          <cell r="AL102">
            <v>4</v>
          </cell>
          <cell r="AM102">
            <v>4</v>
          </cell>
          <cell r="AN102">
            <v>4</v>
          </cell>
          <cell r="AO102" t="str">
            <v>x</v>
          </cell>
          <cell r="AP102">
            <v>23</v>
          </cell>
          <cell r="AQ102">
            <v>7</v>
          </cell>
          <cell r="AR102">
            <v>0</v>
          </cell>
          <cell r="AS102">
            <v>0</v>
          </cell>
          <cell r="AT102">
            <v>0</v>
          </cell>
          <cell r="AU102">
            <v>0</v>
          </cell>
          <cell r="AV102">
            <v>147</v>
          </cell>
          <cell r="AW102">
            <v>24</v>
          </cell>
          <cell r="AX102">
            <v>30</v>
          </cell>
          <cell r="AY102">
            <v>23</v>
          </cell>
          <cell r="AZ102">
            <v>30</v>
          </cell>
          <cell r="CF102">
            <v>38</v>
          </cell>
          <cell r="CN102" t="str">
            <v>Owed 38 hours overtime extra overtime from 14th to 23rd October'2008.</v>
          </cell>
        </row>
        <row r="103">
          <cell r="B103">
            <v>287</v>
          </cell>
          <cell r="C103" t="str">
            <v>R</v>
          </cell>
          <cell r="D103" t="str">
            <v>Fadhil Khamis Rashid</v>
          </cell>
          <cell r="E103" t="str">
            <v>Asst Junior Observer</v>
          </cell>
          <cell r="G103">
            <v>36231</v>
          </cell>
          <cell r="H103">
            <v>38105</v>
          </cell>
          <cell r="I103" t="str">
            <v>C1</v>
          </cell>
          <cell r="J103" t="str">
            <v>Sh:2</v>
          </cell>
          <cell r="K103" t="str">
            <v>L</v>
          </cell>
          <cell r="L103" t="str">
            <v>L</v>
          </cell>
          <cell r="M103" t="str">
            <v>L</v>
          </cell>
          <cell r="N103" t="str">
            <v>L</v>
          </cell>
          <cell r="O103" t="str">
            <v>L</v>
          </cell>
          <cell r="P103" t="str">
            <v>L</v>
          </cell>
          <cell r="Q103" t="str">
            <v>L</v>
          </cell>
          <cell r="R103">
            <v>13</v>
          </cell>
          <cell r="S103">
            <v>13</v>
          </cell>
          <cell r="T103">
            <v>13</v>
          </cell>
          <cell r="U103">
            <v>13</v>
          </cell>
          <cell r="V103">
            <v>13</v>
          </cell>
          <cell r="W103">
            <v>13</v>
          </cell>
          <cell r="X103">
            <v>13</v>
          </cell>
          <cell r="Y103">
            <v>13</v>
          </cell>
          <cell r="Z103">
            <v>13</v>
          </cell>
          <cell r="AA103">
            <v>13</v>
          </cell>
          <cell r="AB103">
            <v>4</v>
          </cell>
          <cell r="AC103">
            <v>4</v>
          </cell>
          <cell r="AD103">
            <v>4</v>
          </cell>
          <cell r="AE103">
            <v>4</v>
          </cell>
          <cell r="AF103">
            <v>4</v>
          </cell>
          <cell r="AG103">
            <v>4</v>
          </cell>
          <cell r="AH103">
            <v>4</v>
          </cell>
          <cell r="AI103">
            <v>4</v>
          </cell>
          <cell r="AJ103">
            <v>12</v>
          </cell>
          <cell r="AK103">
            <v>12</v>
          </cell>
          <cell r="AL103">
            <v>4</v>
          </cell>
          <cell r="AM103">
            <v>4</v>
          </cell>
          <cell r="AN103">
            <v>4</v>
          </cell>
          <cell r="AO103" t="str">
            <v>x</v>
          </cell>
          <cell r="AP103">
            <v>23</v>
          </cell>
          <cell r="AQ103">
            <v>7</v>
          </cell>
          <cell r="AR103">
            <v>0</v>
          </cell>
          <cell r="AS103">
            <v>0</v>
          </cell>
          <cell r="AT103">
            <v>0</v>
          </cell>
          <cell r="AU103">
            <v>0</v>
          </cell>
          <cell r="AV103">
            <v>174</v>
          </cell>
          <cell r="AW103">
            <v>24</v>
          </cell>
          <cell r="AX103">
            <v>30</v>
          </cell>
          <cell r="AY103">
            <v>23</v>
          </cell>
          <cell r="AZ103">
            <v>30</v>
          </cell>
          <cell r="CF103">
            <v>100</v>
          </cell>
          <cell r="CN103" t="str">
            <v>Owed 31.5 hours overtime extra overtime from 6th to 11th and 27th to 29th September'2008. Owed 68.5 hours overtime extra overtime from 4th to 6th and 17th to 23rd October'2008.</v>
          </cell>
        </row>
        <row r="104">
          <cell r="B104">
            <v>288</v>
          </cell>
          <cell r="C104" t="str">
            <v>R</v>
          </cell>
          <cell r="D104" t="str">
            <v>Hamdan Hussein Obaid Al Dara'I</v>
          </cell>
          <cell r="E104" t="str">
            <v>Labour / GPS Operator</v>
          </cell>
          <cell r="G104">
            <v>36312</v>
          </cell>
          <cell r="H104">
            <v>38132</v>
          </cell>
          <cell r="I104" t="str">
            <v>A</v>
          </cell>
          <cell r="J104" t="str">
            <v>Sh:1</v>
          </cell>
          <cell r="K104">
            <v>2.5</v>
          </cell>
          <cell r="L104">
            <v>2.5</v>
          </cell>
          <cell r="M104">
            <v>2.5</v>
          </cell>
          <cell r="N104">
            <v>2.5</v>
          </cell>
          <cell r="O104">
            <v>2.5</v>
          </cell>
          <cell r="P104">
            <v>2.5</v>
          </cell>
          <cell r="Q104">
            <v>2.5</v>
          </cell>
          <cell r="R104">
            <v>2.5</v>
          </cell>
          <cell r="S104">
            <v>2.5</v>
          </cell>
          <cell r="T104">
            <v>2.5</v>
          </cell>
          <cell r="U104">
            <v>2.5</v>
          </cell>
          <cell r="V104">
            <v>2.5</v>
          </cell>
          <cell r="W104">
            <v>2.5</v>
          </cell>
          <cell r="X104">
            <v>2.5</v>
          </cell>
          <cell r="Y104">
            <v>2.5</v>
          </cell>
          <cell r="Z104">
            <v>2.5</v>
          </cell>
          <cell r="AA104">
            <v>2.5</v>
          </cell>
          <cell r="AB104">
            <v>2.5</v>
          </cell>
          <cell r="AC104">
            <v>2.5</v>
          </cell>
          <cell r="AD104">
            <v>2.5</v>
          </cell>
          <cell r="AE104">
            <v>2.5</v>
          </cell>
          <cell r="AF104" t="str">
            <v>L</v>
          </cell>
          <cell r="AG104" t="str">
            <v>L</v>
          </cell>
          <cell r="AH104" t="str">
            <v>L</v>
          </cell>
          <cell r="AI104" t="str">
            <v>L</v>
          </cell>
          <cell r="AJ104" t="str">
            <v>L</v>
          </cell>
          <cell r="AK104" t="str">
            <v>L</v>
          </cell>
          <cell r="AL104" t="str">
            <v>L</v>
          </cell>
          <cell r="AM104" t="str">
            <v>L</v>
          </cell>
          <cell r="AN104" t="str">
            <v>L</v>
          </cell>
          <cell r="AO104" t="str">
            <v>x</v>
          </cell>
          <cell r="AP104">
            <v>21</v>
          </cell>
          <cell r="AQ104">
            <v>9</v>
          </cell>
          <cell r="AR104">
            <v>0</v>
          </cell>
          <cell r="AS104">
            <v>0</v>
          </cell>
          <cell r="AT104">
            <v>0</v>
          </cell>
          <cell r="AU104">
            <v>0</v>
          </cell>
          <cell r="AV104">
            <v>52.5</v>
          </cell>
          <cell r="AW104">
            <v>0</v>
          </cell>
          <cell r="AX104">
            <v>30</v>
          </cell>
          <cell r="AY104">
            <v>21</v>
          </cell>
          <cell r="AZ104">
            <v>30</v>
          </cell>
        </row>
        <row r="105">
          <cell r="B105">
            <v>290</v>
          </cell>
          <cell r="C105" t="str">
            <v>SH</v>
          </cell>
          <cell r="D105" t="str">
            <v>Salim Ali Salim</v>
          </cell>
          <cell r="E105" t="str">
            <v>Labour / Cable</v>
          </cell>
          <cell r="G105">
            <v>36418</v>
          </cell>
          <cell r="H105">
            <v>38068</v>
          </cell>
          <cell r="I105" t="str">
            <v>A</v>
          </cell>
          <cell r="J105" t="str">
            <v>Sh:1</v>
          </cell>
          <cell r="K105" t="str">
            <v>H</v>
          </cell>
          <cell r="L105" t="str">
            <v>H</v>
          </cell>
          <cell r="M105" t="str">
            <v>H</v>
          </cell>
          <cell r="N105" t="str">
            <v>H</v>
          </cell>
          <cell r="O105" t="str">
            <v>H</v>
          </cell>
          <cell r="P105" t="str">
            <v>H</v>
          </cell>
          <cell r="Q105" t="str">
            <v>H</v>
          </cell>
          <cell r="R105" t="str">
            <v>H</v>
          </cell>
          <cell r="S105" t="str">
            <v>H</v>
          </cell>
          <cell r="T105" t="str">
            <v>H</v>
          </cell>
          <cell r="U105" t="str">
            <v>H</v>
          </cell>
          <cell r="V105" t="str">
            <v>H</v>
          </cell>
          <cell r="W105" t="str">
            <v>H</v>
          </cell>
          <cell r="X105" t="str">
            <v>H</v>
          </cell>
          <cell r="Y105" t="str">
            <v>H</v>
          </cell>
          <cell r="Z105" t="str">
            <v>H</v>
          </cell>
          <cell r="AA105" t="str">
            <v>H</v>
          </cell>
          <cell r="AB105" t="str">
            <v>H</v>
          </cell>
          <cell r="AC105" t="str">
            <v>H</v>
          </cell>
          <cell r="AD105" t="str">
            <v>H</v>
          </cell>
          <cell r="AE105" t="str">
            <v>H</v>
          </cell>
          <cell r="AF105" t="str">
            <v>H</v>
          </cell>
          <cell r="AG105" t="str">
            <v>H</v>
          </cell>
          <cell r="AH105" t="str">
            <v>H</v>
          </cell>
          <cell r="AI105" t="str">
            <v>H</v>
          </cell>
          <cell r="AJ105" t="str">
            <v>H</v>
          </cell>
          <cell r="AK105" t="str">
            <v>H</v>
          </cell>
          <cell r="AL105" t="str">
            <v>H</v>
          </cell>
          <cell r="AM105" t="str">
            <v>H</v>
          </cell>
          <cell r="AN105" t="str">
            <v>H</v>
          </cell>
          <cell r="AO105" t="str">
            <v>x</v>
          </cell>
          <cell r="AP105">
            <v>0</v>
          </cell>
          <cell r="AQ105">
            <v>0</v>
          </cell>
          <cell r="AR105">
            <v>0</v>
          </cell>
          <cell r="AS105">
            <v>0</v>
          </cell>
          <cell r="AT105">
            <v>0</v>
          </cell>
          <cell r="AU105">
            <v>30</v>
          </cell>
          <cell r="AV105">
            <v>0</v>
          </cell>
          <cell r="AW105">
            <v>0</v>
          </cell>
          <cell r="AX105">
            <v>0</v>
          </cell>
          <cell r="AY105">
            <v>0</v>
          </cell>
          <cell r="AZ105">
            <v>0</v>
          </cell>
        </row>
        <row r="106">
          <cell r="B106">
            <v>292</v>
          </cell>
          <cell r="C106" t="str">
            <v>SH</v>
          </cell>
          <cell r="D106" t="str">
            <v>Suleman Ali Suleman Al Mahrouqi</v>
          </cell>
          <cell r="E106" t="str">
            <v>Heavy Duty Dvr / W</v>
          </cell>
          <cell r="G106">
            <v>36739</v>
          </cell>
          <cell r="H106">
            <v>38145</v>
          </cell>
          <cell r="I106" t="str">
            <v>E</v>
          </cell>
          <cell r="J106" t="str">
            <v>Sh:2</v>
          </cell>
          <cell r="K106" t="str">
            <v>L</v>
          </cell>
          <cell r="L106" t="str">
            <v>L</v>
          </cell>
          <cell r="M106" t="str">
            <v>L</v>
          </cell>
          <cell r="N106" t="str">
            <v>L</v>
          </cell>
          <cell r="O106" t="str">
            <v>L</v>
          </cell>
          <cell r="P106" t="str">
            <v>L</v>
          </cell>
          <cell r="Q106" t="str">
            <v>L</v>
          </cell>
          <cell r="R106">
            <v>4</v>
          </cell>
          <cell r="S106">
            <v>4</v>
          </cell>
          <cell r="T106">
            <v>4</v>
          </cell>
          <cell r="U106">
            <v>4</v>
          </cell>
          <cell r="V106">
            <v>4</v>
          </cell>
          <cell r="W106">
            <v>4</v>
          </cell>
          <cell r="X106">
            <v>4</v>
          </cell>
          <cell r="Y106">
            <v>4</v>
          </cell>
          <cell r="Z106">
            <v>4</v>
          </cell>
          <cell r="AA106">
            <v>4</v>
          </cell>
          <cell r="AB106">
            <v>4</v>
          </cell>
          <cell r="AC106">
            <v>4</v>
          </cell>
          <cell r="AD106">
            <v>4</v>
          </cell>
          <cell r="AE106">
            <v>4</v>
          </cell>
          <cell r="AF106">
            <v>4</v>
          </cell>
          <cell r="AG106">
            <v>4</v>
          </cell>
          <cell r="AH106">
            <v>4</v>
          </cell>
          <cell r="AI106">
            <v>4</v>
          </cell>
          <cell r="AJ106">
            <v>12</v>
          </cell>
          <cell r="AK106">
            <v>12</v>
          </cell>
          <cell r="AL106">
            <v>4</v>
          </cell>
          <cell r="AM106">
            <v>4</v>
          </cell>
          <cell r="AN106">
            <v>4</v>
          </cell>
          <cell r="AO106" t="str">
            <v>x</v>
          </cell>
          <cell r="AP106">
            <v>23</v>
          </cell>
          <cell r="AQ106">
            <v>7</v>
          </cell>
          <cell r="AR106">
            <v>0</v>
          </cell>
          <cell r="AS106">
            <v>0</v>
          </cell>
          <cell r="AT106">
            <v>0</v>
          </cell>
          <cell r="AU106">
            <v>0</v>
          </cell>
          <cell r="AV106">
            <v>84</v>
          </cell>
          <cell r="AW106">
            <v>24</v>
          </cell>
          <cell r="AX106">
            <v>30</v>
          </cell>
          <cell r="AY106">
            <v>23</v>
          </cell>
          <cell r="AZ106">
            <v>30</v>
          </cell>
          <cell r="CG106">
            <v>72</v>
          </cell>
          <cell r="CH106">
            <v>6</v>
          </cell>
          <cell r="CM106">
            <v>123</v>
          </cell>
          <cell r="CN106" t="str">
            <v xml:space="preserve">Owed 123 rials Eid bonus, 72 hours 200%, 6 days desert allowance for Eid Al Adhah'2008 from 8th to 13th December'2008. </v>
          </cell>
        </row>
        <row r="107">
          <cell r="B107">
            <v>293</v>
          </cell>
          <cell r="C107" t="str">
            <v>SH</v>
          </cell>
          <cell r="D107" t="str">
            <v>Qahtan Zaher Nasser Al Gharibi</v>
          </cell>
          <cell r="E107" t="str">
            <v>Vibe Operator</v>
          </cell>
          <cell r="G107">
            <v>37073</v>
          </cell>
          <cell r="H107">
            <v>38145</v>
          </cell>
          <cell r="I107" t="str">
            <v>C</v>
          </cell>
          <cell r="J107" t="str">
            <v>Sh:3</v>
          </cell>
          <cell r="K107">
            <v>8</v>
          </cell>
          <cell r="L107">
            <v>8</v>
          </cell>
          <cell r="M107">
            <v>8</v>
          </cell>
          <cell r="N107">
            <v>8</v>
          </cell>
          <cell r="O107">
            <v>8</v>
          </cell>
          <cell r="P107">
            <v>8</v>
          </cell>
          <cell r="Q107">
            <v>8</v>
          </cell>
          <cell r="R107" t="str">
            <v>L</v>
          </cell>
          <cell r="S107" t="str">
            <v>L</v>
          </cell>
          <cell r="T107" t="str">
            <v>L</v>
          </cell>
          <cell r="U107" t="str">
            <v>L</v>
          </cell>
          <cell r="V107" t="str">
            <v>L</v>
          </cell>
          <cell r="W107" t="str">
            <v>L</v>
          </cell>
          <cell r="X107" t="str">
            <v>L</v>
          </cell>
          <cell r="Y107" t="str">
            <v>L</v>
          </cell>
          <cell r="Z107" t="str">
            <v>L</v>
          </cell>
          <cell r="AA107" t="str">
            <v>L</v>
          </cell>
          <cell r="AB107" t="str">
            <v>L</v>
          </cell>
          <cell r="AC107" t="str">
            <v>L</v>
          </cell>
          <cell r="AD107" t="str">
            <v>L</v>
          </cell>
          <cell r="AE107" t="str">
            <v>L</v>
          </cell>
          <cell r="AF107">
            <v>9</v>
          </cell>
          <cell r="AG107">
            <v>9</v>
          </cell>
          <cell r="AH107">
            <v>9</v>
          </cell>
          <cell r="AI107">
            <v>9</v>
          </cell>
          <cell r="AJ107">
            <v>17</v>
          </cell>
          <cell r="AK107">
            <v>17</v>
          </cell>
          <cell r="AL107">
            <v>9</v>
          </cell>
          <cell r="AM107">
            <v>9</v>
          </cell>
          <cell r="AN107">
            <v>9</v>
          </cell>
          <cell r="AO107" t="str">
            <v>x</v>
          </cell>
          <cell r="AP107">
            <v>16</v>
          </cell>
          <cell r="AQ107">
            <v>14</v>
          </cell>
          <cell r="AR107">
            <v>0</v>
          </cell>
          <cell r="AS107">
            <v>0</v>
          </cell>
          <cell r="AT107">
            <v>0</v>
          </cell>
          <cell r="AU107">
            <v>0</v>
          </cell>
          <cell r="AV107">
            <v>119</v>
          </cell>
          <cell r="AW107">
            <v>34</v>
          </cell>
          <cell r="AX107">
            <v>30</v>
          </cell>
          <cell r="AY107">
            <v>16</v>
          </cell>
          <cell r="AZ107">
            <v>30</v>
          </cell>
          <cell r="CG107">
            <v>102</v>
          </cell>
          <cell r="CH107">
            <v>6</v>
          </cell>
          <cell r="CM107">
            <v>123</v>
          </cell>
          <cell r="CN107" t="str">
            <v xml:space="preserve">Owed 123 rials Eid bonus, 102 hours 200%, 6 days desert allowance for Eid Al Adhah'2008 from 8th to 13th December'2008. </v>
          </cell>
        </row>
        <row r="108">
          <cell r="B108">
            <v>295</v>
          </cell>
          <cell r="C108" t="str">
            <v>R</v>
          </cell>
          <cell r="D108" t="str">
            <v>Ibrahim Salim Said Al Ghafri</v>
          </cell>
          <cell r="E108" t="str">
            <v>Labour</v>
          </cell>
          <cell r="G108">
            <v>37226</v>
          </cell>
          <cell r="H108">
            <v>38145</v>
          </cell>
          <cell r="I108" t="str">
            <v>A</v>
          </cell>
          <cell r="J108" t="str">
            <v>Sh:2</v>
          </cell>
          <cell r="K108" t="str">
            <v>L</v>
          </cell>
          <cell r="L108" t="str">
            <v>L</v>
          </cell>
          <cell r="M108" t="str">
            <v>L</v>
          </cell>
          <cell r="N108" t="str">
            <v>L</v>
          </cell>
          <cell r="O108" t="str">
            <v>L</v>
          </cell>
          <cell r="P108" t="str">
            <v>L</v>
          </cell>
          <cell r="Q108" t="str">
            <v>L</v>
          </cell>
          <cell r="R108">
            <v>6</v>
          </cell>
          <cell r="S108">
            <v>6</v>
          </cell>
          <cell r="T108">
            <v>6</v>
          </cell>
          <cell r="U108">
            <v>6</v>
          </cell>
          <cell r="V108">
            <v>6</v>
          </cell>
          <cell r="W108">
            <v>6</v>
          </cell>
          <cell r="X108">
            <v>6</v>
          </cell>
          <cell r="Y108">
            <v>6</v>
          </cell>
          <cell r="Z108">
            <v>2</v>
          </cell>
          <cell r="AA108">
            <v>2</v>
          </cell>
          <cell r="AB108">
            <v>2</v>
          </cell>
          <cell r="AC108">
            <v>2</v>
          </cell>
          <cell r="AD108">
            <v>2</v>
          </cell>
          <cell r="AE108">
            <v>2</v>
          </cell>
          <cell r="AF108">
            <v>2</v>
          </cell>
          <cell r="AG108">
            <v>2</v>
          </cell>
          <cell r="AH108">
            <v>2</v>
          </cell>
          <cell r="AI108">
            <v>2</v>
          </cell>
          <cell r="AJ108">
            <v>10</v>
          </cell>
          <cell r="AK108">
            <v>10</v>
          </cell>
          <cell r="AL108">
            <v>2</v>
          </cell>
          <cell r="AM108">
            <v>2</v>
          </cell>
          <cell r="AN108">
            <v>2</v>
          </cell>
          <cell r="AO108" t="str">
            <v>x</v>
          </cell>
          <cell r="AP108">
            <v>23</v>
          </cell>
          <cell r="AQ108">
            <v>7</v>
          </cell>
          <cell r="AR108">
            <v>0</v>
          </cell>
          <cell r="AS108">
            <v>0</v>
          </cell>
          <cell r="AT108">
            <v>0</v>
          </cell>
          <cell r="AU108">
            <v>0</v>
          </cell>
          <cell r="AV108">
            <v>74</v>
          </cell>
          <cell r="AW108">
            <v>20</v>
          </cell>
          <cell r="AX108">
            <v>30</v>
          </cell>
          <cell r="AY108">
            <v>23</v>
          </cell>
          <cell r="AZ108">
            <v>30</v>
          </cell>
          <cell r="CF108">
            <v>32</v>
          </cell>
          <cell r="CN108" t="str">
            <v>Owed 32 hours overtime extra overtime from 16th to 23rd October'2008.</v>
          </cell>
        </row>
        <row r="109">
          <cell r="B109">
            <v>297</v>
          </cell>
          <cell r="C109" t="str">
            <v>R</v>
          </cell>
          <cell r="D109" t="str">
            <v>Mohamed Saif Salim Al Sawafi</v>
          </cell>
          <cell r="E109" t="str">
            <v>Heavy Duty Dvr</v>
          </cell>
          <cell r="G109">
            <v>37226</v>
          </cell>
          <cell r="H109">
            <v>38145</v>
          </cell>
          <cell r="I109" t="str">
            <v>A</v>
          </cell>
          <cell r="J109" t="str">
            <v>Sh:2</v>
          </cell>
          <cell r="K109" t="str">
            <v>L</v>
          </cell>
          <cell r="L109" t="str">
            <v>L</v>
          </cell>
          <cell r="M109" t="str">
            <v>L</v>
          </cell>
          <cell r="N109" t="str">
            <v>L</v>
          </cell>
          <cell r="O109" t="str">
            <v>L</v>
          </cell>
          <cell r="P109" t="str">
            <v>L</v>
          </cell>
          <cell r="Q109" t="str">
            <v>L</v>
          </cell>
          <cell r="R109">
            <v>8.5</v>
          </cell>
          <cell r="S109">
            <v>6</v>
          </cell>
          <cell r="T109">
            <v>2.5</v>
          </cell>
          <cell r="U109">
            <v>2.5</v>
          </cell>
          <cell r="V109">
            <v>2.5</v>
          </cell>
          <cell r="W109">
            <v>2.5</v>
          </cell>
          <cell r="X109">
            <v>2.5</v>
          </cell>
          <cell r="Y109">
            <v>2.5</v>
          </cell>
          <cell r="Z109">
            <v>2.5</v>
          </cell>
          <cell r="AA109">
            <v>2.5</v>
          </cell>
          <cell r="AB109">
            <v>2.5</v>
          </cell>
          <cell r="AC109">
            <v>2.5</v>
          </cell>
          <cell r="AD109">
            <v>2.5</v>
          </cell>
          <cell r="AE109">
            <v>2.5</v>
          </cell>
          <cell r="AF109">
            <v>2.5</v>
          </cell>
          <cell r="AG109">
            <v>2.5</v>
          </cell>
          <cell r="AH109">
            <v>2.5</v>
          </cell>
          <cell r="AI109">
            <v>2.5</v>
          </cell>
          <cell r="AJ109">
            <v>10.5</v>
          </cell>
          <cell r="AK109">
            <v>10.5</v>
          </cell>
          <cell r="AL109">
            <v>2.5</v>
          </cell>
          <cell r="AM109">
            <v>2.5</v>
          </cell>
          <cell r="AN109">
            <v>2.5</v>
          </cell>
          <cell r="AO109" t="str">
            <v>x</v>
          </cell>
          <cell r="AP109">
            <v>23</v>
          </cell>
          <cell r="AQ109">
            <v>7</v>
          </cell>
          <cell r="AR109">
            <v>0</v>
          </cell>
          <cell r="AS109">
            <v>0</v>
          </cell>
          <cell r="AT109">
            <v>0</v>
          </cell>
          <cell r="AU109">
            <v>0</v>
          </cell>
          <cell r="AV109">
            <v>62</v>
          </cell>
          <cell r="AW109">
            <v>21</v>
          </cell>
          <cell r="AX109">
            <v>30</v>
          </cell>
          <cell r="AY109">
            <v>23</v>
          </cell>
          <cell r="AZ109">
            <v>30</v>
          </cell>
          <cell r="CF109">
            <v>33</v>
          </cell>
          <cell r="CN109" t="str">
            <v>Owed 33 hours overtime extra overtime from 15th to 20th October'2008.</v>
          </cell>
        </row>
        <row r="110">
          <cell r="B110">
            <v>299</v>
          </cell>
          <cell r="C110" t="str">
            <v>R</v>
          </cell>
          <cell r="D110" t="str">
            <v xml:space="preserve">Ashraf Khanfar Bukheit Al Shukeily </v>
          </cell>
          <cell r="E110" t="str">
            <v>Labour</v>
          </cell>
          <cell r="G110">
            <v>37226</v>
          </cell>
          <cell r="H110">
            <v>38145</v>
          </cell>
          <cell r="I110" t="str">
            <v>A</v>
          </cell>
          <cell r="J110" t="str">
            <v>Sh:2</v>
          </cell>
          <cell r="K110" t="str">
            <v>L</v>
          </cell>
          <cell r="L110" t="str">
            <v>L</v>
          </cell>
          <cell r="M110" t="str">
            <v>L</v>
          </cell>
          <cell r="N110" t="str">
            <v>L</v>
          </cell>
          <cell r="O110" t="str">
            <v>L</v>
          </cell>
          <cell r="P110" t="str">
            <v>L</v>
          </cell>
          <cell r="Q110" t="str">
            <v>L</v>
          </cell>
          <cell r="R110">
            <v>6</v>
          </cell>
          <cell r="S110">
            <v>6</v>
          </cell>
          <cell r="T110">
            <v>6</v>
          </cell>
          <cell r="U110">
            <v>6</v>
          </cell>
          <cell r="V110">
            <v>6</v>
          </cell>
          <cell r="W110">
            <v>6</v>
          </cell>
          <cell r="X110">
            <v>6</v>
          </cell>
          <cell r="Y110">
            <v>6</v>
          </cell>
          <cell r="Z110">
            <v>2</v>
          </cell>
          <cell r="AA110">
            <v>2</v>
          </cell>
          <cell r="AB110">
            <v>2</v>
          </cell>
          <cell r="AC110">
            <v>2</v>
          </cell>
          <cell r="AD110">
            <v>2</v>
          </cell>
          <cell r="AE110">
            <v>2</v>
          </cell>
          <cell r="AF110">
            <v>2</v>
          </cell>
          <cell r="AG110">
            <v>2</v>
          </cell>
          <cell r="AH110">
            <v>2</v>
          </cell>
          <cell r="AI110">
            <v>2</v>
          </cell>
          <cell r="AJ110">
            <v>10</v>
          </cell>
          <cell r="AK110">
            <v>10</v>
          </cell>
          <cell r="AL110">
            <v>2</v>
          </cell>
          <cell r="AM110">
            <v>2</v>
          </cell>
          <cell r="AN110">
            <v>2</v>
          </cell>
          <cell r="AO110" t="str">
            <v>x</v>
          </cell>
          <cell r="AP110">
            <v>23</v>
          </cell>
          <cell r="AQ110">
            <v>7</v>
          </cell>
          <cell r="AR110">
            <v>0</v>
          </cell>
          <cell r="AS110">
            <v>0</v>
          </cell>
          <cell r="AT110">
            <v>0</v>
          </cell>
          <cell r="AU110">
            <v>0</v>
          </cell>
          <cell r="AV110">
            <v>74</v>
          </cell>
          <cell r="AW110">
            <v>20</v>
          </cell>
          <cell r="AX110">
            <v>30</v>
          </cell>
          <cell r="AY110">
            <v>23</v>
          </cell>
          <cell r="AZ110">
            <v>30</v>
          </cell>
        </row>
        <row r="111">
          <cell r="B111">
            <v>309</v>
          </cell>
          <cell r="C111" t="str">
            <v>R</v>
          </cell>
          <cell r="D111" t="str">
            <v>Badar Khamis Salim Al Hattali</v>
          </cell>
          <cell r="E111" t="str">
            <v>Labour / Cable</v>
          </cell>
          <cell r="G111">
            <v>38002</v>
          </cell>
          <cell r="H111">
            <v>38145</v>
          </cell>
          <cell r="I111" t="str">
            <v>A</v>
          </cell>
          <cell r="J111" t="str">
            <v>Sh:2</v>
          </cell>
          <cell r="K111" t="str">
            <v>H</v>
          </cell>
          <cell r="L111" t="str">
            <v>H</v>
          </cell>
          <cell r="M111" t="str">
            <v>H</v>
          </cell>
          <cell r="N111" t="str">
            <v>H</v>
          </cell>
          <cell r="O111" t="str">
            <v>H</v>
          </cell>
          <cell r="P111" t="str">
            <v>H</v>
          </cell>
          <cell r="Q111" t="str">
            <v>H</v>
          </cell>
          <cell r="R111" t="str">
            <v>L</v>
          </cell>
          <cell r="S111" t="str">
            <v>L</v>
          </cell>
          <cell r="T111" t="str">
            <v>L</v>
          </cell>
          <cell r="U111" t="str">
            <v>L</v>
          </cell>
          <cell r="V111" t="str">
            <v>L</v>
          </cell>
          <cell r="W111" t="str">
            <v>L</v>
          </cell>
          <cell r="X111" t="str">
            <v>L</v>
          </cell>
          <cell r="Y111" t="str">
            <v>L</v>
          </cell>
          <cell r="Z111" t="str">
            <v>L</v>
          </cell>
          <cell r="AA111" t="str">
            <v>L</v>
          </cell>
          <cell r="AB111" t="str">
            <v>L</v>
          </cell>
          <cell r="AC111" t="str">
            <v>L</v>
          </cell>
          <cell r="AD111" t="str">
            <v>L</v>
          </cell>
          <cell r="AE111" t="str">
            <v>L</v>
          </cell>
          <cell r="AF111">
            <v>4</v>
          </cell>
          <cell r="AG111">
            <v>4</v>
          </cell>
          <cell r="AH111">
            <v>4</v>
          </cell>
          <cell r="AI111">
            <v>4</v>
          </cell>
          <cell r="AJ111">
            <v>12</v>
          </cell>
          <cell r="AK111">
            <v>12</v>
          </cell>
          <cell r="AL111">
            <v>4</v>
          </cell>
          <cell r="AM111">
            <v>4</v>
          </cell>
          <cell r="AN111">
            <v>4</v>
          </cell>
          <cell r="AO111" t="str">
            <v>x</v>
          </cell>
          <cell r="AP111">
            <v>9</v>
          </cell>
          <cell r="AQ111">
            <v>14</v>
          </cell>
          <cell r="AR111">
            <v>0</v>
          </cell>
          <cell r="AS111">
            <v>0</v>
          </cell>
          <cell r="AT111">
            <v>0</v>
          </cell>
          <cell r="AU111">
            <v>7</v>
          </cell>
          <cell r="AV111">
            <v>28</v>
          </cell>
          <cell r="AW111">
            <v>24</v>
          </cell>
          <cell r="AX111">
            <v>23</v>
          </cell>
          <cell r="AY111">
            <v>9</v>
          </cell>
          <cell r="AZ111">
            <v>23</v>
          </cell>
          <cell r="CG111">
            <v>72</v>
          </cell>
          <cell r="CH111">
            <v>6</v>
          </cell>
          <cell r="CM111">
            <v>123</v>
          </cell>
          <cell r="CN111" t="str">
            <v>Owed 123 rials Eid bonus, 102 hours 200%, 6 days desert allowance for Eid Al Adhah'2008 from 8th to 13th December'2008.</v>
          </cell>
        </row>
        <row r="112">
          <cell r="B112">
            <v>314</v>
          </cell>
          <cell r="D112" t="str">
            <v>Tariq Said Saif Al Musalhi</v>
          </cell>
          <cell r="E112" t="str">
            <v>Vibe Operator</v>
          </cell>
          <cell r="G112" t="str">
            <v>N/A</v>
          </cell>
          <cell r="H112">
            <v>38155</v>
          </cell>
          <cell r="I112" t="str">
            <v>E</v>
          </cell>
          <cell r="J112" t="str">
            <v>Sh:2</v>
          </cell>
          <cell r="K112" t="str">
            <v>L</v>
          </cell>
          <cell r="L112" t="str">
            <v>L</v>
          </cell>
          <cell r="M112" t="str">
            <v>L</v>
          </cell>
          <cell r="N112" t="str">
            <v>L</v>
          </cell>
          <cell r="O112" t="str">
            <v>L</v>
          </cell>
          <cell r="P112" t="str">
            <v>L</v>
          </cell>
          <cell r="Q112" t="str">
            <v>L</v>
          </cell>
          <cell r="R112">
            <v>8</v>
          </cell>
          <cell r="S112">
            <v>8</v>
          </cell>
          <cell r="T112">
            <v>8</v>
          </cell>
          <cell r="U112">
            <v>8</v>
          </cell>
          <cell r="V112">
            <v>8</v>
          </cell>
          <cell r="W112">
            <v>8</v>
          </cell>
          <cell r="X112">
            <v>9</v>
          </cell>
          <cell r="Y112">
            <v>9</v>
          </cell>
          <cell r="Z112">
            <v>9</v>
          </cell>
          <cell r="AA112">
            <v>9</v>
          </cell>
          <cell r="AB112">
            <v>9</v>
          </cell>
          <cell r="AC112">
            <v>9</v>
          </cell>
          <cell r="AD112">
            <v>9</v>
          </cell>
          <cell r="AE112">
            <v>9</v>
          </cell>
          <cell r="AF112">
            <v>9</v>
          </cell>
          <cell r="AG112">
            <v>9</v>
          </cell>
          <cell r="AH112">
            <v>9</v>
          </cell>
          <cell r="AI112">
            <v>9</v>
          </cell>
          <cell r="AJ112">
            <v>17</v>
          </cell>
          <cell r="AK112">
            <v>17</v>
          </cell>
          <cell r="AL112">
            <v>9</v>
          </cell>
          <cell r="AM112">
            <v>9</v>
          </cell>
          <cell r="AN112">
            <v>9</v>
          </cell>
          <cell r="AO112" t="str">
            <v>x</v>
          </cell>
          <cell r="AP112">
            <v>23</v>
          </cell>
          <cell r="AQ112">
            <v>7</v>
          </cell>
          <cell r="AR112">
            <v>0</v>
          </cell>
          <cell r="AS112">
            <v>0</v>
          </cell>
          <cell r="AT112">
            <v>0</v>
          </cell>
          <cell r="AU112">
            <v>0</v>
          </cell>
          <cell r="AV112">
            <v>183</v>
          </cell>
          <cell r="AW112">
            <v>34</v>
          </cell>
          <cell r="AX112">
            <v>30</v>
          </cell>
          <cell r="AY112">
            <v>23</v>
          </cell>
          <cell r="AZ112">
            <v>30</v>
          </cell>
          <cell r="CG112">
            <v>102</v>
          </cell>
          <cell r="CH112">
            <v>6</v>
          </cell>
          <cell r="CM112">
            <v>123</v>
          </cell>
          <cell r="CN112" t="str">
            <v>Owed 123 rials Eid bonus, 102 hours 200%, 6 days desert allowance for Eid Al Adhah'2008 from 8th to 13th December'2008.</v>
          </cell>
        </row>
        <row r="113">
          <cell r="B113">
            <v>316</v>
          </cell>
          <cell r="D113" t="str">
            <v>Najeeb Salim Yaqoout Al Attabi</v>
          </cell>
          <cell r="E113" t="str">
            <v>Labour / Chain Crew</v>
          </cell>
          <cell r="G113" t="str">
            <v>N/A</v>
          </cell>
          <cell r="H113">
            <v>38155</v>
          </cell>
          <cell r="I113" t="str">
            <v>A</v>
          </cell>
          <cell r="J113" t="str">
            <v>Sh:2</v>
          </cell>
          <cell r="K113" t="str">
            <v>L</v>
          </cell>
          <cell r="L113" t="str">
            <v>L</v>
          </cell>
          <cell r="M113" t="str">
            <v>L</v>
          </cell>
          <cell r="N113" t="str">
            <v>L</v>
          </cell>
          <cell r="O113" t="str">
            <v>L</v>
          </cell>
          <cell r="P113" t="str">
            <v>L</v>
          </cell>
          <cell r="Q113" t="str">
            <v>L</v>
          </cell>
          <cell r="R113">
            <v>9.5</v>
          </cell>
          <cell r="S113">
            <v>8</v>
          </cell>
          <cell r="T113">
            <v>2</v>
          </cell>
          <cell r="U113">
            <v>8</v>
          </cell>
          <cell r="V113">
            <v>8</v>
          </cell>
          <cell r="W113">
            <v>8</v>
          </cell>
          <cell r="X113">
            <v>8</v>
          </cell>
          <cell r="Y113">
            <v>2</v>
          </cell>
          <cell r="Z113">
            <v>2</v>
          </cell>
          <cell r="AA113">
            <v>2</v>
          </cell>
          <cell r="AB113">
            <v>2</v>
          </cell>
          <cell r="AC113">
            <v>2</v>
          </cell>
          <cell r="AD113">
            <v>2</v>
          </cell>
          <cell r="AE113">
            <v>2</v>
          </cell>
          <cell r="AF113">
            <v>2</v>
          </cell>
          <cell r="AG113">
            <v>2</v>
          </cell>
          <cell r="AH113">
            <v>2</v>
          </cell>
          <cell r="AI113">
            <v>2</v>
          </cell>
          <cell r="AJ113">
            <v>10</v>
          </cell>
          <cell r="AK113">
            <v>10</v>
          </cell>
          <cell r="AL113">
            <v>2</v>
          </cell>
          <cell r="AM113">
            <v>2</v>
          </cell>
          <cell r="AN113">
            <v>2</v>
          </cell>
          <cell r="AO113" t="str">
            <v>x</v>
          </cell>
          <cell r="AP113">
            <v>23</v>
          </cell>
          <cell r="AQ113">
            <v>7</v>
          </cell>
          <cell r="AR113">
            <v>0</v>
          </cell>
          <cell r="AS113">
            <v>0</v>
          </cell>
          <cell r="AT113">
            <v>0</v>
          </cell>
          <cell r="AU113">
            <v>0</v>
          </cell>
          <cell r="AV113">
            <v>79.5</v>
          </cell>
          <cell r="AW113">
            <v>20</v>
          </cell>
          <cell r="AX113">
            <v>30</v>
          </cell>
          <cell r="AY113">
            <v>23</v>
          </cell>
          <cell r="AZ113">
            <v>30</v>
          </cell>
          <cell r="CF113">
            <v>-6</v>
          </cell>
          <cell r="CG113">
            <v>60</v>
          </cell>
          <cell r="CH113">
            <v>3</v>
          </cell>
          <cell r="CM113">
            <v>123</v>
          </cell>
          <cell r="CN113" t="str">
            <v>Deducted 3 days desert allowance, 6 hours overtime take leave on 22nd to 24th October'2008. Owed 123 rials Eid bonus, 60 hours 200%, 6 days desert allowance for Eid Al Adhah'2008 from 8th to 13th December'2008.</v>
          </cell>
        </row>
        <row r="114">
          <cell r="B114">
            <v>317</v>
          </cell>
          <cell r="D114" t="str">
            <v>Dawoud Sulaiman Said Al Marhouqi</v>
          </cell>
          <cell r="E114" t="str">
            <v>Labour / GPS Operator</v>
          </cell>
          <cell r="G114" t="str">
            <v>N/A</v>
          </cell>
          <cell r="H114">
            <v>38145</v>
          </cell>
          <cell r="I114" t="str">
            <v>A</v>
          </cell>
          <cell r="J114" t="str">
            <v>Sh:2</v>
          </cell>
          <cell r="K114" t="str">
            <v>L</v>
          </cell>
          <cell r="L114" t="str">
            <v>L</v>
          </cell>
          <cell r="M114" t="str">
            <v>L</v>
          </cell>
          <cell r="N114" t="str">
            <v>L</v>
          </cell>
          <cell r="O114" t="str">
            <v>L</v>
          </cell>
          <cell r="P114" t="str">
            <v>L</v>
          </cell>
          <cell r="Q114" t="str">
            <v>L</v>
          </cell>
          <cell r="R114">
            <v>2.5</v>
          </cell>
          <cell r="S114">
            <v>2.5</v>
          </cell>
          <cell r="T114">
            <v>2.5</v>
          </cell>
          <cell r="U114">
            <v>2.5</v>
          </cell>
          <cell r="V114">
            <v>2.5</v>
          </cell>
          <cell r="W114">
            <v>2.5</v>
          </cell>
          <cell r="X114">
            <v>2.5</v>
          </cell>
          <cell r="Y114">
            <v>2.5</v>
          </cell>
          <cell r="Z114">
            <v>2.5</v>
          </cell>
          <cell r="AA114">
            <v>2.5</v>
          </cell>
          <cell r="AB114">
            <v>2.5</v>
          </cell>
          <cell r="AC114">
            <v>2.5</v>
          </cell>
          <cell r="AD114">
            <v>2.5</v>
          </cell>
          <cell r="AE114">
            <v>2.5</v>
          </cell>
          <cell r="AF114">
            <v>2.5</v>
          </cell>
          <cell r="AG114">
            <v>2.5</v>
          </cell>
          <cell r="AH114">
            <v>2.5</v>
          </cell>
          <cell r="AI114">
            <v>2.5</v>
          </cell>
          <cell r="AJ114">
            <v>10.5</v>
          </cell>
          <cell r="AK114">
            <v>10.5</v>
          </cell>
          <cell r="AL114">
            <v>2.5</v>
          </cell>
          <cell r="AM114">
            <v>2.5</v>
          </cell>
          <cell r="AN114">
            <v>2.5</v>
          </cell>
          <cell r="AO114" t="str">
            <v>x</v>
          </cell>
          <cell r="AP114">
            <v>23</v>
          </cell>
          <cell r="AQ114">
            <v>7</v>
          </cell>
          <cell r="AR114">
            <v>0</v>
          </cell>
          <cell r="AS114">
            <v>0</v>
          </cell>
          <cell r="AT114">
            <v>0</v>
          </cell>
          <cell r="AU114">
            <v>0</v>
          </cell>
          <cell r="AV114">
            <v>52.5</v>
          </cell>
          <cell r="AW114">
            <v>21</v>
          </cell>
          <cell r="AX114">
            <v>30</v>
          </cell>
          <cell r="AY114">
            <v>23</v>
          </cell>
          <cell r="AZ114">
            <v>30</v>
          </cell>
          <cell r="CF114">
            <v>28.5</v>
          </cell>
          <cell r="CN114" t="str">
            <v>Owed 28.5 hours overtime extra overtime from 16th to 23rd and 28th October'2008.</v>
          </cell>
        </row>
        <row r="115">
          <cell r="B115">
            <v>320</v>
          </cell>
          <cell r="D115" t="str">
            <v>Mohammed Saleh Ali Al Hina'i</v>
          </cell>
          <cell r="E115" t="str">
            <v>Labour / Asst Junior Observer</v>
          </cell>
          <cell r="G115" t="str">
            <v>N/A</v>
          </cell>
          <cell r="H115">
            <v>38155</v>
          </cell>
          <cell r="I115" t="str">
            <v>C1</v>
          </cell>
          <cell r="J115" t="str">
            <v>Sh:1</v>
          </cell>
          <cell r="K115">
            <v>13</v>
          </cell>
          <cell r="L115">
            <v>13</v>
          </cell>
          <cell r="M115">
            <v>13</v>
          </cell>
          <cell r="N115">
            <v>13</v>
          </cell>
          <cell r="O115">
            <v>13</v>
          </cell>
          <cell r="P115">
            <v>13</v>
          </cell>
          <cell r="Q115">
            <v>13</v>
          </cell>
          <cell r="R115">
            <v>8</v>
          </cell>
          <cell r="S115">
            <v>8</v>
          </cell>
          <cell r="T115">
            <v>8</v>
          </cell>
          <cell r="U115">
            <v>8</v>
          </cell>
          <cell r="V115">
            <v>8</v>
          </cell>
          <cell r="W115">
            <v>8</v>
          </cell>
          <cell r="X115">
            <v>8</v>
          </cell>
          <cell r="Y115">
            <v>8</v>
          </cell>
          <cell r="Z115">
            <v>8</v>
          </cell>
          <cell r="AA115">
            <v>8</v>
          </cell>
          <cell r="AB115">
            <v>4</v>
          </cell>
          <cell r="AC115">
            <v>4</v>
          </cell>
          <cell r="AD115">
            <v>4</v>
          </cell>
          <cell r="AE115">
            <v>4</v>
          </cell>
          <cell r="AF115" t="str">
            <v>L</v>
          </cell>
          <cell r="AG115" t="str">
            <v>L</v>
          </cell>
          <cell r="AH115" t="str">
            <v>L</v>
          </cell>
          <cell r="AI115" t="str">
            <v>L</v>
          </cell>
          <cell r="AJ115" t="str">
            <v>L</v>
          </cell>
          <cell r="AK115" t="str">
            <v>L</v>
          </cell>
          <cell r="AL115" t="str">
            <v>L</v>
          </cell>
          <cell r="AM115" t="str">
            <v>L</v>
          </cell>
          <cell r="AN115" t="str">
            <v>L</v>
          </cell>
          <cell r="AO115" t="str">
            <v>x</v>
          </cell>
          <cell r="AP115">
            <v>21</v>
          </cell>
          <cell r="AQ115">
            <v>9</v>
          </cell>
          <cell r="AR115">
            <v>0</v>
          </cell>
          <cell r="AS115">
            <v>0</v>
          </cell>
          <cell r="AT115">
            <v>0</v>
          </cell>
          <cell r="AU115">
            <v>0</v>
          </cell>
          <cell r="AV115">
            <v>187</v>
          </cell>
          <cell r="AW115">
            <v>0</v>
          </cell>
          <cell r="AX115">
            <v>30</v>
          </cell>
          <cell r="AY115">
            <v>21</v>
          </cell>
          <cell r="AZ115">
            <v>30</v>
          </cell>
          <cell r="CF115">
            <v>56</v>
          </cell>
          <cell r="CN115" t="str">
            <v>Owed 56 hours overtime extra overtime from 25th to 31st October'2008.</v>
          </cell>
        </row>
        <row r="116">
          <cell r="B116">
            <v>321</v>
          </cell>
          <cell r="D116" t="str">
            <v>Hamoud Ali Salim Al Hina'i</v>
          </cell>
          <cell r="E116" t="str">
            <v>Labour / Chain Crew</v>
          </cell>
          <cell r="G116" t="str">
            <v>N/A</v>
          </cell>
          <cell r="H116">
            <v>38155</v>
          </cell>
          <cell r="I116" t="str">
            <v>A</v>
          </cell>
          <cell r="J116" t="str">
            <v>Sh:1</v>
          </cell>
          <cell r="K116">
            <v>7.5</v>
          </cell>
          <cell r="L116">
            <v>2</v>
          </cell>
          <cell r="M116">
            <v>7</v>
          </cell>
          <cell r="N116">
            <v>6</v>
          </cell>
          <cell r="O116">
            <v>8</v>
          </cell>
          <cell r="P116">
            <v>8</v>
          </cell>
          <cell r="Q116">
            <v>8</v>
          </cell>
          <cell r="R116">
            <v>9</v>
          </cell>
          <cell r="S116">
            <v>10</v>
          </cell>
          <cell r="T116">
            <v>2</v>
          </cell>
          <cell r="U116">
            <v>10</v>
          </cell>
          <cell r="V116">
            <v>10</v>
          </cell>
          <cell r="W116">
            <v>10</v>
          </cell>
          <cell r="X116">
            <v>8</v>
          </cell>
          <cell r="Y116">
            <v>2</v>
          </cell>
          <cell r="Z116">
            <v>2</v>
          </cell>
          <cell r="AA116">
            <v>2</v>
          </cell>
          <cell r="AB116">
            <v>2</v>
          </cell>
          <cell r="AC116">
            <v>2</v>
          </cell>
          <cell r="AD116">
            <v>2</v>
          </cell>
          <cell r="AE116">
            <v>2</v>
          </cell>
          <cell r="AF116" t="str">
            <v>L</v>
          </cell>
          <cell r="AG116" t="str">
            <v>L</v>
          </cell>
          <cell r="AH116" t="str">
            <v>L</v>
          </cell>
          <cell r="AI116" t="str">
            <v>L</v>
          </cell>
          <cell r="AJ116" t="str">
            <v>L</v>
          </cell>
          <cell r="AK116" t="str">
            <v>L</v>
          </cell>
          <cell r="AL116" t="str">
            <v>L</v>
          </cell>
          <cell r="AM116" t="str">
            <v>L</v>
          </cell>
          <cell r="AN116" t="str">
            <v>L</v>
          </cell>
          <cell r="AO116" t="str">
            <v>x</v>
          </cell>
          <cell r="AP116">
            <v>21</v>
          </cell>
          <cell r="AQ116">
            <v>9</v>
          </cell>
          <cell r="AR116">
            <v>0</v>
          </cell>
          <cell r="AS116">
            <v>0</v>
          </cell>
          <cell r="AT116">
            <v>0</v>
          </cell>
          <cell r="AU116">
            <v>0</v>
          </cell>
          <cell r="AV116">
            <v>119.5</v>
          </cell>
          <cell r="AW116">
            <v>0</v>
          </cell>
          <cell r="AX116">
            <v>30</v>
          </cell>
          <cell r="AY116">
            <v>21</v>
          </cell>
          <cell r="AZ116">
            <v>30</v>
          </cell>
          <cell r="CF116">
            <v>23</v>
          </cell>
          <cell r="CG116">
            <v>60</v>
          </cell>
          <cell r="CH116">
            <v>6</v>
          </cell>
          <cell r="CM116">
            <v>123</v>
          </cell>
          <cell r="CN116" t="str">
            <v>Owed 23 hours overtime extra overtime from 25th to 28th and 30th October'2008. Owed 123 rials Eid bonus, 60 hours 200%, 6 days desert allowance for Eid Al Adhah'2008 from 8th to 13th December'2008.</v>
          </cell>
        </row>
        <row r="117">
          <cell r="B117">
            <v>322</v>
          </cell>
          <cell r="D117" t="str">
            <v>Mustafa Khanfar Bukheit Al Shakily</v>
          </cell>
          <cell r="E117" t="str">
            <v>Labour / Asst Junior Observer</v>
          </cell>
          <cell r="G117" t="str">
            <v>N/A</v>
          </cell>
          <cell r="H117">
            <v>38155</v>
          </cell>
          <cell r="I117" t="str">
            <v>A</v>
          </cell>
          <cell r="J117" t="str">
            <v>Sh:2</v>
          </cell>
          <cell r="K117" t="str">
            <v>L</v>
          </cell>
          <cell r="L117" t="str">
            <v>L</v>
          </cell>
          <cell r="M117">
            <v>2.5</v>
          </cell>
          <cell r="N117">
            <v>2.5</v>
          </cell>
          <cell r="O117">
            <v>2.5</v>
          </cell>
          <cell r="P117" t="str">
            <v>L</v>
          </cell>
          <cell r="Q117" t="str">
            <v>L</v>
          </cell>
          <cell r="R117">
            <v>4</v>
          </cell>
          <cell r="S117">
            <v>4</v>
          </cell>
          <cell r="T117">
            <v>4</v>
          </cell>
          <cell r="U117">
            <v>4</v>
          </cell>
          <cell r="V117">
            <v>4</v>
          </cell>
          <cell r="W117">
            <v>4</v>
          </cell>
          <cell r="X117">
            <v>4</v>
          </cell>
          <cell r="Y117">
            <v>4</v>
          </cell>
          <cell r="Z117">
            <v>4</v>
          </cell>
          <cell r="AA117">
            <v>4</v>
          </cell>
          <cell r="AB117">
            <v>4</v>
          </cell>
          <cell r="AC117">
            <v>4</v>
          </cell>
          <cell r="AD117">
            <v>4</v>
          </cell>
          <cell r="AE117">
            <v>4</v>
          </cell>
          <cell r="AF117">
            <v>4</v>
          </cell>
          <cell r="AG117">
            <v>4</v>
          </cell>
          <cell r="AH117">
            <v>4</v>
          </cell>
          <cell r="AI117">
            <v>4</v>
          </cell>
          <cell r="AJ117">
            <v>12</v>
          </cell>
          <cell r="AK117">
            <v>12</v>
          </cell>
          <cell r="AL117">
            <v>4</v>
          </cell>
          <cell r="AM117">
            <v>4</v>
          </cell>
          <cell r="AN117">
            <v>4</v>
          </cell>
          <cell r="AO117" t="str">
            <v>x</v>
          </cell>
          <cell r="AP117">
            <v>26</v>
          </cell>
          <cell r="AQ117">
            <v>4</v>
          </cell>
          <cell r="AR117">
            <v>0</v>
          </cell>
          <cell r="AS117">
            <v>0</v>
          </cell>
          <cell r="AT117">
            <v>0</v>
          </cell>
          <cell r="AU117">
            <v>0</v>
          </cell>
          <cell r="AV117">
            <v>91.5</v>
          </cell>
          <cell r="AW117">
            <v>24</v>
          </cell>
          <cell r="AX117">
            <v>30</v>
          </cell>
          <cell r="AY117">
            <v>26</v>
          </cell>
          <cell r="AZ117">
            <v>30</v>
          </cell>
          <cell r="CF117">
            <v>65</v>
          </cell>
          <cell r="CG117">
            <v>72</v>
          </cell>
          <cell r="CH117">
            <v>3</v>
          </cell>
          <cell r="CM117">
            <v>123</v>
          </cell>
          <cell r="CN117" t="str">
            <v xml:space="preserve">Deducted 3 days desert allowance, 12 hours overtime take leave on 22nd to 24th October'2008. Owed 77 hours overtime extra overtime from 2nd to 7th and 17th to 21st October'2008.  Owed 123 rials Eid bonus, 72 hours 200%, 6 days desert allowance for Eid Al </v>
          </cell>
        </row>
        <row r="118">
          <cell r="B118">
            <v>323</v>
          </cell>
          <cell r="D118" t="str">
            <v>Said Batti Ziyad Al Ghafri</v>
          </cell>
          <cell r="E118" t="str">
            <v>Labour / Cable</v>
          </cell>
          <cell r="G118" t="str">
            <v>N/A</v>
          </cell>
          <cell r="H118">
            <v>38155</v>
          </cell>
          <cell r="I118" t="str">
            <v>A</v>
          </cell>
          <cell r="J118" t="str">
            <v>Sh:1</v>
          </cell>
          <cell r="K118">
            <v>4</v>
          </cell>
          <cell r="L118">
            <v>4</v>
          </cell>
          <cell r="M118">
            <v>4</v>
          </cell>
          <cell r="N118">
            <v>4</v>
          </cell>
          <cell r="O118">
            <v>4</v>
          </cell>
          <cell r="P118">
            <v>4</v>
          </cell>
          <cell r="Q118">
            <v>4</v>
          </cell>
          <cell r="R118">
            <v>4</v>
          </cell>
          <cell r="S118">
            <v>4</v>
          </cell>
          <cell r="T118">
            <v>4</v>
          </cell>
          <cell r="U118">
            <v>4</v>
          </cell>
          <cell r="V118">
            <v>4</v>
          </cell>
          <cell r="W118">
            <v>4</v>
          </cell>
          <cell r="X118">
            <v>4</v>
          </cell>
          <cell r="Y118">
            <v>4</v>
          </cell>
          <cell r="Z118">
            <v>4</v>
          </cell>
          <cell r="AA118">
            <v>4</v>
          </cell>
          <cell r="AB118">
            <v>4</v>
          </cell>
          <cell r="AC118">
            <v>4</v>
          </cell>
          <cell r="AD118">
            <v>4</v>
          </cell>
          <cell r="AE118">
            <v>4</v>
          </cell>
          <cell r="AF118" t="str">
            <v>L</v>
          </cell>
          <cell r="AG118" t="str">
            <v>L</v>
          </cell>
          <cell r="AH118" t="str">
            <v>L</v>
          </cell>
          <cell r="AI118" t="str">
            <v>L</v>
          </cell>
          <cell r="AJ118" t="str">
            <v>L</v>
          </cell>
          <cell r="AK118" t="str">
            <v>L</v>
          </cell>
          <cell r="AL118" t="str">
            <v>L</v>
          </cell>
          <cell r="AM118" t="str">
            <v>L</v>
          </cell>
          <cell r="AN118" t="str">
            <v>L</v>
          </cell>
          <cell r="AO118" t="str">
            <v>x</v>
          </cell>
          <cell r="AP118">
            <v>21</v>
          </cell>
          <cell r="AQ118">
            <v>9</v>
          </cell>
          <cell r="AR118">
            <v>0</v>
          </cell>
          <cell r="AS118">
            <v>0</v>
          </cell>
          <cell r="AT118">
            <v>0</v>
          </cell>
          <cell r="AU118">
            <v>0</v>
          </cell>
          <cell r="AV118">
            <v>84</v>
          </cell>
          <cell r="AW118">
            <v>0</v>
          </cell>
          <cell r="AX118">
            <v>30</v>
          </cell>
          <cell r="AY118">
            <v>21</v>
          </cell>
          <cell r="AZ118">
            <v>30</v>
          </cell>
          <cell r="CF118">
            <v>44</v>
          </cell>
          <cell r="CN118" t="str">
            <v>Owed 44 hours overtime extra overtime from 2nd to 7th and 25th to 31st October'2008.</v>
          </cell>
        </row>
        <row r="119">
          <cell r="B119">
            <v>326</v>
          </cell>
          <cell r="D119" t="str">
            <v>Mohammed Salim Ghanim Al Ghafri</v>
          </cell>
          <cell r="E119" t="str">
            <v>Asst Junior Observer</v>
          </cell>
          <cell r="G119" t="str">
            <v>N/A</v>
          </cell>
          <cell r="H119">
            <v>38155</v>
          </cell>
          <cell r="I119" t="str">
            <v>C1</v>
          </cell>
          <cell r="J119" t="str">
            <v>Sh:1</v>
          </cell>
          <cell r="K119">
            <v>13</v>
          </cell>
          <cell r="L119">
            <v>13</v>
          </cell>
          <cell r="M119">
            <v>13</v>
          </cell>
          <cell r="N119">
            <v>13</v>
          </cell>
          <cell r="O119">
            <v>13</v>
          </cell>
          <cell r="P119">
            <v>13</v>
          </cell>
          <cell r="Q119">
            <v>13</v>
          </cell>
          <cell r="R119">
            <v>13</v>
          </cell>
          <cell r="S119">
            <v>13</v>
          </cell>
          <cell r="T119">
            <v>13</v>
          </cell>
          <cell r="U119">
            <v>13</v>
          </cell>
          <cell r="V119">
            <v>13</v>
          </cell>
          <cell r="W119">
            <v>13</v>
          </cell>
          <cell r="X119">
            <v>13</v>
          </cell>
          <cell r="Y119">
            <v>13</v>
          </cell>
          <cell r="Z119">
            <v>13</v>
          </cell>
          <cell r="AA119">
            <v>13</v>
          </cell>
          <cell r="AB119">
            <v>13</v>
          </cell>
          <cell r="AC119">
            <v>13</v>
          </cell>
          <cell r="AD119">
            <v>13</v>
          </cell>
          <cell r="AE119">
            <v>4</v>
          </cell>
          <cell r="AF119" t="str">
            <v>L</v>
          </cell>
          <cell r="AG119" t="str">
            <v>L</v>
          </cell>
          <cell r="AH119" t="str">
            <v>L</v>
          </cell>
          <cell r="AI119" t="str">
            <v>L</v>
          </cell>
          <cell r="AJ119" t="str">
            <v>L</v>
          </cell>
          <cell r="AK119" t="str">
            <v>L</v>
          </cell>
          <cell r="AL119" t="str">
            <v>L</v>
          </cell>
          <cell r="AM119" t="str">
            <v>L</v>
          </cell>
          <cell r="AN119" t="str">
            <v>L</v>
          </cell>
          <cell r="AO119" t="str">
            <v>x</v>
          </cell>
          <cell r="AP119">
            <v>21</v>
          </cell>
          <cell r="AQ119">
            <v>9</v>
          </cell>
          <cell r="AR119">
            <v>0</v>
          </cell>
          <cell r="AS119">
            <v>0</v>
          </cell>
          <cell r="AT119">
            <v>0</v>
          </cell>
          <cell r="AU119">
            <v>0</v>
          </cell>
          <cell r="AV119">
            <v>264</v>
          </cell>
          <cell r="AW119">
            <v>0</v>
          </cell>
          <cell r="AX119">
            <v>30</v>
          </cell>
          <cell r="AY119">
            <v>21</v>
          </cell>
          <cell r="AZ119">
            <v>30</v>
          </cell>
          <cell r="CF119">
            <v>108</v>
          </cell>
          <cell r="CH119">
            <v>4</v>
          </cell>
          <cell r="CN119" t="str">
            <v>Owed 98 hours overtime extra overtime from 2nd to 7th and 25th to 31st October'2008. Owed 4 days desert allowance, 10 hours overtime went driving cours on 7th to 8th and 10th September'2008.</v>
          </cell>
        </row>
        <row r="120">
          <cell r="B120">
            <v>328</v>
          </cell>
          <cell r="D120" t="str">
            <v>Khalid Yasir Twalib Al Nasseri</v>
          </cell>
          <cell r="E120" t="str">
            <v>Asst Junior Observer</v>
          </cell>
          <cell r="G120" t="str">
            <v>N/A</v>
          </cell>
          <cell r="H120">
            <v>38161</v>
          </cell>
          <cell r="I120" t="str">
            <v>C1</v>
          </cell>
          <cell r="J120" t="str">
            <v>Sh:3</v>
          </cell>
          <cell r="K120">
            <v>13</v>
          </cell>
          <cell r="L120">
            <v>13</v>
          </cell>
          <cell r="M120">
            <v>13</v>
          </cell>
          <cell r="N120">
            <v>13</v>
          </cell>
          <cell r="O120">
            <v>13</v>
          </cell>
          <cell r="P120">
            <v>13</v>
          </cell>
          <cell r="Q120">
            <v>4</v>
          </cell>
          <cell r="R120" t="str">
            <v>L</v>
          </cell>
          <cell r="S120" t="str">
            <v>L</v>
          </cell>
          <cell r="T120" t="str">
            <v>L</v>
          </cell>
          <cell r="U120" t="str">
            <v>L</v>
          </cell>
          <cell r="V120" t="str">
            <v>L</v>
          </cell>
          <cell r="W120" t="str">
            <v>L</v>
          </cell>
          <cell r="X120" t="str">
            <v>L</v>
          </cell>
          <cell r="Y120" t="str">
            <v>L</v>
          </cell>
          <cell r="Z120" t="str">
            <v>L</v>
          </cell>
          <cell r="AA120" t="str">
            <v>L</v>
          </cell>
          <cell r="AB120" t="str">
            <v>L</v>
          </cell>
          <cell r="AC120" t="str">
            <v>L</v>
          </cell>
          <cell r="AD120" t="str">
            <v>L</v>
          </cell>
          <cell r="AE120" t="str">
            <v>L</v>
          </cell>
          <cell r="AF120">
            <v>4</v>
          </cell>
          <cell r="AG120">
            <v>4</v>
          </cell>
          <cell r="AH120">
            <v>4</v>
          </cell>
          <cell r="AI120">
            <v>4</v>
          </cell>
          <cell r="AJ120">
            <v>12</v>
          </cell>
          <cell r="AK120">
            <v>12</v>
          </cell>
          <cell r="AL120">
            <v>4</v>
          </cell>
          <cell r="AM120">
            <v>4</v>
          </cell>
          <cell r="AN120">
            <v>4</v>
          </cell>
          <cell r="AO120" t="str">
            <v>x</v>
          </cell>
          <cell r="AP120">
            <v>16</v>
          </cell>
          <cell r="AQ120">
            <v>14</v>
          </cell>
          <cell r="AR120">
            <v>0</v>
          </cell>
          <cell r="AS120">
            <v>0</v>
          </cell>
          <cell r="AT120">
            <v>0</v>
          </cell>
          <cell r="AU120">
            <v>0</v>
          </cell>
          <cell r="AV120">
            <v>110</v>
          </cell>
          <cell r="AW120">
            <v>24</v>
          </cell>
          <cell r="AX120">
            <v>30</v>
          </cell>
          <cell r="AY120">
            <v>16</v>
          </cell>
          <cell r="AZ120">
            <v>30</v>
          </cell>
          <cell r="CF120">
            <v>112.5</v>
          </cell>
          <cell r="CN120" t="str">
            <v>Owed 112.5 hours overtime extra overtime from 13th and 17th to to 31st October'2008.</v>
          </cell>
        </row>
        <row r="121">
          <cell r="B121">
            <v>329</v>
          </cell>
          <cell r="D121" t="str">
            <v>Said Salim Amir Al Harasi</v>
          </cell>
          <cell r="E121" t="str">
            <v>Labour / Chain Crew</v>
          </cell>
          <cell r="G121" t="str">
            <v>N/A</v>
          </cell>
          <cell r="H121">
            <v>38161</v>
          </cell>
          <cell r="I121" t="str">
            <v>A</v>
          </cell>
          <cell r="J121" t="str">
            <v>Sh:3</v>
          </cell>
          <cell r="K121">
            <v>8</v>
          </cell>
          <cell r="L121">
            <v>8</v>
          </cell>
          <cell r="M121">
            <v>8</v>
          </cell>
          <cell r="N121">
            <v>2</v>
          </cell>
          <cell r="O121">
            <v>8</v>
          </cell>
          <cell r="P121">
            <v>8</v>
          </cell>
          <cell r="Q121">
            <v>2</v>
          </cell>
          <cell r="R121" t="str">
            <v>L</v>
          </cell>
          <cell r="S121" t="str">
            <v>L</v>
          </cell>
          <cell r="T121" t="str">
            <v>L</v>
          </cell>
          <cell r="U121" t="str">
            <v>L</v>
          </cell>
          <cell r="V121" t="str">
            <v>L</v>
          </cell>
          <cell r="W121" t="str">
            <v>L</v>
          </cell>
          <cell r="X121" t="str">
            <v>L</v>
          </cell>
          <cell r="Y121" t="str">
            <v>L</v>
          </cell>
          <cell r="Z121" t="str">
            <v>L</v>
          </cell>
          <cell r="AA121" t="str">
            <v>L</v>
          </cell>
          <cell r="AB121" t="str">
            <v>L</v>
          </cell>
          <cell r="AC121" t="str">
            <v>L</v>
          </cell>
          <cell r="AD121" t="str">
            <v>L</v>
          </cell>
          <cell r="AE121" t="str">
            <v>L</v>
          </cell>
          <cell r="AF121">
            <v>2</v>
          </cell>
          <cell r="AG121">
            <v>2</v>
          </cell>
          <cell r="AH121">
            <v>2</v>
          </cell>
          <cell r="AI121">
            <v>2</v>
          </cell>
          <cell r="AJ121">
            <v>10</v>
          </cell>
          <cell r="AK121">
            <v>10</v>
          </cell>
          <cell r="AL121">
            <v>2</v>
          </cell>
          <cell r="AM121">
            <v>2</v>
          </cell>
          <cell r="AN121">
            <v>2</v>
          </cell>
          <cell r="AO121" t="str">
            <v>x</v>
          </cell>
          <cell r="AP121">
            <v>16</v>
          </cell>
          <cell r="AQ121">
            <v>14</v>
          </cell>
          <cell r="AR121">
            <v>0</v>
          </cell>
          <cell r="AS121">
            <v>0</v>
          </cell>
          <cell r="AT121">
            <v>0</v>
          </cell>
          <cell r="AU121">
            <v>0</v>
          </cell>
          <cell r="AV121">
            <v>58</v>
          </cell>
          <cell r="AW121">
            <v>20</v>
          </cell>
          <cell r="AX121">
            <v>30</v>
          </cell>
          <cell r="AY121">
            <v>16</v>
          </cell>
          <cell r="AZ121">
            <v>30</v>
          </cell>
          <cell r="CF121">
            <v>60</v>
          </cell>
          <cell r="CG121">
            <v>60</v>
          </cell>
          <cell r="CH121">
            <v>6</v>
          </cell>
          <cell r="CM121">
            <v>123</v>
          </cell>
          <cell r="CN121" t="str">
            <v>Owed 60 hours overtime extra overtime from 16th and 18th to 31st October'2008. Owed 123 rials Eid bonus, 60 hours 200%, 6 days desert allowance for Eid Al Adhah'2008 from 8th to 13th December'2008.</v>
          </cell>
        </row>
        <row r="122">
          <cell r="B122">
            <v>331</v>
          </cell>
          <cell r="D122" t="str">
            <v>Zayid Abdullah Salim Al Attabi</v>
          </cell>
          <cell r="E122" t="str">
            <v>Labour / Chain Crew</v>
          </cell>
          <cell r="G122" t="str">
            <v>N/A</v>
          </cell>
          <cell r="H122">
            <v>38192</v>
          </cell>
          <cell r="I122" t="str">
            <v>A</v>
          </cell>
          <cell r="J122" t="str">
            <v>Sh:3</v>
          </cell>
          <cell r="K122">
            <v>2</v>
          </cell>
          <cell r="L122">
            <v>2</v>
          </cell>
          <cell r="M122">
            <v>2</v>
          </cell>
          <cell r="N122">
            <v>2</v>
          </cell>
          <cell r="O122">
            <v>2</v>
          </cell>
          <cell r="P122">
            <v>2</v>
          </cell>
          <cell r="Q122">
            <v>2</v>
          </cell>
          <cell r="R122" t="str">
            <v>L</v>
          </cell>
          <cell r="S122" t="str">
            <v>L</v>
          </cell>
          <cell r="T122" t="str">
            <v>L</v>
          </cell>
          <cell r="U122" t="str">
            <v>L</v>
          </cell>
          <cell r="V122" t="str">
            <v>L</v>
          </cell>
          <cell r="W122" t="str">
            <v>L</v>
          </cell>
          <cell r="X122" t="str">
            <v>L</v>
          </cell>
          <cell r="Y122" t="str">
            <v>L</v>
          </cell>
          <cell r="Z122" t="str">
            <v>L</v>
          </cell>
          <cell r="AA122" t="str">
            <v>L</v>
          </cell>
          <cell r="AB122" t="str">
            <v>L</v>
          </cell>
          <cell r="AC122" t="str">
            <v>L</v>
          </cell>
          <cell r="AD122" t="str">
            <v>L</v>
          </cell>
          <cell r="AE122" t="str">
            <v>L</v>
          </cell>
          <cell r="AF122">
            <v>2</v>
          </cell>
          <cell r="AG122">
            <v>2</v>
          </cell>
          <cell r="AH122">
            <v>2</v>
          </cell>
          <cell r="AI122">
            <v>2</v>
          </cell>
          <cell r="AJ122">
            <v>10</v>
          </cell>
          <cell r="AK122">
            <v>10</v>
          </cell>
          <cell r="AL122">
            <v>2</v>
          </cell>
          <cell r="AM122">
            <v>2</v>
          </cell>
          <cell r="AN122">
            <v>2</v>
          </cell>
          <cell r="AO122" t="str">
            <v>x</v>
          </cell>
          <cell r="AP122">
            <v>16</v>
          </cell>
          <cell r="AQ122">
            <v>14</v>
          </cell>
          <cell r="AR122">
            <v>0</v>
          </cell>
          <cell r="AS122">
            <v>0</v>
          </cell>
          <cell r="AT122">
            <v>0</v>
          </cell>
          <cell r="AU122">
            <v>0</v>
          </cell>
          <cell r="AV122">
            <v>28</v>
          </cell>
          <cell r="AW122">
            <v>20</v>
          </cell>
          <cell r="AX122">
            <v>30</v>
          </cell>
          <cell r="AY122">
            <v>16</v>
          </cell>
          <cell r="AZ122">
            <v>30</v>
          </cell>
        </row>
        <row r="123">
          <cell r="B123">
            <v>336</v>
          </cell>
          <cell r="D123" t="str">
            <v>Suliman Suliyam Al Dara'I</v>
          </cell>
          <cell r="E123" t="str">
            <v>Vibe Operator</v>
          </cell>
          <cell r="G123" t="str">
            <v>N/A</v>
          </cell>
          <cell r="H123">
            <v>38185</v>
          </cell>
          <cell r="I123" t="str">
            <v>E</v>
          </cell>
          <cell r="J123" t="str">
            <v>Sh:3</v>
          </cell>
          <cell r="K123">
            <v>8</v>
          </cell>
          <cell r="L123">
            <v>8</v>
          </cell>
          <cell r="M123">
            <v>8</v>
          </cell>
          <cell r="N123">
            <v>8</v>
          </cell>
          <cell r="O123">
            <v>8</v>
          </cell>
          <cell r="P123">
            <v>8</v>
          </cell>
          <cell r="Q123">
            <v>8</v>
          </cell>
          <cell r="R123" t="str">
            <v>L</v>
          </cell>
          <cell r="S123" t="str">
            <v>L</v>
          </cell>
          <cell r="T123" t="str">
            <v>L</v>
          </cell>
          <cell r="U123" t="str">
            <v>L</v>
          </cell>
          <cell r="V123" t="str">
            <v>L</v>
          </cell>
          <cell r="W123" t="str">
            <v>L</v>
          </cell>
          <cell r="X123" t="str">
            <v>L</v>
          </cell>
          <cell r="Y123" t="str">
            <v>L</v>
          </cell>
          <cell r="Z123" t="str">
            <v>L</v>
          </cell>
          <cell r="AA123" t="str">
            <v>L</v>
          </cell>
          <cell r="AB123" t="str">
            <v>L</v>
          </cell>
          <cell r="AC123" t="str">
            <v>L</v>
          </cell>
          <cell r="AD123" t="str">
            <v>L</v>
          </cell>
          <cell r="AE123" t="str">
            <v>L</v>
          </cell>
          <cell r="AF123">
            <v>9</v>
          </cell>
          <cell r="AG123">
            <v>9</v>
          </cell>
          <cell r="AH123">
            <v>9</v>
          </cell>
          <cell r="AI123">
            <v>9</v>
          </cell>
          <cell r="AJ123">
            <v>17</v>
          </cell>
          <cell r="AK123">
            <v>17</v>
          </cell>
          <cell r="AL123">
            <v>9</v>
          </cell>
          <cell r="AM123">
            <v>9</v>
          </cell>
          <cell r="AN123">
            <v>9</v>
          </cell>
          <cell r="AO123" t="str">
            <v>x</v>
          </cell>
          <cell r="AP123">
            <v>16</v>
          </cell>
          <cell r="AQ123">
            <v>14</v>
          </cell>
          <cell r="AR123">
            <v>0</v>
          </cell>
          <cell r="AS123">
            <v>0</v>
          </cell>
          <cell r="AT123">
            <v>0</v>
          </cell>
          <cell r="AU123">
            <v>0</v>
          </cell>
          <cell r="AV123">
            <v>119</v>
          </cell>
          <cell r="AW123">
            <v>34</v>
          </cell>
          <cell r="AX123">
            <v>30</v>
          </cell>
          <cell r="AY123">
            <v>16</v>
          </cell>
          <cell r="AZ123">
            <v>30</v>
          </cell>
        </row>
        <row r="124">
          <cell r="B124">
            <v>338</v>
          </cell>
          <cell r="D124" t="str">
            <v>Ahmed Saif Muhana Al Hashimy</v>
          </cell>
          <cell r="E124" t="str">
            <v>Asst Mech Auto Electrical ' Workshop '</v>
          </cell>
          <cell r="G124" t="str">
            <v>N/A</v>
          </cell>
          <cell r="H124">
            <v>38196</v>
          </cell>
          <cell r="I124" t="str">
            <v>A</v>
          </cell>
          <cell r="J124" t="str">
            <v>Sh:3</v>
          </cell>
          <cell r="K124">
            <v>2</v>
          </cell>
          <cell r="L124">
            <v>2</v>
          </cell>
          <cell r="M124">
            <v>2</v>
          </cell>
          <cell r="N124">
            <v>2</v>
          </cell>
          <cell r="O124">
            <v>2</v>
          </cell>
          <cell r="P124">
            <v>2</v>
          </cell>
          <cell r="Q124">
            <v>2</v>
          </cell>
          <cell r="R124" t="str">
            <v>L</v>
          </cell>
          <cell r="S124" t="str">
            <v>L</v>
          </cell>
          <cell r="T124" t="str">
            <v>L</v>
          </cell>
          <cell r="U124" t="str">
            <v>L</v>
          </cell>
          <cell r="V124" t="str">
            <v>L</v>
          </cell>
          <cell r="W124" t="str">
            <v>L</v>
          </cell>
          <cell r="X124" t="str">
            <v>L</v>
          </cell>
          <cell r="Y124" t="str">
            <v>L</v>
          </cell>
          <cell r="Z124" t="str">
            <v>L</v>
          </cell>
          <cell r="AA124" t="str">
            <v>L</v>
          </cell>
          <cell r="AB124" t="str">
            <v>L</v>
          </cell>
          <cell r="AC124" t="str">
            <v>L</v>
          </cell>
          <cell r="AD124" t="str">
            <v>L</v>
          </cell>
          <cell r="AE124" t="str">
            <v>L</v>
          </cell>
          <cell r="AF124">
            <v>2</v>
          </cell>
          <cell r="AG124">
            <v>2</v>
          </cell>
          <cell r="AH124">
            <v>2</v>
          </cell>
          <cell r="AI124">
            <v>2</v>
          </cell>
          <cell r="AJ124">
            <v>10</v>
          </cell>
          <cell r="AK124">
            <v>10</v>
          </cell>
          <cell r="AL124">
            <v>2</v>
          </cell>
          <cell r="AM124">
            <v>2</v>
          </cell>
          <cell r="AN124">
            <v>2</v>
          </cell>
          <cell r="AO124" t="str">
            <v>x</v>
          </cell>
          <cell r="AP124">
            <v>16</v>
          </cell>
          <cell r="AQ124">
            <v>14</v>
          </cell>
          <cell r="AR124">
            <v>0</v>
          </cell>
          <cell r="AS124">
            <v>0</v>
          </cell>
          <cell r="AT124">
            <v>0</v>
          </cell>
          <cell r="AU124">
            <v>0</v>
          </cell>
          <cell r="AV124">
            <v>28</v>
          </cell>
          <cell r="AW124">
            <v>20</v>
          </cell>
          <cell r="AX124">
            <v>30</v>
          </cell>
          <cell r="AY124">
            <v>16</v>
          </cell>
          <cell r="AZ124">
            <v>30</v>
          </cell>
          <cell r="CF124">
            <v>125</v>
          </cell>
          <cell r="CG124">
            <v>60</v>
          </cell>
          <cell r="CH124">
            <v>6</v>
          </cell>
          <cell r="CM124">
            <v>123</v>
          </cell>
          <cell r="CN124" t="str">
            <v>Owed 125 hours overtime extra overtime from 2nd to 4th and 11th to 31st October'2008. Owed 123 rials Eid bonus, 60 hours 200%, 6 days desert allowance for Eid Al Adhah'2008 from 8th to 13th December'2008.</v>
          </cell>
        </row>
        <row r="125">
          <cell r="B125">
            <v>339</v>
          </cell>
          <cell r="D125" t="str">
            <v>Soud Salim Ali Al Abri</v>
          </cell>
          <cell r="E125" t="str">
            <v>Asst Mech Auto AC Mech ' Workshop '</v>
          </cell>
          <cell r="G125" t="str">
            <v>N/A</v>
          </cell>
          <cell r="H125">
            <v>38196</v>
          </cell>
          <cell r="I125" t="str">
            <v>A</v>
          </cell>
          <cell r="J125" t="str">
            <v>Sh:1</v>
          </cell>
          <cell r="K125">
            <v>0</v>
          </cell>
          <cell r="L125" t="str">
            <v>A</v>
          </cell>
          <cell r="M125">
            <v>2</v>
          </cell>
          <cell r="N125">
            <v>2</v>
          </cell>
          <cell r="O125">
            <v>2</v>
          </cell>
          <cell r="P125">
            <v>2</v>
          </cell>
          <cell r="Q125">
            <v>2</v>
          </cell>
          <cell r="R125">
            <v>2</v>
          </cell>
          <cell r="S125">
            <v>2</v>
          </cell>
          <cell r="T125">
            <v>2</v>
          </cell>
          <cell r="U125">
            <v>2</v>
          </cell>
          <cell r="V125">
            <v>2</v>
          </cell>
          <cell r="W125">
            <v>2</v>
          </cell>
          <cell r="X125">
            <v>2</v>
          </cell>
          <cell r="Y125">
            <v>2</v>
          </cell>
          <cell r="Z125">
            <v>2</v>
          </cell>
          <cell r="AA125">
            <v>2</v>
          </cell>
          <cell r="AB125">
            <v>2</v>
          </cell>
          <cell r="AC125">
            <v>2</v>
          </cell>
          <cell r="AD125">
            <v>2</v>
          </cell>
          <cell r="AE125">
            <v>2</v>
          </cell>
          <cell r="AF125" t="str">
            <v>L</v>
          </cell>
          <cell r="AG125" t="str">
            <v>L</v>
          </cell>
          <cell r="AH125" t="str">
            <v>L</v>
          </cell>
          <cell r="AI125" t="str">
            <v>L</v>
          </cell>
          <cell r="AJ125" t="str">
            <v>L</v>
          </cell>
          <cell r="AK125" t="str">
            <v>L</v>
          </cell>
          <cell r="AL125" t="str">
            <v>L</v>
          </cell>
          <cell r="AM125" t="str">
            <v>L</v>
          </cell>
          <cell r="AN125" t="str">
            <v>L</v>
          </cell>
          <cell r="AO125" t="str">
            <v>x</v>
          </cell>
          <cell r="AP125">
            <v>20</v>
          </cell>
          <cell r="AQ125">
            <v>9</v>
          </cell>
          <cell r="AR125">
            <v>0</v>
          </cell>
          <cell r="AS125">
            <v>0</v>
          </cell>
          <cell r="AT125">
            <v>1</v>
          </cell>
          <cell r="AU125">
            <v>0</v>
          </cell>
          <cell r="AV125">
            <v>38</v>
          </cell>
          <cell r="AW125">
            <v>0</v>
          </cell>
          <cell r="AX125">
            <v>29</v>
          </cell>
          <cell r="AY125">
            <v>20</v>
          </cell>
          <cell r="AZ125">
            <v>29</v>
          </cell>
          <cell r="CF125">
            <v>54</v>
          </cell>
          <cell r="CN125" t="str">
            <v>Owed 54 hours overtime extra overtime from 5th to 7th and 25th to 31st October'2008.</v>
          </cell>
        </row>
        <row r="126">
          <cell r="B126">
            <v>348</v>
          </cell>
          <cell r="D126" t="str">
            <v>Ali Saleh Hamood Al Ami</v>
          </cell>
          <cell r="E126" t="str">
            <v>GPS Operator</v>
          </cell>
          <cell r="G126" t="str">
            <v>N/A</v>
          </cell>
          <cell r="H126">
            <v>38334</v>
          </cell>
          <cell r="I126" t="str">
            <v>C</v>
          </cell>
          <cell r="J126" t="str">
            <v>Sh:1</v>
          </cell>
          <cell r="K126">
            <v>2</v>
          </cell>
          <cell r="L126" t="str">
            <v>L</v>
          </cell>
          <cell r="M126" t="str">
            <v>L</v>
          </cell>
          <cell r="N126">
            <v>2</v>
          </cell>
          <cell r="O126">
            <v>2</v>
          </cell>
          <cell r="P126">
            <v>2</v>
          </cell>
          <cell r="Q126">
            <v>2</v>
          </cell>
          <cell r="R126">
            <v>2</v>
          </cell>
          <cell r="S126">
            <v>2</v>
          </cell>
          <cell r="T126" t="str">
            <v>L</v>
          </cell>
          <cell r="U126">
            <v>2</v>
          </cell>
          <cell r="V126">
            <v>2</v>
          </cell>
          <cell r="W126">
            <v>2</v>
          </cell>
          <cell r="X126">
            <v>2</v>
          </cell>
          <cell r="Y126">
            <v>2.5</v>
          </cell>
          <cell r="Z126">
            <v>2.5</v>
          </cell>
          <cell r="AA126">
            <v>2.5</v>
          </cell>
          <cell r="AB126">
            <v>2.5</v>
          </cell>
          <cell r="AC126">
            <v>2.5</v>
          </cell>
          <cell r="AD126">
            <v>2.5</v>
          </cell>
          <cell r="AE126">
            <v>2.5</v>
          </cell>
          <cell r="AF126" t="str">
            <v>L</v>
          </cell>
          <cell r="AG126" t="str">
            <v>L</v>
          </cell>
          <cell r="AH126" t="str">
            <v>L</v>
          </cell>
          <cell r="AI126" t="str">
            <v>L</v>
          </cell>
          <cell r="AJ126" t="str">
            <v>L</v>
          </cell>
          <cell r="AK126" t="str">
            <v>L</v>
          </cell>
          <cell r="AL126" t="str">
            <v>L</v>
          </cell>
          <cell r="AM126" t="str">
            <v>L</v>
          </cell>
          <cell r="AN126" t="str">
            <v>L</v>
          </cell>
          <cell r="AO126" t="str">
            <v>x</v>
          </cell>
          <cell r="AP126">
            <v>18</v>
          </cell>
          <cell r="AQ126">
            <v>12</v>
          </cell>
          <cell r="AR126">
            <v>0</v>
          </cell>
          <cell r="AS126">
            <v>0</v>
          </cell>
          <cell r="AT126">
            <v>0</v>
          </cell>
          <cell r="AU126">
            <v>0</v>
          </cell>
          <cell r="AV126">
            <v>39.5</v>
          </cell>
          <cell r="AW126">
            <v>0</v>
          </cell>
          <cell r="AX126">
            <v>30</v>
          </cell>
          <cell r="AY126">
            <v>18</v>
          </cell>
          <cell r="AZ126">
            <v>30</v>
          </cell>
          <cell r="CF126">
            <v>31</v>
          </cell>
          <cell r="CG126">
            <v>63</v>
          </cell>
          <cell r="CH126">
            <v>6</v>
          </cell>
          <cell r="CM126">
            <v>123</v>
          </cell>
          <cell r="CN126" t="str">
            <v>Owed 31 hours overtime extra overtime from 26th to 27th October'2008. Owed 123 rials Eid bonus, 63 hours 200%, 6 days desert allowance for Eid Al Adhah'2008 from 8th to 13th December'2008.</v>
          </cell>
        </row>
        <row r="127">
          <cell r="B127">
            <v>354</v>
          </cell>
          <cell r="D127" t="str">
            <v>Suleiman Humaid Zaher Al Maadi</v>
          </cell>
          <cell r="E127" t="str">
            <v>Labour / Driver</v>
          </cell>
          <cell r="G127" t="str">
            <v>N/A</v>
          </cell>
          <cell r="H127">
            <v>38687</v>
          </cell>
          <cell r="I127" t="str">
            <v>A</v>
          </cell>
          <cell r="J127" t="str">
            <v>Sh:1</v>
          </cell>
          <cell r="K127">
            <v>2.5</v>
          </cell>
          <cell r="L127">
            <v>6.5</v>
          </cell>
          <cell r="M127">
            <v>6.5</v>
          </cell>
          <cell r="N127">
            <v>6.5</v>
          </cell>
          <cell r="O127">
            <v>6.5</v>
          </cell>
          <cell r="P127">
            <v>6.5</v>
          </cell>
          <cell r="Q127">
            <v>6.5</v>
          </cell>
          <cell r="R127">
            <v>6.5</v>
          </cell>
          <cell r="S127">
            <v>6.5</v>
          </cell>
          <cell r="T127">
            <v>6.5</v>
          </cell>
          <cell r="U127">
            <v>6.5</v>
          </cell>
          <cell r="V127">
            <v>6.5</v>
          </cell>
          <cell r="W127">
            <v>6.5</v>
          </cell>
          <cell r="X127">
            <v>6.5</v>
          </cell>
          <cell r="Y127">
            <v>6.5</v>
          </cell>
          <cell r="Z127">
            <v>2.5</v>
          </cell>
          <cell r="AA127">
            <v>2.5</v>
          </cell>
          <cell r="AB127">
            <v>2.5</v>
          </cell>
          <cell r="AC127">
            <v>2.5</v>
          </cell>
          <cell r="AD127">
            <v>2.5</v>
          </cell>
          <cell r="AE127">
            <v>2.5</v>
          </cell>
          <cell r="AF127" t="str">
            <v>L</v>
          </cell>
          <cell r="AG127" t="str">
            <v>L</v>
          </cell>
          <cell r="AH127" t="str">
            <v>L</v>
          </cell>
          <cell r="AI127" t="str">
            <v>L</v>
          </cell>
          <cell r="AJ127" t="str">
            <v>L</v>
          </cell>
          <cell r="AK127" t="str">
            <v>L</v>
          </cell>
          <cell r="AL127" t="str">
            <v>L</v>
          </cell>
          <cell r="AM127" t="str">
            <v>L</v>
          </cell>
          <cell r="AN127" t="str">
            <v>L</v>
          </cell>
          <cell r="AO127" t="str">
            <v>x</v>
          </cell>
          <cell r="AP127">
            <v>21</v>
          </cell>
          <cell r="AQ127">
            <v>9</v>
          </cell>
          <cell r="AR127">
            <v>0</v>
          </cell>
          <cell r="AS127">
            <v>0</v>
          </cell>
          <cell r="AT127">
            <v>0</v>
          </cell>
          <cell r="AU127">
            <v>0</v>
          </cell>
          <cell r="AV127">
            <v>108.5</v>
          </cell>
          <cell r="AW127">
            <v>0</v>
          </cell>
          <cell r="AX127">
            <v>30</v>
          </cell>
          <cell r="AY127">
            <v>21</v>
          </cell>
          <cell r="AZ127">
            <v>30</v>
          </cell>
          <cell r="CF127">
            <v>-2.5</v>
          </cell>
          <cell r="CG127">
            <v>63</v>
          </cell>
          <cell r="CH127">
            <v>6</v>
          </cell>
          <cell r="CM127">
            <v>123</v>
          </cell>
          <cell r="CN127" t="str">
            <v>Deducted 2.5 hours overtime on 28th October'2008 leaft crew. Owed 123 rials Eid bonus, 63 hours 200%, 6 days desert allowance for Eid Al Adhah'2008 from 8th to 13th December'2008.</v>
          </cell>
        </row>
        <row r="128">
          <cell r="B128">
            <v>355</v>
          </cell>
          <cell r="D128" t="str">
            <v>Abdullah Khamis Salim Al Harrasi</v>
          </cell>
          <cell r="E128" t="str">
            <v>Labour / Chain Crew</v>
          </cell>
          <cell r="G128" t="str">
            <v>N/A</v>
          </cell>
          <cell r="H128">
            <v>38687</v>
          </cell>
          <cell r="I128" t="str">
            <v>A</v>
          </cell>
          <cell r="J128" t="str">
            <v>Sh:1</v>
          </cell>
          <cell r="K128">
            <v>7.5</v>
          </cell>
          <cell r="L128">
            <v>2</v>
          </cell>
          <cell r="M128">
            <v>7</v>
          </cell>
          <cell r="N128">
            <v>2</v>
          </cell>
          <cell r="O128">
            <v>8</v>
          </cell>
          <cell r="P128">
            <v>8</v>
          </cell>
          <cell r="Q128">
            <v>2</v>
          </cell>
          <cell r="R128">
            <v>2</v>
          </cell>
          <cell r="S128">
            <v>8</v>
          </cell>
          <cell r="T128">
            <v>2</v>
          </cell>
          <cell r="U128">
            <v>8</v>
          </cell>
          <cell r="V128">
            <v>2</v>
          </cell>
          <cell r="W128">
            <v>8</v>
          </cell>
          <cell r="X128">
            <v>8</v>
          </cell>
          <cell r="Y128">
            <v>2</v>
          </cell>
          <cell r="Z128">
            <v>2</v>
          </cell>
          <cell r="AA128">
            <v>2</v>
          </cell>
          <cell r="AB128">
            <v>2</v>
          </cell>
          <cell r="AC128">
            <v>2</v>
          </cell>
          <cell r="AD128" t="str">
            <v>A</v>
          </cell>
          <cell r="AE128" t="str">
            <v>A</v>
          </cell>
          <cell r="AF128" t="str">
            <v>L</v>
          </cell>
          <cell r="AG128" t="str">
            <v>L</v>
          </cell>
          <cell r="AH128" t="str">
            <v>L</v>
          </cell>
          <cell r="AI128" t="str">
            <v>L</v>
          </cell>
          <cell r="AJ128" t="str">
            <v>L</v>
          </cell>
          <cell r="AK128" t="str">
            <v>L</v>
          </cell>
          <cell r="AL128" t="str">
            <v>L</v>
          </cell>
          <cell r="AM128" t="str">
            <v>L</v>
          </cell>
          <cell r="AN128" t="str">
            <v>L</v>
          </cell>
          <cell r="AO128" t="str">
            <v>x</v>
          </cell>
          <cell r="AP128">
            <v>19</v>
          </cell>
          <cell r="AQ128">
            <v>9</v>
          </cell>
          <cell r="AR128">
            <v>0</v>
          </cell>
          <cell r="AS128">
            <v>0</v>
          </cell>
          <cell r="AT128">
            <v>2</v>
          </cell>
          <cell r="AU128">
            <v>0</v>
          </cell>
          <cell r="AV128">
            <v>84.5</v>
          </cell>
          <cell r="AW128">
            <v>0</v>
          </cell>
          <cell r="AX128">
            <v>28</v>
          </cell>
          <cell r="AY128">
            <v>19</v>
          </cell>
          <cell r="AZ128">
            <v>28</v>
          </cell>
          <cell r="CG128">
            <v>60</v>
          </cell>
          <cell r="CH128">
            <v>6</v>
          </cell>
          <cell r="CM128">
            <v>123</v>
          </cell>
          <cell r="CN128" t="str">
            <v>Owed 123 rials Eid bonus, 63 hours 200%, 6 days desert allowance for Eid Al Adhah'2008 from 8th to 13th December'2008.</v>
          </cell>
        </row>
        <row r="129">
          <cell r="B129">
            <v>356</v>
          </cell>
          <cell r="D129" t="str">
            <v>Adil Khalfan Salim Al Rijbi</v>
          </cell>
          <cell r="E129" t="str">
            <v>Labour</v>
          </cell>
          <cell r="G129" t="str">
            <v>N/A</v>
          </cell>
          <cell r="H129">
            <v>38687</v>
          </cell>
          <cell r="I129" t="str">
            <v>A</v>
          </cell>
          <cell r="J129" t="str">
            <v>Sh:3</v>
          </cell>
          <cell r="K129">
            <v>6</v>
          </cell>
          <cell r="L129">
            <v>6</v>
          </cell>
          <cell r="M129">
            <v>6</v>
          </cell>
          <cell r="N129">
            <v>6</v>
          </cell>
          <cell r="O129">
            <v>6</v>
          </cell>
          <cell r="P129">
            <v>6</v>
          </cell>
          <cell r="Q129">
            <v>2</v>
          </cell>
          <cell r="R129" t="str">
            <v>L</v>
          </cell>
          <cell r="S129" t="str">
            <v>L</v>
          </cell>
          <cell r="T129" t="str">
            <v>L</v>
          </cell>
          <cell r="U129" t="str">
            <v>L</v>
          </cell>
          <cell r="V129" t="str">
            <v>L</v>
          </cell>
          <cell r="W129" t="str">
            <v>L</v>
          </cell>
          <cell r="X129" t="str">
            <v>L</v>
          </cell>
          <cell r="Y129" t="str">
            <v>L</v>
          </cell>
          <cell r="Z129" t="str">
            <v>L</v>
          </cell>
          <cell r="AA129" t="str">
            <v>L</v>
          </cell>
          <cell r="AB129" t="str">
            <v>L</v>
          </cell>
          <cell r="AC129" t="str">
            <v>L</v>
          </cell>
          <cell r="AD129" t="str">
            <v>L</v>
          </cell>
          <cell r="AE129" t="str">
            <v>L</v>
          </cell>
          <cell r="AF129">
            <v>2</v>
          </cell>
          <cell r="AG129">
            <v>2</v>
          </cell>
          <cell r="AH129">
            <v>2</v>
          </cell>
          <cell r="AI129">
            <v>2</v>
          </cell>
          <cell r="AJ129">
            <v>10</v>
          </cell>
          <cell r="AK129">
            <v>10</v>
          </cell>
          <cell r="AL129">
            <v>2</v>
          </cell>
          <cell r="AM129">
            <v>2</v>
          </cell>
          <cell r="AN129">
            <v>2</v>
          </cell>
          <cell r="AO129" t="str">
            <v>x</v>
          </cell>
          <cell r="AP129">
            <v>16</v>
          </cell>
          <cell r="AQ129">
            <v>14</v>
          </cell>
          <cell r="AR129">
            <v>0</v>
          </cell>
          <cell r="AS129">
            <v>0</v>
          </cell>
          <cell r="AT129">
            <v>0</v>
          </cell>
          <cell r="AU129">
            <v>0</v>
          </cell>
          <cell r="AV129">
            <v>52</v>
          </cell>
          <cell r="AW129">
            <v>20</v>
          </cell>
          <cell r="AX129">
            <v>30</v>
          </cell>
          <cell r="AY129">
            <v>16</v>
          </cell>
          <cell r="AZ129">
            <v>30</v>
          </cell>
          <cell r="CF129">
            <v>60</v>
          </cell>
          <cell r="CG129">
            <v>60</v>
          </cell>
          <cell r="CH129">
            <v>6</v>
          </cell>
          <cell r="CM129">
            <v>123</v>
          </cell>
          <cell r="CN129" t="str">
            <v>Owed 60 hours overtime extra overtime from 16th to 23rd and 25th to 31st October'2008. Owed 123 rials Eid bonus, 60 hours 200%, 6 days desert allowance for Eid Al Adhah'2008 from 8th to 13th December'2008.</v>
          </cell>
        </row>
        <row r="130">
          <cell r="B130">
            <v>359</v>
          </cell>
          <cell r="D130" t="str">
            <v>Hamed Ali Saif Al Hina'I</v>
          </cell>
          <cell r="E130" t="str">
            <v>Labour / Asst Junior Observer</v>
          </cell>
          <cell r="G130" t="str">
            <v>N/A</v>
          </cell>
          <cell r="H130">
            <v>38687</v>
          </cell>
          <cell r="I130" t="str">
            <v>C1</v>
          </cell>
          <cell r="J130" t="str">
            <v>Sh:1</v>
          </cell>
          <cell r="K130">
            <v>13</v>
          </cell>
          <cell r="L130">
            <v>13</v>
          </cell>
          <cell r="M130">
            <v>13</v>
          </cell>
          <cell r="N130">
            <v>13</v>
          </cell>
          <cell r="O130">
            <v>13</v>
          </cell>
          <cell r="P130">
            <v>13</v>
          </cell>
          <cell r="Q130">
            <v>13</v>
          </cell>
          <cell r="R130">
            <v>13</v>
          </cell>
          <cell r="S130">
            <v>13</v>
          </cell>
          <cell r="T130">
            <v>13</v>
          </cell>
          <cell r="U130">
            <v>13</v>
          </cell>
          <cell r="V130">
            <v>13</v>
          </cell>
          <cell r="W130">
            <v>13</v>
          </cell>
          <cell r="X130">
            <v>13</v>
          </cell>
          <cell r="Y130">
            <v>13</v>
          </cell>
          <cell r="Z130">
            <v>4</v>
          </cell>
          <cell r="AA130">
            <v>4</v>
          </cell>
          <cell r="AB130">
            <v>4</v>
          </cell>
          <cell r="AC130">
            <v>4</v>
          </cell>
          <cell r="AD130">
            <v>4</v>
          </cell>
          <cell r="AE130">
            <v>4</v>
          </cell>
          <cell r="AF130" t="str">
            <v>L</v>
          </cell>
          <cell r="AG130" t="str">
            <v>L</v>
          </cell>
          <cell r="AH130" t="str">
            <v>L</v>
          </cell>
          <cell r="AI130" t="str">
            <v>L</v>
          </cell>
          <cell r="AJ130" t="str">
            <v>L</v>
          </cell>
          <cell r="AK130" t="str">
            <v>L</v>
          </cell>
          <cell r="AL130" t="str">
            <v>L</v>
          </cell>
          <cell r="AM130" t="str">
            <v>L</v>
          </cell>
          <cell r="AN130" t="str">
            <v>L</v>
          </cell>
          <cell r="AO130" t="str">
            <v>x</v>
          </cell>
          <cell r="AP130">
            <v>21</v>
          </cell>
          <cell r="AQ130">
            <v>9</v>
          </cell>
          <cell r="AR130">
            <v>0</v>
          </cell>
          <cell r="AS130">
            <v>0</v>
          </cell>
          <cell r="AT130">
            <v>0</v>
          </cell>
          <cell r="AU130">
            <v>0</v>
          </cell>
          <cell r="AV130">
            <v>219</v>
          </cell>
          <cell r="AW130">
            <v>0</v>
          </cell>
          <cell r="AX130">
            <v>30</v>
          </cell>
          <cell r="AY130">
            <v>21</v>
          </cell>
          <cell r="AZ130">
            <v>30</v>
          </cell>
          <cell r="CF130">
            <v>56</v>
          </cell>
          <cell r="CN130" t="str">
            <v>Owed 56 hours overtime extra overtime from 25th to 31st October'2008.</v>
          </cell>
        </row>
        <row r="131">
          <cell r="B131">
            <v>360</v>
          </cell>
          <cell r="D131" t="str">
            <v>Hani Salim Abdullah Al Sharouqi</v>
          </cell>
          <cell r="E131" t="str">
            <v>Labour</v>
          </cell>
          <cell r="G131" t="str">
            <v>N/A</v>
          </cell>
          <cell r="H131">
            <v>38687</v>
          </cell>
          <cell r="I131" t="str">
            <v>A</v>
          </cell>
          <cell r="J131" t="str">
            <v>Sh:2</v>
          </cell>
          <cell r="K131" t="str">
            <v>L</v>
          </cell>
          <cell r="L131" t="str">
            <v>L</v>
          </cell>
          <cell r="M131" t="str">
            <v>L</v>
          </cell>
          <cell r="N131" t="str">
            <v>L</v>
          </cell>
          <cell r="O131" t="str">
            <v>L</v>
          </cell>
          <cell r="P131" t="str">
            <v>L</v>
          </cell>
          <cell r="Q131" t="str">
            <v>L</v>
          </cell>
          <cell r="R131">
            <v>2</v>
          </cell>
          <cell r="S131">
            <v>2</v>
          </cell>
          <cell r="T131">
            <v>2</v>
          </cell>
          <cell r="U131">
            <v>2</v>
          </cell>
          <cell r="V131">
            <v>2</v>
          </cell>
          <cell r="W131">
            <v>2</v>
          </cell>
          <cell r="X131">
            <v>2</v>
          </cell>
          <cell r="Y131">
            <v>2</v>
          </cell>
          <cell r="Z131">
            <v>2</v>
          </cell>
          <cell r="AA131">
            <v>2</v>
          </cell>
          <cell r="AB131">
            <v>2</v>
          </cell>
          <cell r="AC131">
            <v>2</v>
          </cell>
          <cell r="AD131">
            <v>2</v>
          </cell>
          <cell r="AE131">
            <v>2</v>
          </cell>
          <cell r="AF131">
            <v>2</v>
          </cell>
          <cell r="AG131">
            <v>2</v>
          </cell>
          <cell r="AH131">
            <v>2</v>
          </cell>
          <cell r="AI131">
            <v>2</v>
          </cell>
          <cell r="AJ131">
            <v>10</v>
          </cell>
          <cell r="AK131">
            <v>10</v>
          </cell>
          <cell r="AL131">
            <v>2</v>
          </cell>
          <cell r="AM131">
            <v>2</v>
          </cell>
          <cell r="AN131">
            <v>2</v>
          </cell>
          <cell r="AO131" t="str">
            <v>x</v>
          </cell>
          <cell r="AP131">
            <v>23</v>
          </cell>
          <cell r="AQ131">
            <v>7</v>
          </cell>
          <cell r="AR131">
            <v>0</v>
          </cell>
          <cell r="AS131">
            <v>0</v>
          </cell>
          <cell r="AT131">
            <v>0</v>
          </cell>
          <cell r="AU131">
            <v>0</v>
          </cell>
          <cell r="AV131">
            <v>42</v>
          </cell>
          <cell r="AW131">
            <v>20</v>
          </cell>
          <cell r="AX131">
            <v>30</v>
          </cell>
          <cell r="AY131">
            <v>23</v>
          </cell>
          <cell r="AZ131">
            <v>30</v>
          </cell>
          <cell r="CG131">
            <v>60</v>
          </cell>
          <cell r="CH131">
            <v>6</v>
          </cell>
          <cell r="CM131">
            <v>123</v>
          </cell>
          <cell r="CN131" t="str">
            <v>Owed 123 rials Eid bonus, 60 hours 200%, 6 days desert allowance for Eid Al Adhah'2008 from 8th to 13th December'2008.</v>
          </cell>
        </row>
        <row r="132">
          <cell r="B132">
            <v>361</v>
          </cell>
          <cell r="D132" t="str">
            <v>Hassan Mohammed Johar Al Ghafri</v>
          </cell>
          <cell r="E132" t="str">
            <v>Labour</v>
          </cell>
          <cell r="G132" t="str">
            <v>N/A</v>
          </cell>
          <cell r="H132">
            <v>38687</v>
          </cell>
          <cell r="I132" t="str">
            <v>A</v>
          </cell>
          <cell r="J132" t="str">
            <v>Sh:2</v>
          </cell>
          <cell r="K132" t="str">
            <v>L</v>
          </cell>
          <cell r="L132" t="str">
            <v>L</v>
          </cell>
          <cell r="M132" t="str">
            <v>L</v>
          </cell>
          <cell r="N132" t="str">
            <v>L</v>
          </cell>
          <cell r="O132" t="str">
            <v>L</v>
          </cell>
          <cell r="P132" t="str">
            <v>L</v>
          </cell>
          <cell r="Q132" t="str">
            <v>L</v>
          </cell>
          <cell r="R132">
            <v>2</v>
          </cell>
          <cell r="S132">
            <v>2</v>
          </cell>
          <cell r="T132">
            <v>6</v>
          </cell>
          <cell r="U132">
            <v>6</v>
          </cell>
          <cell r="V132">
            <v>6</v>
          </cell>
          <cell r="W132">
            <v>2</v>
          </cell>
          <cell r="X132">
            <v>2</v>
          </cell>
          <cell r="Y132">
            <v>6</v>
          </cell>
          <cell r="Z132">
            <v>2</v>
          </cell>
          <cell r="AA132">
            <v>2</v>
          </cell>
          <cell r="AB132">
            <v>2</v>
          </cell>
          <cell r="AC132">
            <v>2</v>
          </cell>
          <cell r="AD132">
            <v>2</v>
          </cell>
          <cell r="AE132">
            <v>2</v>
          </cell>
          <cell r="AF132">
            <v>2</v>
          </cell>
          <cell r="AG132">
            <v>2</v>
          </cell>
          <cell r="AH132">
            <v>2</v>
          </cell>
          <cell r="AI132">
            <v>2</v>
          </cell>
          <cell r="AJ132">
            <v>10</v>
          </cell>
          <cell r="AK132">
            <v>10</v>
          </cell>
          <cell r="AL132">
            <v>2</v>
          </cell>
          <cell r="AM132">
            <v>2</v>
          </cell>
          <cell r="AN132">
            <v>2</v>
          </cell>
          <cell r="AO132" t="str">
            <v>x</v>
          </cell>
          <cell r="AP132">
            <v>23</v>
          </cell>
          <cell r="AQ132">
            <v>7</v>
          </cell>
          <cell r="AR132">
            <v>0</v>
          </cell>
          <cell r="AS132">
            <v>0</v>
          </cell>
          <cell r="AT132">
            <v>0</v>
          </cell>
          <cell r="AU132">
            <v>0</v>
          </cell>
          <cell r="AV132">
            <v>58</v>
          </cell>
          <cell r="AW132">
            <v>20</v>
          </cell>
          <cell r="AX132">
            <v>30</v>
          </cell>
          <cell r="AY132">
            <v>23</v>
          </cell>
          <cell r="AZ132">
            <v>30</v>
          </cell>
        </row>
        <row r="133">
          <cell r="B133">
            <v>362</v>
          </cell>
          <cell r="D133" t="str">
            <v>Hilal Hamed Said Al Faruqani</v>
          </cell>
          <cell r="E133" t="str">
            <v>Labour / GPS Operator</v>
          </cell>
          <cell r="G133" t="str">
            <v>N/A</v>
          </cell>
          <cell r="H133">
            <v>38687</v>
          </cell>
          <cell r="I133" t="str">
            <v>A</v>
          </cell>
          <cell r="J133" t="str">
            <v>Sh:2</v>
          </cell>
          <cell r="K133" t="str">
            <v>L</v>
          </cell>
          <cell r="L133" t="str">
            <v>L</v>
          </cell>
          <cell r="M133" t="str">
            <v>L</v>
          </cell>
          <cell r="N133" t="str">
            <v>L</v>
          </cell>
          <cell r="O133" t="str">
            <v>L</v>
          </cell>
          <cell r="P133" t="str">
            <v>L</v>
          </cell>
          <cell r="Q133" t="str">
            <v>L</v>
          </cell>
          <cell r="R133">
            <v>2.5</v>
          </cell>
          <cell r="S133">
            <v>2.5</v>
          </cell>
          <cell r="T133">
            <v>2.5</v>
          </cell>
          <cell r="U133">
            <v>2.5</v>
          </cell>
          <cell r="V133">
            <v>2.5</v>
          </cell>
          <cell r="W133">
            <v>2.5</v>
          </cell>
          <cell r="X133">
            <v>2.5</v>
          </cell>
          <cell r="Y133">
            <v>2.5</v>
          </cell>
          <cell r="Z133">
            <v>2.5</v>
          </cell>
          <cell r="AA133">
            <v>2.5</v>
          </cell>
          <cell r="AB133">
            <v>2.5</v>
          </cell>
          <cell r="AC133">
            <v>2.5</v>
          </cell>
          <cell r="AD133">
            <v>2.5</v>
          </cell>
          <cell r="AE133">
            <v>2.5</v>
          </cell>
          <cell r="AF133">
            <v>2.5</v>
          </cell>
          <cell r="AG133">
            <v>2.5</v>
          </cell>
          <cell r="AH133">
            <v>2.5</v>
          </cell>
          <cell r="AI133">
            <v>2.5</v>
          </cell>
          <cell r="AJ133">
            <v>10.5</v>
          </cell>
          <cell r="AK133">
            <v>10.5</v>
          </cell>
          <cell r="AL133">
            <v>2.5</v>
          </cell>
          <cell r="AM133">
            <v>2.5</v>
          </cell>
          <cell r="AN133">
            <v>2.5</v>
          </cell>
          <cell r="AO133" t="str">
            <v>x</v>
          </cell>
          <cell r="AP133">
            <v>23</v>
          </cell>
          <cell r="AQ133">
            <v>7</v>
          </cell>
          <cell r="AR133">
            <v>0</v>
          </cell>
          <cell r="AS133">
            <v>0</v>
          </cell>
          <cell r="AT133">
            <v>0</v>
          </cell>
          <cell r="AU133">
            <v>0</v>
          </cell>
          <cell r="AV133">
            <v>52.5</v>
          </cell>
          <cell r="AW133">
            <v>21</v>
          </cell>
          <cell r="AX133">
            <v>30</v>
          </cell>
          <cell r="AY133">
            <v>23</v>
          </cell>
          <cell r="AZ133">
            <v>30</v>
          </cell>
          <cell r="CG133">
            <v>63</v>
          </cell>
          <cell r="CH133">
            <v>6</v>
          </cell>
          <cell r="CM133">
            <v>123</v>
          </cell>
          <cell r="CN133" t="str">
            <v>Owed 123 rials Eid bonus, 63 hours 200%, 6 days desert allowance for Eid Al Adhah'2008 from 8th to 13th December'2008.</v>
          </cell>
        </row>
        <row r="134">
          <cell r="B134">
            <v>363</v>
          </cell>
          <cell r="D134" t="str">
            <v>Imad Musabah Ziyad Al Ghafri</v>
          </cell>
          <cell r="E134" t="str">
            <v>Labour / Chain Crew</v>
          </cell>
          <cell r="G134" t="str">
            <v>N/A</v>
          </cell>
          <cell r="H134">
            <v>38687</v>
          </cell>
          <cell r="I134" t="str">
            <v>A</v>
          </cell>
          <cell r="J134" t="str">
            <v>Sh:2</v>
          </cell>
          <cell r="K134" t="str">
            <v>L</v>
          </cell>
          <cell r="L134" t="str">
            <v>L</v>
          </cell>
          <cell r="M134" t="str">
            <v>L</v>
          </cell>
          <cell r="N134" t="str">
            <v>L</v>
          </cell>
          <cell r="O134" t="str">
            <v>L</v>
          </cell>
          <cell r="P134" t="str">
            <v>L</v>
          </cell>
          <cell r="Q134" t="str">
            <v>L</v>
          </cell>
          <cell r="R134">
            <v>6</v>
          </cell>
          <cell r="S134">
            <v>6</v>
          </cell>
          <cell r="T134">
            <v>6</v>
          </cell>
          <cell r="U134">
            <v>6</v>
          </cell>
          <cell r="V134">
            <v>6</v>
          </cell>
          <cell r="W134">
            <v>6</v>
          </cell>
          <cell r="X134">
            <v>6</v>
          </cell>
          <cell r="Y134">
            <v>6</v>
          </cell>
          <cell r="Z134">
            <v>2</v>
          </cell>
          <cell r="AA134">
            <v>2</v>
          </cell>
          <cell r="AB134">
            <v>2</v>
          </cell>
          <cell r="AC134">
            <v>2</v>
          </cell>
          <cell r="AD134">
            <v>2</v>
          </cell>
          <cell r="AE134">
            <v>2</v>
          </cell>
          <cell r="AF134">
            <v>2</v>
          </cell>
          <cell r="AG134">
            <v>2</v>
          </cell>
          <cell r="AH134">
            <v>2</v>
          </cell>
          <cell r="AI134">
            <v>2</v>
          </cell>
          <cell r="AJ134">
            <v>10</v>
          </cell>
          <cell r="AK134">
            <v>10</v>
          </cell>
          <cell r="AL134">
            <v>2</v>
          </cell>
          <cell r="AM134">
            <v>2</v>
          </cell>
          <cell r="AN134">
            <v>2</v>
          </cell>
          <cell r="AO134" t="str">
            <v>x</v>
          </cell>
          <cell r="AP134">
            <v>23</v>
          </cell>
          <cell r="AQ134">
            <v>7</v>
          </cell>
          <cell r="AR134">
            <v>0</v>
          </cell>
          <cell r="AS134">
            <v>0</v>
          </cell>
          <cell r="AT134">
            <v>0</v>
          </cell>
          <cell r="AU134">
            <v>0</v>
          </cell>
          <cell r="AV134">
            <v>74</v>
          </cell>
          <cell r="AW134">
            <v>20</v>
          </cell>
          <cell r="AX134">
            <v>30</v>
          </cell>
          <cell r="AY134">
            <v>23</v>
          </cell>
          <cell r="AZ134">
            <v>30</v>
          </cell>
          <cell r="CF134">
            <v>32</v>
          </cell>
          <cell r="CN134" t="str">
            <v>Owed 32 hours overtime extra overtime from 16th 23rd October'2008.</v>
          </cell>
        </row>
        <row r="135">
          <cell r="B135">
            <v>364</v>
          </cell>
          <cell r="D135" t="str">
            <v>Issa Abdullah Muftah Al Ghafri</v>
          </cell>
          <cell r="E135" t="str">
            <v>Labour</v>
          </cell>
          <cell r="G135" t="str">
            <v>N/A</v>
          </cell>
          <cell r="H135">
            <v>38687</v>
          </cell>
          <cell r="I135" t="str">
            <v>A</v>
          </cell>
          <cell r="J135" t="str">
            <v>Sh:3</v>
          </cell>
          <cell r="K135" t="str">
            <v>L</v>
          </cell>
          <cell r="L135" t="str">
            <v>L</v>
          </cell>
          <cell r="M135" t="str">
            <v>L</v>
          </cell>
          <cell r="N135" t="str">
            <v>L</v>
          </cell>
          <cell r="O135" t="str">
            <v>L</v>
          </cell>
          <cell r="P135" t="str">
            <v>L</v>
          </cell>
          <cell r="Q135" t="str">
            <v>L</v>
          </cell>
          <cell r="R135" t="str">
            <v>L</v>
          </cell>
          <cell r="S135" t="str">
            <v>L</v>
          </cell>
          <cell r="T135" t="str">
            <v>L</v>
          </cell>
          <cell r="U135" t="str">
            <v>L</v>
          </cell>
          <cell r="V135" t="str">
            <v>L</v>
          </cell>
          <cell r="W135" t="str">
            <v>L</v>
          </cell>
          <cell r="X135" t="str">
            <v>L</v>
          </cell>
          <cell r="Y135" t="str">
            <v>L</v>
          </cell>
          <cell r="Z135" t="str">
            <v>L</v>
          </cell>
          <cell r="AA135" t="str">
            <v>L</v>
          </cell>
          <cell r="AB135" t="str">
            <v>L</v>
          </cell>
          <cell r="AC135" t="str">
            <v>L</v>
          </cell>
          <cell r="AD135" t="str">
            <v>L</v>
          </cell>
          <cell r="AE135" t="str">
            <v>L</v>
          </cell>
          <cell r="AF135">
            <v>2</v>
          </cell>
          <cell r="AG135">
            <v>2</v>
          </cell>
          <cell r="AH135">
            <v>2</v>
          </cell>
          <cell r="AI135">
            <v>2</v>
          </cell>
          <cell r="AJ135">
            <v>10</v>
          </cell>
          <cell r="AK135">
            <v>10</v>
          </cell>
          <cell r="AL135">
            <v>2</v>
          </cell>
          <cell r="AM135">
            <v>2</v>
          </cell>
          <cell r="AN135">
            <v>2</v>
          </cell>
          <cell r="AO135" t="str">
            <v>x</v>
          </cell>
          <cell r="AP135">
            <v>9</v>
          </cell>
          <cell r="AQ135">
            <v>21</v>
          </cell>
          <cell r="AR135">
            <v>0</v>
          </cell>
          <cell r="AS135">
            <v>0</v>
          </cell>
          <cell r="AT135">
            <v>0</v>
          </cell>
          <cell r="AU135">
            <v>0</v>
          </cell>
          <cell r="AV135">
            <v>14</v>
          </cell>
          <cell r="AW135">
            <v>20</v>
          </cell>
          <cell r="AX135">
            <v>30</v>
          </cell>
          <cell r="AY135">
            <v>9</v>
          </cell>
          <cell r="AZ135">
            <v>30</v>
          </cell>
        </row>
        <row r="136">
          <cell r="B136">
            <v>365</v>
          </cell>
          <cell r="D136" t="str">
            <v>Mahmoud Nasser Ali Al Hina'I</v>
          </cell>
          <cell r="E136" t="str">
            <v>Labour / Chain Crew</v>
          </cell>
          <cell r="G136" t="str">
            <v>N/A</v>
          </cell>
          <cell r="H136">
            <v>38687</v>
          </cell>
          <cell r="I136" t="str">
            <v>A</v>
          </cell>
          <cell r="J136" t="str">
            <v>Sh:1</v>
          </cell>
          <cell r="K136">
            <v>7.5</v>
          </cell>
          <cell r="L136">
            <v>2</v>
          </cell>
          <cell r="M136">
            <v>7</v>
          </cell>
          <cell r="N136">
            <v>6</v>
          </cell>
          <cell r="O136">
            <v>8</v>
          </cell>
          <cell r="P136">
            <v>8</v>
          </cell>
          <cell r="Q136">
            <v>2</v>
          </cell>
          <cell r="R136">
            <v>8</v>
          </cell>
          <cell r="S136">
            <v>8</v>
          </cell>
          <cell r="T136">
            <v>8</v>
          </cell>
          <cell r="U136">
            <v>8</v>
          </cell>
          <cell r="V136">
            <v>8</v>
          </cell>
          <cell r="W136">
            <v>8</v>
          </cell>
          <cell r="X136">
            <v>8</v>
          </cell>
          <cell r="Y136">
            <v>8</v>
          </cell>
          <cell r="Z136">
            <v>2</v>
          </cell>
          <cell r="AA136">
            <v>2</v>
          </cell>
          <cell r="AB136">
            <v>2</v>
          </cell>
          <cell r="AC136">
            <v>2</v>
          </cell>
          <cell r="AD136">
            <v>2</v>
          </cell>
          <cell r="AE136">
            <v>2</v>
          </cell>
          <cell r="AF136" t="str">
            <v>L</v>
          </cell>
          <cell r="AG136" t="str">
            <v>L</v>
          </cell>
          <cell r="AH136" t="str">
            <v>L</v>
          </cell>
          <cell r="AI136" t="str">
            <v>L</v>
          </cell>
          <cell r="AJ136" t="str">
            <v>L</v>
          </cell>
          <cell r="AK136" t="str">
            <v>L</v>
          </cell>
          <cell r="AL136" t="str">
            <v>L</v>
          </cell>
          <cell r="AM136" t="str">
            <v>L</v>
          </cell>
          <cell r="AN136" t="str">
            <v>L</v>
          </cell>
          <cell r="AO136" t="str">
            <v>x</v>
          </cell>
          <cell r="AP136">
            <v>21</v>
          </cell>
          <cell r="AQ136">
            <v>9</v>
          </cell>
          <cell r="AR136">
            <v>0</v>
          </cell>
          <cell r="AS136">
            <v>0</v>
          </cell>
          <cell r="AT136">
            <v>0</v>
          </cell>
          <cell r="AU136">
            <v>0</v>
          </cell>
          <cell r="AV136">
            <v>116.5</v>
          </cell>
          <cell r="AW136">
            <v>0</v>
          </cell>
          <cell r="AX136">
            <v>30</v>
          </cell>
          <cell r="AY136">
            <v>21</v>
          </cell>
          <cell r="AZ136">
            <v>30</v>
          </cell>
          <cell r="CF136">
            <v>46</v>
          </cell>
          <cell r="CG136">
            <v>60</v>
          </cell>
          <cell r="CH136">
            <v>6</v>
          </cell>
          <cell r="CM136">
            <v>123</v>
          </cell>
          <cell r="CN136" t="str">
            <v>Owed 46 hours overtime extra overtime from 2nd and 7th and 25th to 28th and 30th to 31st October'2008. Owed 123 rials Eid bonus, 60 hours 200%, 6 days desert allowance for Eid Al Adhah'2008 from 8th to 13th December'2008.</v>
          </cell>
        </row>
        <row r="137">
          <cell r="B137">
            <v>366</v>
          </cell>
          <cell r="D137" t="str">
            <v>Khalid Yaqoub Mohammed Al Housni</v>
          </cell>
          <cell r="E137" t="str">
            <v>Labour / Driver</v>
          </cell>
          <cell r="G137" t="str">
            <v>N/A</v>
          </cell>
          <cell r="H137">
            <v>38687</v>
          </cell>
          <cell r="I137" t="str">
            <v>A</v>
          </cell>
          <cell r="J137" t="str">
            <v>Sh:2</v>
          </cell>
          <cell r="K137" t="str">
            <v>L</v>
          </cell>
          <cell r="L137" t="str">
            <v>L</v>
          </cell>
          <cell r="M137" t="str">
            <v>L</v>
          </cell>
          <cell r="N137" t="str">
            <v>L</v>
          </cell>
          <cell r="O137" t="str">
            <v>L</v>
          </cell>
          <cell r="P137" t="str">
            <v>L</v>
          </cell>
          <cell r="Q137" t="str">
            <v>L</v>
          </cell>
          <cell r="R137">
            <v>2.5</v>
          </cell>
          <cell r="S137">
            <v>2.5</v>
          </cell>
          <cell r="T137">
            <v>2.5</v>
          </cell>
          <cell r="U137">
            <v>2.5</v>
          </cell>
          <cell r="V137">
            <v>2.5</v>
          </cell>
          <cell r="W137">
            <v>2.5</v>
          </cell>
          <cell r="X137">
            <v>2.5</v>
          </cell>
          <cell r="Y137">
            <v>2.5</v>
          </cell>
          <cell r="Z137">
            <v>2.5</v>
          </cell>
          <cell r="AA137">
            <v>2.5</v>
          </cell>
          <cell r="AB137">
            <v>2.5</v>
          </cell>
          <cell r="AC137">
            <v>2.5</v>
          </cell>
          <cell r="AD137">
            <v>2.5</v>
          </cell>
          <cell r="AE137">
            <v>2.5</v>
          </cell>
          <cell r="AF137">
            <v>2.5</v>
          </cell>
          <cell r="AG137">
            <v>2.5</v>
          </cell>
          <cell r="AH137">
            <v>2.5</v>
          </cell>
          <cell r="AI137">
            <v>2.5</v>
          </cell>
          <cell r="AJ137">
            <v>10.5</v>
          </cell>
          <cell r="AK137">
            <v>10.5</v>
          </cell>
          <cell r="AL137">
            <v>2.5</v>
          </cell>
          <cell r="AM137">
            <v>2.5</v>
          </cell>
          <cell r="AN137">
            <v>2.5</v>
          </cell>
          <cell r="AO137" t="str">
            <v>x</v>
          </cell>
          <cell r="AP137">
            <v>23</v>
          </cell>
          <cell r="AQ137">
            <v>7</v>
          </cell>
          <cell r="AR137">
            <v>0</v>
          </cell>
          <cell r="AS137">
            <v>0</v>
          </cell>
          <cell r="AT137">
            <v>0</v>
          </cell>
          <cell r="AU137">
            <v>0</v>
          </cell>
          <cell r="AV137">
            <v>52.5</v>
          </cell>
          <cell r="AW137">
            <v>21</v>
          </cell>
          <cell r="AX137">
            <v>30</v>
          </cell>
          <cell r="AY137">
            <v>23</v>
          </cell>
          <cell r="AZ137">
            <v>30</v>
          </cell>
          <cell r="CF137">
            <v>-2.5</v>
          </cell>
          <cell r="CG137">
            <v>63</v>
          </cell>
          <cell r="CH137">
            <v>6</v>
          </cell>
          <cell r="CM137">
            <v>123</v>
          </cell>
          <cell r="CN137" t="str">
            <v>Owed 16 hours overtime extra overtime from 3rd to 4th and 6th to 10th and 27th to 29th September'2008. Dudected 28 hours overtime extra overtime from 5th to 6th and 10th to 16th to 23rd October'2008 not driving vibroter anowed 9.5 hours overtime from 10th</v>
          </cell>
        </row>
        <row r="138">
          <cell r="B138">
            <v>367</v>
          </cell>
          <cell r="D138" t="str">
            <v>Waleed Khamis Mohammed Al Yaqoubi</v>
          </cell>
          <cell r="E138" t="str">
            <v>Labour / Chain Crew</v>
          </cell>
          <cell r="G138" t="str">
            <v>N/A</v>
          </cell>
          <cell r="H138">
            <v>38687</v>
          </cell>
          <cell r="I138" t="str">
            <v>A</v>
          </cell>
          <cell r="J138" t="str">
            <v>Sh:3</v>
          </cell>
          <cell r="K138">
            <v>2</v>
          </cell>
          <cell r="L138">
            <v>2</v>
          </cell>
          <cell r="M138">
            <v>2</v>
          </cell>
          <cell r="N138">
            <v>2</v>
          </cell>
          <cell r="O138">
            <v>0</v>
          </cell>
          <cell r="P138" t="str">
            <v>A</v>
          </cell>
          <cell r="Q138" t="str">
            <v>A</v>
          </cell>
          <cell r="R138" t="str">
            <v>L</v>
          </cell>
          <cell r="S138" t="str">
            <v>L</v>
          </cell>
          <cell r="T138" t="str">
            <v>L</v>
          </cell>
          <cell r="U138" t="str">
            <v>L</v>
          </cell>
          <cell r="V138" t="str">
            <v>L</v>
          </cell>
          <cell r="W138" t="str">
            <v>L</v>
          </cell>
          <cell r="X138" t="str">
            <v>L</v>
          </cell>
          <cell r="Y138" t="str">
            <v>L</v>
          </cell>
          <cell r="Z138" t="str">
            <v>L</v>
          </cell>
          <cell r="AA138" t="str">
            <v>L</v>
          </cell>
          <cell r="AB138" t="str">
            <v>L</v>
          </cell>
          <cell r="AC138" t="str">
            <v>L</v>
          </cell>
          <cell r="AD138" t="str">
            <v>L</v>
          </cell>
          <cell r="AE138" t="str">
            <v>L</v>
          </cell>
          <cell r="AF138">
            <v>2</v>
          </cell>
          <cell r="AG138">
            <v>2</v>
          </cell>
          <cell r="AH138">
            <v>2</v>
          </cell>
          <cell r="AI138">
            <v>2</v>
          </cell>
          <cell r="AJ138">
            <v>10</v>
          </cell>
          <cell r="AK138">
            <v>10</v>
          </cell>
          <cell r="AL138">
            <v>2</v>
          </cell>
          <cell r="AM138">
            <v>2</v>
          </cell>
          <cell r="AN138">
            <v>2</v>
          </cell>
          <cell r="AO138" t="str">
            <v>x</v>
          </cell>
          <cell r="AP138">
            <v>14</v>
          </cell>
          <cell r="AQ138">
            <v>14</v>
          </cell>
          <cell r="AR138">
            <v>0</v>
          </cell>
          <cell r="AS138">
            <v>0</v>
          </cell>
          <cell r="AT138">
            <v>2</v>
          </cell>
          <cell r="AU138">
            <v>0</v>
          </cell>
          <cell r="AV138">
            <v>22</v>
          </cell>
          <cell r="AW138">
            <v>20</v>
          </cell>
          <cell r="AX138">
            <v>28</v>
          </cell>
          <cell r="AY138">
            <v>14</v>
          </cell>
          <cell r="AZ138">
            <v>28</v>
          </cell>
        </row>
        <row r="139">
          <cell r="B139">
            <v>368</v>
          </cell>
          <cell r="D139" t="str">
            <v>Saleh Ali Amur Al Hina'I</v>
          </cell>
          <cell r="E139" t="str">
            <v>Labour / Cable</v>
          </cell>
          <cell r="G139" t="str">
            <v>N/A</v>
          </cell>
          <cell r="H139">
            <v>38687</v>
          </cell>
          <cell r="I139" t="str">
            <v>A</v>
          </cell>
          <cell r="J139" t="str">
            <v>Sh:3</v>
          </cell>
          <cell r="K139">
            <v>4</v>
          </cell>
          <cell r="L139">
            <v>4</v>
          </cell>
          <cell r="M139">
            <v>4</v>
          </cell>
          <cell r="N139">
            <v>4</v>
          </cell>
          <cell r="O139">
            <v>4</v>
          </cell>
          <cell r="P139">
            <v>4</v>
          </cell>
          <cell r="Q139">
            <v>4</v>
          </cell>
          <cell r="R139" t="str">
            <v>L</v>
          </cell>
          <cell r="S139" t="str">
            <v>L</v>
          </cell>
          <cell r="T139" t="str">
            <v>L</v>
          </cell>
          <cell r="U139" t="str">
            <v>L</v>
          </cell>
          <cell r="V139" t="str">
            <v>L</v>
          </cell>
          <cell r="W139" t="str">
            <v>L</v>
          </cell>
          <cell r="X139" t="str">
            <v>L</v>
          </cell>
          <cell r="Y139" t="str">
            <v>L</v>
          </cell>
          <cell r="Z139" t="str">
            <v>L</v>
          </cell>
          <cell r="AA139" t="str">
            <v>L</v>
          </cell>
          <cell r="AB139" t="str">
            <v>L</v>
          </cell>
          <cell r="AC139" t="str">
            <v>L</v>
          </cell>
          <cell r="AD139" t="str">
            <v>L</v>
          </cell>
          <cell r="AE139" t="str">
            <v>L</v>
          </cell>
          <cell r="AF139">
            <v>4</v>
          </cell>
          <cell r="AG139">
            <v>4</v>
          </cell>
          <cell r="AH139">
            <v>4</v>
          </cell>
          <cell r="AI139">
            <v>4</v>
          </cell>
          <cell r="AJ139">
            <v>12</v>
          </cell>
          <cell r="AK139">
            <v>12</v>
          </cell>
          <cell r="AL139">
            <v>4</v>
          </cell>
          <cell r="AM139">
            <v>4</v>
          </cell>
          <cell r="AN139">
            <v>4</v>
          </cell>
          <cell r="AO139" t="str">
            <v>x</v>
          </cell>
          <cell r="AP139">
            <v>16</v>
          </cell>
          <cell r="AQ139">
            <v>14</v>
          </cell>
          <cell r="AR139">
            <v>0</v>
          </cell>
          <cell r="AS139">
            <v>0</v>
          </cell>
          <cell r="AT139">
            <v>0</v>
          </cell>
          <cell r="AU139">
            <v>0</v>
          </cell>
          <cell r="AV139">
            <v>56</v>
          </cell>
          <cell r="AW139">
            <v>24</v>
          </cell>
          <cell r="AX139">
            <v>30</v>
          </cell>
          <cell r="AY139">
            <v>16</v>
          </cell>
          <cell r="AZ139">
            <v>30</v>
          </cell>
          <cell r="CF139">
            <v>88.5</v>
          </cell>
          <cell r="CG139">
            <v>72</v>
          </cell>
          <cell r="CH139">
            <v>6</v>
          </cell>
          <cell r="CM139">
            <v>123</v>
          </cell>
          <cell r="CN139" t="str">
            <v>Owed 88.5 hours overtime extra overtime from 2nd to 3rd and 15th to 31st October'2008. Owed 123 rials Eid bonus, 72 hours 200%, 6 days desert allowance for Eid Al Adhah'2008 from 8th to 13th December'2008.</v>
          </cell>
        </row>
        <row r="140">
          <cell r="B140">
            <v>369</v>
          </cell>
          <cell r="D140" t="str">
            <v>Suleiman Salam Manin Al Rashid</v>
          </cell>
          <cell r="E140" t="str">
            <v>Labour / Asst Junior Observer</v>
          </cell>
          <cell r="G140" t="str">
            <v>N/A</v>
          </cell>
          <cell r="H140">
            <v>38687</v>
          </cell>
          <cell r="I140" t="str">
            <v>A</v>
          </cell>
          <cell r="J140" t="str">
            <v>Sh:3</v>
          </cell>
          <cell r="K140">
            <v>13</v>
          </cell>
          <cell r="L140">
            <v>13</v>
          </cell>
          <cell r="M140">
            <v>13</v>
          </cell>
          <cell r="N140">
            <v>13</v>
          </cell>
          <cell r="O140">
            <v>13</v>
          </cell>
          <cell r="P140">
            <v>13</v>
          </cell>
          <cell r="Q140">
            <v>4</v>
          </cell>
          <cell r="R140" t="str">
            <v>L</v>
          </cell>
          <cell r="S140" t="str">
            <v>L</v>
          </cell>
          <cell r="T140" t="str">
            <v>L</v>
          </cell>
          <cell r="U140" t="str">
            <v>L</v>
          </cell>
          <cell r="V140" t="str">
            <v>L</v>
          </cell>
          <cell r="W140" t="str">
            <v>L</v>
          </cell>
          <cell r="X140" t="str">
            <v>L</v>
          </cell>
          <cell r="Y140" t="str">
            <v>L</v>
          </cell>
          <cell r="Z140" t="str">
            <v>L</v>
          </cell>
          <cell r="AA140" t="str">
            <v>L</v>
          </cell>
          <cell r="AB140" t="str">
            <v>L</v>
          </cell>
          <cell r="AC140" t="str">
            <v>L</v>
          </cell>
          <cell r="AD140" t="str">
            <v>L</v>
          </cell>
          <cell r="AE140" t="str">
            <v>L</v>
          </cell>
          <cell r="AF140">
            <v>4</v>
          </cell>
          <cell r="AG140">
            <v>4</v>
          </cell>
          <cell r="AH140">
            <v>4</v>
          </cell>
          <cell r="AI140">
            <v>4</v>
          </cell>
          <cell r="AJ140">
            <v>12</v>
          </cell>
          <cell r="AK140">
            <v>12</v>
          </cell>
          <cell r="AL140">
            <v>4</v>
          </cell>
          <cell r="AM140">
            <v>4</v>
          </cell>
          <cell r="AN140">
            <v>4</v>
          </cell>
          <cell r="AO140" t="str">
            <v>x</v>
          </cell>
          <cell r="AP140">
            <v>16</v>
          </cell>
          <cell r="AQ140">
            <v>14</v>
          </cell>
          <cell r="AR140">
            <v>0</v>
          </cell>
          <cell r="AS140">
            <v>0</v>
          </cell>
          <cell r="AT140">
            <v>0</v>
          </cell>
          <cell r="AU140">
            <v>0</v>
          </cell>
          <cell r="AV140">
            <v>110</v>
          </cell>
          <cell r="AW140">
            <v>24</v>
          </cell>
          <cell r="AX140">
            <v>30</v>
          </cell>
          <cell r="AY140">
            <v>16</v>
          </cell>
          <cell r="AZ140">
            <v>30</v>
          </cell>
          <cell r="CG140">
            <v>72</v>
          </cell>
          <cell r="CH140">
            <v>6</v>
          </cell>
          <cell r="CM140">
            <v>123</v>
          </cell>
          <cell r="CN140" t="str">
            <v>Owed 123 rials Eid bonus, 60 hours 200%, 6 days desert allowance for Eid Al Adhah'2008 from 8th to 13th December'2008.</v>
          </cell>
        </row>
        <row r="141">
          <cell r="B141">
            <v>370</v>
          </cell>
          <cell r="D141" t="str">
            <v>Taqi Obaid Khadoom</v>
          </cell>
          <cell r="E141" t="str">
            <v>Labour</v>
          </cell>
          <cell r="G141" t="str">
            <v>N/A</v>
          </cell>
          <cell r="H141">
            <v>38687</v>
          </cell>
          <cell r="I141" t="str">
            <v>A</v>
          </cell>
          <cell r="J141" t="str">
            <v>Sh:3</v>
          </cell>
          <cell r="K141">
            <v>6</v>
          </cell>
          <cell r="L141">
            <v>6</v>
          </cell>
          <cell r="M141">
            <v>2</v>
          </cell>
          <cell r="N141" t="str">
            <v>L</v>
          </cell>
          <cell r="O141" t="str">
            <v>L</v>
          </cell>
          <cell r="P141" t="str">
            <v>L</v>
          </cell>
          <cell r="Q141" t="str">
            <v>L</v>
          </cell>
          <cell r="R141" t="str">
            <v>L</v>
          </cell>
          <cell r="S141" t="str">
            <v>L</v>
          </cell>
          <cell r="T141" t="str">
            <v>L</v>
          </cell>
          <cell r="U141" t="str">
            <v>L</v>
          </cell>
          <cell r="V141" t="str">
            <v>L</v>
          </cell>
          <cell r="W141" t="str">
            <v>L</v>
          </cell>
          <cell r="X141" t="str">
            <v>L</v>
          </cell>
          <cell r="Y141" t="str">
            <v>L</v>
          </cell>
          <cell r="Z141" t="str">
            <v>L</v>
          </cell>
          <cell r="AA141" t="str">
            <v>L</v>
          </cell>
          <cell r="AB141" t="str">
            <v>L</v>
          </cell>
          <cell r="AC141" t="str">
            <v>L</v>
          </cell>
          <cell r="AD141" t="str">
            <v>L</v>
          </cell>
          <cell r="AE141" t="str">
            <v>L</v>
          </cell>
          <cell r="AF141">
            <v>2</v>
          </cell>
          <cell r="AG141">
            <v>2</v>
          </cell>
          <cell r="AH141">
            <v>2</v>
          </cell>
          <cell r="AI141">
            <v>2</v>
          </cell>
          <cell r="AJ141">
            <v>10</v>
          </cell>
          <cell r="AK141">
            <v>10</v>
          </cell>
          <cell r="AL141">
            <v>2</v>
          </cell>
          <cell r="AM141">
            <v>2</v>
          </cell>
          <cell r="AN141">
            <v>2</v>
          </cell>
          <cell r="AO141" t="str">
            <v>x</v>
          </cell>
          <cell r="AP141">
            <v>12</v>
          </cell>
          <cell r="AQ141">
            <v>18</v>
          </cell>
          <cell r="AR141">
            <v>0</v>
          </cell>
          <cell r="AS141">
            <v>0</v>
          </cell>
          <cell r="AT141">
            <v>0</v>
          </cell>
          <cell r="AU141">
            <v>0</v>
          </cell>
          <cell r="AV141">
            <v>28</v>
          </cell>
          <cell r="AW141">
            <v>20</v>
          </cell>
          <cell r="AX141">
            <v>30</v>
          </cell>
          <cell r="AY141">
            <v>12</v>
          </cell>
          <cell r="AZ141">
            <v>30</v>
          </cell>
          <cell r="CF141">
            <v>18</v>
          </cell>
          <cell r="CH141">
            <v>-3</v>
          </cell>
          <cell r="CI141">
            <v>-2</v>
          </cell>
          <cell r="CJ141">
            <v>-2</v>
          </cell>
          <cell r="CK141">
            <v>-2</v>
          </cell>
          <cell r="CL141">
            <v>-2</v>
          </cell>
          <cell r="CN141" t="str">
            <v>Dudected 2 days basic allowance, 2 days housing allowance, 2 days date allowance, 2 day monthly ration, 3 days desert allowance, 6 hours overtime is sick on 28th October and absent from 29th to 30th October'2008. Owed 24 hours overtime extra overtime from</v>
          </cell>
        </row>
        <row r="142">
          <cell r="B142">
            <v>371</v>
          </cell>
          <cell r="D142" t="str">
            <v>Hilal Marzouq Salmeen Al Ghafri</v>
          </cell>
          <cell r="E142" t="str">
            <v>Labour</v>
          </cell>
          <cell r="G142" t="str">
            <v>N/A</v>
          </cell>
          <cell r="H142">
            <v>38687</v>
          </cell>
          <cell r="I142" t="str">
            <v>A</v>
          </cell>
          <cell r="J142" t="str">
            <v>Sh:3</v>
          </cell>
          <cell r="K142">
            <v>2</v>
          </cell>
          <cell r="L142">
            <v>2</v>
          </cell>
          <cell r="M142">
            <v>2</v>
          </cell>
          <cell r="N142">
            <v>2</v>
          </cell>
          <cell r="O142">
            <v>2</v>
          </cell>
          <cell r="P142">
            <v>2</v>
          </cell>
          <cell r="Q142">
            <v>2</v>
          </cell>
          <cell r="R142" t="str">
            <v>L</v>
          </cell>
          <cell r="S142" t="str">
            <v>L</v>
          </cell>
          <cell r="T142" t="str">
            <v>L</v>
          </cell>
          <cell r="U142" t="str">
            <v>L</v>
          </cell>
          <cell r="V142" t="str">
            <v>L</v>
          </cell>
          <cell r="W142" t="str">
            <v>L</v>
          </cell>
          <cell r="X142" t="str">
            <v>L</v>
          </cell>
          <cell r="Y142" t="str">
            <v>L</v>
          </cell>
          <cell r="Z142" t="str">
            <v>L</v>
          </cell>
          <cell r="AA142" t="str">
            <v>L</v>
          </cell>
          <cell r="AB142" t="str">
            <v>L</v>
          </cell>
          <cell r="AC142" t="str">
            <v>L</v>
          </cell>
          <cell r="AD142" t="str">
            <v>L</v>
          </cell>
          <cell r="AE142" t="str">
            <v>L</v>
          </cell>
          <cell r="AF142">
            <v>2</v>
          </cell>
          <cell r="AG142">
            <v>2</v>
          </cell>
          <cell r="AH142">
            <v>2</v>
          </cell>
          <cell r="AI142">
            <v>2</v>
          </cell>
          <cell r="AJ142">
            <v>10</v>
          </cell>
          <cell r="AK142">
            <v>10</v>
          </cell>
          <cell r="AL142">
            <v>2</v>
          </cell>
          <cell r="AM142">
            <v>2</v>
          </cell>
          <cell r="AN142">
            <v>2</v>
          </cell>
          <cell r="AO142" t="str">
            <v>x</v>
          </cell>
          <cell r="AP142">
            <v>16</v>
          </cell>
          <cell r="AQ142">
            <v>14</v>
          </cell>
          <cell r="AR142">
            <v>0</v>
          </cell>
          <cell r="AS142">
            <v>0</v>
          </cell>
          <cell r="AT142">
            <v>0</v>
          </cell>
          <cell r="AU142">
            <v>0</v>
          </cell>
          <cell r="AV142">
            <v>28</v>
          </cell>
          <cell r="AW142">
            <v>20</v>
          </cell>
          <cell r="AX142">
            <v>30</v>
          </cell>
          <cell r="AY142">
            <v>16</v>
          </cell>
          <cell r="AZ142">
            <v>30</v>
          </cell>
        </row>
        <row r="143">
          <cell r="B143">
            <v>372</v>
          </cell>
          <cell r="D143" t="str">
            <v>Ismail Ali Said Al Busa'idi</v>
          </cell>
          <cell r="E143" t="str">
            <v>Labour / GPS Operator</v>
          </cell>
          <cell r="G143" t="str">
            <v>N/A</v>
          </cell>
          <cell r="H143">
            <v>38687</v>
          </cell>
          <cell r="I143" t="str">
            <v>A</v>
          </cell>
          <cell r="J143" t="str">
            <v>Sh:1</v>
          </cell>
          <cell r="K143">
            <v>2.5</v>
          </cell>
          <cell r="L143">
            <v>2.5</v>
          </cell>
          <cell r="M143">
            <v>2.5</v>
          </cell>
          <cell r="N143">
            <v>2.5</v>
          </cell>
          <cell r="O143">
            <v>2.5</v>
          </cell>
          <cell r="P143">
            <v>2.5</v>
          </cell>
          <cell r="Q143">
            <v>2.5</v>
          </cell>
          <cell r="R143">
            <v>2.5</v>
          </cell>
          <cell r="S143">
            <v>2.5</v>
          </cell>
          <cell r="T143">
            <v>2.5</v>
          </cell>
          <cell r="U143">
            <v>2.5</v>
          </cell>
          <cell r="V143">
            <v>2.5</v>
          </cell>
          <cell r="W143">
            <v>2.5</v>
          </cell>
          <cell r="X143">
            <v>2.5</v>
          </cell>
          <cell r="Y143">
            <v>2.5</v>
          </cell>
          <cell r="Z143">
            <v>2.5</v>
          </cell>
          <cell r="AA143">
            <v>2.5</v>
          </cell>
          <cell r="AB143">
            <v>2.5</v>
          </cell>
          <cell r="AC143">
            <v>2.5</v>
          </cell>
          <cell r="AD143">
            <v>2.5</v>
          </cell>
          <cell r="AE143">
            <v>2.5</v>
          </cell>
          <cell r="AF143" t="str">
            <v>L</v>
          </cell>
          <cell r="AG143" t="str">
            <v>L</v>
          </cell>
          <cell r="AH143" t="str">
            <v>L</v>
          </cell>
          <cell r="AI143" t="str">
            <v>L</v>
          </cell>
          <cell r="AJ143" t="str">
            <v>L</v>
          </cell>
          <cell r="AK143" t="str">
            <v>L</v>
          </cell>
          <cell r="AL143" t="str">
            <v>L</v>
          </cell>
          <cell r="AM143" t="str">
            <v>L</v>
          </cell>
          <cell r="AN143" t="str">
            <v>L</v>
          </cell>
          <cell r="AO143" t="str">
            <v>x</v>
          </cell>
          <cell r="AP143">
            <v>21</v>
          </cell>
          <cell r="AQ143">
            <v>9</v>
          </cell>
          <cell r="AR143">
            <v>0</v>
          </cell>
          <cell r="AS143">
            <v>0</v>
          </cell>
          <cell r="AT143">
            <v>0</v>
          </cell>
          <cell r="AU143">
            <v>0</v>
          </cell>
          <cell r="AV143">
            <v>52.5</v>
          </cell>
          <cell r="AW143">
            <v>0</v>
          </cell>
          <cell r="AX143">
            <v>30</v>
          </cell>
          <cell r="AY143">
            <v>21</v>
          </cell>
          <cell r="AZ143">
            <v>30</v>
          </cell>
          <cell r="CG143">
            <v>63</v>
          </cell>
          <cell r="CH143">
            <v>6</v>
          </cell>
          <cell r="CM143">
            <v>123</v>
          </cell>
          <cell r="CN143" t="str">
            <v>Owed 123 rials Eid bonus, 63 hours 200%, 6 days desert allowance for Eid Al Adhah'2008 from 8th to 13th December'2008.</v>
          </cell>
        </row>
        <row r="144">
          <cell r="B144">
            <v>373</v>
          </cell>
          <cell r="D144" t="str">
            <v>Ahmed Suleiman Said Al Mahrouqi</v>
          </cell>
          <cell r="E144" t="str">
            <v>Heavy Duty Dvr</v>
          </cell>
          <cell r="G144" t="str">
            <v>N/A</v>
          </cell>
          <cell r="H144">
            <v>38687</v>
          </cell>
          <cell r="I144" t="str">
            <v>A</v>
          </cell>
          <cell r="J144" t="str">
            <v>Sh:2</v>
          </cell>
          <cell r="K144" t="str">
            <v>L</v>
          </cell>
          <cell r="L144" t="str">
            <v>L</v>
          </cell>
          <cell r="M144" t="str">
            <v>L</v>
          </cell>
          <cell r="N144" t="str">
            <v>L</v>
          </cell>
          <cell r="O144" t="str">
            <v>L</v>
          </cell>
          <cell r="P144" t="str">
            <v>L</v>
          </cell>
          <cell r="Q144" t="str">
            <v>L</v>
          </cell>
          <cell r="R144">
            <v>14.5</v>
          </cell>
          <cell r="S144">
            <v>10.5</v>
          </cell>
          <cell r="T144">
            <v>11</v>
          </cell>
          <cell r="U144">
            <v>11</v>
          </cell>
          <cell r="V144">
            <v>12</v>
          </cell>
          <cell r="W144">
            <v>10.5</v>
          </cell>
          <cell r="X144">
            <v>11</v>
          </cell>
          <cell r="Y144">
            <v>11</v>
          </cell>
          <cell r="Z144">
            <v>11</v>
          </cell>
          <cell r="AA144">
            <v>2.5</v>
          </cell>
          <cell r="AB144">
            <v>2.5</v>
          </cell>
          <cell r="AC144">
            <v>2.5</v>
          </cell>
          <cell r="AD144">
            <v>2.5</v>
          </cell>
          <cell r="AE144">
            <v>2.5</v>
          </cell>
          <cell r="AF144">
            <v>2.5</v>
          </cell>
          <cell r="AG144">
            <v>2.5</v>
          </cell>
          <cell r="AH144">
            <v>2.5</v>
          </cell>
          <cell r="AI144">
            <v>2.5</v>
          </cell>
          <cell r="AJ144">
            <v>10.5</v>
          </cell>
          <cell r="AK144">
            <v>10.5</v>
          </cell>
          <cell r="AL144">
            <v>2.5</v>
          </cell>
          <cell r="AM144">
            <v>2.5</v>
          </cell>
          <cell r="AN144">
            <v>2.5</v>
          </cell>
          <cell r="AO144" t="str">
            <v>x</v>
          </cell>
          <cell r="AP144">
            <v>23</v>
          </cell>
          <cell r="AQ144">
            <v>7</v>
          </cell>
          <cell r="AR144">
            <v>0</v>
          </cell>
          <cell r="AS144">
            <v>0</v>
          </cell>
          <cell r="AT144">
            <v>0</v>
          </cell>
          <cell r="AU144">
            <v>0</v>
          </cell>
          <cell r="AV144">
            <v>132.5</v>
          </cell>
          <cell r="AW144">
            <v>21</v>
          </cell>
          <cell r="AX144">
            <v>30</v>
          </cell>
          <cell r="AY144">
            <v>23</v>
          </cell>
          <cell r="AZ144">
            <v>30</v>
          </cell>
          <cell r="CF144">
            <v>20</v>
          </cell>
          <cell r="CN144" t="str">
            <v>Owed 20 hours overtime extra overtime from 17th to 21st October'2008.</v>
          </cell>
        </row>
        <row r="145">
          <cell r="B145">
            <v>374</v>
          </cell>
          <cell r="D145" t="str">
            <v>Dawoud Mohammed Azan Al Qasmi</v>
          </cell>
          <cell r="E145" t="str">
            <v>Asst Junior Observer</v>
          </cell>
          <cell r="G145" t="str">
            <v>N/A</v>
          </cell>
          <cell r="H145">
            <v>38687</v>
          </cell>
          <cell r="I145" t="str">
            <v>C1</v>
          </cell>
          <cell r="J145" t="str">
            <v>Sh:2</v>
          </cell>
          <cell r="K145" t="str">
            <v>L</v>
          </cell>
          <cell r="L145" t="str">
            <v>L</v>
          </cell>
          <cell r="M145" t="str">
            <v>L</v>
          </cell>
          <cell r="N145" t="str">
            <v>L</v>
          </cell>
          <cell r="O145" t="str">
            <v>L</v>
          </cell>
          <cell r="P145" t="str">
            <v>L</v>
          </cell>
          <cell r="Q145" t="str">
            <v>L</v>
          </cell>
          <cell r="R145">
            <v>13</v>
          </cell>
          <cell r="S145">
            <v>13</v>
          </cell>
          <cell r="T145">
            <v>13</v>
          </cell>
          <cell r="U145">
            <v>13</v>
          </cell>
          <cell r="V145">
            <v>13</v>
          </cell>
          <cell r="W145">
            <v>13</v>
          </cell>
          <cell r="X145">
            <v>13.5</v>
          </cell>
          <cell r="Y145">
            <v>13</v>
          </cell>
          <cell r="Z145">
            <v>13</v>
          </cell>
          <cell r="AA145">
            <v>13</v>
          </cell>
          <cell r="AB145">
            <v>13</v>
          </cell>
          <cell r="AC145">
            <v>13</v>
          </cell>
          <cell r="AD145">
            <v>4</v>
          </cell>
          <cell r="AE145">
            <v>4</v>
          </cell>
          <cell r="AF145">
            <v>4</v>
          </cell>
          <cell r="AG145">
            <v>4</v>
          </cell>
          <cell r="AH145">
            <v>4</v>
          </cell>
          <cell r="AI145">
            <v>4</v>
          </cell>
          <cell r="AJ145">
            <v>12</v>
          </cell>
          <cell r="AK145">
            <v>12</v>
          </cell>
          <cell r="AL145">
            <v>4</v>
          </cell>
          <cell r="AM145">
            <v>4</v>
          </cell>
          <cell r="AN145">
            <v>4</v>
          </cell>
          <cell r="AO145" t="str">
            <v>x</v>
          </cell>
          <cell r="AP145">
            <v>23</v>
          </cell>
          <cell r="AQ145">
            <v>7</v>
          </cell>
          <cell r="AR145">
            <v>0</v>
          </cell>
          <cell r="AS145">
            <v>0</v>
          </cell>
          <cell r="AT145">
            <v>0</v>
          </cell>
          <cell r="AU145">
            <v>0</v>
          </cell>
          <cell r="AV145">
            <v>192.5</v>
          </cell>
          <cell r="AW145">
            <v>24</v>
          </cell>
          <cell r="AX145">
            <v>30</v>
          </cell>
          <cell r="AY145">
            <v>23</v>
          </cell>
          <cell r="AZ145">
            <v>30</v>
          </cell>
          <cell r="CF145">
            <v>42</v>
          </cell>
          <cell r="CN145" t="str">
            <v xml:space="preserve">Owed 42 hours overtime extra overtime from 18th to 23rd October'2008. </v>
          </cell>
        </row>
        <row r="146">
          <cell r="B146">
            <v>377</v>
          </cell>
          <cell r="D146" t="str">
            <v>Salim Khalfan Salim Al Rajibi</v>
          </cell>
          <cell r="E146" t="str">
            <v>Labour / Driver</v>
          </cell>
          <cell r="G146" t="str">
            <v>N/A</v>
          </cell>
          <cell r="H146">
            <v>38899</v>
          </cell>
          <cell r="I146" t="str">
            <v>A</v>
          </cell>
          <cell r="J146" t="str">
            <v>Sh:3</v>
          </cell>
          <cell r="K146">
            <v>6.5</v>
          </cell>
          <cell r="L146">
            <v>6.5</v>
          </cell>
          <cell r="M146">
            <v>6.5</v>
          </cell>
          <cell r="N146">
            <v>2.5</v>
          </cell>
          <cell r="O146">
            <v>6.5</v>
          </cell>
          <cell r="P146">
            <v>6.5</v>
          </cell>
          <cell r="Q146">
            <v>2.5</v>
          </cell>
          <cell r="R146" t="str">
            <v>L</v>
          </cell>
          <cell r="S146" t="str">
            <v>L</v>
          </cell>
          <cell r="T146" t="str">
            <v>L</v>
          </cell>
          <cell r="U146" t="str">
            <v>L</v>
          </cell>
          <cell r="V146" t="str">
            <v>L</v>
          </cell>
          <cell r="W146" t="str">
            <v>L</v>
          </cell>
          <cell r="X146" t="str">
            <v>L</v>
          </cell>
          <cell r="Y146" t="str">
            <v>L</v>
          </cell>
          <cell r="Z146" t="str">
            <v>L</v>
          </cell>
          <cell r="AA146" t="str">
            <v>L</v>
          </cell>
          <cell r="AB146" t="str">
            <v>L</v>
          </cell>
          <cell r="AC146" t="str">
            <v>L</v>
          </cell>
          <cell r="AD146" t="str">
            <v>L</v>
          </cell>
          <cell r="AE146" t="str">
            <v>L</v>
          </cell>
          <cell r="AF146">
            <v>2.5</v>
          </cell>
          <cell r="AG146">
            <v>2.5</v>
          </cell>
          <cell r="AH146">
            <v>2.5</v>
          </cell>
          <cell r="AI146">
            <v>2.5</v>
          </cell>
          <cell r="AJ146">
            <v>10.5</v>
          </cell>
          <cell r="AK146">
            <v>10.5</v>
          </cell>
          <cell r="AL146">
            <v>2.5</v>
          </cell>
          <cell r="AM146">
            <v>2.5</v>
          </cell>
          <cell r="AN146">
            <v>2.5</v>
          </cell>
          <cell r="AO146" t="str">
            <v>x</v>
          </cell>
          <cell r="AP146">
            <v>16</v>
          </cell>
          <cell r="AQ146">
            <v>14</v>
          </cell>
          <cell r="AR146">
            <v>0</v>
          </cell>
          <cell r="AS146">
            <v>0</v>
          </cell>
          <cell r="AT146">
            <v>0</v>
          </cell>
          <cell r="AU146">
            <v>0</v>
          </cell>
          <cell r="AV146">
            <v>55</v>
          </cell>
          <cell r="AW146">
            <v>21</v>
          </cell>
          <cell r="AX146">
            <v>30</v>
          </cell>
          <cell r="AY146">
            <v>16</v>
          </cell>
          <cell r="AZ146">
            <v>30</v>
          </cell>
          <cell r="CF146">
            <v>44.5</v>
          </cell>
          <cell r="CG146">
            <v>63</v>
          </cell>
          <cell r="CH146">
            <v>4</v>
          </cell>
          <cell r="CM146">
            <v>123</v>
          </cell>
          <cell r="CN146" t="str">
            <v>Deducted two day desert allowance, 7.5 hours overtime left morning on 26th October and 27th to 28th October'2008 take leave is son sick. Owed 52 hours overtime extra overtime from 16th to 25th and 29th to 31st October'2008. Owed 123 rials Eid bonus, 63 ho</v>
          </cell>
        </row>
        <row r="147">
          <cell r="B147">
            <v>378</v>
          </cell>
          <cell r="D147" t="str">
            <v>Al Sabaa Juma Al Sabaa Al Jadeedi</v>
          </cell>
          <cell r="E147" t="str">
            <v>Labour / Chain Crew</v>
          </cell>
          <cell r="G147" t="str">
            <v>N/A</v>
          </cell>
          <cell r="H147">
            <v>38899</v>
          </cell>
          <cell r="I147" t="str">
            <v>A</v>
          </cell>
          <cell r="J147" t="str">
            <v>Sh:2</v>
          </cell>
          <cell r="K147" t="str">
            <v>H</v>
          </cell>
          <cell r="L147" t="str">
            <v>H</v>
          </cell>
          <cell r="M147" t="str">
            <v>H</v>
          </cell>
          <cell r="N147" t="str">
            <v>H</v>
          </cell>
          <cell r="O147" t="str">
            <v>H</v>
          </cell>
          <cell r="P147" t="str">
            <v>H</v>
          </cell>
          <cell r="Q147" t="str">
            <v>H</v>
          </cell>
          <cell r="R147" t="str">
            <v>H</v>
          </cell>
          <cell r="S147" t="str">
            <v>H</v>
          </cell>
          <cell r="T147" t="str">
            <v>H</v>
          </cell>
          <cell r="U147" t="str">
            <v>H</v>
          </cell>
          <cell r="V147" t="str">
            <v>H</v>
          </cell>
          <cell r="W147" t="str">
            <v>H</v>
          </cell>
          <cell r="X147" t="str">
            <v>H</v>
          </cell>
          <cell r="Y147">
            <v>2</v>
          </cell>
          <cell r="Z147">
            <v>2</v>
          </cell>
          <cell r="AA147">
            <v>2</v>
          </cell>
          <cell r="AB147">
            <v>2</v>
          </cell>
          <cell r="AC147">
            <v>2</v>
          </cell>
          <cell r="AD147">
            <v>2</v>
          </cell>
          <cell r="AE147">
            <v>2</v>
          </cell>
          <cell r="AF147">
            <v>2</v>
          </cell>
          <cell r="AG147">
            <v>2</v>
          </cell>
          <cell r="AH147">
            <v>2</v>
          </cell>
          <cell r="AI147">
            <v>2</v>
          </cell>
          <cell r="AJ147">
            <v>10</v>
          </cell>
          <cell r="AK147">
            <v>10</v>
          </cell>
          <cell r="AL147">
            <v>2</v>
          </cell>
          <cell r="AM147">
            <v>2</v>
          </cell>
          <cell r="AN147">
            <v>2</v>
          </cell>
          <cell r="AO147" t="str">
            <v>x</v>
          </cell>
          <cell r="AP147">
            <v>16</v>
          </cell>
          <cell r="AQ147">
            <v>0</v>
          </cell>
          <cell r="AR147">
            <v>0</v>
          </cell>
          <cell r="AS147">
            <v>0</v>
          </cell>
          <cell r="AT147">
            <v>0</v>
          </cell>
          <cell r="AU147">
            <v>14</v>
          </cell>
          <cell r="AV147">
            <v>28</v>
          </cell>
          <cell r="AW147">
            <v>20</v>
          </cell>
          <cell r="AX147">
            <v>16</v>
          </cell>
          <cell r="AY147">
            <v>16</v>
          </cell>
          <cell r="AZ147">
            <v>16</v>
          </cell>
          <cell r="CG147">
            <v>60</v>
          </cell>
          <cell r="CH147">
            <v>6</v>
          </cell>
          <cell r="CM147">
            <v>123</v>
          </cell>
          <cell r="CN147" t="str">
            <v>Owed 123 rials Eid bonus, 60 hours 200%, 6 days desert allowance for Eid Al Adhah'2008 from 8th to 13th December'2008.</v>
          </cell>
        </row>
        <row r="148">
          <cell r="B148">
            <v>381</v>
          </cell>
          <cell r="D148" t="str">
            <v>Youseph Abdullah Bukheit Al Ghafri</v>
          </cell>
          <cell r="E148" t="str">
            <v>Labour</v>
          </cell>
          <cell r="G148" t="str">
            <v>N/A</v>
          </cell>
          <cell r="H148">
            <v>38899</v>
          </cell>
          <cell r="I148" t="str">
            <v>A</v>
          </cell>
          <cell r="J148" t="str">
            <v>Sh:1</v>
          </cell>
          <cell r="K148">
            <v>2</v>
          </cell>
          <cell r="L148">
            <v>2</v>
          </cell>
          <cell r="M148">
            <v>2</v>
          </cell>
          <cell r="N148">
            <v>2</v>
          </cell>
          <cell r="O148">
            <v>2</v>
          </cell>
          <cell r="P148">
            <v>2</v>
          </cell>
          <cell r="Q148">
            <v>2</v>
          </cell>
          <cell r="R148">
            <v>2</v>
          </cell>
          <cell r="S148">
            <v>2</v>
          </cell>
          <cell r="T148">
            <v>2</v>
          </cell>
          <cell r="U148">
            <v>2</v>
          </cell>
          <cell r="V148">
            <v>2</v>
          </cell>
          <cell r="W148">
            <v>2</v>
          </cell>
          <cell r="X148">
            <v>2</v>
          </cell>
          <cell r="Y148">
            <v>2</v>
          </cell>
          <cell r="Z148">
            <v>2</v>
          </cell>
          <cell r="AA148">
            <v>2</v>
          </cell>
          <cell r="AB148">
            <v>2</v>
          </cell>
          <cell r="AC148">
            <v>2</v>
          </cell>
          <cell r="AD148">
            <v>2</v>
          </cell>
          <cell r="AE148">
            <v>2</v>
          </cell>
          <cell r="AF148" t="str">
            <v>L</v>
          </cell>
          <cell r="AG148" t="str">
            <v>L</v>
          </cell>
          <cell r="AH148" t="str">
            <v>L</v>
          </cell>
          <cell r="AI148" t="str">
            <v>L</v>
          </cell>
          <cell r="AJ148" t="str">
            <v>L</v>
          </cell>
          <cell r="AK148" t="str">
            <v>L</v>
          </cell>
          <cell r="AL148" t="str">
            <v>L</v>
          </cell>
          <cell r="AM148" t="str">
            <v>L</v>
          </cell>
          <cell r="AN148" t="str">
            <v>L</v>
          </cell>
          <cell r="AO148" t="str">
            <v>x</v>
          </cell>
          <cell r="AP148">
            <v>21</v>
          </cell>
          <cell r="AQ148">
            <v>9</v>
          </cell>
          <cell r="AR148">
            <v>0</v>
          </cell>
          <cell r="AS148">
            <v>0</v>
          </cell>
          <cell r="AT148">
            <v>0</v>
          </cell>
          <cell r="AU148">
            <v>0</v>
          </cell>
          <cell r="AV148">
            <v>42</v>
          </cell>
          <cell r="AW148">
            <v>0</v>
          </cell>
          <cell r="AX148">
            <v>30</v>
          </cell>
          <cell r="AY148">
            <v>21</v>
          </cell>
          <cell r="AZ148">
            <v>30</v>
          </cell>
          <cell r="CG148">
            <v>60</v>
          </cell>
          <cell r="CH148">
            <v>6</v>
          </cell>
          <cell r="CM148">
            <v>123</v>
          </cell>
          <cell r="CN148" t="str">
            <v>Owed 123 rials Eid bonus, 60 hours 200%, 6 days desert allowance for Eid Al Adhah'2008 from 8th to 13th December'2008.</v>
          </cell>
        </row>
        <row r="149">
          <cell r="B149">
            <v>382</v>
          </cell>
          <cell r="D149" t="str">
            <v>Mohammed Suliman Said Al Qasmi</v>
          </cell>
          <cell r="E149" t="str">
            <v>Labour</v>
          </cell>
          <cell r="G149" t="str">
            <v>N/A</v>
          </cell>
          <cell r="H149">
            <v>38899</v>
          </cell>
          <cell r="I149" t="str">
            <v>A</v>
          </cell>
          <cell r="J149" t="str">
            <v>Sh:2</v>
          </cell>
          <cell r="K149" t="str">
            <v>L</v>
          </cell>
          <cell r="L149" t="str">
            <v>L</v>
          </cell>
          <cell r="M149" t="str">
            <v>L</v>
          </cell>
          <cell r="N149" t="str">
            <v>L</v>
          </cell>
          <cell r="O149" t="str">
            <v>L</v>
          </cell>
          <cell r="P149" t="str">
            <v>L</v>
          </cell>
          <cell r="Q149" t="str">
            <v>L</v>
          </cell>
          <cell r="R149">
            <v>6</v>
          </cell>
          <cell r="S149">
            <v>6</v>
          </cell>
          <cell r="T149">
            <v>7</v>
          </cell>
          <cell r="U149">
            <v>6</v>
          </cell>
          <cell r="V149">
            <v>7</v>
          </cell>
          <cell r="W149">
            <v>7</v>
          </cell>
          <cell r="X149">
            <v>6</v>
          </cell>
          <cell r="Y149">
            <v>6</v>
          </cell>
          <cell r="Z149">
            <v>2</v>
          </cell>
          <cell r="AA149">
            <v>2</v>
          </cell>
          <cell r="AB149">
            <v>2</v>
          </cell>
          <cell r="AC149">
            <v>2</v>
          </cell>
          <cell r="AD149">
            <v>2</v>
          </cell>
          <cell r="AE149">
            <v>2</v>
          </cell>
          <cell r="AF149">
            <v>2</v>
          </cell>
          <cell r="AG149">
            <v>2</v>
          </cell>
          <cell r="AH149">
            <v>2</v>
          </cell>
          <cell r="AI149">
            <v>2</v>
          </cell>
          <cell r="AJ149">
            <v>10</v>
          </cell>
          <cell r="AK149">
            <v>10</v>
          </cell>
          <cell r="AL149">
            <v>2</v>
          </cell>
          <cell r="AM149">
            <v>2</v>
          </cell>
          <cell r="AN149">
            <v>2</v>
          </cell>
          <cell r="AO149" t="str">
            <v>x</v>
          </cell>
          <cell r="AP149">
            <v>23</v>
          </cell>
          <cell r="AQ149">
            <v>7</v>
          </cell>
          <cell r="AR149">
            <v>0</v>
          </cell>
          <cell r="AS149">
            <v>0</v>
          </cell>
          <cell r="AT149">
            <v>0</v>
          </cell>
          <cell r="AU149">
            <v>0</v>
          </cell>
          <cell r="AV149">
            <v>77</v>
          </cell>
          <cell r="AW149">
            <v>20</v>
          </cell>
          <cell r="AX149">
            <v>30</v>
          </cell>
          <cell r="AY149">
            <v>23</v>
          </cell>
          <cell r="AZ149">
            <v>30</v>
          </cell>
          <cell r="CF149">
            <v>8</v>
          </cell>
          <cell r="CG149">
            <v>60</v>
          </cell>
          <cell r="CH149">
            <v>6</v>
          </cell>
          <cell r="CM149">
            <v>123</v>
          </cell>
          <cell r="CN149" t="str">
            <v>Owed 8 hours overtime extra overtime from 17th and 21st October'2008. Owed 123 rials Eid bonus, 60 hours 200%, 6 days desert allowance for Eid Al Adhah'2008 from 8th to 13th December'2008.</v>
          </cell>
        </row>
        <row r="150">
          <cell r="B150">
            <v>384</v>
          </cell>
          <cell r="D150" t="str">
            <v>Yousuf Musabah Ghanim Al Ghafri</v>
          </cell>
          <cell r="E150" t="str">
            <v>Labour</v>
          </cell>
          <cell r="G150" t="str">
            <v>N/A</v>
          </cell>
          <cell r="H150">
            <v>38899</v>
          </cell>
          <cell r="I150" t="str">
            <v>A</v>
          </cell>
          <cell r="J150" t="str">
            <v>Sh:3</v>
          </cell>
          <cell r="K150">
            <v>2</v>
          </cell>
          <cell r="L150">
            <v>2</v>
          </cell>
          <cell r="M150">
            <v>0</v>
          </cell>
          <cell r="N150" t="str">
            <v>L</v>
          </cell>
          <cell r="O150" t="str">
            <v>L</v>
          </cell>
          <cell r="P150" t="str">
            <v>L</v>
          </cell>
          <cell r="Q150" t="str">
            <v>L</v>
          </cell>
          <cell r="R150" t="str">
            <v>L</v>
          </cell>
          <cell r="S150" t="str">
            <v>L</v>
          </cell>
          <cell r="T150" t="str">
            <v>L</v>
          </cell>
          <cell r="U150" t="str">
            <v>L</v>
          </cell>
          <cell r="V150" t="str">
            <v>L</v>
          </cell>
          <cell r="W150" t="str">
            <v>L</v>
          </cell>
          <cell r="X150" t="str">
            <v>L</v>
          </cell>
          <cell r="Y150" t="str">
            <v>L</v>
          </cell>
          <cell r="Z150" t="str">
            <v>L</v>
          </cell>
          <cell r="AA150" t="str">
            <v>L</v>
          </cell>
          <cell r="AB150" t="str">
            <v>L</v>
          </cell>
          <cell r="AC150" t="str">
            <v>L</v>
          </cell>
          <cell r="AD150" t="str">
            <v>L</v>
          </cell>
          <cell r="AE150" t="str">
            <v>L</v>
          </cell>
          <cell r="AF150">
            <v>2</v>
          </cell>
          <cell r="AG150">
            <v>2</v>
          </cell>
          <cell r="AH150">
            <v>2</v>
          </cell>
          <cell r="AI150">
            <v>2</v>
          </cell>
          <cell r="AJ150">
            <v>10</v>
          </cell>
          <cell r="AK150">
            <v>10</v>
          </cell>
          <cell r="AL150">
            <v>2</v>
          </cell>
          <cell r="AM150">
            <v>2</v>
          </cell>
          <cell r="AN150">
            <v>2</v>
          </cell>
          <cell r="AO150" t="str">
            <v>x</v>
          </cell>
          <cell r="AP150">
            <v>12</v>
          </cell>
          <cell r="AQ150">
            <v>18</v>
          </cell>
          <cell r="AR150">
            <v>0</v>
          </cell>
          <cell r="AS150">
            <v>0</v>
          </cell>
          <cell r="AT150">
            <v>0</v>
          </cell>
          <cell r="AU150">
            <v>0</v>
          </cell>
          <cell r="AV150">
            <v>18</v>
          </cell>
          <cell r="AW150">
            <v>20</v>
          </cell>
          <cell r="AX150">
            <v>30</v>
          </cell>
          <cell r="AY150">
            <v>12</v>
          </cell>
          <cell r="AZ150">
            <v>30</v>
          </cell>
          <cell r="CG150">
            <v>60</v>
          </cell>
          <cell r="CH150">
            <v>6</v>
          </cell>
          <cell r="CM150">
            <v>123</v>
          </cell>
          <cell r="CN150" t="str">
            <v>Owed 123 rials Eid bonus, 60 hours 200%, 6 days desert allowance for Eid Al Adhah'2008 from 8th to 13th December'2008.</v>
          </cell>
        </row>
        <row r="151">
          <cell r="B151">
            <v>385</v>
          </cell>
          <cell r="D151" t="str">
            <v xml:space="preserve">Nasser Sulaiman Hamood Al Tabahi </v>
          </cell>
          <cell r="E151" t="str">
            <v>Labour</v>
          </cell>
          <cell r="G151" t="str">
            <v>N/A</v>
          </cell>
          <cell r="H151">
            <v>38899</v>
          </cell>
          <cell r="I151" t="str">
            <v>A</v>
          </cell>
          <cell r="J151" t="str">
            <v>Sh:3</v>
          </cell>
          <cell r="K151" t="str">
            <v>H</v>
          </cell>
          <cell r="L151" t="str">
            <v>H</v>
          </cell>
          <cell r="M151" t="str">
            <v>H</v>
          </cell>
          <cell r="N151" t="str">
            <v>H</v>
          </cell>
          <cell r="O151" t="str">
            <v>H</v>
          </cell>
          <cell r="P151" t="str">
            <v>H</v>
          </cell>
          <cell r="Q151" t="str">
            <v>H</v>
          </cell>
          <cell r="R151" t="str">
            <v>H</v>
          </cell>
          <cell r="S151" t="str">
            <v>H</v>
          </cell>
          <cell r="T151" t="str">
            <v>H</v>
          </cell>
          <cell r="U151" t="str">
            <v>H</v>
          </cell>
          <cell r="V151" t="str">
            <v>H</v>
          </cell>
          <cell r="W151" t="str">
            <v>H</v>
          </cell>
          <cell r="X151" t="str">
            <v>H</v>
          </cell>
          <cell r="Y151" t="str">
            <v>H</v>
          </cell>
          <cell r="Z151" t="str">
            <v>H</v>
          </cell>
          <cell r="AA151" t="str">
            <v>H</v>
          </cell>
          <cell r="AB151" t="str">
            <v>H</v>
          </cell>
          <cell r="AC151" t="str">
            <v>H</v>
          </cell>
          <cell r="AD151" t="str">
            <v>H</v>
          </cell>
          <cell r="AE151" t="str">
            <v>H</v>
          </cell>
          <cell r="AF151" t="str">
            <v>H</v>
          </cell>
          <cell r="AG151" t="str">
            <v>H</v>
          </cell>
          <cell r="AH151" t="str">
            <v>H</v>
          </cell>
          <cell r="AI151" t="str">
            <v>H</v>
          </cell>
          <cell r="AJ151" t="str">
            <v>H</v>
          </cell>
          <cell r="AK151" t="str">
            <v>H</v>
          </cell>
          <cell r="AL151" t="str">
            <v>H</v>
          </cell>
          <cell r="AM151" t="str">
            <v>H</v>
          </cell>
          <cell r="AN151" t="str">
            <v>H</v>
          </cell>
          <cell r="AO151" t="str">
            <v>x</v>
          </cell>
          <cell r="AP151">
            <v>0</v>
          </cell>
          <cell r="AQ151">
            <v>0</v>
          </cell>
          <cell r="AR151">
            <v>0</v>
          </cell>
          <cell r="AS151">
            <v>0</v>
          </cell>
          <cell r="AT151">
            <v>0</v>
          </cell>
          <cell r="AU151">
            <v>30</v>
          </cell>
          <cell r="AV151">
            <v>0</v>
          </cell>
          <cell r="AW151">
            <v>0</v>
          </cell>
          <cell r="AX151">
            <v>0</v>
          </cell>
          <cell r="AY151">
            <v>0</v>
          </cell>
          <cell r="AZ151">
            <v>0</v>
          </cell>
        </row>
        <row r="152">
          <cell r="B152">
            <v>386</v>
          </cell>
          <cell r="D152" t="str">
            <v>Saif Hamood Yasir Al Harrasi</v>
          </cell>
          <cell r="E152" t="str">
            <v>Labour / GPS Operator</v>
          </cell>
          <cell r="G152" t="str">
            <v>N/A</v>
          </cell>
          <cell r="H152">
            <v>38899</v>
          </cell>
          <cell r="I152" t="str">
            <v>A</v>
          </cell>
          <cell r="J152" t="str">
            <v>Sh:2</v>
          </cell>
          <cell r="K152" t="str">
            <v>L</v>
          </cell>
          <cell r="L152" t="str">
            <v>L</v>
          </cell>
          <cell r="M152" t="str">
            <v>L</v>
          </cell>
          <cell r="N152" t="str">
            <v>L</v>
          </cell>
          <cell r="O152" t="str">
            <v>L</v>
          </cell>
          <cell r="P152" t="str">
            <v>L</v>
          </cell>
          <cell r="Q152" t="str">
            <v>L</v>
          </cell>
          <cell r="R152">
            <v>2.5</v>
          </cell>
          <cell r="S152">
            <v>2.5</v>
          </cell>
          <cell r="T152">
            <v>2.5</v>
          </cell>
          <cell r="U152">
            <v>2.5</v>
          </cell>
          <cell r="V152">
            <v>2.5</v>
          </cell>
          <cell r="W152">
            <v>2.5</v>
          </cell>
          <cell r="X152">
            <v>2.5</v>
          </cell>
          <cell r="Y152">
            <v>2.5</v>
          </cell>
          <cell r="Z152">
            <v>2.5</v>
          </cell>
          <cell r="AA152">
            <v>2.5</v>
          </cell>
          <cell r="AB152">
            <v>2.5</v>
          </cell>
          <cell r="AC152">
            <v>2.5</v>
          </cell>
          <cell r="AD152">
            <v>2.5</v>
          </cell>
          <cell r="AE152">
            <v>2.5</v>
          </cell>
          <cell r="AF152">
            <v>2.5</v>
          </cell>
          <cell r="AG152">
            <v>2.5</v>
          </cell>
          <cell r="AH152">
            <v>2.5</v>
          </cell>
          <cell r="AI152">
            <v>2.5</v>
          </cell>
          <cell r="AJ152">
            <v>10.5</v>
          </cell>
          <cell r="AK152">
            <v>10.5</v>
          </cell>
          <cell r="AL152">
            <v>2.5</v>
          </cell>
          <cell r="AM152">
            <v>2.5</v>
          </cell>
          <cell r="AN152">
            <v>2.5</v>
          </cell>
          <cell r="AO152" t="str">
            <v>x</v>
          </cell>
          <cell r="AP152">
            <v>23</v>
          </cell>
          <cell r="AQ152">
            <v>7</v>
          </cell>
          <cell r="AR152">
            <v>0</v>
          </cell>
          <cell r="AS152">
            <v>0</v>
          </cell>
          <cell r="AT152">
            <v>0</v>
          </cell>
          <cell r="AU152">
            <v>0</v>
          </cell>
          <cell r="AV152">
            <v>52.5</v>
          </cell>
          <cell r="AW152">
            <v>21</v>
          </cell>
          <cell r="AX152">
            <v>30</v>
          </cell>
          <cell r="AY152">
            <v>23</v>
          </cell>
          <cell r="AZ152">
            <v>30</v>
          </cell>
          <cell r="CF152">
            <v>6</v>
          </cell>
          <cell r="CN152" t="str">
            <v>Owed 6 hours overtime extra overtime from 15th October'2008.</v>
          </cell>
        </row>
        <row r="153">
          <cell r="B153">
            <v>387</v>
          </cell>
          <cell r="D153" t="str">
            <v>Yasir Abdullah Rashid Al Kalbani</v>
          </cell>
          <cell r="E153" t="str">
            <v>Labour / Chain Crew</v>
          </cell>
          <cell r="G153" t="str">
            <v>N/A</v>
          </cell>
          <cell r="H153">
            <v>38899</v>
          </cell>
          <cell r="I153" t="str">
            <v>A</v>
          </cell>
          <cell r="J153" t="str">
            <v>Sh:1</v>
          </cell>
          <cell r="K153" t="str">
            <v>H</v>
          </cell>
          <cell r="L153" t="str">
            <v>H</v>
          </cell>
          <cell r="M153" t="str">
            <v>H</v>
          </cell>
          <cell r="N153" t="str">
            <v>H</v>
          </cell>
          <cell r="O153" t="str">
            <v>H</v>
          </cell>
          <cell r="P153" t="str">
            <v>H</v>
          </cell>
          <cell r="Q153" t="str">
            <v>H</v>
          </cell>
          <cell r="R153" t="str">
            <v>H</v>
          </cell>
          <cell r="S153" t="str">
            <v>H</v>
          </cell>
          <cell r="T153" t="str">
            <v>H</v>
          </cell>
          <cell r="U153" t="str">
            <v>H</v>
          </cell>
          <cell r="V153" t="str">
            <v>H</v>
          </cell>
          <cell r="W153" t="str">
            <v>H</v>
          </cell>
          <cell r="X153" t="str">
            <v>H</v>
          </cell>
          <cell r="Y153" t="str">
            <v>H</v>
          </cell>
          <cell r="Z153" t="str">
            <v>H</v>
          </cell>
          <cell r="AA153" t="str">
            <v>H</v>
          </cell>
          <cell r="AB153" t="str">
            <v>H</v>
          </cell>
          <cell r="AC153" t="str">
            <v>H</v>
          </cell>
          <cell r="AD153" t="str">
            <v>H</v>
          </cell>
          <cell r="AE153" t="str">
            <v>H</v>
          </cell>
          <cell r="AF153" t="str">
            <v>H</v>
          </cell>
          <cell r="AG153" t="str">
            <v>H</v>
          </cell>
          <cell r="AH153" t="str">
            <v>H</v>
          </cell>
          <cell r="AI153" t="str">
            <v>H</v>
          </cell>
          <cell r="AJ153" t="str">
            <v>H</v>
          </cell>
          <cell r="AK153" t="str">
            <v>H</v>
          </cell>
          <cell r="AL153" t="str">
            <v>H</v>
          </cell>
          <cell r="AM153" t="str">
            <v>H</v>
          </cell>
          <cell r="AN153" t="str">
            <v>H</v>
          </cell>
          <cell r="AO153" t="str">
            <v>x</v>
          </cell>
          <cell r="AP153">
            <v>0</v>
          </cell>
          <cell r="AQ153">
            <v>0</v>
          </cell>
          <cell r="AR153">
            <v>0</v>
          </cell>
          <cell r="AS153">
            <v>0</v>
          </cell>
          <cell r="AT153">
            <v>0</v>
          </cell>
          <cell r="AU153">
            <v>30</v>
          </cell>
          <cell r="AV153">
            <v>0</v>
          </cell>
          <cell r="AW153">
            <v>0</v>
          </cell>
          <cell r="AX153">
            <v>0</v>
          </cell>
          <cell r="AY153">
            <v>0</v>
          </cell>
          <cell r="AZ153">
            <v>0</v>
          </cell>
        </row>
        <row r="154">
          <cell r="B154">
            <v>388</v>
          </cell>
          <cell r="D154" t="str">
            <v>Jamal Abdullah Khalfan Al Sharji</v>
          </cell>
          <cell r="E154" t="str">
            <v>Labour</v>
          </cell>
          <cell r="G154" t="str">
            <v>N/A</v>
          </cell>
          <cell r="H154">
            <v>38899</v>
          </cell>
          <cell r="I154" t="str">
            <v>A</v>
          </cell>
          <cell r="J154" t="str">
            <v>Sh:1</v>
          </cell>
          <cell r="K154">
            <v>2</v>
          </cell>
          <cell r="L154">
            <v>2</v>
          </cell>
          <cell r="M154">
            <v>5.5</v>
          </cell>
          <cell r="N154">
            <v>6</v>
          </cell>
          <cell r="O154">
            <v>13</v>
          </cell>
          <cell r="P154">
            <v>10</v>
          </cell>
          <cell r="Q154">
            <v>9</v>
          </cell>
          <cell r="R154">
            <v>9</v>
          </cell>
          <cell r="S154">
            <v>10</v>
          </cell>
          <cell r="T154">
            <v>10</v>
          </cell>
          <cell r="U154">
            <v>10</v>
          </cell>
          <cell r="V154">
            <v>10</v>
          </cell>
          <cell r="W154">
            <v>10</v>
          </cell>
          <cell r="X154">
            <v>10</v>
          </cell>
          <cell r="Y154">
            <v>10</v>
          </cell>
          <cell r="Z154">
            <v>2</v>
          </cell>
          <cell r="AA154">
            <v>2</v>
          </cell>
          <cell r="AB154">
            <v>2</v>
          </cell>
          <cell r="AC154">
            <v>2</v>
          </cell>
          <cell r="AD154" t="str">
            <v>A</v>
          </cell>
          <cell r="AE154" t="str">
            <v>A</v>
          </cell>
          <cell r="AF154" t="str">
            <v>L</v>
          </cell>
          <cell r="AG154" t="str">
            <v>L</v>
          </cell>
          <cell r="AH154" t="str">
            <v>L</v>
          </cell>
          <cell r="AI154" t="str">
            <v>L</v>
          </cell>
          <cell r="AJ154" t="str">
            <v>L</v>
          </cell>
          <cell r="AK154" t="str">
            <v>L</v>
          </cell>
          <cell r="AL154" t="str">
            <v>L</v>
          </cell>
          <cell r="AM154" t="str">
            <v>L</v>
          </cell>
          <cell r="AN154" t="str">
            <v>L</v>
          </cell>
          <cell r="AO154" t="str">
            <v>x</v>
          </cell>
          <cell r="AP154">
            <v>19</v>
          </cell>
          <cell r="AQ154">
            <v>9</v>
          </cell>
          <cell r="AR154">
            <v>0</v>
          </cell>
          <cell r="AS154">
            <v>0</v>
          </cell>
          <cell r="AT154">
            <v>2</v>
          </cell>
          <cell r="AU154">
            <v>0</v>
          </cell>
          <cell r="AV154">
            <v>134.5</v>
          </cell>
          <cell r="AW154">
            <v>0</v>
          </cell>
          <cell r="AX154">
            <v>28</v>
          </cell>
          <cell r="AY154">
            <v>19</v>
          </cell>
          <cell r="AZ154">
            <v>28</v>
          </cell>
          <cell r="CF154">
            <v>12</v>
          </cell>
          <cell r="CN154" t="str">
            <v>Owed 12 hours overtime extra overtime from 29th to 31st October'2008.</v>
          </cell>
        </row>
        <row r="155">
          <cell r="B155">
            <v>389</v>
          </cell>
          <cell r="D155" t="str">
            <v>Mohammed Ali Said Al Mahrouqi</v>
          </cell>
          <cell r="E155" t="str">
            <v>Labour</v>
          </cell>
          <cell r="G155" t="str">
            <v>N/A</v>
          </cell>
          <cell r="H155">
            <v>38899</v>
          </cell>
          <cell r="I155" t="str">
            <v>A</v>
          </cell>
          <cell r="J155" t="str">
            <v>Sh:3</v>
          </cell>
          <cell r="K155">
            <v>6</v>
          </cell>
          <cell r="L155">
            <v>6</v>
          </cell>
          <cell r="M155">
            <v>6</v>
          </cell>
          <cell r="N155">
            <v>6</v>
          </cell>
          <cell r="O155">
            <v>6</v>
          </cell>
          <cell r="P155" t="str">
            <v>C</v>
          </cell>
          <cell r="Q155" t="str">
            <v>C</v>
          </cell>
          <cell r="R155" t="str">
            <v>L</v>
          </cell>
          <cell r="S155" t="str">
            <v>L</v>
          </cell>
          <cell r="T155" t="str">
            <v>L</v>
          </cell>
          <cell r="U155" t="str">
            <v>L</v>
          </cell>
          <cell r="V155" t="str">
            <v>L</v>
          </cell>
          <cell r="W155" t="str">
            <v>L</v>
          </cell>
          <cell r="X155" t="str">
            <v>L</v>
          </cell>
          <cell r="Y155" t="str">
            <v>L</v>
          </cell>
          <cell r="Z155" t="str">
            <v>L</v>
          </cell>
          <cell r="AA155" t="str">
            <v>L</v>
          </cell>
          <cell r="AB155" t="str">
            <v>L</v>
          </cell>
          <cell r="AC155" t="str">
            <v>L</v>
          </cell>
          <cell r="AD155" t="str">
            <v>L</v>
          </cell>
          <cell r="AE155" t="str">
            <v>L</v>
          </cell>
          <cell r="AF155">
            <v>2</v>
          </cell>
          <cell r="AG155">
            <v>2</v>
          </cell>
          <cell r="AH155">
            <v>2</v>
          </cell>
          <cell r="AI155">
            <v>2</v>
          </cell>
          <cell r="AJ155">
            <v>10</v>
          </cell>
          <cell r="AK155">
            <v>10</v>
          </cell>
          <cell r="AL155">
            <v>2</v>
          </cell>
          <cell r="AM155">
            <v>2</v>
          </cell>
          <cell r="AN155">
            <v>2</v>
          </cell>
          <cell r="AO155" t="str">
            <v>x</v>
          </cell>
          <cell r="AP155">
            <v>14</v>
          </cell>
          <cell r="AQ155">
            <v>16</v>
          </cell>
          <cell r="AR155">
            <v>0</v>
          </cell>
          <cell r="AS155">
            <v>0</v>
          </cell>
          <cell r="AT155">
            <v>0</v>
          </cell>
          <cell r="AU155">
            <v>0</v>
          </cell>
          <cell r="AV155">
            <v>44</v>
          </cell>
          <cell r="AW155">
            <v>20</v>
          </cell>
          <cell r="AX155">
            <v>30</v>
          </cell>
          <cell r="AY155">
            <v>14</v>
          </cell>
          <cell r="AZ155">
            <v>30</v>
          </cell>
          <cell r="CF155">
            <v>56</v>
          </cell>
          <cell r="CN155" t="str">
            <v>Owed 56 hours overtime extra overtime from 16th to 20th and 22nd to 28th and 30th to 31st October'2008.</v>
          </cell>
        </row>
        <row r="156">
          <cell r="B156">
            <v>390</v>
          </cell>
          <cell r="D156" t="str">
            <v>Salim Mubarak Hamed Al Shaibani</v>
          </cell>
          <cell r="E156" t="str">
            <v>Asst Junior Observer</v>
          </cell>
          <cell r="G156" t="str">
            <v>N/A</v>
          </cell>
          <cell r="H156">
            <v>38899</v>
          </cell>
          <cell r="I156" t="str">
            <v>C1</v>
          </cell>
          <cell r="J156" t="str">
            <v>Sh:3</v>
          </cell>
          <cell r="K156">
            <v>13</v>
          </cell>
          <cell r="L156">
            <v>13</v>
          </cell>
          <cell r="M156">
            <v>13</v>
          </cell>
          <cell r="N156">
            <v>13</v>
          </cell>
          <cell r="O156">
            <v>13</v>
          </cell>
          <cell r="P156">
            <v>13</v>
          </cell>
          <cell r="Q156">
            <v>4</v>
          </cell>
          <cell r="R156" t="str">
            <v>L</v>
          </cell>
          <cell r="S156" t="str">
            <v>L</v>
          </cell>
          <cell r="T156" t="str">
            <v>L</v>
          </cell>
          <cell r="U156" t="str">
            <v>L</v>
          </cell>
          <cell r="V156" t="str">
            <v>L</v>
          </cell>
          <cell r="W156" t="str">
            <v>L</v>
          </cell>
          <cell r="X156" t="str">
            <v>L</v>
          </cell>
          <cell r="Y156" t="str">
            <v>L</v>
          </cell>
          <cell r="Z156" t="str">
            <v>L</v>
          </cell>
          <cell r="AA156" t="str">
            <v>L</v>
          </cell>
          <cell r="AB156" t="str">
            <v>L</v>
          </cell>
          <cell r="AC156" t="str">
            <v>L</v>
          </cell>
          <cell r="AD156" t="str">
            <v>L</v>
          </cell>
          <cell r="AE156" t="str">
            <v>L</v>
          </cell>
          <cell r="AF156">
            <v>4</v>
          </cell>
          <cell r="AG156">
            <v>4</v>
          </cell>
          <cell r="AH156">
            <v>4</v>
          </cell>
          <cell r="AI156">
            <v>4</v>
          </cell>
          <cell r="AJ156">
            <v>12</v>
          </cell>
          <cell r="AK156">
            <v>12</v>
          </cell>
          <cell r="AL156">
            <v>4</v>
          </cell>
          <cell r="AM156">
            <v>4</v>
          </cell>
          <cell r="AN156">
            <v>4</v>
          </cell>
          <cell r="AO156" t="str">
            <v>x</v>
          </cell>
          <cell r="AP156">
            <v>16</v>
          </cell>
          <cell r="AQ156">
            <v>14</v>
          </cell>
          <cell r="AR156">
            <v>0</v>
          </cell>
          <cell r="AS156">
            <v>0</v>
          </cell>
          <cell r="AT156">
            <v>0</v>
          </cell>
          <cell r="AU156">
            <v>0</v>
          </cell>
          <cell r="AV156">
            <v>110</v>
          </cell>
          <cell r="AW156">
            <v>24</v>
          </cell>
          <cell r="AX156">
            <v>30</v>
          </cell>
          <cell r="AY156">
            <v>16</v>
          </cell>
          <cell r="AZ156">
            <v>30</v>
          </cell>
          <cell r="CF156">
            <v>127.5</v>
          </cell>
          <cell r="CG156">
            <v>72</v>
          </cell>
          <cell r="CH156">
            <v>6</v>
          </cell>
          <cell r="CM156">
            <v>123</v>
          </cell>
          <cell r="CN156" t="str">
            <v>Owed 127.5 hours overtime extra overtime from 2nd to 3rd and 13th and 17th to 31st October'2008. Owed 123 rials Eid bonus, 60 hours 200%, 6 days desert allowance for Eid Al Adhah'2008 from 8th to 13th December'2008.Owed 123 rials Eid bonus, 72 hours 200%,</v>
          </cell>
        </row>
        <row r="157">
          <cell r="B157">
            <v>391</v>
          </cell>
          <cell r="D157" t="str">
            <v>Hilal Khalfan Ghalib Al Qasmi</v>
          </cell>
          <cell r="E157" t="str">
            <v>Labour</v>
          </cell>
          <cell r="G157" t="str">
            <v>N/A</v>
          </cell>
          <cell r="H157">
            <v>38899</v>
          </cell>
          <cell r="I157" t="str">
            <v>A</v>
          </cell>
          <cell r="J157" t="str">
            <v>Sh:1</v>
          </cell>
          <cell r="K157" t="str">
            <v>S</v>
          </cell>
          <cell r="L157" t="str">
            <v>S</v>
          </cell>
          <cell r="M157" t="str">
            <v>S</v>
          </cell>
          <cell r="N157" t="str">
            <v>L</v>
          </cell>
          <cell r="O157" t="str">
            <v>L</v>
          </cell>
          <cell r="P157">
            <v>2</v>
          </cell>
          <cell r="Q157">
            <v>2</v>
          </cell>
          <cell r="R157">
            <v>2</v>
          </cell>
          <cell r="S157">
            <v>2</v>
          </cell>
          <cell r="T157">
            <v>2</v>
          </cell>
          <cell r="U157">
            <v>2</v>
          </cell>
          <cell r="V157">
            <v>2</v>
          </cell>
          <cell r="W157">
            <v>2</v>
          </cell>
          <cell r="X157">
            <v>2</v>
          </cell>
          <cell r="Y157">
            <v>2</v>
          </cell>
          <cell r="Z157">
            <v>2</v>
          </cell>
          <cell r="AA157">
            <v>2</v>
          </cell>
          <cell r="AB157">
            <v>2</v>
          </cell>
          <cell r="AC157">
            <v>2</v>
          </cell>
          <cell r="AD157">
            <v>2</v>
          </cell>
          <cell r="AE157">
            <v>2</v>
          </cell>
          <cell r="AF157" t="str">
            <v>L</v>
          </cell>
          <cell r="AG157" t="str">
            <v>L</v>
          </cell>
          <cell r="AH157" t="str">
            <v>L</v>
          </cell>
          <cell r="AI157" t="str">
            <v>L</v>
          </cell>
          <cell r="AJ157" t="str">
            <v>L</v>
          </cell>
          <cell r="AK157" t="str">
            <v>L</v>
          </cell>
          <cell r="AL157" t="str">
            <v>L</v>
          </cell>
          <cell r="AM157" t="str">
            <v>L</v>
          </cell>
          <cell r="AN157" t="str">
            <v>L</v>
          </cell>
          <cell r="AO157" t="str">
            <v>x</v>
          </cell>
          <cell r="AP157">
            <v>16</v>
          </cell>
          <cell r="AQ157">
            <v>11</v>
          </cell>
          <cell r="AR157">
            <v>3</v>
          </cell>
          <cell r="AS157">
            <v>0</v>
          </cell>
          <cell r="AT157">
            <v>0</v>
          </cell>
          <cell r="AU157">
            <v>0</v>
          </cell>
          <cell r="AV157">
            <v>32</v>
          </cell>
          <cell r="AW157">
            <v>0</v>
          </cell>
          <cell r="AX157">
            <v>30</v>
          </cell>
          <cell r="AY157">
            <v>16</v>
          </cell>
          <cell r="AZ157">
            <v>30</v>
          </cell>
          <cell r="CF157">
            <v>-4</v>
          </cell>
          <cell r="CG157">
            <v>60</v>
          </cell>
          <cell r="CH157">
            <v>5</v>
          </cell>
          <cell r="CM157">
            <v>123</v>
          </cell>
          <cell r="CN157" t="str">
            <v>Deducted one day desert allowance, 4 hours overtime left morning on 30th October and 31st October'2008 is sick. Owed 123 rials Eid bonus, 60 hours 200%, 6 days desert allowance for Eid Al Adhah'2008 from 8th to 13th December'2008.</v>
          </cell>
        </row>
        <row r="158">
          <cell r="B158">
            <v>392</v>
          </cell>
          <cell r="D158" t="str">
            <v>Mossa Mussabah Khalfan Al Ghafri</v>
          </cell>
          <cell r="E158" t="str">
            <v>Radio Operator</v>
          </cell>
          <cell r="G158" t="str">
            <v>N/A</v>
          </cell>
          <cell r="H158">
            <v>38899</v>
          </cell>
          <cell r="I158" t="str">
            <v>B</v>
          </cell>
          <cell r="J158" t="str">
            <v>Sh:2</v>
          </cell>
          <cell r="K158" t="str">
            <v>L</v>
          </cell>
          <cell r="L158" t="str">
            <v>L</v>
          </cell>
          <cell r="M158" t="str">
            <v>L</v>
          </cell>
          <cell r="N158" t="str">
            <v>L</v>
          </cell>
          <cell r="O158" t="str">
            <v>L</v>
          </cell>
          <cell r="P158" t="str">
            <v>L</v>
          </cell>
          <cell r="Q158" t="str">
            <v>L</v>
          </cell>
          <cell r="R158">
            <v>8</v>
          </cell>
          <cell r="S158">
            <v>8</v>
          </cell>
          <cell r="T158">
            <v>8</v>
          </cell>
          <cell r="U158">
            <v>8</v>
          </cell>
          <cell r="V158">
            <v>8</v>
          </cell>
          <cell r="W158">
            <v>9.5</v>
          </cell>
          <cell r="X158">
            <v>8</v>
          </cell>
          <cell r="Y158">
            <v>8</v>
          </cell>
          <cell r="Z158">
            <v>8</v>
          </cell>
          <cell r="AA158">
            <v>2</v>
          </cell>
          <cell r="AB158">
            <v>2</v>
          </cell>
          <cell r="AC158">
            <v>2</v>
          </cell>
          <cell r="AD158">
            <v>2</v>
          </cell>
          <cell r="AE158">
            <v>2</v>
          </cell>
          <cell r="AF158">
            <v>2</v>
          </cell>
          <cell r="AG158">
            <v>2</v>
          </cell>
          <cell r="AH158">
            <v>2</v>
          </cell>
          <cell r="AI158">
            <v>2</v>
          </cell>
          <cell r="AJ158">
            <v>10</v>
          </cell>
          <cell r="AK158">
            <v>10</v>
          </cell>
          <cell r="AL158">
            <v>2</v>
          </cell>
          <cell r="AM158">
            <v>2</v>
          </cell>
          <cell r="AN158">
            <v>2</v>
          </cell>
          <cell r="AO158" t="str">
            <v>x</v>
          </cell>
          <cell r="AP158">
            <v>23</v>
          </cell>
          <cell r="AQ158">
            <v>7</v>
          </cell>
          <cell r="AR158">
            <v>0</v>
          </cell>
          <cell r="AS158">
            <v>0</v>
          </cell>
          <cell r="AT158">
            <v>0</v>
          </cell>
          <cell r="AU158">
            <v>0</v>
          </cell>
          <cell r="AV158">
            <v>97.5</v>
          </cell>
          <cell r="AW158">
            <v>20</v>
          </cell>
          <cell r="AX158">
            <v>30</v>
          </cell>
          <cell r="AY158">
            <v>23</v>
          </cell>
          <cell r="AZ158">
            <v>30</v>
          </cell>
          <cell r="CF158">
            <v>36.5</v>
          </cell>
          <cell r="CN158" t="str">
            <v>Owed 36.5 hours overtime extra overtime from 17th to 21st October'2008.</v>
          </cell>
        </row>
        <row r="159">
          <cell r="B159">
            <v>393</v>
          </cell>
          <cell r="D159" t="str">
            <v>Abdullah Said Khamis Al Qassabi</v>
          </cell>
          <cell r="E159" t="str">
            <v>Labour</v>
          </cell>
          <cell r="G159" t="str">
            <v>N/A</v>
          </cell>
          <cell r="H159">
            <v>38899</v>
          </cell>
          <cell r="I159" t="str">
            <v>A</v>
          </cell>
          <cell r="J159" t="str">
            <v>Sh:1</v>
          </cell>
          <cell r="K159">
            <v>6</v>
          </cell>
          <cell r="L159">
            <v>6</v>
          </cell>
          <cell r="M159">
            <v>6</v>
          </cell>
          <cell r="N159">
            <v>6</v>
          </cell>
          <cell r="O159">
            <v>6</v>
          </cell>
          <cell r="P159">
            <v>6</v>
          </cell>
          <cell r="Q159">
            <v>6</v>
          </cell>
          <cell r="R159">
            <v>6</v>
          </cell>
          <cell r="S159">
            <v>6</v>
          </cell>
          <cell r="T159">
            <v>6</v>
          </cell>
          <cell r="U159">
            <v>6</v>
          </cell>
          <cell r="V159">
            <v>6</v>
          </cell>
          <cell r="W159">
            <v>6</v>
          </cell>
          <cell r="X159">
            <v>6</v>
          </cell>
          <cell r="Y159">
            <v>6</v>
          </cell>
          <cell r="Z159">
            <v>2</v>
          </cell>
          <cell r="AA159">
            <v>2</v>
          </cell>
          <cell r="AB159">
            <v>2</v>
          </cell>
          <cell r="AC159">
            <v>2</v>
          </cell>
          <cell r="AD159">
            <v>2</v>
          </cell>
          <cell r="AE159">
            <v>2</v>
          </cell>
          <cell r="AF159" t="str">
            <v>L</v>
          </cell>
          <cell r="AG159" t="str">
            <v>L</v>
          </cell>
          <cell r="AH159" t="str">
            <v>L</v>
          </cell>
          <cell r="AI159" t="str">
            <v>L</v>
          </cell>
          <cell r="AJ159" t="str">
            <v>L</v>
          </cell>
          <cell r="AK159" t="str">
            <v>L</v>
          </cell>
          <cell r="AL159" t="str">
            <v>L</v>
          </cell>
          <cell r="AM159" t="str">
            <v>L</v>
          </cell>
          <cell r="AN159" t="str">
            <v>L</v>
          </cell>
          <cell r="AO159" t="str">
            <v>x</v>
          </cell>
          <cell r="AP159">
            <v>21</v>
          </cell>
          <cell r="AQ159">
            <v>9</v>
          </cell>
          <cell r="AR159">
            <v>0</v>
          </cell>
          <cell r="AS159">
            <v>0</v>
          </cell>
          <cell r="AT159">
            <v>0</v>
          </cell>
          <cell r="AU159">
            <v>0</v>
          </cell>
          <cell r="AV159">
            <v>102</v>
          </cell>
          <cell r="AW159">
            <v>0</v>
          </cell>
          <cell r="AX159">
            <v>30</v>
          </cell>
          <cell r="AY159">
            <v>21</v>
          </cell>
          <cell r="AZ159">
            <v>30</v>
          </cell>
          <cell r="CF159">
            <v>28</v>
          </cell>
          <cell r="CG159">
            <v>60</v>
          </cell>
          <cell r="CH159">
            <v>6</v>
          </cell>
          <cell r="CM159">
            <v>123</v>
          </cell>
          <cell r="CN159" t="str">
            <v>Owed 28 hours overtime extra overtime from 25th to 31st October'2008. Owed 123 rials Eid bonus, 60 hours 200%, 6 days desert allowance for Eid Al Adhah'2008 from 8th to 13th December'2008.</v>
          </cell>
        </row>
        <row r="160">
          <cell r="B160">
            <v>394</v>
          </cell>
          <cell r="D160" t="str">
            <v>Husni Mubarak Hamed Al Asmi</v>
          </cell>
          <cell r="E160" t="str">
            <v>Labour / Driver</v>
          </cell>
          <cell r="G160" t="str">
            <v>N/A</v>
          </cell>
          <cell r="H160">
            <v>38948</v>
          </cell>
          <cell r="I160" t="str">
            <v>A</v>
          </cell>
          <cell r="J160" t="str">
            <v>Sh:1</v>
          </cell>
          <cell r="K160">
            <v>6.5</v>
          </cell>
          <cell r="L160">
            <v>6.5</v>
          </cell>
          <cell r="M160">
            <v>6.5</v>
          </cell>
          <cell r="N160">
            <v>6.5</v>
          </cell>
          <cell r="O160">
            <v>6.5</v>
          </cell>
          <cell r="P160">
            <v>6.5</v>
          </cell>
          <cell r="Q160">
            <v>6.5</v>
          </cell>
          <cell r="R160">
            <v>6.5</v>
          </cell>
          <cell r="S160">
            <v>6.5</v>
          </cell>
          <cell r="T160">
            <v>6.5</v>
          </cell>
          <cell r="U160">
            <v>6.5</v>
          </cell>
          <cell r="V160">
            <v>6.5</v>
          </cell>
          <cell r="W160">
            <v>6.5</v>
          </cell>
          <cell r="X160">
            <v>6.5</v>
          </cell>
          <cell r="Y160">
            <v>6.5</v>
          </cell>
          <cell r="Z160">
            <v>2.5</v>
          </cell>
          <cell r="AA160">
            <v>2.5</v>
          </cell>
          <cell r="AB160">
            <v>2.5</v>
          </cell>
          <cell r="AC160">
            <v>2.5</v>
          </cell>
          <cell r="AD160">
            <v>2.5</v>
          </cell>
          <cell r="AE160">
            <v>2.5</v>
          </cell>
          <cell r="AF160" t="str">
            <v>L</v>
          </cell>
          <cell r="AG160" t="str">
            <v>L</v>
          </cell>
          <cell r="AH160" t="str">
            <v>L</v>
          </cell>
          <cell r="AI160" t="str">
            <v>L</v>
          </cell>
          <cell r="AJ160" t="str">
            <v>L</v>
          </cell>
          <cell r="AK160" t="str">
            <v>L</v>
          </cell>
          <cell r="AL160" t="str">
            <v>L</v>
          </cell>
          <cell r="AM160" t="str">
            <v>L</v>
          </cell>
          <cell r="AN160" t="str">
            <v>L</v>
          </cell>
          <cell r="AO160" t="str">
            <v>x</v>
          </cell>
          <cell r="AP160">
            <v>21</v>
          </cell>
          <cell r="AQ160">
            <v>9</v>
          </cell>
          <cell r="AR160">
            <v>0</v>
          </cell>
          <cell r="AS160">
            <v>0</v>
          </cell>
          <cell r="AT160">
            <v>0</v>
          </cell>
          <cell r="AU160">
            <v>0</v>
          </cell>
          <cell r="AV160">
            <v>112.5</v>
          </cell>
          <cell r="AW160">
            <v>0</v>
          </cell>
          <cell r="AX160">
            <v>30</v>
          </cell>
          <cell r="AY160">
            <v>21</v>
          </cell>
          <cell r="AZ160">
            <v>30</v>
          </cell>
          <cell r="CF160">
            <v>28</v>
          </cell>
          <cell r="CG160">
            <v>63</v>
          </cell>
          <cell r="CH160">
            <v>6</v>
          </cell>
          <cell r="CM160">
            <v>123</v>
          </cell>
          <cell r="CN160" t="str">
            <v>Owed 28 hours overtime extra overtime from 25th to 31st October'2008. Owed 123 rials Eid bonus, 63 hours 200%, 6 days desert allowance for Eid Al Adhah'2008 from 8th to 13th December'2008.</v>
          </cell>
        </row>
        <row r="161">
          <cell r="B161">
            <v>395</v>
          </cell>
          <cell r="D161" t="str">
            <v>Khalid Said Khalfan Al Ghafri</v>
          </cell>
          <cell r="E161" t="str">
            <v>Labour / Driver</v>
          </cell>
          <cell r="G161" t="str">
            <v>N/A</v>
          </cell>
          <cell r="H161">
            <v>38899</v>
          </cell>
          <cell r="I161" t="str">
            <v>A</v>
          </cell>
          <cell r="J161" t="str">
            <v>Sh:2</v>
          </cell>
          <cell r="K161" t="str">
            <v>L</v>
          </cell>
          <cell r="L161" t="str">
            <v>L</v>
          </cell>
          <cell r="M161" t="str">
            <v>L</v>
          </cell>
          <cell r="N161" t="str">
            <v>L</v>
          </cell>
          <cell r="O161" t="str">
            <v>L</v>
          </cell>
          <cell r="P161" t="str">
            <v>L</v>
          </cell>
          <cell r="Q161" t="str">
            <v>L</v>
          </cell>
          <cell r="R161">
            <v>6.5</v>
          </cell>
          <cell r="S161">
            <v>6.5</v>
          </cell>
          <cell r="T161">
            <v>6.5</v>
          </cell>
          <cell r="U161">
            <v>6.5</v>
          </cell>
          <cell r="V161">
            <v>6.5</v>
          </cell>
          <cell r="W161">
            <v>6.5</v>
          </cell>
          <cell r="X161">
            <v>6.5</v>
          </cell>
          <cell r="Y161">
            <v>6.5</v>
          </cell>
          <cell r="Z161">
            <v>2.5</v>
          </cell>
          <cell r="AA161">
            <v>2.5</v>
          </cell>
          <cell r="AB161">
            <v>2.5</v>
          </cell>
          <cell r="AC161">
            <v>2.5</v>
          </cell>
          <cell r="AD161">
            <v>2.5</v>
          </cell>
          <cell r="AE161">
            <v>2.5</v>
          </cell>
          <cell r="AF161">
            <v>2.5</v>
          </cell>
          <cell r="AG161">
            <v>2.5</v>
          </cell>
          <cell r="AH161">
            <v>2.5</v>
          </cell>
          <cell r="AI161">
            <v>2.5</v>
          </cell>
          <cell r="AJ161">
            <v>10.5</v>
          </cell>
          <cell r="AK161">
            <v>10.5</v>
          </cell>
          <cell r="AL161">
            <v>2.5</v>
          </cell>
          <cell r="AM161">
            <v>2.5</v>
          </cell>
          <cell r="AN161">
            <v>2.5</v>
          </cell>
          <cell r="AO161" t="str">
            <v>x</v>
          </cell>
          <cell r="AP161">
            <v>23</v>
          </cell>
          <cell r="AQ161">
            <v>7</v>
          </cell>
          <cell r="AR161">
            <v>0</v>
          </cell>
          <cell r="AS161">
            <v>0</v>
          </cell>
          <cell r="AT161">
            <v>0</v>
          </cell>
          <cell r="AU161">
            <v>0</v>
          </cell>
          <cell r="AV161">
            <v>84.5</v>
          </cell>
          <cell r="AW161">
            <v>21</v>
          </cell>
          <cell r="AX161">
            <v>30</v>
          </cell>
          <cell r="AY161">
            <v>23</v>
          </cell>
          <cell r="AZ161">
            <v>30</v>
          </cell>
          <cell r="CG161">
            <v>63</v>
          </cell>
          <cell r="CH161">
            <v>6</v>
          </cell>
          <cell r="CM161">
            <v>123</v>
          </cell>
          <cell r="CN161" t="str">
            <v>Owed 123 rials Eid bonus, 63 hours 200%, 6 days desert allowance for Eid Al Adhah'2008 from 8th to 13th December'2008.</v>
          </cell>
        </row>
        <row r="162">
          <cell r="B162">
            <v>396</v>
          </cell>
          <cell r="D162" t="str">
            <v>Alli Saif Hamed Al Hinai</v>
          </cell>
          <cell r="E162" t="str">
            <v>Labour</v>
          </cell>
          <cell r="G162" t="str">
            <v>N/A</v>
          </cell>
          <cell r="H162">
            <v>38899</v>
          </cell>
          <cell r="I162" t="str">
            <v>A</v>
          </cell>
          <cell r="J162" t="str">
            <v>Sh:1</v>
          </cell>
          <cell r="K162">
            <v>6</v>
          </cell>
          <cell r="L162">
            <v>6</v>
          </cell>
          <cell r="M162">
            <v>6</v>
          </cell>
          <cell r="N162">
            <v>6</v>
          </cell>
          <cell r="O162">
            <v>6</v>
          </cell>
          <cell r="P162">
            <v>6</v>
          </cell>
          <cell r="Q162">
            <v>6</v>
          </cell>
          <cell r="R162">
            <v>7</v>
          </cell>
          <cell r="S162">
            <v>7</v>
          </cell>
          <cell r="T162">
            <v>0</v>
          </cell>
          <cell r="U162" t="str">
            <v>L</v>
          </cell>
          <cell r="V162" t="str">
            <v>L</v>
          </cell>
          <cell r="W162">
            <v>7.5</v>
          </cell>
          <cell r="X162">
            <v>6</v>
          </cell>
          <cell r="Y162">
            <v>7</v>
          </cell>
          <cell r="Z162">
            <v>2</v>
          </cell>
          <cell r="AA162">
            <v>2</v>
          </cell>
          <cell r="AB162">
            <v>2</v>
          </cell>
          <cell r="AC162">
            <v>2</v>
          </cell>
          <cell r="AD162">
            <v>2</v>
          </cell>
          <cell r="AE162">
            <v>2</v>
          </cell>
          <cell r="AF162" t="str">
            <v>L</v>
          </cell>
          <cell r="AG162" t="str">
            <v>L</v>
          </cell>
          <cell r="AH162" t="str">
            <v>L</v>
          </cell>
          <cell r="AI162" t="str">
            <v>L</v>
          </cell>
          <cell r="AJ162" t="str">
            <v>L</v>
          </cell>
          <cell r="AK162" t="str">
            <v>L</v>
          </cell>
          <cell r="AL162" t="str">
            <v>L</v>
          </cell>
          <cell r="AM162" t="str">
            <v>L</v>
          </cell>
          <cell r="AN162" t="str">
            <v>L</v>
          </cell>
          <cell r="AO162" t="str">
            <v>x</v>
          </cell>
          <cell r="AP162">
            <v>19</v>
          </cell>
          <cell r="AQ162">
            <v>11</v>
          </cell>
          <cell r="AR162">
            <v>0</v>
          </cell>
          <cell r="AS162">
            <v>0</v>
          </cell>
          <cell r="AT162">
            <v>0</v>
          </cell>
          <cell r="AU162">
            <v>0</v>
          </cell>
          <cell r="AV162">
            <v>88.5</v>
          </cell>
          <cell r="AW162">
            <v>0</v>
          </cell>
          <cell r="AX162">
            <v>30</v>
          </cell>
          <cell r="AY162">
            <v>19</v>
          </cell>
          <cell r="AZ162">
            <v>30</v>
          </cell>
          <cell r="CF162">
            <v>40</v>
          </cell>
          <cell r="CG162">
            <v>4</v>
          </cell>
          <cell r="CN162" t="str">
            <v>Owed 40 hours overtime extra overtime from 5th to 7th and 25th to 31st October'2008 and owed 4 hours overtime 200% for 4th October'2008.</v>
          </cell>
        </row>
        <row r="163">
          <cell r="B163">
            <v>397</v>
          </cell>
          <cell r="D163" t="str">
            <v>Naji Bati Said Al Ghafri</v>
          </cell>
          <cell r="E163" t="str">
            <v>Labour / Driver</v>
          </cell>
          <cell r="G163" t="str">
            <v>N/A</v>
          </cell>
          <cell r="H163">
            <v>38899</v>
          </cell>
          <cell r="I163" t="str">
            <v>A</v>
          </cell>
          <cell r="J163" t="str">
            <v>Sh:2</v>
          </cell>
          <cell r="K163" t="str">
            <v>L</v>
          </cell>
          <cell r="L163" t="str">
            <v>L</v>
          </cell>
          <cell r="M163" t="str">
            <v>L</v>
          </cell>
          <cell r="N163" t="str">
            <v>L</v>
          </cell>
          <cell r="O163" t="str">
            <v>L</v>
          </cell>
          <cell r="P163" t="str">
            <v>L</v>
          </cell>
          <cell r="Q163" t="str">
            <v>L</v>
          </cell>
          <cell r="R163">
            <v>2.5</v>
          </cell>
          <cell r="S163">
            <v>2.5</v>
          </cell>
          <cell r="T163">
            <v>2.5</v>
          </cell>
          <cell r="U163">
            <v>2.5</v>
          </cell>
          <cell r="V163">
            <v>2.5</v>
          </cell>
          <cell r="W163">
            <v>2.5</v>
          </cell>
          <cell r="X163">
            <v>2.5</v>
          </cell>
          <cell r="Y163">
            <v>2.5</v>
          </cell>
          <cell r="Z163">
            <v>2.5</v>
          </cell>
          <cell r="AA163">
            <v>2.5</v>
          </cell>
          <cell r="AB163">
            <v>2.5</v>
          </cell>
          <cell r="AC163">
            <v>2.5</v>
          </cell>
          <cell r="AD163">
            <v>2.5</v>
          </cell>
          <cell r="AE163">
            <v>2.5</v>
          </cell>
          <cell r="AF163">
            <v>2.5</v>
          </cell>
          <cell r="AG163">
            <v>2.5</v>
          </cell>
          <cell r="AH163">
            <v>2.5</v>
          </cell>
          <cell r="AI163">
            <v>2.5</v>
          </cell>
          <cell r="AJ163">
            <v>10.5</v>
          </cell>
          <cell r="AK163">
            <v>10.5</v>
          </cell>
          <cell r="AL163">
            <v>2.5</v>
          </cell>
          <cell r="AM163">
            <v>2.5</v>
          </cell>
          <cell r="AN163">
            <v>2.5</v>
          </cell>
          <cell r="AO163" t="str">
            <v>x</v>
          </cell>
          <cell r="AP163">
            <v>23</v>
          </cell>
          <cell r="AQ163">
            <v>7</v>
          </cell>
          <cell r="AR163">
            <v>0</v>
          </cell>
          <cell r="AS163">
            <v>0</v>
          </cell>
          <cell r="AT163">
            <v>0</v>
          </cell>
          <cell r="AU163">
            <v>0</v>
          </cell>
          <cell r="AV163">
            <v>52.5</v>
          </cell>
          <cell r="AW163">
            <v>21</v>
          </cell>
          <cell r="AX163">
            <v>30</v>
          </cell>
          <cell r="AY163">
            <v>23</v>
          </cell>
          <cell r="AZ163">
            <v>30</v>
          </cell>
          <cell r="CF163">
            <v>37</v>
          </cell>
          <cell r="CG163">
            <v>63</v>
          </cell>
          <cell r="CH163">
            <v>9</v>
          </cell>
          <cell r="CM163">
            <v>123</v>
          </cell>
          <cell r="CN163" t="str">
            <v>Owed 1 hours overtime for 8th to 9th October'2008 was acting driver. Owed 32 hours overtime extra overtime from 16th to 23rd October'2008. Owed 123 rials Eid bonus, 63 hours 200%, 6 days desert allowance for Eid Al Adhah'2008 from 8th to 13th December'200</v>
          </cell>
        </row>
        <row r="164">
          <cell r="B164">
            <v>398</v>
          </cell>
          <cell r="D164" t="str">
            <v>Said Suliman Abdullah Al Mahrouqi</v>
          </cell>
          <cell r="E164" t="str">
            <v>Labour</v>
          </cell>
          <cell r="G164" t="str">
            <v>N/A</v>
          </cell>
          <cell r="H164">
            <v>38899</v>
          </cell>
          <cell r="I164" t="str">
            <v>A</v>
          </cell>
          <cell r="J164" t="str">
            <v>Sh:1</v>
          </cell>
          <cell r="K164">
            <v>6</v>
          </cell>
          <cell r="L164">
            <v>6</v>
          </cell>
          <cell r="M164">
            <v>6</v>
          </cell>
          <cell r="N164">
            <v>6</v>
          </cell>
          <cell r="O164">
            <v>6</v>
          </cell>
          <cell r="P164">
            <v>6</v>
          </cell>
          <cell r="Q164">
            <v>6</v>
          </cell>
          <cell r="R164">
            <v>6</v>
          </cell>
          <cell r="S164">
            <v>6</v>
          </cell>
          <cell r="T164">
            <v>6</v>
          </cell>
          <cell r="U164">
            <v>6</v>
          </cell>
          <cell r="V164">
            <v>6</v>
          </cell>
          <cell r="W164">
            <v>0</v>
          </cell>
          <cell r="X164" t="str">
            <v>A</v>
          </cell>
          <cell r="Y164">
            <v>6</v>
          </cell>
          <cell r="Z164">
            <v>2</v>
          </cell>
          <cell r="AA164">
            <v>2</v>
          </cell>
          <cell r="AB164">
            <v>2</v>
          </cell>
          <cell r="AC164">
            <v>2</v>
          </cell>
          <cell r="AD164">
            <v>2</v>
          </cell>
          <cell r="AE164">
            <v>2</v>
          </cell>
          <cell r="AF164" t="str">
            <v>L</v>
          </cell>
          <cell r="AG164" t="str">
            <v>L</v>
          </cell>
          <cell r="AH164" t="str">
            <v>L</v>
          </cell>
          <cell r="AI164" t="str">
            <v>L</v>
          </cell>
          <cell r="AJ164" t="str">
            <v>L</v>
          </cell>
          <cell r="AK164" t="str">
            <v>L</v>
          </cell>
          <cell r="AL164" t="str">
            <v>L</v>
          </cell>
          <cell r="AM164" t="str">
            <v>L</v>
          </cell>
          <cell r="AN164" t="str">
            <v>L</v>
          </cell>
          <cell r="AO164" t="str">
            <v>x</v>
          </cell>
          <cell r="AP164">
            <v>20</v>
          </cell>
          <cell r="AQ164">
            <v>9</v>
          </cell>
          <cell r="AR164">
            <v>0</v>
          </cell>
          <cell r="AS164">
            <v>0</v>
          </cell>
          <cell r="AT164">
            <v>1</v>
          </cell>
          <cell r="AU164">
            <v>0</v>
          </cell>
          <cell r="AV164">
            <v>90</v>
          </cell>
          <cell r="AW164">
            <v>0</v>
          </cell>
          <cell r="AX164">
            <v>29</v>
          </cell>
          <cell r="AY164">
            <v>20</v>
          </cell>
          <cell r="AZ164">
            <v>29</v>
          </cell>
          <cell r="CF164">
            <v>16</v>
          </cell>
          <cell r="CG164">
            <v>60</v>
          </cell>
          <cell r="CH164">
            <v>6</v>
          </cell>
          <cell r="CM164">
            <v>123</v>
          </cell>
          <cell r="CN164" t="str">
            <v>Owed 16 hours overtime extra overtime from 27th to 28th and 30th 31st October'2008. Owed 123 rials Eid bonus, 60 hours 200%, 6 days desert allowance for Eid Al Adhah'2008 from 8th to 13th December'2008.</v>
          </cell>
        </row>
        <row r="165">
          <cell r="B165">
            <v>400</v>
          </cell>
          <cell r="D165" t="str">
            <v>Nasser Suliman Sabaa Al-Hanai</v>
          </cell>
          <cell r="E165" t="str">
            <v>Labour / Chain Crew</v>
          </cell>
          <cell r="G165" t="str">
            <v>N/A</v>
          </cell>
          <cell r="H165">
            <v>38899</v>
          </cell>
          <cell r="I165" t="str">
            <v>A</v>
          </cell>
          <cell r="J165" t="str">
            <v>Sh:3</v>
          </cell>
          <cell r="K165" t="str">
            <v>H</v>
          </cell>
          <cell r="L165" t="str">
            <v>H</v>
          </cell>
          <cell r="M165" t="str">
            <v>H</v>
          </cell>
          <cell r="N165">
            <v>2</v>
          </cell>
          <cell r="O165">
            <v>2</v>
          </cell>
          <cell r="P165">
            <v>2</v>
          </cell>
          <cell r="Q165">
            <v>2</v>
          </cell>
          <cell r="R165" t="str">
            <v>L</v>
          </cell>
          <cell r="S165" t="str">
            <v>L</v>
          </cell>
          <cell r="T165" t="str">
            <v>L</v>
          </cell>
          <cell r="U165" t="str">
            <v>L</v>
          </cell>
          <cell r="V165" t="str">
            <v>L</v>
          </cell>
          <cell r="W165" t="str">
            <v>L</v>
          </cell>
          <cell r="X165" t="str">
            <v>L</v>
          </cell>
          <cell r="Y165" t="str">
            <v>L</v>
          </cell>
          <cell r="Z165" t="str">
            <v>L</v>
          </cell>
          <cell r="AA165" t="str">
            <v>L</v>
          </cell>
          <cell r="AB165" t="str">
            <v>L</v>
          </cell>
          <cell r="AC165" t="str">
            <v>L</v>
          </cell>
          <cell r="AD165" t="str">
            <v>L</v>
          </cell>
          <cell r="AE165" t="str">
            <v>L</v>
          </cell>
          <cell r="AF165">
            <v>2</v>
          </cell>
          <cell r="AG165">
            <v>2</v>
          </cell>
          <cell r="AH165">
            <v>2</v>
          </cell>
          <cell r="AI165">
            <v>2</v>
          </cell>
          <cell r="AJ165">
            <v>10</v>
          </cell>
          <cell r="AK165">
            <v>10</v>
          </cell>
          <cell r="AL165">
            <v>2</v>
          </cell>
          <cell r="AM165">
            <v>2</v>
          </cell>
          <cell r="AN165">
            <v>2</v>
          </cell>
          <cell r="AO165" t="str">
            <v>x</v>
          </cell>
          <cell r="AP165">
            <v>13</v>
          </cell>
          <cell r="AQ165">
            <v>14</v>
          </cell>
          <cell r="AR165">
            <v>0</v>
          </cell>
          <cell r="AS165">
            <v>0</v>
          </cell>
          <cell r="AT165">
            <v>0</v>
          </cell>
          <cell r="AU165">
            <v>3</v>
          </cell>
          <cell r="AV165">
            <v>22</v>
          </cell>
          <cell r="AW165">
            <v>20</v>
          </cell>
          <cell r="AX165">
            <v>27</v>
          </cell>
          <cell r="AY165">
            <v>13</v>
          </cell>
          <cell r="AZ165">
            <v>27</v>
          </cell>
          <cell r="CG165">
            <v>60</v>
          </cell>
          <cell r="CH165">
            <v>6</v>
          </cell>
          <cell r="CM165">
            <v>123</v>
          </cell>
          <cell r="CN165" t="str">
            <v>Owed 123 rials Eid bonus, 60 hours 200%, 6 days desert allowance for Eid Al Adhah'2008 from 8th to 13th December'2008.</v>
          </cell>
        </row>
        <row r="166">
          <cell r="B166">
            <v>401</v>
          </cell>
          <cell r="D166" t="str">
            <v>Malik Khalifa Said Al Shohoomi</v>
          </cell>
          <cell r="E166" t="str">
            <v>Asst Mech ' Workshop '</v>
          </cell>
          <cell r="G166" t="str">
            <v>N/A</v>
          </cell>
          <cell r="H166">
            <v>38899</v>
          </cell>
          <cell r="I166" t="str">
            <v>A</v>
          </cell>
          <cell r="J166" t="str">
            <v>Sh:1</v>
          </cell>
          <cell r="K166">
            <v>2</v>
          </cell>
          <cell r="L166">
            <v>2</v>
          </cell>
          <cell r="M166">
            <v>2</v>
          </cell>
          <cell r="N166">
            <v>2</v>
          </cell>
          <cell r="O166">
            <v>0</v>
          </cell>
          <cell r="P166" t="str">
            <v>C</v>
          </cell>
          <cell r="Q166">
            <v>2</v>
          </cell>
          <cell r="R166">
            <v>2</v>
          </cell>
          <cell r="S166">
            <v>2</v>
          </cell>
          <cell r="T166">
            <v>2</v>
          </cell>
          <cell r="U166">
            <v>2</v>
          </cell>
          <cell r="V166">
            <v>2</v>
          </cell>
          <cell r="W166">
            <v>2</v>
          </cell>
          <cell r="X166">
            <v>2</v>
          </cell>
          <cell r="Y166">
            <v>2</v>
          </cell>
          <cell r="Z166">
            <v>2</v>
          </cell>
          <cell r="AA166">
            <v>2</v>
          </cell>
          <cell r="AB166">
            <v>2</v>
          </cell>
          <cell r="AC166">
            <v>2</v>
          </cell>
          <cell r="AD166">
            <v>2</v>
          </cell>
          <cell r="AE166">
            <v>2</v>
          </cell>
          <cell r="AF166" t="str">
            <v>L</v>
          </cell>
          <cell r="AG166" t="str">
            <v>L</v>
          </cell>
          <cell r="AH166" t="str">
            <v>L</v>
          </cell>
          <cell r="AI166" t="str">
            <v>L</v>
          </cell>
          <cell r="AJ166" t="str">
            <v>L</v>
          </cell>
          <cell r="AK166" t="str">
            <v>L</v>
          </cell>
          <cell r="AL166" t="str">
            <v>L</v>
          </cell>
          <cell r="AM166" t="str">
            <v>L</v>
          </cell>
          <cell r="AN166" t="str">
            <v>L</v>
          </cell>
          <cell r="AO166" t="str">
            <v>x</v>
          </cell>
          <cell r="AP166">
            <v>20</v>
          </cell>
          <cell r="AQ166">
            <v>10</v>
          </cell>
          <cell r="AR166">
            <v>0</v>
          </cell>
          <cell r="AS166">
            <v>0</v>
          </cell>
          <cell r="AT166">
            <v>0</v>
          </cell>
          <cell r="AU166">
            <v>0</v>
          </cell>
          <cell r="AV166">
            <v>38</v>
          </cell>
          <cell r="AW166">
            <v>0</v>
          </cell>
          <cell r="AX166">
            <v>30</v>
          </cell>
          <cell r="AY166">
            <v>20</v>
          </cell>
          <cell r="AZ166">
            <v>30</v>
          </cell>
          <cell r="CF166">
            <v>57</v>
          </cell>
          <cell r="CG166">
            <v>60</v>
          </cell>
          <cell r="CH166">
            <v>6</v>
          </cell>
          <cell r="CM166">
            <v>123</v>
          </cell>
          <cell r="CN166" t="str">
            <v>Owed 57 hours overtime extra overtime from 5th to 7th and 25th to 31st October'2008. Owed 123 rials Eid bonus, 60 hours 200%, 6 days desert allowance for Eid Al Adhah'2008 from 8th to 13th December'2008.</v>
          </cell>
        </row>
        <row r="167">
          <cell r="B167">
            <v>406</v>
          </cell>
          <cell r="D167" t="str">
            <v>Abdullah Nasser Saif Khimais</v>
          </cell>
          <cell r="E167" t="str">
            <v>Labour</v>
          </cell>
          <cell r="G167" t="str">
            <v>N/A</v>
          </cell>
          <cell r="H167">
            <v>38992</v>
          </cell>
          <cell r="I167" t="str">
            <v>A</v>
          </cell>
          <cell r="J167" t="str">
            <v>Sh:3</v>
          </cell>
          <cell r="K167">
            <v>2</v>
          </cell>
          <cell r="L167">
            <v>2</v>
          </cell>
          <cell r="M167">
            <v>2</v>
          </cell>
          <cell r="N167">
            <v>2</v>
          </cell>
          <cell r="O167">
            <v>2</v>
          </cell>
          <cell r="P167">
            <v>2</v>
          </cell>
          <cell r="Q167">
            <v>2</v>
          </cell>
          <cell r="R167" t="str">
            <v>L</v>
          </cell>
          <cell r="S167" t="str">
            <v>L</v>
          </cell>
          <cell r="T167" t="str">
            <v>L</v>
          </cell>
          <cell r="U167" t="str">
            <v>L</v>
          </cell>
          <cell r="V167" t="str">
            <v>L</v>
          </cell>
          <cell r="W167" t="str">
            <v>L</v>
          </cell>
          <cell r="X167" t="str">
            <v>L</v>
          </cell>
          <cell r="Y167" t="str">
            <v>L</v>
          </cell>
          <cell r="Z167" t="str">
            <v>L</v>
          </cell>
          <cell r="AA167" t="str">
            <v>L</v>
          </cell>
          <cell r="AB167" t="str">
            <v>L</v>
          </cell>
          <cell r="AC167" t="str">
            <v>L</v>
          </cell>
          <cell r="AD167" t="str">
            <v>L</v>
          </cell>
          <cell r="AE167" t="str">
            <v>L</v>
          </cell>
          <cell r="AF167">
            <v>2</v>
          </cell>
          <cell r="AG167">
            <v>2</v>
          </cell>
          <cell r="AH167">
            <v>2</v>
          </cell>
          <cell r="AI167">
            <v>2</v>
          </cell>
          <cell r="AJ167">
            <v>10</v>
          </cell>
          <cell r="AK167">
            <v>10</v>
          </cell>
          <cell r="AL167">
            <v>2</v>
          </cell>
          <cell r="AM167">
            <v>2</v>
          </cell>
          <cell r="AN167">
            <v>2</v>
          </cell>
          <cell r="AO167" t="str">
            <v>x</v>
          </cell>
          <cell r="AP167">
            <v>16</v>
          </cell>
          <cell r="AQ167">
            <v>14</v>
          </cell>
          <cell r="AR167">
            <v>0</v>
          </cell>
          <cell r="AS167">
            <v>0</v>
          </cell>
          <cell r="AT167">
            <v>0</v>
          </cell>
          <cell r="AU167">
            <v>0</v>
          </cell>
          <cell r="AV167">
            <v>28</v>
          </cell>
          <cell r="AW167">
            <v>20</v>
          </cell>
          <cell r="AX167">
            <v>30</v>
          </cell>
          <cell r="AY167">
            <v>16</v>
          </cell>
          <cell r="AZ167">
            <v>30</v>
          </cell>
        </row>
        <row r="168">
          <cell r="B168">
            <v>407</v>
          </cell>
          <cell r="D168" t="str">
            <v>Abdullah Musabah Jamil Al Rashid</v>
          </cell>
          <cell r="E168" t="str">
            <v xml:space="preserve">Labour </v>
          </cell>
          <cell r="G168" t="str">
            <v>N/A</v>
          </cell>
          <cell r="H168" t="str">
            <v>N/A</v>
          </cell>
          <cell r="I168" t="str">
            <v>A</v>
          </cell>
          <cell r="J168" t="str">
            <v>Sh:2</v>
          </cell>
          <cell r="K168" t="str">
            <v>L</v>
          </cell>
          <cell r="L168" t="str">
            <v>L</v>
          </cell>
          <cell r="M168" t="str">
            <v>L</v>
          </cell>
          <cell r="N168" t="str">
            <v>L</v>
          </cell>
          <cell r="O168" t="str">
            <v>L</v>
          </cell>
          <cell r="P168" t="str">
            <v>L</v>
          </cell>
          <cell r="Q168" t="str">
            <v>L</v>
          </cell>
          <cell r="R168">
            <v>9</v>
          </cell>
          <cell r="S168">
            <v>10</v>
          </cell>
          <cell r="T168">
            <v>10</v>
          </cell>
          <cell r="U168">
            <v>10</v>
          </cell>
          <cell r="V168">
            <v>10</v>
          </cell>
          <cell r="W168">
            <v>10</v>
          </cell>
          <cell r="X168">
            <v>10</v>
          </cell>
          <cell r="Y168">
            <v>10</v>
          </cell>
          <cell r="Z168">
            <v>2</v>
          </cell>
          <cell r="AA168">
            <v>2</v>
          </cell>
          <cell r="AB168" t="str">
            <v>L</v>
          </cell>
          <cell r="AC168">
            <v>2</v>
          </cell>
          <cell r="AD168">
            <v>2</v>
          </cell>
          <cell r="AE168">
            <v>2</v>
          </cell>
          <cell r="AF168">
            <v>2</v>
          </cell>
          <cell r="AG168">
            <v>2</v>
          </cell>
          <cell r="AH168">
            <v>2</v>
          </cell>
          <cell r="AI168">
            <v>2</v>
          </cell>
          <cell r="AJ168">
            <v>10</v>
          </cell>
          <cell r="AK168">
            <v>10</v>
          </cell>
          <cell r="AL168">
            <v>2</v>
          </cell>
          <cell r="AM168">
            <v>2</v>
          </cell>
          <cell r="AN168">
            <v>2</v>
          </cell>
          <cell r="AO168" t="str">
            <v>x</v>
          </cell>
          <cell r="AP168">
            <v>22</v>
          </cell>
          <cell r="AQ168">
            <v>8</v>
          </cell>
          <cell r="AR168">
            <v>0</v>
          </cell>
          <cell r="AS168">
            <v>0</v>
          </cell>
          <cell r="AT168">
            <v>0</v>
          </cell>
          <cell r="AU168">
            <v>0</v>
          </cell>
          <cell r="AV168">
            <v>103</v>
          </cell>
          <cell r="AW168">
            <v>20</v>
          </cell>
          <cell r="AX168">
            <v>30</v>
          </cell>
          <cell r="AY168">
            <v>22</v>
          </cell>
          <cell r="AZ168">
            <v>30</v>
          </cell>
          <cell r="CF168">
            <v>37</v>
          </cell>
          <cell r="CN168" t="str">
            <v>Owed 37 hours overtime extra overtime from 7th and 15th to 16th and 21st and 17th to 20th October'2008.</v>
          </cell>
        </row>
        <row r="169">
          <cell r="B169">
            <v>408</v>
          </cell>
          <cell r="D169" t="str">
            <v>Khalil Sulaiman Al Balushi</v>
          </cell>
          <cell r="E169" t="str">
            <v>Labour</v>
          </cell>
          <cell r="G169" t="str">
            <v>N/A</v>
          </cell>
          <cell r="H169">
            <v>38990</v>
          </cell>
          <cell r="I169" t="str">
            <v>A</v>
          </cell>
          <cell r="J169" t="str">
            <v>Sh:1</v>
          </cell>
          <cell r="K169" t="str">
            <v>A</v>
          </cell>
          <cell r="L169" t="str">
            <v>A</v>
          </cell>
          <cell r="M169" t="str">
            <v>A</v>
          </cell>
          <cell r="N169" t="str">
            <v>A</v>
          </cell>
          <cell r="O169" t="str">
            <v>A</v>
          </cell>
          <cell r="P169" t="str">
            <v>A</v>
          </cell>
          <cell r="Q169" t="str">
            <v>A</v>
          </cell>
          <cell r="R169" t="str">
            <v>A</v>
          </cell>
          <cell r="S169" t="str">
            <v>A</v>
          </cell>
          <cell r="T169" t="str">
            <v>A</v>
          </cell>
          <cell r="U169" t="str">
            <v>A</v>
          </cell>
          <cell r="V169" t="str">
            <v>A</v>
          </cell>
          <cell r="W169" t="str">
            <v>A</v>
          </cell>
          <cell r="X169" t="str">
            <v>A</v>
          </cell>
          <cell r="Y169" t="str">
            <v>A</v>
          </cell>
          <cell r="Z169" t="str">
            <v>A</v>
          </cell>
          <cell r="AA169" t="str">
            <v>A</v>
          </cell>
          <cell r="AB169" t="str">
            <v>A</v>
          </cell>
          <cell r="AC169" t="str">
            <v>A</v>
          </cell>
          <cell r="AD169" t="str">
            <v>A</v>
          </cell>
          <cell r="AE169" t="str">
            <v>A</v>
          </cell>
          <cell r="AF169" t="str">
            <v>A</v>
          </cell>
          <cell r="AG169" t="str">
            <v>A</v>
          </cell>
          <cell r="AH169" t="str">
            <v>A</v>
          </cell>
          <cell r="AI169" t="str">
            <v>A</v>
          </cell>
          <cell r="AJ169" t="str">
            <v>A</v>
          </cell>
          <cell r="AK169" t="str">
            <v>A</v>
          </cell>
          <cell r="AL169" t="str">
            <v>A</v>
          </cell>
          <cell r="AM169" t="str">
            <v>A</v>
          </cell>
          <cell r="AN169" t="str">
            <v>A</v>
          </cell>
          <cell r="AO169" t="str">
            <v>x</v>
          </cell>
          <cell r="AP169">
            <v>0</v>
          </cell>
          <cell r="AQ169">
            <v>0</v>
          </cell>
          <cell r="AR169">
            <v>0</v>
          </cell>
          <cell r="AS169">
            <v>0</v>
          </cell>
          <cell r="AT169">
            <v>30</v>
          </cell>
          <cell r="AU169">
            <v>0</v>
          </cell>
          <cell r="AV169">
            <v>0</v>
          </cell>
          <cell r="AW169">
            <v>0</v>
          </cell>
          <cell r="AX169">
            <v>0</v>
          </cell>
          <cell r="AY169">
            <v>0</v>
          </cell>
          <cell r="AZ169">
            <v>0</v>
          </cell>
          <cell r="CN169" t="str">
            <v>Dudected 5 days basic allowance, 5 days housing allowance, 5 days date allowance, 25day monthly ration, 7 days desert allowance, 14 hours overtime is sick on 25th October and absent from 26th October and is send sick leave for 27th October'2008 after hi d</v>
          </cell>
        </row>
        <row r="170">
          <cell r="B170">
            <v>409</v>
          </cell>
          <cell r="D170" t="str">
            <v>Ali Salim Rashid Al Habsi</v>
          </cell>
          <cell r="E170" t="str">
            <v>Labour</v>
          </cell>
          <cell r="G170" t="str">
            <v>N/A</v>
          </cell>
          <cell r="H170">
            <v>39056</v>
          </cell>
          <cell r="I170" t="str">
            <v>A</v>
          </cell>
          <cell r="J170" t="str">
            <v>Sh:3</v>
          </cell>
          <cell r="K170">
            <v>6</v>
          </cell>
          <cell r="L170">
            <v>6</v>
          </cell>
          <cell r="M170">
            <v>6</v>
          </cell>
          <cell r="N170">
            <v>6</v>
          </cell>
          <cell r="O170">
            <v>6</v>
          </cell>
          <cell r="P170">
            <v>6</v>
          </cell>
          <cell r="Q170">
            <v>2</v>
          </cell>
          <cell r="R170" t="str">
            <v>L</v>
          </cell>
          <cell r="S170" t="str">
            <v>L</v>
          </cell>
          <cell r="T170" t="str">
            <v>L</v>
          </cell>
          <cell r="U170" t="str">
            <v>L</v>
          </cell>
          <cell r="V170" t="str">
            <v>L</v>
          </cell>
          <cell r="W170" t="str">
            <v>L</v>
          </cell>
          <cell r="X170" t="str">
            <v>L</v>
          </cell>
          <cell r="Y170" t="str">
            <v>L</v>
          </cell>
          <cell r="Z170" t="str">
            <v>L</v>
          </cell>
          <cell r="AA170" t="str">
            <v>L</v>
          </cell>
          <cell r="AB170" t="str">
            <v>L</v>
          </cell>
          <cell r="AC170" t="str">
            <v>L</v>
          </cell>
          <cell r="AD170" t="str">
            <v>L</v>
          </cell>
          <cell r="AE170" t="str">
            <v>L</v>
          </cell>
          <cell r="AF170">
            <v>2</v>
          </cell>
          <cell r="AG170">
            <v>2</v>
          </cell>
          <cell r="AH170">
            <v>2</v>
          </cell>
          <cell r="AI170">
            <v>2</v>
          </cell>
          <cell r="AJ170">
            <v>10</v>
          </cell>
          <cell r="AK170">
            <v>10</v>
          </cell>
          <cell r="AL170">
            <v>2</v>
          </cell>
          <cell r="AM170">
            <v>2</v>
          </cell>
          <cell r="AN170">
            <v>2</v>
          </cell>
          <cell r="AO170" t="str">
            <v>x</v>
          </cell>
          <cell r="AP170">
            <v>16</v>
          </cell>
          <cell r="AQ170">
            <v>14</v>
          </cell>
          <cell r="AR170">
            <v>0</v>
          </cell>
          <cell r="AS170">
            <v>0</v>
          </cell>
          <cell r="AT170">
            <v>0</v>
          </cell>
          <cell r="AU170">
            <v>0</v>
          </cell>
          <cell r="AV170">
            <v>52</v>
          </cell>
          <cell r="AW170">
            <v>20</v>
          </cell>
          <cell r="AX170">
            <v>30</v>
          </cell>
          <cell r="AY170">
            <v>16</v>
          </cell>
          <cell r="AZ170">
            <v>30</v>
          </cell>
          <cell r="CF170">
            <v>60</v>
          </cell>
          <cell r="CN170" t="str">
            <v>Owed 60 hours overtime extra overtime from 16th to 23rd and 25th to 31st October'2008.</v>
          </cell>
        </row>
        <row r="171">
          <cell r="B171">
            <v>411</v>
          </cell>
          <cell r="D171" t="str">
            <v>Suliman Nasser Said Al Harasi</v>
          </cell>
          <cell r="E171" t="str">
            <v>Labour</v>
          </cell>
          <cell r="G171" t="str">
            <v>N/A</v>
          </cell>
          <cell r="H171">
            <v>38990</v>
          </cell>
          <cell r="I171" t="str">
            <v>A</v>
          </cell>
          <cell r="J171" t="str">
            <v>Sh:3</v>
          </cell>
          <cell r="K171">
            <v>2</v>
          </cell>
          <cell r="L171">
            <v>2</v>
          </cell>
          <cell r="M171">
            <v>2</v>
          </cell>
          <cell r="N171">
            <v>2</v>
          </cell>
          <cell r="O171">
            <v>2</v>
          </cell>
          <cell r="P171">
            <v>2</v>
          </cell>
          <cell r="Q171">
            <v>2</v>
          </cell>
          <cell r="R171" t="str">
            <v>L</v>
          </cell>
          <cell r="S171" t="str">
            <v>L</v>
          </cell>
          <cell r="T171" t="str">
            <v>L</v>
          </cell>
          <cell r="U171" t="str">
            <v>L</v>
          </cell>
          <cell r="V171" t="str">
            <v>L</v>
          </cell>
          <cell r="W171" t="str">
            <v>L</v>
          </cell>
          <cell r="X171" t="str">
            <v>L</v>
          </cell>
          <cell r="Y171" t="str">
            <v>L</v>
          </cell>
          <cell r="Z171" t="str">
            <v>L</v>
          </cell>
          <cell r="AA171" t="str">
            <v>L</v>
          </cell>
          <cell r="AB171" t="str">
            <v>L</v>
          </cell>
          <cell r="AC171" t="str">
            <v>L</v>
          </cell>
          <cell r="AD171" t="str">
            <v>L</v>
          </cell>
          <cell r="AE171" t="str">
            <v>L</v>
          </cell>
          <cell r="AF171">
            <v>2</v>
          </cell>
          <cell r="AG171">
            <v>2</v>
          </cell>
          <cell r="AH171">
            <v>2</v>
          </cell>
          <cell r="AI171">
            <v>2</v>
          </cell>
          <cell r="AJ171">
            <v>10</v>
          </cell>
          <cell r="AK171">
            <v>10</v>
          </cell>
          <cell r="AL171">
            <v>2</v>
          </cell>
          <cell r="AM171">
            <v>2</v>
          </cell>
          <cell r="AN171">
            <v>2</v>
          </cell>
          <cell r="AO171" t="str">
            <v>x</v>
          </cell>
          <cell r="AP171">
            <v>16</v>
          </cell>
          <cell r="AQ171">
            <v>14</v>
          </cell>
          <cell r="AR171">
            <v>0</v>
          </cell>
          <cell r="AS171">
            <v>0</v>
          </cell>
          <cell r="AT171">
            <v>0</v>
          </cell>
          <cell r="AU171">
            <v>0</v>
          </cell>
          <cell r="AV171">
            <v>28</v>
          </cell>
          <cell r="AW171">
            <v>20</v>
          </cell>
          <cell r="AX171">
            <v>30</v>
          </cell>
          <cell r="AY171">
            <v>16</v>
          </cell>
          <cell r="AZ171">
            <v>30</v>
          </cell>
        </row>
        <row r="172">
          <cell r="B172">
            <v>413</v>
          </cell>
          <cell r="D172" t="str">
            <v>Ahmed Sulaiman Nasser Al Hinai</v>
          </cell>
          <cell r="E172" t="str">
            <v>Labour</v>
          </cell>
          <cell r="G172" t="str">
            <v>N/A</v>
          </cell>
          <cell r="H172">
            <v>38990</v>
          </cell>
          <cell r="I172" t="str">
            <v>A</v>
          </cell>
          <cell r="J172" t="str">
            <v>Sh:3</v>
          </cell>
          <cell r="K172">
            <v>2</v>
          </cell>
          <cell r="L172">
            <v>2</v>
          </cell>
          <cell r="M172">
            <v>2</v>
          </cell>
          <cell r="N172">
            <v>0</v>
          </cell>
          <cell r="O172" t="str">
            <v>L</v>
          </cell>
          <cell r="P172" t="str">
            <v>L</v>
          </cell>
          <cell r="Q172" t="str">
            <v>L</v>
          </cell>
          <cell r="R172" t="str">
            <v>L</v>
          </cell>
          <cell r="S172" t="str">
            <v>L</v>
          </cell>
          <cell r="T172" t="str">
            <v>L</v>
          </cell>
          <cell r="U172" t="str">
            <v>L</v>
          </cell>
          <cell r="V172" t="str">
            <v>L</v>
          </cell>
          <cell r="W172" t="str">
            <v>L</v>
          </cell>
          <cell r="X172" t="str">
            <v>L</v>
          </cell>
          <cell r="Y172" t="str">
            <v>L</v>
          </cell>
          <cell r="Z172" t="str">
            <v>L</v>
          </cell>
          <cell r="AA172" t="str">
            <v>L</v>
          </cell>
          <cell r="AB172" t="str">
            <v>L</v>
          </cell>
          <cell r="AC172" t="str">
            <v>L</v>
          </cell>
          <cell r="AD172" t="str">
            <v>L</v>
          </cell>
          <cell r="AE172" t="str">
            <v>L</v>
          </cell>
          <cell r="AF172" t="str">
            <v>A</v>
          </cell>
          <cell r="AG172" t="str">
            <v>A</v>
          </cell>
          <cell r="AH172" t="str">
            <v>A</v>
          </cell>
          <cell r="AI172" t="str">
            <v>A</v>
          </cell>
          <cell r="AJ172" t="str">
            <v>A</v>
          </cell>
          <cell r="AK172" t="str">
            <v>A</v>
          </cell>
          <cell r="AL172" t="str">
            <v>A</v>
          </cell>
          <cell r="AM172" t="str">
            <v>A</v>
          </cell>
          <cell r="AN172" t="str">
            <v>A</v>
          </cell>
          <cell r="AO172" t="str">
            <v>x</v>
          </cell>
          <cell r="AP172">
            <v>4</v>
          </cell>
          <cell r="AQ172">
            <v>17</v>
          </cell>
          <cell r="AR172">
            <v>0</v>
          </cell>
          <cell r="AS172">
            <v>0</v>
          </cell>
          <cell r="AT172">
            <v>9</v>
          </cell>
          <cell r="AU172">
            <v>0</v>
          </cell>
          <cell r="AV172">
            <v>6</v>
          </cell>
          <cell r="AW172">
            <v>0</v>
          </cell>
          <cell r="AX172">
            <v>21</v>
          </cell>
          <cell r="AY172">
            <v>4</v>
          </cell>
          <cell r="AZ172">
            <v>21</v>
          </cell>
          <cell r="CF172">
            <v>64</v>
          </cell>
          <cell r="CG172">
            <v>60</v>
          </cell>
          <cell r="CH172">
            <v>6</v>
          </cell>
          <cell r="CM172">
            <v>123</v>
          </cell>
          <cell r="CN172" t="str">
            <v>Owed 64 hours overtime extra overtime from 17th to 31st October'2008.  Owed 123 rials Eid bonus, 63 hours 200%, 6 days desert allowance for Eid Al Adhah'2008 from 8th to 13th December'2008.</v>
          </cell>
        </row>
        <row r="173">
          <cell r="B173">
            <v>414</v>
          </cell>
          <cell r="D173" t="str">
            <v>Hamed Khalifa Salim Al Hinai</v>
          </cell>
          <cell r="E173" t="str">
            <v>Labour / Chain Crew</v>
          </cell>
          <cell r="G173" t="str">
            <v>N/A</v>
          </cell>
          <cell r="H173">
            <v>38990</v>
          </cell>
          <cell r="I173" t="str">
            <v>A</v>
          </cell>
          <cell r="J173" t="str">
            <v>Sh:3</v>
          </cell>
          <cell r="K173">
            <v>10</v>
          </cell>
          <cell r="L173">
            <v>10</v>
          </cell>
          <cell r="M173">
            <v>10</v>
          </cell>
          <cell r="N173">
            <v>10</v>
          </cell>
          <cell r="O173">
            <v>10</v>
          </cell>
          <cell r="P173">
            <v>10</v>
          </cell>
          <cell r="Q173">
            <v>2</v>
          </cell>
          <cell r="R173" t="str">
            <v>L</v>
          </cell>
          <cell r="S173" t="str">
            <v>L</v>
          </cell>
          <cell r="T173" t="str">
            <v>L</v>
          </cell>
          <cell r="U173" t="str">
            <v>L</v>
          </cell>
          <cell r="V173" t="str">
            <v>L</v>
          </cell>
          <cell r="W173" t="str">
            <v>L</v>
          </cell>
          <cell r="X173" t="str">
            <v>L</v>
          </cell>
          <cell r="Y173" t="str">
            <v>L</v>
          </cell>
          <cell r="Z173" t="str">
            <v>L</v>
          </cell>
          <cell r="AA173" t="str">
            <v>L</v>
          </cell>
          <cell r="AB173" t="str">
            <v>L</v>
          </cell>
          <cell r="AC173" t="str">
            <v>L</v>
          </cell>
          <cell r="AD173" t="str">
            <v>L</v>
          </cell>
          <cell r="AE173" t="str">
            <v>L</v>
          </cell>
          <cell r="AF173">
            <v>2</v>
          </cell>
          <cell r="AG173">
            <v>2</v>
          </cell>
          <cell r="AH173">
            <v>2</v>
          </cell>
          <cell r="AI173">
            <v>2</v>
          </cell>
          <cell r="AJ173">
            <v>10</v>
          </cell>
          <cell r="AK173">
            <v>10</v>
          </cell>
          <cell r="AL173">
            <v>2</v>
          </cell>
          <cell r="AM173">
            <v>2</v>
          </cell>
          <cell r="AN173">
            <v>2</v>
          </cell>
          <cell r="AO173" t="str">
            <v>x</v>
          </cell>
          <cell r="AP173">
            <v>16</v>
          </cell>
          <cell r="AQ173">
            <v>14</v>
          </cell>
          <cell r="AR173">
            <v>0</v>
          </cell>
          <cell r="AS173">
            <v>0</v>
          </cell>
          <cell r="AT173">
            <v>0</v>
          </cell>
          <cell r="AU173">
            <v>0</v>
          </cell>
          <cell r="AV173">
            <v>76</v>
          </cell>
          <cell r="AW173">
            <v>20</v>
          </cell>
          <cell r="AX173">
            <v>30</v>
          </cell>
          <cell r="AY173">
            <v>16</v>
          </cell>
          <cell r="AZ173">
            <v>30</v>
          </cell>
          <cell r="CF173">
            <v>132</v>
          </cell>
          <cell r="CG173">
            <v>60</v>
          </cell>
          <cell r="CH173">
            <v>6</v>
          </cell>
          <cell r="CM173">
            <v>123</v>
          </cell>
          <cell r="CN173" t="str">
            <v>Owed 132 hours overtime extra overtime from 15th to 31st October'2008. Owed 123 rials Eid bonus, 60 hours 200%, 6 days desert allowance for Eid Al Adhah'2008 from 8th to 13th December'2008.</v>
          </cell>
        </row>
        <row r="174">
          <cell r="B174">
            <v>415</v>
          </cell>
          <cell r="D174" t="str">
            <v>Amjad Sulaiman Saif Al Mahrouqi</v>
          </cell>
          <cell r="E174" t="str">
            <v>Labour</v>
          </cell>
          <cell r="G174" t="str">
            <v>N/A</v>
          </cell>
          <cell r="H174">
            <v>38990</v>
          </cell>
          <cell r="I174" t="str">
            <v>A</v>
          </cell>
          <cell r="J174" t="str">
            <v>Sh:2</v>
          </cell>
          <cell r="K174" t="str">
            <v>L</v>
          </cell>
          <cell r="L174" t="str">
            <v>L</v>
          </cell>
          <cell r="M174" t="str">
            <v>L</v>
          </cell>
          <cell r="N174" t="str">
            <v>L</v>
          </cell>
          <cell r="O174" t="str">
            <v>L</v>
          </cell>
          <cell r="P174" t="str">
            <v>L</v>
          </cell>
          <cell r="Q174" t="str">
            <v>L</v>
          </cell>
          <cell r="R174" t="str">
            <v>S</v>
          </cell>
          <cell r="S174" t="str">
            <v>S</v>
          </cell>
          <cell r="T174" t="str">
            <v>A</v>
          </cell>
          <cell r="U174">
            <v>7</v>
          </cell>
          <cell r="V174">
            <v>7</v>
          </cell>
          <cell r="W174">
            <v>7</v>
          </cell>
          <cell r="X174">
            <v>7</v>
          </cell>
          <cell r="Y174">
            <v>7</v>
          </cell>
          <cell r="Z174">
            <v>2</v>
          </cell>
          <cell r="AA174">
            <v>2</v>
          </cell>
          <cell r="AB174">
            <v>2</v>
          </cell>
          <cell r="AC174">
            <v>2</v>
          </cell>
          <cell r="AD174">
            <v>2</v>
          </cell>
          <cell r="AE174">
            <v>2</v>
          </cell>
          <cell r="AF174">
            <v>2</v>
          </cell>
          <cell r="AG174">
            <v>2</v>
          </cell>
          <cell r="AH174">
            <v>2</v>
          </cell>
          <cell r="AI174">
            <v>2</v>
          </cell>
          <cell r="AJ174">
            <v>10</v>
          </cell>
          <cell r="AK174">
            <v>10</v>
          </cell>
          <cell r="AL174">
            <v>2</v>
          </cell>
          <cell r="AM174">
            <v>2</v>
          </cell>
          <cell r="AN174">
            <v>2</v>
          </cell>
          <cell r="AO174" t="str">
            <v>x</v>
          </cell>
          <cell r="AP174">
            <v>20</v>
          </cell>
          <cell r="AQ174">
            <v>7</v>
          </cell>
          <cell r="AR174">
            <v>2</v>
          </cell>
          <cell r="AS174">
            <v>0</v>
          </cell>
          <cell r="AT174">
            <v>1</v>
          </cell>
          <cell r="AU174">
            <v>0</v>
          </cell>
          <cell r="AV174">
            <v>61</v>
          </cell>
          <cell r="AW174">
            <v>20</v>
          </cell>
          <cell r="AX174">
            <v>29</v>
          </cell>
          <cell r="AY174">
            <v>20</v>
          </cell>
          <cell r="AZ174">
            <v>29</v>
          </cell>
          <cell r="CF174">
            <v>20</v>
          </cell>
          <cell r="CG174">
            <v>60</v>
          </cell>
          <cell r="CH174">
            <v>6</v>
          </cell>
          <cell r="CM174">
            <v>123</v>
          </cell>
          <cell r="CN174" t="str">
            <v>Owed 20 hours overtime extra overtime from 19th to 23rd October'2008. Owed 123 rials Eid bonus, 60 hours 200%, 6 days desert allowance for Eid Al Adhah'2008 from 8th to 13th December'2008.</v>
          </cell>
        </row>
        <row r="175">
          <cell r="B175">
            <v>417</v>
          </cell>
          <cell r="D175" t="str">
            <v>Talal Ali Abdullah Al Manai</v>
          </cell>
          <cell r="E175" t="str">
            <v>Labour / Driver</v>
          </cell>
          <cell r="G175" t="str">
            <v>N/A</v>
          </cell>
          <cell r="H175">
            <v>38990</v>
          </cell>
          <cell r="I175" t="str">
            <v>A</v>
          </cell>
          <cell r="J175" t="str">
            <v>Sh:1</v>
          </cell>
          <cell r="K175">
            <v>2.5</v>
          </cell>
          <cell r="L175">
            <v>6.5</v>
          </cell>
          <cell r="M175">
            <v>6.5</v>
          </cell>
          <cell r="N175">
            <v>6.5</v>
          </cell>
          <cell r="O175">
            <v>6.5</v>
          </cell>
          <cell r="P175">
            <v>6.5</v>
          </cell>
          <cell r="Q175">
            <v>6.5</v>
          </cell>
          <cell r="R175">
            <v>2.5</v>
          </cell>
          <cell r="S175">
            <v>2.5</v>
          </cell>
          <cell r="T175">
            <v>2.5</v>
          </cell>
          <cell r="U175">
            <v>2.5</v>
          </cell>
          <cell r="V175">
            <v>2.5</v>
          </cell>
          <cell r="W175">
            <v>2.5</v>
          </cell>
          <cell r="X175">
            <v>2.5</v>
          </cell>
          <cell r="Y175">
            <v>2.5</v>
          </cell>
          <cell r="Z175">
            <v>2.5</v>
          </cell>
          <cell r="AA175">
            <v>2.5</v>
          </cell>
          <cell r="AB175">
            <v>2.5</v>
          </cell>
          <cell r="AC175">
            <v>2.5</v>
          </cell>
          <cell r="AD175">
            <v>2.5</v>
          </cell>
          <cell r="AE175">
            <v>2.5</v>
          </cell>
          <cell r="AF175" t="str">
            <v>L</v>
          </cell>
          <cell r="AG175" t="str">
            <v>L</v>
          </cell>
          <cell r="AH175" t="str">
            <v>L</v>
          </cell>
          <cell r="AI175" t="str">
            <v>L</v>
          </cell>
          <cell r="AJ175" t="str">
            <v>L</v>
          </cell>
          <cell r="AK175" t="str">
            <v>L</v>
          </cell>
          <cell r="AL175" t="str">
            <v>L</v>
          </cell>
          <cell r="AM175" t="str">
            <v>L</v>
          </cell>
          <cell r="AN175" t="str">
            <v>L</v>
          </cell>
          <cell r="AO175" t="str">
            <v>x</v>
          </cell>
          <cell r="AP175">
            <v>21</v>
          </cell>
          <cell r="AQ175">
            <v>9</v>
          </cell>
          <cell r="AR175">
            <v>0</v>
          </cell>
          <cell r="AS175">
            <v>0</v>
          </cell>
          <cell r="AT175">
            <v>0</v>
          </cell>
          <cell r="AU175">
            <v>0</v>
          </cell>
          <cell r="AV175">
            <v>76.5</v>
          </cell>
          <cell r="AW175">
            <v>0</v>
          </cell>
          <cell r="AX175">
            <v>30</v>
          </cell>
          <cell r="AY175">
            <v>21</v>
          </cell>
          <cell r="AZ175">
            <v>30</v>
          </cell>
          <cell r="CF175">
            <v>24</v>
          </cell>
          <cell r="CG175">
            <v>63</v>
          </cell>
          <cell r="CH175">
            <v>6</v>
          </cell>
          <cell r="CM175">
            <v>123</v>
          </cell>
          <cell r="CN175" t="str">
            <v>Owed 24 hours overtime extra overtime from 25th to 30th October'2008. Owed 123 rials Eid bonus, 63 hours 200%, 6 days desert allowance for Eid Al Adhah'2008 from 8th to 13th December'2008.</v>
          </cell>
        </row>
        <row r="176">
          <cell r="B176">
            <v>418</v>
          </cell>
          <cell r="D176" t="str">
            <v>Sultan Mohamed Rashid Al Shukaili</v>
          </cell>
          <cell r="E176" t="str">
            <v>Labour</v>
          </cell>
          <cell r="G176" t="str">
            <v>N/A</v>
          </cell>
          <cell r="H176">
            <v>38990</v>
          </cell>
          <cell r="I176" t="str">
            <v>A</v>
          </cell>
          <cell r="J176" t="str">
            <v>Sh:3</v>
          </cell>
          <cell r="K176">
            <v>2</v>
          </cell>
          <cell r="L176">
            <v>2</v>
          </cell>
          <cell r="M176">
            <v>2</v>
          </cell>
          <cell r="N176">
            <v>2</v>
          </cell>
          <cell r="O176">
            <v>2</v>
          </cell>
          <cell r="P176">
            <v>2</v>
          </cell>
          <cell r="Q176">
            <v>2</v>
          </cell>
          <cell r="R176" t="str">
            <v>L</v>
          </cell>
          <cell r="S176" t="str">
            <v>L</v>
          </cell>
          <cell r="T176" t="str">
            <v>L</v>
          </cell>
          <cell r="U176" t="str">
            <v>L</v>
          </cell>
          <cell r="V176" t="str">
            <v>L</v>
          </cell>
          <cell r="W176" t="str">
            <v>L</v>
          </cell>
          <cell r="X176" t="str">
            <v>L</v>
          </cell>
          <cell r="Y176" t="str">
            <v>L</v>
          </cell>
          <cell r="Z176" t="str">
            <v>L</v>
          </cell>
          <cell r="AA176" t="str">
            <v>L</v>
          </cell>
          <cell r="AB176" t="str">
            <v>L</v>
          </cell>
          <cell r="AC176" t="str">
            <v>L</v>
          </cell>
          <cell r="AD176" t="str">
            <v>L</v>
          </cell>
          <cell r="AE176" t="str">
            <v>L</v>
          </cell>
          <cell r="AF176">
            <v>2</v>
          </cell>
          <cell r="AG176">
            <v>2</v>
          </cell>
          <cell r="AH176">
            <v>2</v>
          </cell>
          <cell r="AI176">
            <v>2</v>
          </cell>
          <cell r="AJ176">
            <v>10</v>
          </cell>
          <cell r="AK176">
            <v>10</v>
          </cell>
          <cell r="AL176">
            <v>2</v>
          </cell>
          <cell r="AM176">
            <v>2</v>
          </cell>
          <cell r="AN176">
            <v>2</v>
          </cell>
          <cell r="AO176" t="str">
            <v>x</v>
          </cell>
          <cell r="AP176">
            <v>16</v>
          </cell>
          <cell r="AQ176">
            <v>14</v>
          </cell>
          <cell r="AR176">
            <v>0</v>
          </cell>
          <cell r="AS176">
            <v>0</v>
          </cell>
          <cell r="AT176">
            <v>0</v>
          </cell>
          <cell r="AU176">
            <v>0</v>
          </cell>
          <cell r="AV176">
            <v>28</v>
          </cell>
          <cell r="AW176">
            <v>20</v>
          </cell>
          <cell r="AX176">
            <v>30</v>
          </cell>
          <cell r="AY176">
            <v>16</v>
          </cell>
          <cell r="AZ176">
            <v>30</v>
          </cell>
          <cell r="CF176">
            <v>95</v>
          </cell>
          <cell r="CG176">
            <v>60</v>
          </cell>
          <cell r="CH176">
            <v>6</v>
          </cell>
          <cell r="CM176">
            <v>123</v>
          </cell>
          <cell r="CN176" t="str">
            <v>Owed 95 hours overtime extra overtime from 2nd to 3rd and 15th to 31st October'2008. Owed 123 rials Eid bonus, 60 hours 200%, 6 days desert allowance for Eid Al Adhah'2008 from 8th to 13th December'2008.</v>
          </cell>
        </row>
        <row r="177">
          <cell r="B177">
            <v>419</v>
          </cell>
          <cell r="D177" t="str">
            <v>Aadil Mohammed Said Al Mahrouqi</v>
          </cell>
          <cell r="E177" t="str">
            <v>Asst Mech ' Workshop '</v>
          </cell>
          <cell r="G177" t="str">
            <v>N/A</v>
          </cell>
          <cell r="H177">
            <v>39081</v>
          </cell>
          <cell r="I177" t="str">
            <v>C1</v>
          </cell>
          <cell r="J177" t="str">
            <v>Sh:3</v>
          </cell>
          <cell r="K177">
            <v>2</v>
          </cell>
          <cell r="L177">
            <v>2</v>
          </cell>
          <cell r="M177">
            <v>2</v>
          </cell>
          <cell r="N177">
            <v>2</v>
          </cell>
          <cell r="O177">
            <v>2</v>
          </cell>
          <cell r="P177">
            <v>2</v>
          </cell>
          <cell r="Q177">
            <v>2</v>
          </cell>
          <cell r="R177" t="str">
            <v>L</v>
          </cell>
          <cell r="S177" t="str">
            <v>L</v>
          </cell>
          <cell r="T177" t="str">
            <v>L</v>
          </cell>
          <cell r="U177" t="str">
            <v>L</v>
          </cell>
          <cell r="V177" t="str">
            <v>L</v>
          </cell>
          <cell r="W177" t="str">
            <v>L</v>
          </cell>
          <cell r="X177" t="str">
            <v>L</v>
          </cell>
          <cell r="Y177" t="str">
            <v>L</v>
          </cell>
          <cell r="Z177" t="str">
            <v>L</v>
          </cell>
          <cell r="AA177" t="str">
            <v>L</v>
          </cell>
          <cell r="AB177" t="str">
            <v>L</v>
          </cell>
          <cell r="AC177" t="str">
            <v>L</v>
          </cell>
          <cell r="AD177" t="str">
            <v>L</v>
          </cell>
          <cell r="AE177" t="str">
            <v>L</v>
          </cell>
          <cell r="AF177">
            <v>2</v>
          </cell>
          <cell r="AG177">
            <v>2</v>
          </cell>
          <cell r="AH177">
            <v>2</v>
          </cell>
          <cell r="AI177">
            <v>2</v>
          </cell>
          <cell r="AJ177">
            <v>10</v>
          </cell>
          <cell r="AK177">
            <v>10</v>
          </cell>
          <cell r="AL177">
            <v>2</v>
          </cell>
          <cell r="AM177">
            <v>2</v>
          </cell>
          <cell r="AN177">
            <v>2</v>
          </cell>
          <cell r="AO177" t="str">
            <v>x</v>
          </cell>
          <cell r="AP177">
            <v>16</v>
          </cell>
          <cell r="AQ177">
            <v>14</v>
          </cell>
          <cell r="AR177">
            <v>0</v>
          </cell>
          <cell r="AS177">
            <v>0</v>
          </cell>
          <cell r="AT177">
            <v>0</v>
          </cell>
          <cell r="AU177">
            <v>0</v>
          </cell>
          <cell r="AV177">
            <v>28</v>
          </cell>
          <cell r="AW177">
            <v>20</v>
          </cell>
          <cell r="AX177">
            <v>30</v>
          </cell>
          <cell r="AY177">
            <v>16</v>
          </cell>
          <cell r="AZ177">
            <v>30</v>
          </cell>
          <cell r="CF177">
            <v>123</v>
          </cell>
          <cell r="CG177">
            <v>60</v>
          </cell>
          <cell r="CH177">
            <v>6</v>
          </cell>
          <cell r="CM177">
            <v>123</v>
          </cell>
          <cell r="CN177" t="str">
            <v>Owed 123 hours overtime extra overtime from 2nd to 4th and 11th to 31st October'2008. Owed 123 rials Eid bonus, 60 hours 200%, 6 days desert allowance for Eid Al Adhah'2008 from 8th to 13th December'2008.</v>
          </cell>
        </row>
        <row r="178">
          <cell r="B178">
            <v>421</v>
          </cell>
          <cell r="D178" t="str">
            <v>Yousef Said Ali Al Amri</v>
          </cell>
          <cell r="E178" t="str">
            <v>Vibe Operator</v>
          </cell>
          <cell r="G178" t="str">
            <v>N/A</v>
          </cell>
          <cell r="H178">
            <v>39114</v>
          </cell>
          <cell r="I178" t="str">
            <v>E</v>
          </cell>
          <cell r="J178" t="str">
            <v>Sh:3</v>
          </cell>
          <cell r="K178">
            <v>8</v>
          </cell>
          <cell r="L178">
            <v>8</v>
          </cell>
          <cell r="M178">
            <v>8</v>
          </cell>
          <cell r="N178">
            <v>8</v>
          </cell>
          <cell r="O178">
            <v>8</v>
          </cell>
          <cell r="P178">
            <v>8</v>
          </cell>
          <cell r="Q178">
            <v>8</v>
          </cell>
          <cell r="R178" t="str">
            <v>L</v>
          </cell>
          <cell r="S178" t="str">
            <v>L</v>
          </cell>
          <cell r="T178" t="str">
            <v>L</v>
          </cell>
          <cell r="U178" t="str">
            <v>L</v>
          </cell>
          <cell r="V178" t="str">
            <v>L</v>
          </cell>
          <cell r="W178" t="str">
            <v>L</v>
          </cell>
          <cell r="X178" t="str">
            <v>L</v>
          </cell>
          <cell r="Y178" t="str">
            <v>L</v>
          </cell>
          <cell r="Z178" t="str">
            <v>L</v>
          </cell>
          <cell r="AA178" t="str">
            <v>L</v>
          </cell>
          <cell r="AB178" t="str">
            <v>L</v>
          </cell>
          <cell r="AC178" t="str">
            <v>L</v>
          </cell>
          <cell r="AD178" t="str">
            <v>L</v>
          </cell>
          <cell r="AE178" t="str">
            <v>L</v>
          </cell>
          <cell r="AF178">
            <v>9</v>
          </cell>
          <cell r="AG178">
            <v>9</v>
          </cell>
          <cell r="AH178">
            <v>9</v>
          </cell>
          <cell r="AI178">
            <v>9</v>
          </cell>
          <cell r="AJ178">
            <v>17</v>
          </cell>
          <cell r="AK178">
            <v>17</v>
          </cell>
          <cell r="AL178">
            <v>9</v>
          </cell>
          <cell r="AM178">
            <v>9</v>
          </cell>
          <cell r="AN178">
            <v>9</v>
          </cell>
          <cell r="AO178" t="str">
            <v>x</v>
          </cell>
          <cell r="AP178">
            <v>16</v>
          </cell>
          <cell r="AQ178">
            <v>14</v>
          </cell>
          <cell r="AR178">
            <v>0</v>
          </cell>
          <cell r="AS178">
            <v>0</v>
          </cell>
          <cell r="AT178">
            <v>0</v>
          </cell>
          <cell r="AU178">
            <v>0</v>
          </cell>
          <cell r="AV178">
            <v>119</v>
          </cell>
          <cell r="AW178">
            <v>34</v>
          </cell>
          <cell r="AX178">
            <v>30</v>
          </cell>
          <cell r="AY178">
            <v>16</v>
          </cell>
          <cell r="AZ178">
            <v>30</v>
          </cell>
          <cell r="CG178">
            <v>102</v>
          </cell>
          <cell r="CH178">
            <v>6</v>
          </cell>
          <cell r="CM178">
            <v>123</v>
          </cell>
          <cell r="CN178" t="str">
            <v>Owed 123 rials Eid bonus, 102 hours 200%, 6 days desert allowance for Eid Al Adhah'2008 from 8th to 13th December'2008.</v>
          </cell>
        </row>
        <row r="179">
          <cell r="B179">
            <v>422</v>
          </cell>
          <cell r="D179" t="str">
            <v>Mohammed Hamed Suidan Al Junaibi</v>
          </cell>
          <cell r="E179" t="str">
            <v>Vibe Operator</v>
          </cell>
          <cell r="G179" t="str">
            <v>N/A</v>
          </cell>
          <cell r="H179">
            <v>39114</v>
          </cell>
          <cell r="I179" t="str">
            <v>E</v>
          </cell>
          <cell r="J179" t="str">
            <v>Sh:1</v>
          </cell>
          <cell r="K179">
            <v>8</v>
          </cell>
          <cell r="L179">
            <v>8</v>
          </cell>
          <cell r="M179">
            <v>8</v>
          </cell>
          <cell r="N179">
            <v>8</v>
          </cell>
          <cell r="O179">
            <v>8</v>
          </cell>
          <cell r="P179">
            <v>8</v>
          </cell>
          <cell r="Q179">
            <v>8</v>
          </cell>
          <cell r="R179">
            <v>8</v>
          </cell>
          <cell r="S179">
            <v>8</v>
          </cell>
          <cell r="T179">
            <v>8</v>
          </cell>
          <cell r="U179" t="str">
            <v>C</v>
          </cell>
          <cell r="V179" t="str">
            <v>C</v>
          </cell>
          <cell r="W179" t="str">
            <v>L</v>
          </cell>
          <cell r="X179">
            <v>9</v>
          </cell>
          <cell r="Y179">
            <v>9</v>
          </cell>
          <cell r="Z179">
            <v>9</v>
          </cell>
          <cell r="AA179">
            <v>9</v>
          </cell>
          <cell r="AB179">
            <v>9</v>
          </cell>
          <cell r="AC179">
            <v>9</v>
          </cell>
          <cell r="AD179">
            <v>9</v>
          </cell>
          <cell r="AE179">
            <v>9</v>
          </cell>
          <cell r="AF179" t="str">
            <v>L</v>
          </cell>
          <cell r="AG179" t="str">
            <v>L</v>
          </cell>
          <cell r="AH179" t="str">
            <v>L</v>
          </cell>
          <cell r="AI179" t="str">
            <v>L</v>
          </cell>
          <cell r="AJ179" t="str">
            <v>L</v>
          </cell>
          <cell r="AK179" t="str">
            <v>L</v>
          </cell>
          <cell r="AL179" t="str">
            <v>L</v>
          </cell>
          <cell r="AM179" t="str">
            <v>L</v>
          </cell>
          <cell r="AN179" t="str">
            <v>L</v>
          </cell>
          <cell r="AO179" t="str">
            <v>x</v>
          </cell>
          <cell r="AP179">
            <v>18</v>
          </cell>
          <cell r="AQ179">
            <v>12</v>
          </cell>
          <cell r="AR179">
            <v>0</v>
          </cell>
          <cell r="AS179">
            <v>0</v>
          </cell>
          <cell r="AT179">
            <v>0</v>
          </cell>
          <cell r="AU179">
            <v>0</v>
          </cell>
          <cell r="AV179">
            <v>152</v>
          </cell>
          <cell r="AW179">
            <v>0</v>
          </cell>
          <cell r="AX179">
            <v>30</v>
          </cell>
          <cell r="AY179">
            <v>18</v>
          </cell>
          <cell r="AZ179">
            <v>30</v>
          </cell>
          <cell r="CG179">
            <v>102</v>
          </cell>
          <cell r="CH179">
            <v>6</v>
          </cell>
          <cell r="CM179">
            <v>123</v>
          </cell>
          <cell r="CN179" t="str">
            <v>Owed 123 rials Eid bonus, 102 hours 200%, 6 days desert allowance for Eid Al Adhah'2008 from 8th to 13th December'2008.</v>
          </cell>
        </row>
        <row r="180">
          <cell r="B180">
            <v>423</v>
          </cell>
          <cell r="D180" t="str">
            <v>Touyel Edd Hamed  Al Dara'I</v>
          </cell>
          <cell r="E180" t="str">
            <v>Vibe Operator</v>
          </cell>
          <cell r="G180" t="str">
            <v>N/A</v>
          </cell>
          <cell r="H180">
            <v>39114</v>
          </cell>
          <cell r="I180" t="str">
            <v>E</v>
          </cell>
          <cell r="J180" t="str">
            <v>Sh:2</v>
          </cell>
          <cell r="K180" t="str">
            <v>L</v>
          </cell>
          <cell r="L180" t="str">
            <v>L</v>
          </cell>
          <cell r="M180" t="str">
            <v>L</v>
          </cell>
          <cell r="N180" t="str">
            <v>L</v>
          </cell>
          <cell r="O180" t="str">
            <v>L</v>
          </cell>
          <cell r="P180" t="str">
            <v>L</v>
          </cell>
          <cell r="Q180" t="str">
            <v>L</v>
          </cell>
          <cell r="R180">
            <v>8</v>
          </cell>
          <cell r="S180">
            <v>8</v>
          </cell>
          <cell r="T180">
            <v>8</v>
          </cell>
          <cell r="U180">
            <v>8</v>
          </cell>
          <cell r="V180">
            <v>8</v>
          </cell>
          <cell r="W180" t="str">
            <v>C</v>
          </cell>
          <cell r="X180" t="str">
            <v>C</v>
          </cell>
          <cell r="Y180">
            <v>9</v>
          </cell>
          <cell r="Z180">
            <v>9</v>
          </cell>
          <cell r="AA180">
            <v>9</v>
          </cell>
          <cell r="AB180">
            <v>9</v>
          </cell>
          <cell r="AC180">
            <v>9</v>
          </cell>
          <cell r="AD180">
            <v>9</v>
          </cell>
          <cell r="AE180">
            <v>9</v>
          </cell>
          <cell r="AF180">
            <v>9</v>
          </cell>
          <cell r="AG180">
            <v>9</v>
          </cell>
          <cell r="AH180">
            <v>9</v>
          </cell>
          <cell r="AI180">
            <v>9</v>
          </cell>
          <cell r="AJ180">
            <v>17</v>
          </cell>
          <cell r="AK180">
            <v>17</v>
          </cell>
          <cell r="AL180">
            <v>9</v>
          </cell>
          <cell r="AM180">
            <v>9</v>
          </cell>
          <cell r="AN180">
            <v>9</v>
          </cell>
          <cell r="AO180" t="str">
            <v>x</v>
          </cell>
          <cell r="AP180">
            <v>21</v>
          </cell>
          <cell r="AQ180">
            <v>9</v>
          </cell>
          <cell r="AR180">
            <v>0</v>
          </cell>
          <cell r="AS180">
            <v>0</v>
          </cell>
          <cell r="AT180">
            <v>0</v>
          </cell>
          <cell r="AU180">
            <v>0</v>
          </cell>
          <cell r="AV180">
            <v>166</v>
          </cell>
          <cell r="AW180">
            <v>34</v>
          </cell>
          <cell r="AX180">
            <v>30</v>
          </cell>
          <cell r="AY180">
            <v>21</v>
          </cell>
          <cell r="AZ180">
            <v>30</v>
          </cell>
          <cell r="CG180">
            <v>102</v>
          </cell>
          <cell r="CH180">
            <v>6</v>
          </cell>
          <cell r="CM180">
            <v>123</v>
          </cell>
          <cell r="CN180" t="str">
            <v>Owed 123 rials Eid bonus, 102 hours 200%, 6 days desert allowance for Eid Al Adhah'2008 from 8th to 13th December'2008.</v>
          </cell>
        </row>
        <row r="181">
          <cell r="B181">
            <v>424</v>
          </cell>
          <cell r="D181" t="str">
            <v>Awadh Marzouq Abdullah Al Dara'I</v>
          </cell>
          <cell r="E181" t="str">
            <v>Heavy Duty Dvr</v>
          </cell>
          <cell r="G181" t="str">
            <v>N/A</v>
          </cell>
          <cell r="H181">
            <v>39448</v>
          </cell>
          <cell r="I181" t="str">
            <v>E</v>
          </cell>
          <cell r="J181" t="str">
            <v>Sh:3</v>
          </cell>
          <cell r="K181">
            <v>6.5</v>
          </cell>
          <cell r="L181">
            <v>6.5</v>
          </cell>
          <cell r="M181">
            <v>6.5</v>
          </cell>
          <cell r="N181">
            <v>6.5</v>
          </cell>
          <cell r="O181">
            <v>6.5</v>
          </cell>
          <cell r="P181">
            <v>0</v>
          </cell>
          <cell r="Q181" t="str">
            <v>L</v>
          </cell>
          <cell r="R181" t="str">
            <v>L</v>
          </cell>
          <cell r="S181" t="str">
            <v>L</v>
          </cell>
          <cell r="T181" t="str">
            <v>L</v>
          </cell>
          <cell r="U181" t="str">
            <v>L</v>
          </cell>
          <cell r="V181" t="str">
            <v>L</v>
          </cell>
          <cell r="W181" t="str">
            <v>L</v>
          </cell>
          <cell r="X181" t="str">
            <v>L</v>
          </cell>
          <cell r="Y181" t="str">
            <v>L</v>
          </cell>
          <cell r="Z181" t="str">
            <v>L</v>
          </cell>
          <cell r="AA181" t="str">
            <v>L</v>
          </cell>
          <cell r="AB181" t="str">
            <v>L</v>
          </cell>
          <cell r="AC181" t="str">
            <v>L</v>
          </cell>
          <cell r="AD181" t="str">
            <v>L</v>
          </cell>
          <cell r="AE181" t="str">
            <v>L</v>
          </cell>
          <cell r="AF181">
            <v>2.5</v>
          </cell>
          <cell r="AG181">
            <v>2.5</v>
          </cell>
          <cell r="AH181">
            <v>2.5</v>
          </cell>
          <cell r="AI181">
            <v>2.5</v>
          </cell>
          <cell r="AJ181">
            <v>10.5</v>
          </cell>
          <cell r="AK181">
            <v>10.5</v>
          </cell>
          <cell r="AL181">
            <v>2.5</v>
          </cell>
          <cell r="AM181">
            <v>2.5</v>
          </cell>
          <cell r="AN181">
            <v>2.5</v>
          </cell>
          <cell r="AO181" t="str">
            <v>x</v>
          </cell>
          <cell r="AP181">
            <v>15</v>
          </cell>
          <cell r="AQ181">
            <v>15</v>
          </cell>
          <cell r="AR181">
            <v>0</v>
          </cell>
          <cell r="AS181">
            <v>0</v>
          </cell>
          <cell r="AT181">
            <v>0</v>
          </cell>
          <cell r="AU181">
            <v>0</v>
          </cell>
          <cell r="AV181">
            <v>50</v>
          </cell>
          <cell r="AW181">
            <v>21</v>
          </cell>
          <cell r="AX181">
            <v>30</v>
          </cell>
          <cell r="AY181">
            <v>15</v>
          </cell>
          <cell r="AZ181">
            <v>30</v>
          </cell>
          <cell r="CF181">
            <v>64</v>
          </cell>
          <cell r="CN181" t="str">
            <v>Owed 64 hours overtime extra overtime from 16th to 28th and 30th to 31st October'2008.</v>
          </cell>
        </row>
        <row r="182">
          <cell r="B182">
            <v>425</v>
          </cell>
          <cell r="D182" t="str">
            <v>Khalifa Ali Salim Al Hina’I</v>
          </cell>
          <cell r="E182" t="str">
            <v>Heavy Duty Dvr</v>
          </cell>
          <cell r="G182" t="str">
            <v>N/A</v>
          </cell>
          <cell r="H182">
            <v>39448</v>
          </cell>
          <cell r="I182" t="str">
            <v>E</v>
          </cell>
          <cell r="J182" t="str">
            <v>Sh:1</v>
          </cell>
          <cell r="K182">
            <v>6.5</v>
          </cell>
          <cell r="L182">
            <v>6.5</v>
          </cell>
          <cell r="M182">
            <v>6.5</v>
          </cell>
          <cell r="N182">
            <v>6.5</v>
          </cell>
          <cell r="O182">
            <v>6.5</v>
          </cell>
          <cell r="P182">
            <v>6.5</v>
          </cell>
          <cell r="Q182">
            <v>6.5</v>
          </cell>
          <cell r="R182">
            <v>7.5</v>
          </cell>
          <cell r="S182">
            <v>7.5</v>
          </cell>
          <cell r="T182">
            <v>7.5</v>
          </cell>
          <cell r="U182">
            <v>7.5</v>
          </cell>
          <cell r="V182">
            <v>8</v>
          </cell>
          <cell r="W182">
            <v>8</v>
          </cell>
          <cell r="X182">
            <v>6.5</v>
          </cell>
          <cell r="Y182">
            <v>7.5</v>
          </cell>
          <cell r="Z182">
            <v>2.5</v>
          </cell>
          <cell r="AA182">
            <v>2.5</v>
          </cell>
          <cell r="AB182">
            <v>2.5</v>
          </cell>
          <cell r="AC182">
            <v>2.5</v>
          </cell>
          <cell r="AD182">
            <v>2.5</v>
          </cell>
          <cell r="AE182">
            <v>2.5</v>
          </cell>
          <cell r="AF182" t="str">
            <v>L</v>
          </cell>
          <cell r="AG182" t="str">
            <v>L</v>
          </cell>
          <cell r="AH182" t="str">
            <v>L</v>
          </cell>
          <cell r="AI182" t="str">
            <v>L</v>
          </cell>
          <cell r="AJ182" t="str">
            <v>L</v>
          </cell>
          <cell r="AK182" t="str">
            <v>L</v>
          </cell>
          <cell r="AL182" t="str">
            <v>L</v>
          </cell>
          <cell r="AM182" t="str">
            <v>L</v>
          </cell>
          <cell r="AN182" t="str">
            <v>L</v>
          </cell>
          <cell r="AO182" t="str">
            <v>x</v>
          </cell>
          <cell r="AP182">
            <v>21</v>
          </cell>
          <cell r="AQ182">
            <v>9</v>
          </cell>
          <cell r="AR182">
            <v>0</v>
          </cell>
          <cell r="AS182">
            <v>0</v>
          </cell>
          <cell r="AT182">
            <v>0</v>
          </cell>
          <cell r="AU182">
            <v>0</v>
          </cell>
          <cell r="AV182">
            <v>120.5</v>
          </cell>
          <cell r="AW182">
            <v>0</v>
          </cell>
          <cell r="AX182">
            <v>30</v>
          </cell>
          <cell r="AY182">
            <v>21</v>
          </cell>
          <cell r="AZ182">
            <v>30</v>
          </cell>
          <cell r="CF182">
            <v>28</v>
          </cell>
          <cell r="CG182">
            <v>63</v>
          </cell>
          <cell r="CH182">
            <v>6</v>
          </cell>
          <cell r="CM182">
            <v>123</v>
          </cell>
          <cell r="CN182" t="str">
            <v>Owed 28 hours overtime extra overtime from 25th to 31st October'2008. Owed 123 rials Eid bonus, 63 hours 200%, 6 days desert allowance for Eid Al Adhah'2008 from 8th to 13th December'2008.</v>
          </cell>
        </row>
        <row r="183">
          <cell r="B183">
            <v>426</v>
          </cell>
          <cell r="D183" t="str">
            <v>Moosa Mubarak Habib Al Hadi</v>
          </cell>
          <cell r="E183" t="str">
            <v>Labour / Driver</v>
          </cell>
          <cell r="G183" t="str">
            <v>N/A</v>
          </cell>
          <cell r="H183">
            <v>39448</v>
          </cell>
          <cell r="I183" t="str">
            <v>A</v>
          </cell>
          <cell r="J183" t="str">
            <v>Sh:2</v>
          </cell>
          <cell r="K183" t="str">
            <v>L</v>
          </cell>
          <cell r="L183" t="str">
            <v>L</v>
          </cell>
          <cell r="M183" t="str">
            <v>L</v>
          </cell>
          <cell r="N183" t="str">
            <v>L</v>
          </cell>
          <cell r="O183" t="str">
            <v>L</v>
          </cell>
          <cell r="P183" t="str">
            <v>L</v>
          </cell>
          <cell r="Q183" t="str">
            <v>L</v>
          </cell>
          <cell r="R183" t="str">
            <v>L</v>
          </cell>
          <cell r="S183" t="str">
            <v>L</v>
          </cell>
          <cell r="T183" t="str">
            <v>L</v>
          </cell>
          <cell r="U183" t="str">
            <v>L</v>
          </cell>
          <cell r="V183">
            <v>6.5</v>
          </cell>
          <cell r="W183">
            <v>6.5</v>
          </cell>
          <cell r="X183">
            <v>6.5</v>
          </cell>
          <cell r="Y183">
            <v>6.5</v>
          </cell>
          <cell r="Z183">
            <v>2.5</v>
          </cell>
          <cell r="AA183">
            <v>2.5</v>
          </cell>
          <cell r="AB183">
            <v>2.5</v>
          </cell>
          <cell r="AC183">
            <v>2.5</v>
          </cell>
          <cell r="AD183">
            <v>2.5</v>
          </cell>
          <cell r="AE183">
            <v>2.5</v>
          </cell>
          <cell r="AF183" t="str">
            <v>C</v>
          </cell>
          <cell r="AG183" t="str">
            <v>C</v>
          </cell>
          <cell r="AH183" t="str">
            <v>C</v>
          </cell>
          <cell r="AI183" t="str">
            <v>C</v>
          </cell>
          <cell r="AJ183" t="str">
            <v>C</v>
          </cell>
          <cell r="AK183" t="str">
            <v>C</v>
          </cell>
          <cell r="AL183" t="str">
            <v>C</v>
          </cell>
          <cell r="AM183" t="str">
            <v>C</v>
          </cell>
          <cell r="AN183" t="str">
            <v>C</v>
          </cell>
          <cell r="AO183" t="str">
            <v>x</v>
          </cell>
          <cell r="AP183">
            <v>10</v>
          </cell>
          <cell r="AQ183">
            <v>20</v>
          </cell>
          <cell r="AR183">
            <v>0</v>
          </cell>
          <cell r="AS183">
            <v>0</v>
          </cell>
          <cell r="AT183">
            <v>0</v>
          </cell>
          <cell r="AU183">
            <v>0</v>
          </cell>
          <cell r="AV183">
            <v>41</v>
          </cell>
          <cell r="AW183">
            <v>0</v>
          </cell>
          <cell r="AX183">
            <v>30</v>
          </cell>
          <cell r="AY183">
            <v>10</v>
          </cell>
          <cell r="AZ183">
            <v>30</v>
          </cell>
          <cell r="CF183">
            <v>32</v>
          </cell>
          <cell r="CN183" t="str">
            <v>Owed 32 hours overtime extra overtime from 16th to 23st October'2008.</v>
          </cell>
        </row>
        <row r="184">
          <cell r="B184">
            <v>427</v>
          </cell>
          <cell r="D184" t="str">
            <v>Said Dheeb Saif Al Ma'ni</v>
          </cell>
          <cell r="E184" t="str">
            <v>Labour / Driver</v>
          </cell>
          <cell r="G184" t="str">
            <v>N/A</v>
          </cell>
          <cell r="H184">
            <v>39459</v>
          </cell>
          <cell r="I184" t="str">
            <v>A</v>
          </cell>
          <cell r="J184" t="str">
            <v>Sh:1</v>
          </cell>
          <cell r="K184">
            <v>6.5</v>
          </cell>
          <cell r="L184">
            <v>6.5</v>
          </cell>
          <cell r="M184">
            <v>6.5</v>
          </cell>
          <cell r="N184">
            <v>6.5</v>
          </cell>
          <cell r="O184">
            <v>6.5</v>
          </cell>
          <cell r="P184">
            <v>6.5</v>
          </cell>
          <cell r="Q184">
            <v>6.5</v>
          </cell>
          <cell r="R184">
            <v>6.5</v>
          </cell>
          <cell r="S184">
            <v>6.5</v>
          </cell>
          <cell r="T184">
            <v>6.5</v>
          </cell>
          <cell r="U184">
            <v>6.5</v>
          </cell>
          <cell r="V184">
            <v>6.5</v>
          </cell>
          <cell r="W184">
            <v>6.5</v>
          </cell>
          <cell r="X184">
            <v>6.5</v>
          </cell>
          <cell r="Y184">
            <v>6.5</v>
          </cell>
          <cell r="Z184">
            <v>2.5</v>
          </cell>
          <cell r="AA184">
            <v>2.5</v>
          </cell>
          <cell r="AB184">
            <v>2.5</v>
          </cell>
          <cell r="AC184">
            <v>2.5</v>
          </cell>
          <cell r="AD184">
            <v>2.5</v>
          </cell>
          <cell r="AE184">
            <v>2.5</v>
          </cell>
          <cell r="AF184" t="str">
            <v>L</v>
          </cell>
          <cell r="AG184" t="str">
            <v>L</v>
          </cell>
          <cell r="AH184" t="str">
            <v>L</v>
          </cell>
          <cell r="AI184" t="str">
            <v>L</v>
          </cell>
          <cell r="AJ184" t="str">
            <v>L</v>
          </cell>
          <cell r="AK184" t="str">
            <v>L</v>
          </cell>
          <cell r="AL184" t="str">
            <v>L</v>
          </cell>
          <cell r="AM184" t="str">
            <v>L</v>
          </cell>
          <cell r="AN184" t="str">
            <v>L</v>
          </cell>
          <cell r="AO184" t="str">
            <v>x</v>
          </cell>
          <cell r="AP184">
            <v>21</v>
          </cell>
          <cell r="AQ184">
            <v>9</v>
          </cell>
          <cell r="AR184">
            <v>0</v>
          </cell>
          <cell r="AS184">
            <v>0</v>
          </cell>
          <cell r="AT184">
            <v>0</v>
          </cell>
          <cell r="AU184">
            <v>0</v>
          </cell>
          <cell r="AV184">
            <v>112.5</v>
          </cell>
          <cell r="AW184">
            <v>0</v>
          </cell>
          <cell r="AX184">
            <v>30</v>
          </cell>
          <cell r="AY184">
            <v>21</v>
          </cell>
          <cell r="AZ184">
            <v>30</v>
          </cell>
          <cell r="CF184">
            <v>28</v>
          </cell>
          <cell r="CG184">
            <v>63</v>
          </cell>
          <cell r="CH184">
            <v>6</v>
          </cell>
          <cell r="CM184">
            <v>123</v>
          </cell>
          <cell r="CN184" t="str">
            <v>Owed 28 hours overtime extra overtime from 25th to 31st October'2008. Owed 123 rials Eid bonus, 63 hours 200%, 6 days desert allowance for Eid Al Adhah'2008 from 8th to 13th December'2008.</v>
          </cell>
        </row>
        <row r="185">
          <cell r="B185">
            <v>429</v>
          </cell>
          <cell r="D185" t="str">
            <v>Sulaiman Hamdan Salim Al Hina'I</v>
          </cell>
          <cell r="E185" t="str">
            <v>Asst Mech ' Vibe '</v>
          </cell>
          <cell r="G185" t="str">
            <v>N/A</v>
          </cell>
          <cell r="H185">
            <v>39448</v>
          </cell>
          <cell r="I185" t="str">
            <v>C1</v>
          </cell>
          <cell r="J185" t="str">
            <v>Sh:2</v>
          </cell>
          <cell r="K185" t="str">
            <v>L</v>
          </cell>
          <cell r="L185" t="str">
            <v>L</v>
          </cell>
          <cell r="M185" t="str">
            <v>L</v>
          </cell>
          <cell r="N185" t="str">
            <v>L</v>
          </cell>
          <cell r="O185" t="str">
            <v>L</v>
          </cell>
          <cell r="P185" t="str">
            <v>L</v>
          </cell>
          <cell r="Q185" t="str">
            <v>L</v>
          </cell>
          <cell r="R185">
            <v>2</v>
          </cell>
          <cell r="S185">
            <v>2</v>
          </cell>
          <cell r="T185">
            <v>2</v>
          </cell>
          <cell r="U185">
            <v>2</v>
          </cell>
          <cell r="V185">
            <v>2</v>
          </cell>
          <cell r="W185">
            <v>2</v>
          </cell>
          <cell r="X185">
            <v>2</v>
          </cell>
          <cell r="Y185">
            <v>2</v>
          </cell>
          <cell r="Z185">
            <v>2</v>
          </cell>
          <cell r="AA185">
            <v>2</v>
          </cell>
          <cell r="AB185">
            <v>2</v>
          </cell>
          <cell r="AC185">
            <v>2</v>
          </cell>
          <cell r="AD185">
            <v>2</v>
          </cell>
          <cell r="AE185">
            <v>2</v>
          </cell>
          <cell r="AF185">
            <v>2</v>
          </cell>
          <cell r="AG185">
            <v>2</v>
          </cell>
          <cell r="AH185">
            <v>2</v>
          </cell>
          <cell r="AI185">
            <v>2</v>
          </cell>
          <cell r="AJ185">
            <v>10</v>
          </cell>
          <cell r="AK185" t="str">
            <v>C</v>
          </cell>
          <cell r="AL185" t="str">
            <v>C</v>
          </cell>
          <cell r="AM185" t="str">
            <v>C</v>
          </cell>
          <cell r="AN185" t="str">
            <v>C</v>
          </cell>
          <cell r="AO185" t="str">
            <v>x</v>
          </cell>
          <cell r="AP185">
            <v>19</v>
          </cell>
          <cell r="AQ185">
            <v>11</v>
          </cell>
          <cell r="AR185">
            <v>0</v>
          </cell>
          <cell r="AS185">
            <v>0</v>
          </cell>
          <cell r="AT185">
            <v>0</v>
          </cell>
          <cell r="AU185">
            <v>0</v>
          </cell>
          <cell r="AV185">
            <v>36</v>
          </cell>
          <cell r="AW185">
            <v>10</v>
          </cell>
          <cell r="AX185">
            <v>30</v>
          </cell>
          <cell r="AY185">
            <v>19</v>
          </cell>
          <cell r="AZ185">
            <v>30</v>
          </cell>
          <cell r="CF185">
            <v>165</v>
          </cell>
          <cell r="CN185" t="str">
            <v>Owed 165 hours overtime extra overtime from 2nd to 24th October'2008.</v>
          </cell>
        </row>
        <row r="186">
          <cell r="B186">
            <v>433</v>
          </cell>
          <cell r="D186" t="str">
            <v>Said Eid Hamed Al Dara'I</v>
          </cell>
          <cell r="E186" t="str">
            <v>Labour / Driver</v>
          </cell>
          <cell r="G186" t="str">
            <v>N/A</v>
          </cell>
          <cell r="H186">
            <v>39620</v>
          </cell>
          <cell r="I186" t="str">
            <v>A</v>
          </cell>
          <cell r="J186" t="str">
            <v>Sh:1</v>
          </cell>
          <cell r="K186">
            <v>6.5</v>
          </cell>
          <cell r="L186">
            <v>6.5</v>
          </cell>
          <cell r="M186">
            <v>6.5</v>
          </cell>
          <cell r="N186">
            <v>6.5</v>
          </cell>
          <cell r="O186">
            <v>6.5</v>
          </cell>
          <cell r="P186">
            <v>6.5</v>
          </cell>
          <cell r="Q186">
            <v>6.5</v>
          </cell>
          <cell r="R186">
            <v>6.5</v>
          </cell>
          <cell r="S186">
            <v>6.5</v>
          </cell>
          <cell r="T186">
            <v>6.5</v>
          </cell>
          <cell r="U186">
            <v>6.5</v>
          </cell>
          <cell r="V186">
            <v>6.5</v>
          </cell>
          <cell r="W186">
            <v>6.5</v>
          </cell>
          <cell r="X186">
            <v>6.5</v>
          </cell>
          <cell r="Y186">
            <v>6.5</v>
          </cell>
          <cell r="Z186">
            <v>2.5</v>
          </cell>
          <cell r="AA186">
            <v>2.5</v>
          </cell>
          <cell r="AB186">
            <v>2.5</v>
          </cell>
          <cell r="AC186">
            <v>2.5</v>
          </cell>
          <cell r="AD186">
            <v>2.5</v>
          </cell>
          <cell r="AE186">
            <v>2.5</v>
          </cell>
          <cell r="AF186" t="str">
            <v>L</v>
          </cell>
          <cell r="AG186" t="str">
            <v>L</v>
          </cell>
          <cell r="AH186" t="str">
            <v>L</v>
          </cell>
          <cell r="AI186" t="str">
            <v>L</v>
          </cell>
          <cell r="AJ186" t="str">
            <v>L</v>
          </cell>
          <cell r="AK186" t="str">
            <v>L</v>
          </cell>
          <cell r="AL186" t="str">
            <v>L</v>
          </cell>
          <cell r="AM186" t="str">
            <v>L</v>
          </cell>
          <cell r="AN186" t="str">
            <v>L</v>
          </cell>
          <cell r="AO186" t="str">
            <v>x</v>
          </cell>
          <cell r="AP186">
            <v>21</v>
          </cell>
          <cell r="AQ186">
            <v>9</v>
          </cell>
          <cell r="AR186">
            <v>0</v>
          </cell>
          <cell r="AS186">
            <v>0</v>
          </cell>
          <cell r="AT186">
            <v>0</v>
          </cell>
          <cell r="AU186">
            <v>0</v>
          </cell>
          <cell r="AV186">
            <v>112.5</v>
          </cell>
          <cell r="AW186">
            <v>0</v>
          </cell>
          <cell r="AX186">
            <v>30</v>
          </cell>
          <cell r="AY186">
            <v>21</v>
          </cell>
          <cell r="AZ186">
            <v>30</v>
          </cell>
          <cell r="CF186">
            <v>21.5</v>
          </cell>
          <cell r="CG186">
            <v>63</v>
          </cell>
          <cell r="CH186">
            <v>5</v>
          </cell>
          <cell r="CM186">
            <v>123</v>
          </cell>
          <cell r="CN186" t="str">
            <v>Deducted one day desert allowance, 2.5 hours overtime take leave on 25th October'2008. Owed 24 hours overtime extra overtime from 26th to 31st October'2008. Owed 123 rials Eid bonus, 63 hours 200%, 6 days desert allowance for Eid Al Adhah'2008 from 8th to</v>
          </cell>
        </row>
        <row r="187">
          <cell r="B187">
            <v>434</v>
          </cell>
          <cell r="D187" t="str">
            <v>Talal Said Abdullah Sidery</v>
          </cell>
          <cell r="E187" t="str">
            <v>Labour / Driver</v>
          </cell>
          <cell r="G187" t="str">
            <v>N/A</v>
          </cell>
          <cell r="H187">
            <v>39620</v>
          </cell>
          <cell r="I187" t="str">
            <v>A</v>
          </cell>
          <cell r="J187" t="str">
            <v>Sh:1</v>
          </cell>
          <cell r="K187">
            <v>6.5</v>
          </cell>
          <cell r="L187">
            <v>6.5</v>
          </cell>
          <cell r="M187">
            <v>6.5</v>
          </cell>
          <cell r="N187">
            <v>6.5</v>
          </cell>
          <cell r="O187">
            <v>6.5</v>
          </cell>
          <cell r="P187">
            <v>6.5</v>
          </cell>
          <cell r="Q187">
            <v>6.5</v>
          </cell>
          <cell r="R187">
            <v>6.5</v>
          </cell>
          <cell r="S187">
            <v>6.5</v>
          </cell>
          <cell r="T187">
            <v>6.5</v>
          </cell>
          <cell r="U187">
            <v>6.5</v>
          </cell>
          <cell r="V187">
            <v>6.5</v>
          </cell>
          <cell r="W187">
            <v>6.5</v>
          </cell>
          <cell r="X187">
            <v>6.5</v>
          </cell>
          <cell r="Y187">
            <v>6.5</v>
          </cell>
          <cell r="Z187">
            <v>2.5</v>
          </cell>
          <cell r="AA187">
            <v>2.5</v>
          </cell>
          <cell r="AB187">
            <v>2.5</v>
          </cell>
          <cell r="AC187">
            <v>2.5</v>
          </cell>
          <cell r="AD187">
            <v>2.5</v>
          </cell>
          <cell r="AE187">
            <v>2.5</v>
          </cell>
          <cell r="AF187" t="str">
            <v>L</v>
          </cell>
          <cell r="AG187" t="str">
            <v>L</v>
          </cell>
          <cell r="AH187" t="str">
            <v>L</v>
          </cell>
          <cell r="AI187" t="str">
            <v>L</v>
          </cell>
          <cell r="AJ187" t="str">
            <v>L</v>
          </cell>
          <cell r="AK187" t="str">
            <v>L</v>
          </cell>
          <cell r="AL187" t="str">
            <v>L</v>
          </cell>
          <cell r="AM187" t="str">
            <v>L</v>
          </cell>
          <cell r="AN187" t="str">
            <v>L</v>
          </cell>
          <cell r="AO187" t="str">
            <v>x</v>
          </cell>
          <cell r="AP187">
            <v>21</v>
          </cell>
          <cell r="AQ187">
            <v>9</v>
          </cell>
          <cell r="AR187">
            <v>0</v>
          </cell>
          <cell r="AS187">
            <v>0</v>
          </cell>
          <cell r="AT187">
            <v>0</v>
          </cell>
          <cell r="AU187">
            <v>0</v>
          </cell>
          <cell r="AV187">
            <v>112.5</v>
          </cell>
          <cell r="AW187">
            <v>0</v>
          </cell>
          <cell r="AX187">
            <v>30</v>
          </cell>
          <cell r="AY187">
            <v>21</v>
          </cell>
          <cell r="AZ187">
            <v>30</v>
          </cell>
          <cell r="CF187">
            <v>28</v>
          </cell>
          <cell r="CG187">
            <v>63</v>
          </cell>
          <cell r="CH187">
            <v>6</v>
          </cell>
          <cell r="CM187">
            <v>123</v>
          </cell>
          <cell r="CN187" t="str">
            <v xml:space="preserve"> Owed 123 rials Eid bonus, 63 hours 200%, 6 days desert allowance for Eid Al Adhah'2008 from 8th to 13th December'2008. Owed 28 hours overtime work extra overtime from 25th to 31st October'2008.</v>
          </cell>
        </row>
        <row r="188">
          <cell r="B188">
            <v>435</v>
          </cell>
          <cell r="D188" t="str">
            <v>Marhoon Salim Fadhil Al Siyabi</v>
          </cell>
          <cell r="E188" t="str">
            <v>Labour / Driver</v>
          </cell>
          <cell r="G188" t="str">
            <v>N/A</v>
          </cell>
          <cell r="H188">
            <v>39630</v>
          </cell>
          <cell r="I188" t="str">
            <v>A</v>
          </cell>
          <cell r="J188" t="str">
            <v>Sh:2</v>
          </cell>
          <cell r="K188" t="str">
            <v>L</v>
          </cell>
          <cell r="L188" t="str">
            <v>L</v>
          </cell>
          <cell r="M188" t="str">
            <v>L</v>
          </cell>
          <cell r="N188" t="str">
            <v>L</v>
          </cell>
          <cell r="O188" t="str">
            <v>L</v>
          </cell>
          <cell r="P188" t="str">
            <v>L</v>
          </cell>
          <cell r="Q188" t="str">
            <v>L</v>
          </cell>
          <cell r="R188" t="str">
            <v>C</v>
          </cell>
          <cell r="S188" t="str">
            <v>C</v>
          </cell>
          <cell r="T188" t="str">
            <v>L</v>
          </cell>
          <cell r="U188">
            <v>2.5</v>
          </cell>
          <cell r="V188">
            <v>6.5</v>
          </cell>
          <cell r="W188">
            <v>2.5</v>
          </cell>
          <cell r="X188">
            <v>6.5</v>
          </cell>
          <cell r="Y188">
            <v>6.5</v>
          </cell>
          <cell r="Z188">
            <v>2.5</v>
          </cell>
          <cell r="AA188">
            <v>2.5</v>
          </cell>
          <cell r="AB188">
            <v>2.5</v>
          </cell>
          <cell r="AC188">
            <v>2.5</v>
          </cell>
          <cell r="AD188">
            <v>2.5</v>
          </cell>
          <cell r="AE188">
            <v>2.5</v>
          </cell>
          <cell r="AF188">
            <v>2.5</v>
          </cell>
          <cell r="AG188">
            <v>2.5</v>
          </cell>
          <cell r="AH188">
            <v>2.5</v>
          </cell>
          <cell r="AI188">
            <v>2.5</v>
          </cell>
          <cell r="AJ188">
            <v>10.5</v>
          </cell>
          <cell r="AK188">
            <v>10.5</v>
          </cell>
          <cell r="AL188">
            <v>2.5</v>
          </cell>
          <cell r="AM188">
            <v>2.5</v>
          </cell>
          <cell r="AN188">
            <v>2.5</v>
          </cell>
          <cell r="AO188" t="str">
            <v>x</v>
          </cell>
          <cell r="AP188">
            <v>20</v>
          </cell>
          <cell r="AQ188">
            <v>10</v>
          </cell>
          <cell r="AR188">
            <v>0</v>
          </cell>
          <cell r="AS188">
            <v>0</v>
          </cell>
          <cell r="AT188">
            <v>0</v>
          </cell>
          <cell r="AU188">
            <v>0</v>
          </cell>
          <cell r="AV188">
            <v>57</v>
          </cell>
          <cell r="AW188">
            <v>21</v>
          </cell>
          <cell r="AX188">
            <v>30</v>
          </cell>
          <cell r="AY188">
            <v>20</v>
          </cell>
          <cell r="AZ188">
            <v>30</v>
          </cell>
          <cell r="CF188">
            <v>20</v>
          </cell>
          <cell r="CG188">
            <v>63</v>
          </cell>
          <cell r="CH188">
            <v>6</v>
          </cell>
          <cell r="CM188">
            <v>123</v>
          </cell>
          <cell r="CN188" t="str">
            <v>Owed 20 hours overtime extra overtime from 17th and 20th to 23rd October'2008.  Owed 123 rials Eid bonus, 63 hours 200%, 6 days desert allowance for Eid Al Adhah'2008 from 8th to 13th December'2008.</v>
          </cell>
        </row>
        <row r="189">
          <cell r="B189">
            <v>436</v>
          </cell>
          <cell r="D189" t="str">
            <v>Khalifa Khamis Abdullah Al Ghafri</v>
          </cell>
          <cell r="E189" t="str">
            <v>Labour / Driver</v>
          </cell>
          <cell r="G189" t="str">
            <v>N/A</v>
          </cell>
          <cell r="H189">
            <v>39630</v>
          </cell>
          <cell r="I189" t="str">
            <v>A</v>
          </cell>
          <cell r="J189" t="str">
            <v>Sh:2</v>
          </cell>
          <cell r="K189" t="str">
            <v>L</v>
          </cell>
          <cell r="L189" t="str">
            <v>L</v>
          </cell>
          <cell r="M189" t="str">
            <v>L</v>
          </cell>
          <cell r="N189" t="str">
            <v>L</v>
          </cell>
          <cell r="O189" t="str">
            <v>L</v>
          </cell>
          <cell r="P189" t="str">
            <v>L</v>
          </cell>
          <cell r="Q189" t="str">
            <v>L</v>
          </cell>
          <cell r="R189">
            <v>6.5</v>
          </cell>
          <cell r="S189">
            <v>6.5</v>
          </cell>
          <cell r="T189">
            <v>6.5</v>
          </cell>
          <cell r="U189">
            <v>6.5</v>
          </cell>
          <cell r="V189">
            <v>6.5</v>
          </cell>
          <cell r="W189">
            <v>6.5</v>
          </cell>
          <cell r="X189">
            <v>6.5</v>
          </cell>
          <cell r="Y189">
            <v>6.5</v>
          </cell>
          <cell r="Z189">
            <v>2.5</v>
          </cell>
          <cell r="AA189">
            <v>2.5</v>
          </cell>
          <cell r="AB189">
            <v>2.5</v>
          </cell>
          <cell r="AC189">
            <v>2.5</v>
          </cell>
          <cell r="AD189">
            <v>2.5</v>
          </cell>
          <cell r="AE189">
            <v>2.5</v>
          </cell>
          <cell r="AF189">
            <v>2.5</v>
          </cell>
          <cell r="AG189">
            <v>2.5</v>
          </cell>
          <cell r="AH189">
            <v>2.5</v>
          </cell>
          <cell r="AI189">
            <v>2.5</v>
          </cell>
          <cell r="AJ189">
            <v>10.5</v>
          </cell>
          <cell r="AK189">
            <v>10.5</v>
          </cell>
          <cell r="AL189">
            <v>2.5</v>
          </cell>
          <cell r="AM189">
            <v>2.5</v>
          </cell>
          <cell r="AN189">
            <v>2.5</v>
          </cell>
          <cell r="AO189" t="str">
            <v>x</v>
          </cell>
          <cell r="AP189">
            <v>23</v>
          </cell>
          <cell r="AQ189">
            <v>7</v>
          </cell>
          <cell r="AR189">
            <v>0</v>
          </cell>
          <cell r="AS189">
            <v>0</v>
          </cell>
          <cell r="AT189">
            <v>0</v>
          </cell>
          <cell r="AU189">
            <v>0</v>
          </cell>
          <cell r="AV189">
            <v>84.5</v>
          </cell>
          <cell r="AW189">
            <v>21</v>
          </cell>
          <cell r="AX189">
            <v>30</v>
          </cell>
          <cell r="AY189">
            <v>23</v>
          </cell>
          <cell r="AZ189">
            <v>30</v>
          </cell>
          <cell r="CF189">
            <v>28</v>
          </cell>
          <cell r="CN189" t="str">
            <v>Owed 28 hours overtime extra overtime from 16th to 20th and 22nd to 23rd October'2008.</v>
          </cell>
        </row>
        <row r="190">
          <cell r="B190">
            <v>437</v>
          </cell>
          <cell r="D190" t="str">
            <v>Hamdan Salim Hamdan Al Hashmi</v>
          </cell>
          <cell r="E190" t="str">
            <v>Labour / Driver</v>
          </cell>
          <cell r="G190" t="str">
            <v>N/A</v>
          </cell>
          <cell r="H190">
            <v>39630</v>
          </cell>
          <cell r="I190" t="str">
            <v>A</v>
          </cell>
          <cell r="J190" t="str">
            <v>Sh:3</v>
          </cell>
          <cell r="K190">
            <v>6.5</v>
          </cell>
          <cell r="L190">
            <v>6.5</v>
          </cell>
          <cell r="M190">
            <v>6.5</v>
          </cell>
          <cell r="N190">
            <v>0</v>
          </cell>
          <cell r="O190" t="str">
            <v>A</v>
          </cell>
          <cell r="P190" t="str">
            <v>A</v>
          </cell>
          <cell r="Q190" t="str">
            <v>A</v>
          </cell>
          <cell r="R190" t="str">
            <v>L</v>
          </cell>
          <cell r="S190" t="str">
            <v>L</v>
          </cell>
          <cell r="T190" t="str">
            <v>L</v>
          </cell>
          <cell r="U190" t="str">
            <v>L</v>
          </cell>
          <cell r="V190" t="str">
            <v>L</v>
          </cell>
          <cell r="W190" t="str">
            <v>L</v>
          </cell>
          <cell r="X190" t="str">
            <v>L</v>
          </cell>
          <cell r="Y190" t="str">
            <v>L</v>
          </cell>
          <cell r="Z190" t="str">
            <v>L</v>
          </cell>
          <cell r="AA190" t="str">
            <v>L</v>
          </cell>
          <cell r="AB190" t="str">
            <v>L</v>
          </cell>
          <cell r="AC190" t="str">
            <v>L</v>
          </cell>
          <cell r="AD190" t="str">
            <v>L</v>
          </cell>
          <cell r="AE190" t="str">
            <v>L</v>
          </cell>
          <cell r="AF190">
            <v>2.5</v>
          </cell>
          <cell r="AG190">
            <v>2.5</v>
          </cell>
          <cell r="AH190">
            <v>2.5</v>
          </cell>
          <cell r="AI190">
            <v>2.5</v>
          </cell>
          <cell r="AJ190">
            <v>10.5</v>
          </cell>
          <cell r="AK190">
            <v>10.5</v>
          </cell>
          <cell r="AL190">
            <v>2.5</v>
          </cell>
          <cell r="AM190">
            <v>2.5</v>
          </cell>
          <cell r="AN190">
            <v>2.5</v>
          </cell>
          <cell r="AO190" t="str">
            <v>x</v>
          </cell>
          <cell r="AP190">
            <v>13</v>
          </cell>
          <cell r="AQ190">
            <v>14</v>
          </cell>
          <cell r="AR190">
            <v>0</v>
          </cell>
          <cell r="AS190">
            <v>0</v>
          </cell>
          <cell r="AT190">
            <v>3</v>
          </cell>
          <cell r="AU190">
            <v>0</v>
          </cell>
          <cell r="AV190">
            <v>37</v>
          </cell>
          <cell r="AW190">
            <v>21</v>
          </cell>
          <cell r="AX190">
            <v>27</v>
          </cell>
          <cell r="AY190">
            <v>13</v>
          </cell>
          <cell r="AZ190">
            <v>27</v>
          </cell>
          <cell r="CF190">
            <v>64</v>
          </cell>
          <cell r="CN190" t="str">
            <v>Owed 64 hours overtime extra overtime from 16th to 31st October'2008.</v>
          </cell>
        </row>
        <row r="191">
          <cell r="B191">
            <v>438</v>
          </cell>
          <cell r="D191" t="str">
            <v>Khalifa Salim Khalifa Al Balushi</v>
          </cell>
          <cell r="E191" t="str">
            <v>Labour / Driver</v>
          </cell>
          <cell r="G191" t="str">
            <v>N/A</v>
          </cell>
          <cell r="H191">
            <v>39630</v>
          </cell>
          <cell r="I191" t="str">
            <v>A</v>
          </cell>
          <cell r="J191" t="str">
            <v>Sh:3</v>
          </cell>
          <cell r="K191">
            <v>6.5</v>
          </cell>
          <cell r="L191">
            <v>6.5</v>
          </cell>
          <cell r="M191">
            <v>6.5</v>
          </cell>
          <cell r="N191">
            <v>6.5</v>
          </cell>
          <cell r="O191">
            <v>6.5</v>
          </cell>
          <cell r="P191">
            <v>6.5</v>
          </cell>
          <cell r="Q191">
            <v>2.5</v>
          </cell>
          <cell r="R191" t="str">
            <v>L</v>
          </cell>
          <cell r="S191" t="str">
            <v>L</v>
          </cell>
          <cell r="T191" t="str">
            <v>L</v>
          </cell>
          <cell r="U191" t="str">
            <v>L</v>
          </cell>
          <cell r="V191" t="str">
            <v>L</v>
          </cell>
          <cell r="W191" t="str">
            <v>L</v>
          </cell>
          <cell r="X191" t="str">
            <v>L</v>
          </cell>
          <cell r="Y191" t="str">
            <v>L</v>
          </cell>
          <cell r="Z191" t="str">
            <v>L</v>
          </cell>
          <cell r="AA191" t="str">
            <v>L</v>
          </cell>
          <cell r="AB191" t="str">
            <v>L</v>
          </cell>
          <cell r="AC191" t="str">
            <v>L</v>
          </cell>
          <cell r="AD191" t="str">
            <v>L</v>
          </cell>
          <cell r="AE191" t="str">
            <v>L</v>
          </cell>
          <cell r="AF191">
            <v>2.5</v>
          </cell>
          <cell r="AG191">
            <v>2.5</v>
          </cell>
          <cell r="AH191">
            <v>2.5</v>
          </cell>
          <cell r="AI191">
            <v>2.5</v>
          </cell>
          <cell r="AJ191">
            <v>10.5</v>
          </cell>
          <cell r="AK191">
            <v>10.5</v>
          </cell>
          <cell r="AL191">
            <v>2.5</v>
          </cell>
          <cell r="AM191">
            <v>2.5</v>
          </cell>
          <cell r="AN191">
            <v>2.5</v>
          </cell>
          <cell r="AO191" t="str">
            <v>x</v>
          </cell>
          <cell r="AP191">
            <v>16</v>
          </cell>
          <cell r="AQ191">
            <v>14</v>
          </cell>
          <cell r="AR191">
            <v>0</v>
          </cell>
          <cell r="AS191">
            <v>0</v>
          </cell>
          <cell r="AT191">
            <v>0</v>
          </cell>
          <cell r="AU191">
            <v>0</v>
          </cell>
          <cell r="AV191">
            <v>59</v>
          </cell>
          <cell r="AW191">
            <v>21</v>
          </cell>
          <cell r="AX191">
            <v>30</v>
          </cell>
          <cell r="AY191">
            <v>16</v>
          </cell>
          <cell r="AZ191">
            <v>30</v>
          </cell>
          <cell r="CF191">
            <v>64</v>
          </cell>
          <cell r="CN191" t="str">
            <v>Owed 64 hours overtime extra overtime from 16th to 31st October'2008.</v>
          </cell>
        </row>
        <row r="192">
          <cell r="B192">
            <v>439</v>
          </cell>
          <cell r="D192" t="str">
            <v>Suleiman Saif Mohammed Al Hinai</v>
          </cell>
          <cell r="E192" t="str">
            <v>Labour / Driver</v>
          </cell>
          <cell r="G192" t="str">
            <v>N/A</v>
          </cell>
          <cell r="H192">
            <v>39630</v>
          </cell>
          <cell r="I192" t="str">
            <v>A</v>
          </cell>
          <cell r="J192" t="str">
            <v>Sh:1</v>
          </cell>
          <cell r="K192">
            <v>6.5</v>
          </cell>
          <cell r="L192">
            <v>6.5</v>
          </cell>
          <cell r="M192">
            <v>6.5</v>
          </cell>
          <cell r="N192">
            <v>6.5</v>
          </cell>
          <cell r="O192">
            <v>6.5</v>
          </cell>
          <cell r="P192">
            <v>6.5</v>
          </cell>
          <cell r="Q192">
            <v>6.5</v>
          </cell>
          <cell r="R192">
            <v>6.5</v>
          </cell>
          <cell r="S192">
            <v>6.5</v>
          </cell>
          <cell r="T192">
            <v>0</v>
          </cell>
          <cell r="U192" t="str">
            <v>L</v>
          </cell>
          <cell r="V192" t="str">
            <v>L</v>
          </cell>
          <cell r="W192">
            <v>6.5</v>
          </cell>
          <cell r="X192">
            <v>6.5</v>
          </cell>
          <cell r="Y192">
            <v>6.5</v>
          </cell>
          <cell r="Z192">
            <v>2.5</v>
          </cell>
          <cell r="AA192">
            <v>2.5</v>
          </cell>
          <cell r="AB192">
            <v>2.5</v>
          </cell>
          <cell r="AC192">
            <v>2.5</v>
          </cell>
          <cell r="AD192">
            <v>2.5</v>
          </cell>
          <cell r="AE192">
            <v>2.5</v>
          </cell>
          <cell r="AF192" t="str">
            <v>L</v>
          </cell>
          <cell r="AG192" t="str">
            <v>L</v>
          </cell>
          <cell r="AH192" t="str">
            <v>L</v>
          </cell>
          <cell r="AI192" t="str">
            <v>L</v>
          </cell>
          <cell r="AJ192" t="str">
            <v>L</v>
          </cell>
          <cell r="AK192" t="str">
            <v>L</v>
          </cell>
          <cell r="AL192" t="str">
            <v>L</v>
          </cell>
          <cell r="AM192" t="str">
            <v>L</v>
          </cell>
          <cell r="AN192" t="str">
            <v>L</v>
          </cell>
          <cell r="AO192" t="str">
            <v>x</v>
          </cell>
          <cell r="AP192">
            <v>19</v>
          </cell>
          <cell r="AQ192">
            <v>11</v>
          </cell>
          <cell r="AR192">
            <v>0</v>
          </cell>
          <cell r="AS192">
            <v>0</v>
          </cell>
          <cell r="AT192">
            <v>0</v>
          </cell>
          <cell r="AU192">
            <v>0</v>
          </cell>
          <cell r="AV192">
            <v>93</v>
          </cell>
          <cell r="AW192">
            <v>0</v>
          </cell>
          <cell r="AX192">
            <v>30</v>
          </cell>
          <cell r="AY192">
            <v>19</v>
          </cell>
          <cell r="AZ192">
            <v>30</v>
          </cell>
          <cell r="CF192">
            <v>28</v>
          </cell>
          <cell r="CN192" t="str">
            <v>Owed 28 hours overtime extra overtime from 25th to 31st October'2008.</v>
          </cell>
        </row>
        <row r="193">
          <cell r="B193">
            <v>440</v>
          </cell>
          <cell r="D193" t="str">
            <v>Ali Sultan Mohammed Al Shaibani</v>
          </cell>
          <cell r="E193" t="str">
            <v>Labour / Driver</v>
          </cell>
          <cell r="G193" t="str">
            <v>N/A</v>
          </cell>
          <cell r="H193">
            <v>39662</v>
          </cell>
          <cell r="I193" t="str">
            <v>A</v>
          </cell>
          <cell r="J193" t="str">
            <v>Sh:3</v>
          </cell>
          <cell r="K193">
            <v>6.5</v>
          </cell>
          <cell r="L193">
            <v>6.5</v>
          </cell>
          <cell r="M193">
            <v>6.5</v>
          </cell>
          <cell r="N193">
            <v>6.5</v>
          </cell>
          <cell r="O193">
            <v>6.5</v>
          </cell>
          <cell r="P193">
            <v>6.5</v>
          </cell>
          <cell r="Q193">
            <v>0</v>
          </cell>
          <cell r="R193" t="str">
            <v>L</v>
          </cell>
          <cell r="S193" t="str">
            <v>L</v>
          </cell>
          <cell r="T193" t="str">
            <v>L</v>
          </cell>
          <cell r="U193" t="str">
            <v>L</v>
          </cell>
          <cell r="V193" t="str">
            <v>L</v>
          </cell>
          <cell r="W193" t="str">
            <v>L</v>
          </cell>
          <cell r="X193" t="str">
            <v>L</v>
          </cell>
          <cell r="Y193" t="str">
            <v>L</v>
          </cell>
          <cell r="Z193" t="str">
            <v>L</v>
          </cell>
          <cell r="AA193" t="str">
            <v>L</v>
          </cell>
          <cell r="AB193" t="str">
            <v>L</v>
          </cell>
          <cell r="AC193" t="str">
            <v>L</v>
          </cell>
          <cell r="AD193" t="str">
            <v>L</v>
          </cell>
          <cell r="AE193" t="str">
            <v>L</v>
          </cell>
          <cell r="AF193">
            <v>2.5</v>
          </cell>
          <cell r="AG193">
            <v>2.5</v>
          </cell>
          <cell r="AH193">
            <v>2.5</v>
          </cell>
          <cell r="AI193">
            <v>2.5</v>
          </cell>
          <cell r="AJ193">
            <v>10.5</v>
          </cell>
          <cell r="AK193">
            <v>10.5</v>
          </cell>
          <cell r="AL193">
            <v>2.5</v>
          </cell>
          <cell r="AM193">
            <v>2.5</v>
          </cell>
          <cell r="AN193">
            <v>2.5</v>
          </cell>
          <cell r="AO193" t="str">
            <v>x</v>
          </cell>
          <cell r="AP193">
            <v>16</v>
          </cell>
          <cell r="AQ193">
            <v>14</v>
          </cell>
          <cell r="AR193">
            <v>0</v>
          </cell>
          <cell r="AS193">
            <v>0</v>
          </cell>
          <cell r="AT193">
            <v>0</v>
          </cell>
          <cell r="AU193">
            <v>0</v>
          </cell>
          <cell r="AV193">
            <v>56.5</v>
          </cell>
          <cell r="AW193">
            <v>21</v>
          </cell>
          <cell r="AX193">
            <v>30</v>
          </cell>
          <cell r="AY193">
            <v>16</v>
          </cell>
          <cell r="AZ193">
            <v>30</v>
          </cell>
          <cell r="CF193">
            <v>64</v>
          </cell>
          <cell r="CG193">
            <v>63</v>
          </cell>
          <cell r="CH193">
            <v>6</v>
          </cell>
          <cell r="CM193">
            <v>123</v>
          </cell>
          <cell r="CN193" t="str">
            <v>Owed 64 hours overtime extra overtime from 17th to 31st October'2008.  Owed 123 rials Eid bonus, 63 hours 200%, 6 days desert allowance for Eid Al Adhah'2008 from 8th to 13th December'2008.</v>
          </cell>
        </row>
        <row r="194">
          <cell r="B194">
            <v>441</v>
          </cell>
          <cell r="D194" t="str">
            <v>Talal Salim Mattar Al Jahwari</v>
          </cell>
          <cell r="E194" t="str">
            <v>Labour / Cable</v>
          </cell>
          <cell r="G194" t="str">
            <v>N/A</v>
          </cell>
          <cell r="H194">
            <v>39662</v>
          </cell>
          <cell r="I194" t="str">
            <v>A</v>
          </cell>
          <cell r="J194" t="str">
            <v>Sh:3</v>
          </cell>
          <cell r="K194">
            <v>4</v>
          </cell>
          <cell r="L194">
            <v>4</v>
          </cell>
          <cell r="M194">
            <v>4</v>
          </cell>
          <cell r="N194">
            <v>4</v>
          </cell>
          <cell r="O194">
            <v>0</v>
          </cell>
          <cell r="P194" t="str">
            <v>L</v>
          </cell>
          <cell r="Q194" t="str">
            <v>L</v>
          </cell>
          <cell r="R194" t="str">
            <v>L</v>
          </cell>
          <cell r="S194" t="str">
            <v>L</v>
          </cell>
          <cell r="T194" t="str">
            <v>L</v>
          </cell>
          <cell r="U194" t="str">
            <v>L</v>
          </cell>
          <cell r="V194" t="str">
            <v>L</v>
          </cell>
          <cell r="W194" t="str">
            <v>L</v>
          </cell>
          <cell r="X194" t="str">
            <v>L</v>
          </cell>
          <cell r="Y194" t="str">
            <v>L</v>
          </cell>
          <cell r="Z194" t="str">
            <v>L</v>
          </cell>
          <cell r="AA194" t="str">
            <v>L</v>
          </cell>
          <cell r="AB194" t="str">
            <v>L</v>
          </cell>
          <cell r="AC194" t="str">
            <v>L</v>
          </cell>
          <cell r="AD194" t="str">
            <v>L</v>
          </cell>
          <cell r="AE194" t="str">
            <v>L</v>
          </cell>
          <cell r="AF194">
            <v>4</v>
          </cell>
          <cell r="AG194">
            <v>4</v>
          </cell>
          <cell r="AH194">
            <v>4</v>
          </cell>
          <cell r="AI194">
            <v>4</v>
          </cell>
          <cell r="AJ194">
            <v>12</v>
          </cell>
          <cell r="AK194">
            <v>12</v>
          </cell>
          <cell r="AL194">
            <v>4</v>
          </cell>
          <cell r="AM194">
            <v>4</v>
          </cell>
          <cell r="AN194">
            <v>4</v>
          </cell>
          <cell r="AO194" t="str">
            <v>x</v>
          </cell>
          <cell r="AP194">
            <v>14</v>
          </cell>
          <cell r="AQ194">
            <v>16</v>
          </cell>
          <cell r="AR194">
            <v>0</v>
          </cell>
          <cell r="AS194">
            <v>0</v>
          </cell>
          <cell r="AT194">
            <v>0</v>
          </cell>
          <cell r="AU194">
            <v>0</v>
          </cell>
          <cell r="AV194">
            <v>44</v>
          </cell>
          <cell r="AW194">
            <v>24</v>
          </cell>
          <cell r="AX194">
            <v>30</v>
          </cell>
          <cell r="AY194">
            <v>14</v>
          </cell>
          <cell r="AZ194">
            <v>30</v>
          </cell>
          <cell r="CF194">
            <v>147</v>
          </cell>
          <cell r="CN194" t="str">
            <v>Owed 147 hours overtime extra overtime from 2nd to 3rd and 12th to 31st October'2008.</v>
          </cell>
        </row>
        <row r="195">
          <cell r="B195">
            <v>442</v>
          </cell>
          <cell r="D195" t="str">
            <v xml:space="preserve">Badar Salim Hamed Alawi </v>
          </cell>
          <cell r="E195" t="str">
            <v>Labour / Driver</v>
          </cell>
          <cell r="G195" t="str">
            <v>N/A</v>
          </cell>
          <cell r="H195">
            <v>39659</v>
          </cell>
          <cell r="I195" t="str">
            <v>A</v>
          </cell>
          <cell r="J195" t="str">
            <v>Sh:3</v>
          </cell>
          <cell r="K195" t="str">
            <v>A</v>
          </cell>
          <cell r="L195" t="str">
            <v>A</v>
          </cell>
          <cell r="M195" t="str">
            <v>A</v>
          </cell>
          <cell r="N195" t="str">
            <v>A</v>
          </cell>
          <cell r="O195" t="str">
            <v>A</v>
          </cell>
          <cell r="P195" t="str">
            <v>A</v>
          </cell>
          <cell r="Q195" t="str">
            <v>A</v>
          </cell>
          <cell r="R195" t="str">
            <v>L</v>
          </cell>
          <cell r="S195" t="str">
            <v>L</v>
          </cell>
          <cell r="T195" t="str">
            <v>L</v>
          </cell>
          <cell r="U195" t="str">
            <v>L</v>
          </cell>
          <cell r="V195" t="str">
            <v>L</v>
          </cell>
          <cell r="W195" t="str">
            <v>L</v>
          </cell>
          <cell r="X195" t="str">
            <v>L</v>
          </cell>
          <cell r="Y195" t="str">
            <v>L</v>
          </cell>
          <cell r="Z195" t="str">
            <v>L</v>
          </cell>
          <cell r="AA195" t="str">
            <v>L</v>
          </cell>
          <cell r="AB195" t="str">
            <v>L</v>
          </cell>
          <cell r="AC195" t="str">
            <v>L</v>
          </cell>
          <cell r="AD195" t="str">
            <v>L</v>
          </cell>
          <cell r="AE195" t="str">
            <v>L</v>
          </cell>
          <cell r="AF195">
            <v>2.5</v>
          </cell>
          <cell r="AG195">
            <v>2.5</v>
          </cell>
          <cell r="AH195">
            <v>2.5</v>
          </cell>
          <cell r="AI195">
            <v>2.5</v>
          </cell>
          <cell r="AJ195">
            <v>10.5</v>
          </cell>
          <cell r="AK195">
            <v>10.5</v>
          </cell>
          <cell r="AL195">
            <v>2.5</v>
          </cell>
          <cell r="AM195">
            <v>2.5</v>
          </cell>
          <cell r="AN195">
            <v>2.5</v>
          </cell>
          <cell r="AO195" t="str">
            <v>x</v>
          </cell>
          <cell r="AP195">
            <v>9</v>
          </cell>
          <cell r="AQ195">
            <v>14</v>
          </cell>
          <cell r="AR195">
            <v>0</v>
          </cell>
          <cell r="AS195">
            <v>0</v>
          </cell>
          <cell r="AT195">
            <v>7</v>
          </cell>
          <cell r="AU195">
            <v>0</v>
          </cell>
          <cell r="AV195">
            <v>17.5</v>
          </cell>
          <cell r="AW195">
            <v>21</v>
          </cell>
          <cell r="AX195">
            <v>23</v>
          </cell>
          <cell r="AY195">
            <v>9</v>
          </cell>
          <cell r="AZ195">
            <v>23</v>
          </cell>
          <cell r="CF195">
            <v>8</v>
          </cell>
          <cell r="CH195">
            <v>-8</v>
          </cell>
          <cell r="CI195">
            <v>-6</v>
          </cell>
          <cell r="CJ195">
            <v>-6</v>
          </cell>
          <cell r="CK195">
            <v>-6</v>
          </cell>
          <cell r="CL195">
            <v>-6</v>
          </cell>
          <cell r="CN195" t="str">
            <v>Deducted 2 days desert allowance, 5 hours overtime take leave on 24th to 25th October'2008. Owed 28 hours overtime extra overtime from 16th to 22nd October'2008. Dedduct 15 hours overtime and 6 days desert all, 6 days Ration, 6 days date all, 6 days Housi</v>
          </cell>
        </row>
        <row r="196">
          <cell r="B196">
            <v>443</v>
          </cell>
          <cell r="D196" t="str">
            <v>Talal Gharib Shafi Al Balushi</v>
          </cell>
          <cell r="E196" t="str">
            <v>Labour / Driver</v>
          </cell>
          <cell r="G196" t="str">
            <v>N/A</v>
          </cell>
          <cell r="H196">
            <v>39661</v>
          </cell>
          <cell r="I196" t="str">
            <v>A</v>
          </cell>
          <cell r="J196" t="str">
            <v>Sh:2</v>
          </cell>
          <cell r="K196" t="str">
            <v>L</v>
          </cell>
          <cell r="L196" t="str">
            <v>L</v>
          </cell>
          <cell r="M196" t="str">
            <v>L</v>
          </cell>
          <cell r="N196" t="str">
            <v>L</v>
          </cell>
          <cell r="O196" t="str">
            <v>L</v>
          </cell>
          <cell r="P196" t="str">
            <v>L</v>
          </cell>
          <cell r="Q196" t="str">
            <v>L</v>
          </cell>
          <cell r="R196">
            <v>6.5</v>
          </cell>
          <cell r="S196">
            <v>6.5</v>
          </cell>
          <cell r="T196">
            <v>6.5</v>
          </cell>
          <cell r="U196">
            <v>6.5</v>
          </cell>
          <cell r="V196">
            <v>6.5</v>
          </cell>
          <cell r="W196">
            <v>6.5</v>
          </cell>
          <cell r="X196">
            <v>6.5</v>
          </cell>
          <cell r="Y196">
            <v>2.5</v>
          </cell>
          <cell r="Z196">
            <v>2.5</v>
          </cell>
          <cell r="AA196">
            <v>2.5</v>
          </cell>
          <cell r="AB196">
            <v>2.5</v>
          </cell>
          <cell r="AC196">
            <v>2.5</v>
          </cell>
          <cell r="AD196">
            <v>2.5</v>
          </cell>
          <cell r="AE196">
            <v>2.5</v>
          </cell>
          <cell r="AF196">
            <v>2.5</v>
          </cell>
          <cell r="AG196">
            <v>2.5</v>
          </cell>
          <cell r="AH196">
            <v>2.5</v>
          </cell>
          <cell r="AI196">
            <v>2.5</v>
          </cell>
          <cell r="AJ196">
            <v>10.5</v>
          </cell>
          <cell r="AK196">
            <v>10.5</v>
          </cell>
          <cell r="AL196">
            <v>2.5</v>
          </cell>
          <cell r="AM196">
            <v>2.5</v>
          </cell>
          <cell r="AN196">
            <v>2.5</v>
          </cell>
          <cell r="AO196" t="str">
            <v>x</v>
          </cell>
          <cell r="AP196">
            <v>23</v>
          </cell>
          <cell r="AQ196">
            <v>7</v>
          </cell>
          <cell r="AR196">
            <v>0</v>
          </cell>
          <cell r="AS196">
            <v>0</v>
          </cell>
          <cell r="AT196">
            <v>0</v>
          </cell>
          <cell r="AU196">
            <v>0</v>
          </cell>
          <cell r="AV196">
            <v>80.5</v>
          </cell>
          <cell r="AW196">
            <v>21</v>
          </cell>
          <cell r="AX196">
            <v>30</v>
          </cell>
          <cell r="AY196">
            <v>23</v>
          </cell>
          <cell r="AZ196">
            <v>30</v>
          </cell>
          <cell r="CF196">
            <v>12.5</v>
          </cell>
          <cell r="CH196">
            <v>-3</v>
          </cell>
          <cell r="CN196" t="str">
            <v>Deducted 3 days desert allowance, 7.5 hours overtime take leave on 22nd to 24th October'2008. Owed 20 hours overtime extra overtime from 16th to 18th and 20th to 21st October'2008.</v>
          </cell>
        </row>
        <row r="197">
          <cell r="B197">
            <v>444</v>
          </cell>
          <cell r="D197" t="str">
            <v>Saleh Musabah Ghanim  Al Ghafri</v>
          </cell>
          <cell r="E197" t="str">
            <v>Labour / Driver</v>
          </cell>
          <cell r="G197" t="str">
            <v>N/A</v>
          </cell>
          <cell r="H197">
            <v>39662</v>
          </cell>
          <cell r="I197" t="str">
            <v>A</v>
          </cell>
          <cell r="J197" t="str">
            <v>Sh:1</v>
          </cell>
          <cell r="K197">
            <v>6.5</v>
          </cell>
          <cell r="L197">
            <v>6.5</v>
          </cell>
          <cell r="M197">
            <v>0</v>
          </cell>
          <cell r="N197" t="str">
            <v>L</v>
          </cell>
          <cell r="O197" t="str">
            <v>L</v>
          </cell>
          <cell r="P197">
            <v>6.5</v>
          </cell>
          <cell r="Q197">
            <v>6.5</v>
          </cell>
          <cell r="R197">
            <v>6.5</v>
          </cell>
          <cell r="S197">
            <v>6.5</v>
          </cell>
          <cell r="T197">
            <v>6.5</v>
          </cell>
          <cell r="U197">
            <v>6.5</v>
          </cell>
          <cell r="V197">
            <v>6.5</v>
          </cell>
          <cell r="W197">
            <v>6.5</v>
          </cell>
          <cell r="X197">
            <v>6.5</v>
          </cell>
          <cell r="Y197">
            <v>6.5</v>
          </cell>
          <cell r="Z197">
            <v>2.5</v>
          </cell>
          <cell r="AA197">
            <v>2.5</v>
          </cell>
          <cell r="AB197">
            <v>2.5</v>
          </cell>
          <cell r="AC197">
            <v>2.5</v>
          </cell>
          <cell r="AD197">
            <v>2.5</v>
          </cell>
          <cell r="AE197">
            <v>2.5</v>
          </cell>
          <cell r="AF197" t="str">
            <v>L</v>
          </cell>
          <cell r="AG197" t="str">
            <v>L</v>
          </cell>
          <cell r="AH197" t="str">
            <v>L</v>
          </cell>
          <cell r="AI197" t="str">
            <v>L</v>
          </cell>
          <cell r="AJ197" t="str">
            <v>L</v>
          </cell>
          <cell r="AK197" t="str">
            <v>L</v>
          </cell>
          <cell r="AL197" t="str">
            <v>L</v>
          </cell>
          <cell r="AM197" t="str">
            <v>L</v>
          </cell>
          <cell r="AN197" t="str">
            <v>L</v>
          </cell>
          <cell r="AO197" t="str">
            <v>x</v>
          </cell>
          <cell r="AP197">
            <v>19</v>
          </cell>
          <cell r="AQ197">
            <v>11</v>
          </cell>
          <cell r="AR197">
            <v>0</v>
          </cell>
          <cell r="AS197">
            <v>0</v>
          </cell>
          <cell r="AT197">
            <v>0</v>
          </cell>
          <cell r="AU197">
            <v>0</v>
          </cell>
          <cell r="AV197">
            <v>93</v>
          </cell>
          <cell r="AW197">
            <v>0</v>
          </cell>
          <cell r="AX197">
            <v>30</v>
          </cell>
          <cell r="AY197">
            <v>19</v>
          </cell>
          <cell r="AZ197">
            <v>30</v>
          </cell>
          <cell r="CF197">
            <v>28</v>
          </cell>
          <cell r="CN197" t="str">
            <v>Owed 28 hours overtime extra overtime from 25th to 31st October'2008.</v>
          </cell>
        </row>
        <row r="198">
          <cell r="B198">
            <v>445</v>
          </cell>
          <cell r="D198" t="str">
            <v>Yasser Abdullah Hamed  Al Mahrizi</v>
          </cell>
          <cell r="E198" t="str">
            <v>Labour / Driver</v>
          </cell>
          <cell r="G198" t="str">
            <v>N/A</v>
          </cell>
          <cell r="H198">
            <v>39666</v>
          </cell>
          <cell r="I198" t="str">
            <v>A</v>
          </cell>
          <cell r="J198" t="str">
            <v>Sh:3</v>
          </cell>
          <cell r="K198">
            <v>2.5</v>
          </cell>
          <cell r="L198" t="str">
            <v>L</v>
          </cell>
          <cell r="M198" t="str">
            <v>L</v>
          </cell>
          <cell r="N198" t="str">
            <v>L</v>
          </cell>
          <cell r="O198" t="str">
            <v>L</v>
          </cell>
          <cell r="P198" t="str">
            <v>L</v>
          </cell>
          <cell r="Q198" t="str">
            <v>L</v>
          </cell>
          <cell r="R198">
            <v>6.5</v>
          </cell>
          <cell r="S198">
            <v>6.5</v>
          </cell>
          <cell r="T198">
            <v>6.5</v>
          </cell>
          <cell r="U198">
            <v>2.5</v>
          </cell>
          <cell r="V198">
            <v>6.5</v>
          </cell>
          <cell r="W198">
            <v>6.5</v>
          </cell>
          <cell r="X198">
            <v>6.5</v>
          </cell>
          <cell r="Y198">
            <v>6.5</v>
          </cell>
          <cell r="Z198">
            <v>2.5</v>
          </cell>
          <cell r="AA198">
            <v>2.5</v>
          </cell>
          <cell r="AB198">
            <v>2.5</v>
          </cell>
          <cell r="AC198">
            <v>2.5</v>
          </cell>
          <cell r="AD198">
            <v>2.5</v>
          </cell>
          <cell r="AE198">
            <v>2.5</v>
          </cell>
          <cell r="AF198">
            <v>2.5</v>
          </cell>
          <cell r="AG198">
            <v>2.5</v>
          </cell>
          <cell r="AH198">
            <v>2.5</v>
          </cell>
          <cell r="AI198">
            <v>2.5</v>
          </cell>
          <cell r="AJ198">
            <v>10.5</v>
          </cell>
          <cell r="AK198">
            <v>10.5</v>
          </cell>
          <cell r="AL198">
            <v>2.5</v>
          </cell>
          <cell r="AM198">
            <v>2.5</v>
          </cell>
          <cell r="AN198">
            <v>2.5</v>
          </cell>
          <cell r="AO198" t="str">
            <v>x</v>
          </cell>
          <cell r="AP198">
            <v>24</v>
          </cell>
          <cell r="AQ198">
            <v>6</v>
          </cell>
          <cell r="AR198">
            <v>0</v>
          </cell>
          <cell r="AS198">
            <v>0</v>
          </cell>
          <cell r="AT198">
            <v>0</v>
          </cell>
          <cell r="AU198">
            <v>0</v>
          </cell>
          <cell r="AV198">
            <v>83</v>
          </cell>
          <cell r="AW198">
            <v>21</v>
          </cell>
          <cell r="AX198">
            <v>30</v>
          </cell>
          <cell r="AY198">
            <v>24</v>
          </cell>
          <cell r="AZ198">
            <v>30</v>
          </cell>
          <cell r="CF198">
            <v>24</v>
          </cell>
          <cell r="CG198">
            <v>63</v>
          </cell>
          <cell r="CH198">
            <v>6</v>
          </cell>
          <cell r="CM198">
            <v>123</v>
          </cell>
          <cell r="CN198" t="str">
            <v>Owed 24 hours overtime extra overtime from 18th to 23rd October'2008. Owed 123 rials Eid bonus, 63 hours 200%, 6 days desert allowance for Eid Al Adhah'2008 from 8th to 13th December'2008.</v>
          </cell>
        </row>
        <row r="199">
          <cell r="B199">
            <v>446</v>
          </cell>
          <cell r="D199" t="str">
            <v>Obaid Abdoon Ali Al Junaibi</v>
          </cell>
          <cell r="E199" t="str">
            <v>Heavy Duty Dvr</v>
          </cell>
          <cell r="G199" t="str">
            <v>N/A</v>
          </cell>
          <cell r="H199">
            <v>39678</v>
          </cell>
          <cell r="I199" t="str">
            <v>C</v>
          </cell>
          <cell r="J199" t="str">
            <v>Sh:2</v>
          </cell>
          <cell r="K199" t="str">
            <v>L</v>
          </cell>
          <cell r="L199" t="str">
            <v>L</v>
          </cell>
          <cell r="M199" t="str">
            <v>L</v>
          </cell>
          <cell r="N199" t="str">
            <v>L</v>
          </cell>
          <cell r="O199" t="str">
            <v>L</v>
          </cell>
          <cell r="P199" t="str">
            <v>L</v>
          </cell>
          <cell r="Q199" t="str">
            <v>L</v>
          </cell>
          <cell r="R199">
            <v>7.5</v>
          </cell>
          <cell r="S199">
            <v>6.5</v>
          </cell>
          <cell r="T199">
            <v>6.5</v>
          </cell>
          <cell r="U199">
            <v>7.5</v>
          </cell>
          <cell r="V199">
            <v>7.5</v>
          </cell>
          <cell r="W199">
            <v>7.5</v>
          </cell>
          <cell r="X199">
            <v>7.5</v>
          </cell>
          <cell r="Y199">
            <v>6.5</v>
          </cell>
          <cell r="Z199">
            <v>2.5</v>
          </cell>
          <cell r="AA199">
            <v>2.5</v>
          </cell>
          <cell r="AB199">
            <v>2.5</v>
          </cell>
          <cell r="AC199">
            <v>2.5</v>
          </cell>
          <cell r="AD199">
            <v>2.5</v>
          </cell>
          <cell r="AE199">
            <v>2.5</v>
          </cell>
          <cell r="AF199">
            <v>2.5</v>
          </cell>
          <cell r="AG199">
            <v>2.5</v>
          </cell>
          <cell r="AH199">
            <v>2.5</v>
          </cell>
          <cell r="AI199">
            <v>2.5</v>
          </cell>
          <cell r="AJ199">
            <v>10.5</v>
          </cell>
          <cell r="AK199">
            <v>10.5</v>
          </cell>
          <cell r="AL199">
            <v>2.5</v>
          </cell>
          <cell r="AM199">
            <v>2.5</v>
          </cell>
          <cell r="AN199">
            <v>2.5</v>
          </cell>
          <cell r="AO199" t="str">
            <v>x</v>
          </cell>
          <cell r="AP199">
            <v>23</v>
          </cell>
          <cell r="AQ199">
            <v>7</v>
          </cell>
          <cell r="AR199">
            <v>0</v>
          </cell>
          <cell r="AS199">
            <v>0</v>
          </cell>
          <cell r="AT199">
            <v>0</v>
          </cell>
          <cell r="AU199">
            <v>0</v>
          </cell>
          <cell r="AV199">
            <v>89.5</v>
          </cell>
          <cell r="AW199">
            <v>21</v>
          </cell>
          <cell r="AX199">
            <v>30</v>
          </cell>
          <cell r="AY199">
            <v>23</v>
          </cell>
          <cell r="AZ199">
            <v>30</v>
          </cell>
          <cell r="CF199">
            <v>32</v>
          </cell>
          <cell r="CG199">
            <v>63</v>
          </cell>
          <cell r="CH199">
            <v>6</v>
          </cell>
          <cell r="CM199">
            <v>123</v>
          </cell>
          <cell r="CN199" t="str">
            <v>Owed 32 hours overtime extra overtime from 17th to 23rd October'2008.  Owed 123 rials Eid bonus, 63 hours 200%, 6 days desert allowance for Eid Al Adhah'2008 from 8th to 13th December'2008.</v>
          </cell>
        </row>
        <row r="200">
          <cell r="B200">
            <v>447</v>
          </cell>
          <cell r="D200" t="str">
            <v>Mazaroua Mubarak Mazaroua Al Yaqoubi</v>
          </cell>
          <cell r="E200" t="str">
            <v>Labour / Driver</v>
          </cell>
          <cell r="G200" t="str">
            <v>N/A</v>
          </cell>
          <cell r="H200">
            <v>39698</v>
          </cell>
          <cell r="I200" t="str">
            <v>A</v>
          </cell>
          <cell r="J200" t="str">
            <v>Sh:2</v>
          </cell>
          <cell r="K200" t="str">
            <v>L</v>
          </cell>
          <cell r="L200" t="str">
            <v>L</v>
          </cell>
          <cell r="M200" t="str">
            <v>L</v>
          </cell>
          <cell r="N200" t="str">
            <v>L</v>
          </cell>
          <cell r="O200" t="str">
            <v>L</v>
          </cell>
          <cell r="P200" t="str">
            <v>L</v>
          </cell>
          <cell r="Q200" t="str">
            <v>L</v>
          </cell>
          <cell r="R200">
            <v>6.5</v>
          </cell>
          <cell r="S200">
            <v>6.5</v>
          </cell>
          <cell r="T200">
            <v>6.5</v>
          </cell>
          <cell r="U200">
            <v>6.5</v>
          </cell>
          <cell r="V200">
            <v>6.5</v>
          </cell>
          <cell r="W200">
            <v>6.5</v>
          </cell>
          <cell r="X200">
            <v>6.5</v>
          </cell>
          <cell r="Y200">
            <v>6.5</v>
          </cell>
          <cell r="Z200">
            <v>2.5</v>
          </cell>
          <cell r="AA200">
            <v>2.5</v>
          </cell>
          <cell r="AB200">
            <v>2.5</v>
          </cell>
          <cell r="AC200">
            <v>2.5</v>
          </cell>
          <cell r="AD200">
            <v>2.5</v>
          </cell>
          <cell r="AE200">
            <v>2.5</v>
          </cell>
          <cell r="AF200">
            <v>2.5</v>
          </cell>
          <cell r="AG200">
            <v>2.5</v>
          </cell>
          <cell r="AH200">
            <v>2.5</v>
          </cell>
          <cell r="AI200">
            <v>2.5</v>
          </cell>
          <cell r="AJ200">
            <v>10.5</v>
          </cell>
          <cell r="AK200">
            <v>10.5</v>
          </cell>
          <cell r="AL200">
            <v>2.5</v>
          </cell>
          <cell r="AM200">
            <v>2.5</v>
          </cell>
          <cell r="AN200">
            <v>2.5</v>
          </cell>
          <cell r="AO200" t="str">
            <v>x</v>
          </cell>
          <cell r="AP200">
            <v>23</v>
          </cell>
          <cell r="AQ200">
            <v>7</v>
          </cell>
          <cell r="AR200">
            <v>0</v>
          </cell>
          <cell r="AS200">
            <v>0</v>
          </cell>
          <cell r="AT200">
            <v>0</v>
          </cell>
          <cell r="AU200">
            <v>0</v>
          </cell>
          <cell r="AV200">
            <v>84.5</v>
          </cell>
          <cell r="AW200">
            <v>21</v>
          </cell>
          <cell r="AX200">
            <v>30</v>
          </cell>
          <cell r="AY200">
            <v>23</v>
          </cell>
          <cell r="AZ200">
            <v>30</v>
          </cell>
          <cell r="CF200">
            <v>60</v>
          </cell>
          <cell r="CG200">
            <v>50</v>
          </cell>
          <cell r="CH200">
            <v>14</v>
          </cell>
          <cell r="CM200">
            <v>102.5</v>
          </cell>
          <cell r="CN200" t="str">
            <v>Owed 102.500 rials Eid bonus, 50 hours 200%, for Eid al ftir'2008. Owed 14 days desert allowance, 28 hours overtime is work from 13th to 26th September'2008. Owed 32 hours overtime extra overtime from 16th to 23rd October'2008.</v>
          </cell>
        </row>
        <row r="201">
          <cell r="B201">
            <v>448</v>
          </cell>
          <cell r="D201" t="str">
            <v>Toufiq Salim Ghanim Al Lauyahi</v>
          </cell>
          <cell r="E201" t="str">
            <v>Labour / Driver</v>
          </cell>
          <cell r="G201" t="str">
            <v>N/A</v>
          </cell>
          <cell r="H201">
            <v>39707</v>
          </cell>
          <cell r="I201" t="str">
            <v>A</v>
          </cell>
          <cell r="J201" t="str">
            <v>Sh:3</v>
          </cell>
          <cell r="K201">
            <v>6.5</v>
          </cell>
          <cell r="L201">
            <v>6.5</v>
          </cell>
          <cell r="M201">
            <v>6.5</v>
          </cell>
          <cell r="N201">
            <v>6.5</v>
          </cell>
          <cell r="O201">
            <v>6.5</v>
          </cell>
          <cell r="P201">
            <v>6.5</v>
          </cell>
          <cell r="Q201">
            <v>2.5</v>
          </cell>
          <cell r="R201" t="str">
            <v>L</v>
          </cell>
          <cell r="S201" t="str">
            <v>L</v>
          </cell>
          <cell r="T201" t="str">
            <v>L</v>
          </cell>
          <cell r="U201" t="str">
            <v>L</v>
          </cell>
          <cell r="V201" t="str">
            <v>L</v>
          </cell>
          <cell r="W201" t="str">
            <v>L</v>
          </cell>
          <cell r="X201" t="str">
            <v>L</v>
          </cell>
          <cell r="Y201" t="str">
            <v>L</v>
          </cell>
          <cell r="Z201" t="str">
            <v>L</v>
          </cell>
          <cell r="AA201" t="str">
            <v>L</v>
          </cell>
          <cell r="AB201" t="str">
            <v>L</v>
          </cell>
          <cell r="AC201" t="str">
            <v>L</v>
          </cell>
          <cell r="AD201" t="str">
            <v>L</v>
          </cell>
          <cell r="AE201" t="str">
            <v>L</v>
          </cell>
          <cell r="AF201">
            <v>2.5</v>
          </cell>
          <cell r="AG201">
            <v>2.5</v>
          </cell>
          <cell r="AH201">
            <v>2.5</v>
          </cell>
          <cell r="AI201">
            <v>2.5</v>
          </cell>
          <cell r="AJ201">
            <v>10.5</v>
          </cell>
          <cell r="AK201">
            <v>10.5</v>
          </cell>
          <cell r="AL201">
            <v>2.5</v>
          </cell>
          <cell r="AM201">
            <v>2.5</v>
          </cell>
          <cell r="AN201">
            <v>2.5</v>
          </cell>
          <cell r="AO201" t="str">
            <v>x</v>
          </cell>
          <cell r="AP201">
            <v>16</v>
          </cell>
          <cell r="AQ201">
            <v>14</v>
          </cell>
          <cell r="AR201">
            <v>0</v>
          </cell>
          <cell r="AS201">
            <v>0</v>
          </cell>
          <cell r="AT201">
            <v>0</v>
          </cell>
          <cell r="AU201">
            <v>0</v>
          </cell>
          <cell r="AV201">
            <v>59</v>
          </cell>
          <cell r="AW201">
            <v>21</v>
          </cell>
          <cell r="AX201">
            <v>30</v>
          </cell>
          <cell r="AY201">
            <v>16</v>
          </cell>
          <cell r="AZ201">
            <v>30</v>
          </cell>
          <cell r="CF201">
            <v>28</v>
          </cell>
          <cell r="CN201" t="str">
            <v>Owed 28 hours overtime extra overtime from 25th to 31st October'2008.</v>
          </cell>
        </row>
        <row r="202">
          <cell r="B202">
            <v>449</v>
          </cell>
          <cell r="D202" t="str">
            <v>Yasser Khalifa Ghanim Al Ghafri</v>
          </cell>
          <cell r="E202" t="str">
            <v>Labour / Driver</v>
          </cell>
          <cell r="G202" t="str">
            <v>N/A</v>
          </cell>
          <cell r="H202">
            <v>39707</v>
          </cell>
          <cell r="I202" t="str">
            <v>A</v>
          </cell>
          <cell r="J202" t="str">
            <v>Sh:3</v>
          </cell>
          <cell r="K202">
            <v>6.5</v>
          </cell>
          <cell r="L202">
            <v>6.5</v>
          </cell>
          <cell r="M202">
            <v>6.5</v>
          </cell>
          <cell r="N202">
            <v>6.5</v>
          </cell>
          <cell r="O202">
            <v>6.5</v>
          </cell>
          <cell r="P202">
            <v>6.5</v>
          </cell>
          <cell r="Q202">
            <v>2.5</v>
          </cell>
          <cell r="R202" t="str">
            <v>L</v>
          </cell>
          <cell r="S202" t="str">
            <v>L</v>
          </cell>
          <cell r="T202" t="str">
            <v>L</v>
          </cell>
          <cell r="U202" t="str">
            <v>L</v>
          </cell>
          <cell r="V202" t="str">
            <v>L</v>
          </cell>
          <cell r="W202" t="str">
            <v>L</v>
          </cell>
          <cell r="X202" t="str">
            <v>L</v>
          </cell>
          <cell r="Y202" t="str">
            <v>L</v>
          </cell>
          <cell r="Z202" t="str">
            <v>L</v>
          </cell>
          <cell r="AA202" t="str">
            <v>L</v>
          </cell>
          <cell r="AB202" t="str">
            <v>L</v>
          </cell>
          <cell r="AC202" t="str">
            <v>L</v>
          </cell>
          <cell r="AD202" t="str">
            <v>L</v>
          </cell>
          <cell r="AE202" t="str">
            <v>L</v>
          </cell>
          <cell r="AF202">
            <v>2.5</v>
          </cell>
          <cell r="AG202">
            <v>2.5</v>
          </cell>
          <cell r="AH202">
            <v>2.5</v>
          </cell>
          <cell r="AI202">
            <v>2.5</v>
          </cell>
          <cell r="AJ202">
            <v>10.5</v>
          </cell>
          <cell r="AK202">
            <v>10.5</v>
          </cell>
          <cell r="AL202">
            <v>2.5</v>
          </cell>
          <cell r="AM202">
            <v>2.5</v>
          </cell>
          <cell r="AN202">
            <v>2.5</v>
          </cell>
          <cell r="AO202" t="str">
            <v>x</v>
          </cell>
          <cell r="AP202">
            <v>16</v>
          </cell>
          <cell r="AQ202">
            <v>14</v>
          </cell>
          <cell r="AR202">
            <v>0</v>
          </cell>
          <cell r="AS202">
            <v>0</v>
          </cell>
          <cell r="AT202">
            <v>0</v>
          </cell>
          <cell r="AU202">
            <v>0</v>
          </cell>
          <cell r="AV202">
            <v>59</v>
          </cell>
          <cell r="AW202">
            <v>21</v>
          </cell>
          <cell r="AX202">
            <v>30</v>
          </cell>
          <cell r="AY202">
            <v>16</v>
          </cell>
          <cell r="AZ202">
            <v>30</v>
          </cell>
          <cell r="CF202">
            <v>28</v>
          </cell>
          <cell r="CN202" t="str">
            <v>Owed 28 hours overtime extra overtime from 25th to 31st October'2008.</v>
          </cell>
        </row>
        <row r="203">
          <cell r="B203">
            <v>450</v>
          </cell>
          <cell r="D203" t="str">
            <v>Mahmood Al Hamdi Eid Al Dari</v>
          </cell>
          <cell r="E203" t="str">
            <v>Labour / Driver</v>
          </cell>
          <cell r="G203" t="str">
            <v>N/A</v>
          </cell>
          <cell r="I203" t="str">
            <v>A</v>
          </cell>
          <cell r="J203" t="str">
            <v>Sh:2</v>
          </cell>
          <cell r="K203" t="str">
            <v>L</v>
          </cell>
          <cell r="L203" t="str">
            <v>L</v>
          </cell>
          <cell r="M203" t="str">
            <v>L</v>
          </cell>
          <cell r="N203" t="str">
            <v>L</v>
          </cell>
          <cell r="O203" t="str">
            <v>L</v>
          </cell>
          <cell r="P203" t="str">
            <v>L</v>
          </cell>
          <cell r="Q203" t="str">
            <v>L</v>
          </cell>
          <cell r="R203">
            <v>2.5</v>
          </cell>
          <cell r="S203">
            <v>6.5</v>
          </cell>
          <cell r="T203">
            <v>6.5</v>
          </cell>
          <cell r="U203">
            <v>6.5</v>
          </cell>
          <cell r="V203">
            <v>6</v>
          </cell>
          <cell r="W203">
            <v>6.5</v>
          </cell>
          <cell r="X203">
            <v>6.5</v>
          </cell>
          <cell r="Y203">
            <v>6.5</v>
          </cell>
          <cell r="Z203">
            <v>2.5</v>
          </cell>
          <cell r="AA203">
            <v>2.5</v>
          </cell>
          <cell r="AB203">
            <v>2.5</v>
          </cell>
          <cell r="AC203">
            <v>2.5</v>
          </cell>
          <cell r="AD203">
            <v>2.5</v>
          </cell>
          <cell r="AE203">
            <v>2.5</v>
          </cell>
          <cell r="AF203">
            <v>2.5</v>
          </cell>
          <cell r="AG203">
            <v>2.5</v>
          </cell>
          <cell r="AH203">
            <v>2.5</v>
          </cell>
          <cell r="AI203">
            <v>2.5</v>
          </cell>
          <cell r="AJ203">
            <v>10.5</v>
          </cell>
          <cell r="AK203">
            <v>10.5</v>
          </cell>
          <cell r="AL203">
            <v>2.5</v>
          </cell>
          <cell r="AM203">
            <v>2.5</v>
          </cell>
          <cell r="AN203">
            <v>2.5</v>
          </cell>
          <cell r="AO203" t="str">
            <v>x</v>
          </cell>
          <cell r="AP203">
            <v>23</v>
          </cell>
          <cell r="AQ203">
            <v>7</v>
          </cell>
          <cell r="AR203">
            <v>0</v>
          </cell>
          <cell r="AS203">
            <v>0</v>
          </cell>
          <cell r="AT203">
            <v>0</v>
          </cell>
          <cell r="AU203">
            <v>0</v>
          </cell>
          <cell r="AV203">
            <v>80</v>
          </cell>
          <cell r="AW203">
            <v>21</v>
          </cell>
          <cell r="AX203">
            <v>30</v>
          </cell>
          <cell r="AY203">
            <v>23</v>
          </cell>
          <cell r="AZ203">
            <v>30</v>
          </cell>
          <cell r="CF203">
            <v>8</v>
          </cell>
          <cell r="CG203">
            <v>63</v>
          </cell>
          <cell r="CH203">
            <v>6</v>
          </cell>
          <cell r="CM203">
            <v>123</v>
          </cell>
          <cell r="CN203" t="str">
            <v>Owed 8 hours overtime extra overtime from 22nd to 23rd October'2008.  Owed 123 rials Eid bonus, 63 hours 200%, 6 days desert allowance for Eid Al Adhah'2008 from 8th to 13th December'2008.</v>
          </cell>
        </row>
        <row r="204">
          <cell r="B204">
            <v>451</v>
          </cell>
          <cell r="D204" t="str">
            <v>Ali Shoon Musallam Al Khaldi</v>
          </cell>
          <cell r="E204" t="str">
            <v>Heavy Duty Dvr</v>
          </cell>
          <cell r="G204" t="str">
            <v>N/A</v>
          </cell>
          <cell r="H204">
            <v>39740</v>
          </cell>
          <cell r="I204" t="str">
            <v>C</v>
          </cell>
          <cell r="J204" t="str">
            <v>Sh:3</v>
          </cell>
          <cell r="K204">
            <v>2.5</v>
          </cell>
          <cell r="L204">
            <v>0</v>
          </cell>
          <cell r="M204" t="str">
            <v>L</v>
          </cell>
          <cell r="N204" t="str">
            <v>L</v>
          </cell>
          <cell r="O204" t="str">
            <v>L</v>
          </cell>
          <cell r="P204" t="str">
            <v>L</v>
          </cell>
          <cell r="Q204" t="str">
            <v>L</v>
          </cell>
          <cell r="R204" t="str">
            <v>L</v>
          </cell>
          <cell r="S204" t="str">
            <v>L</v>
          </cell>
          <cell r="T204" t="str">
            <v>L</v>
          </cell>
          <cell r="U204" t="str">
            <v>L</v>
          </cell>
          <cell r="V204" t="str">
            <v>L</v>
          </cell>
          <cell r="W204" t="str">
            <v>L</v>
          </cell>
          <cell r="X204" t="str">
            <v>L</v>
          </cell>
          <cell r="Y204" t="str">
            <v>L</v>
          </cell>
          <cell r="Z204" t="str">
            <v>L</v>
          </cell>
          <cell r="AA204" t="str">
            <v>L</v>
          </cell>
          <cell r="AB204" t="str">
            <v>L</v>
          </cell>
          <cell r="AC204" t="str">
            <v>L</v>
          </cell>
          <cell r="AD204" t="str">
            <v>L</v>
          </cell>
          <cell r="AE204" t="str">
            <v>L</v>
          </cell>
          <cell r="AF204">
            <v>2.5</v>
          </cell>
          <cell r="AG204">
            <v>2.5</v>
          </cell>
          <cell r="AH204">
            <v>2.5</v>
          </cell>
          <cell r="AI204">
            <v>2.5</v>
          </cell>
          <cell r="AJ204">
            <v>10.5</v>
          </cell>
          <cell r="AK204">
            <v>10.5</v>
          </cell>
          <cell r="AL204">
            <v>2.5</v>
          </cell>
          <cell r="AM204">
            <v>2.5</v>
          </cell>
          <cell r="AN204">
            <v>2.5</v>
          </cell>
          <cell r="AO204" t="str">
            <v>x</v>
          </cell>
          <cell r="AP204">
            <v>11</v>
          </cell>
          <cell r="AQ204">
            <v>19</v>
          </cell>
          <cell r="AR204">
            <v>0</v>
          </cell>
          <cell r="AS204">
            <v>0</v>
          </cell>
          <cell r="AT204">
            <v>0</v>
          </cell>
          <cell r="AU204">
            <v>0</v>
          </cell>
          <cell r="AV204">
            <v>20</v>
          </cell>
          <cell r="AW204">
            <v>21</v>
          </cell>
          <cell r="AX204">
            <v>30</v>
          </cell>
          <cell r="AY204">
            <v>11</v>
          </cell>
          <cell r="AZ204">
            <v>30</v>
          </cell>
          <cell r="CF204">
            <v>40</v>
          </cell>
          <cell r="CN204" t="str">
            <v>Owed 40 hours overtime extra overtime from 22nd to 31st October'2008.</v>
          </cell>
        </row>
        <row r="205">
          <cell r="B205">
            <v>452</v>
          </cell>
          <cell r="D205" t="str">
            <v>Haji Ramadhan Jouhar Al Balushi</v>
          </cell>
          <cell r="E205" t="str">
            <v>Labour / Driver</v>
          </cell>
          <cell r="G205" t="str">
            <v>N/A</v>
          </cell>
          <cell r="H205">
            <v>39740</v>
          </cell>
          <cell r="I205" t="str">
            <v>A</v>
          </cell>
          <cell r="J205" t="str">
            <v>Sh:3</v>
          </cell>
          <cell r="K205">
            <v>6.5</v>
          </cell>
          <cell r="L205">
            <v>6.5</v>
          </cell>
          <cell r="M205">
            <v>6.5</v>
          </cell>
          <cell r="N205">
            <v>6.5</v>
          </cell>
          <cell r="O205">
            <v>6.5</v>
          </cell>
          <cell r="P205">
            <v>6.5</v>
          </cell>
          <cell r="Q205">
            <v>2.5</v>
          </cell>
          <cell r="R205" t="str">
            <v>L</v>
          </cell>
          <cell r="S205" t="str">
            <v>L</v>
          </cell>
          <cell r="T205" t="str">
            <v>L</v>
          </cell>
          <cell r="U205" t="str">
            <v>L</v>
          </cell>
          <cell r="V205" t="str">
            <v>L</v>
          </cell>
          <cell r="W205" t="str">
            <v>L</v>
          </cell>
          <cell r="X205" t="str">
            <v>L</v>
          </cell>
          <cell r="Y205" t="str">
            <v>L</v>
          </cell>
          <cell r="Z205" t="str">
            <v>L</v>
          </cell>
          <cell r="AA205" t="str">
            <v>L</v>
          </cell>
          <cell r="AB205" t="str">
            <v>L</v>
          </cell>
          <cell r="AC205" t="str">
            <v>L</v>
          </cell>
          <cell r="AD205" t="str">
            <v>L</v>
          </cell>
          <cell r="AE205" t="str">
            <v>L</v>
          </cell>
          <cell r="AF205">
            <v>2.5</v>
          </cell>
          <cell r="AG205">
            <v>2.5</v>
          </cell>
          <cell r="AH205">
            <v>2.5</v>
          </cell>
          <cell r="AI205">
            <v>2.5</v>
          </cell>
          <cell r="AJ205">
            <v>10.5</v>
          </cell>
          <cell r="AK205">
            <v>10.5</v>
          </cell>
          <cell r="AL205">
            <v>2.5</v>
          </cell>
          <cell r="AM205">
            <v>2.5</v>
          </cell>
          <cell r="AN205">
            <v>2.5</v>
          </cell>
          <cell r="AO205" t="str">
            <v>x</v>
          </cell>
          <cell r="AP205">
            <v>16</v>
          </cell>
          <cell r="AQ205">
            <v>14</v>
          </cell>
          <cell r="AR205">
            <v>0</v>
          </cell>
          <cell r="AS205">
            <v>0</v>
          </cell>
          <cell r="AT205">
            <v>0</v>
          </cell>
          <cell r="AU205">
            <v>0</v>
          </cell>
          <cell r="AV205">
            <v>59</v>
          </cell>
          <cell r="AW205">
            <v>21</v>
          </cell>
          <cell r="AX205">
            <v>30</v>
          </cell>
          <cell r="AY205">
            <v>16</v>
          </cell>
          <cell r="AZ205">
            <v>30</v>
          </cell>
          <cell r="CF205">
            <v>40</v>
          </cell>
          <cell r="CN205" t="str">
            <v>Owed 40 hours overtime extra overtime from 21st to 23rd and 25th to 31st October'2008.</v>
          </cell>
        </row>
        <row r="206">
          <cell r="B206">
            <v>453</v>
          </cell>
          <cell r="D206" t="str">
            <v>Anbar Ali Ali Al Saadi</v>
          </cell>
          <cell r="E206" t="str">
            <v>Labour / Driver</v>
          </cell>
          <cell r="G206" t="str">
            <v>N/A</v>
          </cell>
          <cell r="H206">
            <v>39740</v>
          </cell>
          <cell r="I206" t="str">
            <v>A</v>
          </cell>
          <cell r="J206" t="str">
            <v>Sh:2</v>
          </cell>
          <cell r="K206" t="str">
            <v>L</v>
          </cell>
          <cell r="L206" t="str">
            <v>L</v>
          </cell>
          <cell r="M206" t="str">
            <v>L</v>
          </cell>
          <cell r="N206" t="str">
            <v>L</v>
          </cell>
          <cell r="O206" t="str">
            <v>L</v>
          </cell>
          <cell r="P206" t="str">
            <v>L</v>
          </cell>
          <cell r="Q206" t="str">
            <v>L</v>
          </cell>
          <cell r="R206">
            <v>2.5</v>
          </cell>
          <cell r="S206">
            <v>2.5</v>
          </cell>
          <cell r="T206">
            <v>6.5</v>
          </cell>
          <cell r="U206">
            <v>6.5</v>
          </cell>
          <cell r="V206">
            <v>6.5</v>
          </cell>
          <cell r="W206">
            <v>6.5</v>
          </cell>
          <cell r="X206">
            <v>6.5</v>
          </cell>
          <cell r="Y206">
            <v>6.5</v>
          </cell>
          <cell r="Z206">
            <v>2.5</v>
          </cell>
          <cell r="AA206">
            <v>2.5</v>
          </cell>
          <cell r="AB206">
            <v>0</v>
          </cell>
          <cell r="AC206" t="str">
            <v>L</v>
          </cell>
          <cell r="AD206" t="str">
            <v>L</v>
          </cell>
          <cell r="AE206" t="str">
            <v>L</v>
          </cell>
          <cell r="AF206">
            <v>2.5</v>
          </cell>
          <cell r="AG206">
            <v>2.5</v>
          </cell>
          <cell r="AH206">
            <v>2.5</v>
          </cell>
          <cell r="AI206">
            <v>2.5</v>
          </cell>
          <cell r="AJ206">
            <v>10.5</v>
          </cell>
          <cell r="AK206">
            <v>10.5</v>
          </cell>
          <cell r="AL206">
            <v>2.5</v>
          </cell>
          <cell r="AM206">
            <v>2.5</v>
          </cell>
          <cell r="AN206">
            <v>2.5</v>
          </cell>
          <cell r="AO206" t="str">
            <v>x</v>
          </cell>
          <cell r="AP206">
            <v>20</v>
          </cell>
          <cell r="AQ206">
            <v>10</v>
          </cell>
          <cell r="AR206">
            <v>0</v>
          </cell>
          <cell r="AS206">
            <v>0</v>
          </cell>
          <cell r="AT206">
            <v>0</v>
          </cell>
          <cell r="AU206">
            <v>0</v>
          </cell>
          <cell r="AV206">
            <v>66.5</v>
          </cell>
          <cell r="AW206">
            <v>21</v>
          </cell>
          <cell r="AX206">
            <v>30</v>
          </cell>
          <cell r="AY206">
            <v>20</v>
          </cell>
          <cell r="AZ206">
            <v>30</v>
          </cell>
          <cell r="CF206">
            <v>24</v>
          </cell>
          <cell r="CN206" t="str">
            <v>Owed 24 hours overtime extra overtime from 21st to 26th October'2008.</v>
          </cell>
        </row>
        <row r="207">
          <cell r="B207">
            <v>454</v>
          </cell>
          <cell r="D207" t="str">
            <v>Mahmood Hamood Sulaiman Al Hadifi</v>
          </cell>
          <cell r="E207" t="str">
            <v>Labour / Driver</v>
          </cell>
          <cell r="G207" t="str">
            <v>N/A</v>
          </cell>
          <cell r="H207">
            <v>39740</v>
          </cell>
          <cell r="I207" t="str">
            <v>A</v>
          </cell>
          <cell r="J207" t="str">
            <v>Sh:2</v>
          </cell>
          <cell r="K207">
            <v>2.5</v>
          </cell>
          <cell r="L207" t="str">
            <v>L</v>
          </cell>
          <cell r="M207" t="str">
            <v>L</v>
          </cell>
          <cell r="N207" t="str">
            <v>L</v>
          </cell>
          <cell r="O207" t="str">
            <v>L</v>
          </cell>
          <cell r="P207" t="str">
            <v>L</v>
          </cell>
          <cell r="Q207" t="str">
            <v>L</v>
          </cell>
          <cell r="R207" t="str">
            <v>L</v>
          </cell>
          <cell r="S207" t="str">
            <v>L</v>
          </cell>
          <cell r="T207" t="str">
            <v>L</v>
          </cell>
          <cell r="U207" t="str">
            <v>L</v>
          </cell>
          <cell r="V207" t="str">
            <v>L</v>
          </cell>
          <cell r="W207" t="str">
            <v>L</v>
          </cell>
          <cell r="X207" t="str">
            <v>L</v>
          </cell>
          <cell r="Y207" t="str">
            <v>L</v>
          </cell>
          <cell r="Z207">
            <v>0</v>
          </cell>
          <cell r="AA207" t="str">
            <v>L</v>
          </cell>
          <cell r="AB207" t="str">
            <v>L</v>
          </cell>
          <cell r="AC207" t="str">
            <v>L</v>
          </cell>
          <cell r="AD207" t="str">
            <v>L</v>
          </cell>
          <cell r="AE207" t="str">
            <v>L</v>
          </cell>
          <cell r="AF207">
            <v>2.5</v>
          </cell>
          <cell r="AG207">
            <v>2.5</v>
          </cell>
          <cell r="AH207">
            <v>2.5</v>
          </cell>
          <cell r="AI207">
            <v>2.5</v>
          </cell>
          <cell r="AJ207">
            <v>10.5</v>
          </cell>
          <cell r="AK207">
            <v>10.5</v>
          </cell>
          <cell r="AL207">
            <v>2.5</v>
          </cell>
          <cell r="AM207">
            <v>2.5</v>
          </cell>
          <cell r="AN207">
            <v>2.5</v>
          </cell>
          <cell r="AO207" t="str">
            <v>x</v>
          </cell>
          <cell r="AP207">
            <v>11</v>
          </cell>
          <cell r="AQ207">
            <v>19</v>
          </cell>
          <cell r="AR207">
            <v>0</v>
          </cell>
          <cell r="AS207">
            <v>0</v>
          </cell>
          <cell r="AT207">
            <v>0</v>
          </cell>
          <cell r="AU207">
            <v>0</v>
          </cell>
          <cell r="AV207">
            <v>20</v>
          </cell>
          <cell r="AW207">
            <v>21</v>
          </cell>
          <cell r="AX207">
            <v>30</v>
          </cell>
          <cell r="AY207">
            <v>11</v>
          </cell>
          <cell r="AZ207">
            <v>30</v>
          </cell>
          <cell r="CF207">
            <v>36</v>
          </cell>
          <cell r="CN207" t="str">
            <v>Owed 36 hours overtime extra overtime from 22nd to 24th and 26th to 31st October'2008.</v>
          </cell>
        </row>
        <row r="208">
          <cell r="B208">
            <v>455</v>
          </cell>
          <cell r="D208" t="str">
            <v>AbdulAziz Hamed Abdullah Al Maqubali</v>
          </cell>
          <cell r="E208" t="str">
            <v>Labour / Driver</v>
          </cell>
          <cell r="G208" t="str">
            <v>N/A</v>
          </cell>
          <cell r="H208">
            <v>39741</v>
          </cell>
          <cell r="I208" t="str">
            <v>A</v>
          </cell>
          <cell r="J208" t="str">
            <v>Sh:2</v>
          </cell>
          <cell r="K208">
            <v>6.5</v>
          </cell>
          <cell r="L208">
            <v>6.5</v>
          </cell>
          <cell r="M208">
            <v>6.5</v>
          </cell>
          <cell r="N208">
            <v>6.5</v>
          </cell>
          <cell r="O208">
            <v>6.5</v>
          </cell>
          <cell r="P208">
            <v>6.5</v>
          </cell>
          <cell r="Q208">
            <v>6.5</v>
          </cell>
          <cell r="R208">
            <v>6.5</v>
          </cell>
          <cell r="S208">
            <v>6.5</v>
          </cell>
          <cell r="T208">
            <v>6.5</v>
          </cell>
          <cell r="U208">
            <v>6.5</v>
          </cell>
          <cell r="V208">
            <v>6.5</v>
          </cell>
          <cell r="W208">
            <v>6.5</v>
          </cell>
          <cell r="X208">
            <v>6.5</v>
          </cell>
          <cell r="Y208">
            <v>6.5</v>
          </cell>
          <cell r="Z208">
            <v>2.5</v>
          </cell>
          <cell r="AA208">
            <v>2.5</v>
          </cell>
          <cell r="AB208">
            <v>2.5</v>
          </cell>
          <cell r="AC208">
            <v>2.5</v>
          </cell>
          <cell r="AD208">
            <v>2.5</v>
          </cell>
          <cell r="AE208">
            <v>2.5</v>
          </cell>
          <cell r="AF208">
            <v>2.5</v>
          </cell>
          <cell r="AG208">
            <v>2.5</v>
          </cell>
          <cell r="AH208">
            <v>2.5</v>
          </cell>
          <cell r="AI208">
            <v>2.5</v>
          </cell>
          <cell r="AJ208">
            <v>10.5</v>
          </cell>
          <cell r="AK208">
            <v>10.5</v>
          </cell>
          <cell r="AL208">
            <v>2.5</v>
          </cell>
          <cell r="AM208">
            <v>2.5</v>
          </cell>
          <cell r="AN208">
            <v>2.5</v>
          </cell>
          <cell r="AO208" t="str">
            <v>x</v>
          </cell>
          <cell r="AP208">
            <v>30</v>
          </cell>
          <cell r="AQ208">
            <v>0</v>
          </cell>
          <cell r="AR208">
            <v>0</v>
          </cell>
          <cell r="AS208">
            <v>0</v>
          </cell>
          <cell r="AT208">
            <v>0</v>
          </cell>
          <cell r="AU208">
            <v>0</v>
          </cell>
          <cell r="AV208">
            <v>130</v>
          </cell>
          <cell r="AW208">
            <v>21</v>
          </cell>
          <cell r="AX208">
            <v>30</v>
          </cell>
          <cell r="AY208">
            <v>30</v>
          </cell>
          <cell r="AZ208">
            <v>30</v>
          </cell>
          <cell r="CF208">
            <v>12</v>
          </cell>
          <cell r="CG208">
            <v>63</v>
          </cell>
          <cell r="CH208">
            <v>6</v>
          </cell>
          <cell r="CM208">
            <v>123</v>
          </cell>
          <cell r="CN208" t="str">
            <v>Owed 12 hours overtime extra overtime from 29th to 31st October'2008.  Owed 123 rials Eid bonus, 63 hours 200%, 6 days desert allowance for Eid Al Adhah'2008 from 8th to 13th December'2008.</v>
          </cell>
        </row>
        <row r="209">
          <cell r="B209">
            <v>456</v>
          </cell>
          <cell r="D209" t="str">
            <v xml:space="preserve">Mohamed Khalifa Nasser Al Amri </v>
          </cell>
          <cell r="E209" t="str">
            <v>Heavy Duty Dvr</v>
          </cell>
          <cell r="G209" t="str">
            <v>N/A</v>
          </cell>
          <cell r="H209">
            <v>39753</v>
          </cell>
          <cell r="J209" t="str">
            <v>Sh:3</v>
          </cell>
          <cell r="K209">
            <v>6.5</v>
          </cell>
          <cell r="L209">
            <v>0</v>
          </cell>
          <cell r="M209" t="str">
            <v>L</v>
          </cell>
          <cell r="N209">
            <v>6.5</v>
          </cell>
          <cell r="O209">
            <v>6.5</v>
          </cell>
          <cell r="P209">
            <v>6.5</v>
          </cell>
          <cell r="Q209">
            <v>6.5</v>
          </cell>
          <cell r="R209">
            <v>2.5</v>
          </cell>
          <cell r="S209">
            <v>2.5</v>
          </cell>
          <cell r="T209">
            <v>2.5</v>
          </cell>
          <cell r="U209">
            <v>0</v>
          </cell>
          <cell r="V209" t="str">
            <v>L</v>
          </cell>
          <cell r="W209" t="str">
            <v>L</v>
          </cell>
          <cell r="X209" t="str">
            <v>L</v>
          </cell>
          <cell r="Y209" t="str">
            <v>L</v>
          </cell>
          <cell r="Z209" t="str">
            <v>S</v>
          </cell>
          <cell r="AA209" t="str">
            <v>L</v>
          </cell>
          <cell r="AB209">
            <v>2.5</v>
          </cell>
          <cell r="AC209">
            <v>2.5</v>
          </cell>
          <cell r="AD209">
            <v>2.5</v>
          </cell>
          <cell r="AE209">
            <v>2.5</v>
          </cell>
          <cell r="AF209">
            <v>2.5</v>
          </cell>
          <cell r="AG209">
            <v>2.5</v>
          </cell>
          <cell r="AH209">
            <v>2.5</v>
          </cell>
          <cell r="AI209">
            <v>2.5</v>
          </cell>
          <cell r="AJ209">
            <v>10.5</v>
          </cell>
          <cell r="AK209">
            <v>10.5</v>
          </cell>
          <cell r="AL209">
            <v>2.5</v>
          </cell>
          <cell r="AM209">
            <v>2.5</v>
          </cell>
          <cell r="AN209">
            <v>2.5</v>
          </cell>
          <cell r="AO209" t="str">
            <v>x</v>
          </cell>
          <cell r="AP209">
            <v>23</v>
          </cell>
          <cell r="AQ209">
            <v>6</v>
          </cell>
          <cell r="AR209">
            <v>1</v>
          </cell>
          <cell r="AS209">
            <v>0</v>
          </cell>
          <cell r="AT209">
            <v>0</v>
          </cell>
          <cell r="AU209">
            <v>0</v>
          </cell>
          <cell r="AV209">
            <v>67.5</v>
          </cell>
          <cell r="AW209">
            <v>21</v>
          </cell>
          <cell r="AX209">
            <v>30</v>
          </cell>
          <cell r="AY209">
            <v>23</v>
          </cell>
          <cell r="AZ209">
            <v>30</v>
          </cell>
          <cell r="CG209">
            <v>63</v>
          </cell>
          <cell r="CH209">
            <v>6</v>
          </cell>
          <cell r="CM209">
            <v>134.708</v>
          </cell>
          <cell r="CN209" t="str">
            <v>Owed 11.708 Rials Oman his work on 31st October'2008 as temporary heavy duty drive.  Owed 123 rials Eid bonus, 63 hours 200%, 6 days desert allowance for Eid Al Adhah'2008 from 8th to 13th December'2008.</v>
          </cell>
        </row>
        <row r="210">
          <cell r="B210">
            <v>457</v>
          </cell>
          <cell r="D210" t="str">
            <v>Suliman Mohamed Salim Al Ghafri</v>
          </cell>
          <cell r="E210" t="str">
            <v>Heavy Duty Dvr</v>
          </cell>
          <cell r="G210" t="str">
            <v>N/A</v>
          </cell>
          <cell r="H210">
            <v>39753</v>
          </cell>
          <cell r="J210" t="str">
            <v>Sh:2</v>
          </cell>
          <cell r="K210">
            <v>2.5</v>
          </cell>
          <cell r="L210">
            <v>6.5</v>
          </cell>
          <cell r="M210">
            <v>6.5</v>
          </cell>
          <cell r="N210">
            <v>6.5</v>
          </cell>
          <cell r="O210">
            <v>6.5</v>
          </cell>
          <cell r="P210">
            <v>6.5</v>
          </cell>
          <cell r="Q210">
            <v>6.5</v>
          </cell>
          <cell r="R210">
            <v>7.5</v>
          </cell>
          <cell r="S210">
            <v>6.5</v>
          </cell>
          <cell r="T210">
            <v>6.5</v>
          </cell>
          <cell r="U210">
            <v>6.5</v>
          </cell>
          <cell r="V210">
            <v>6.5</v>
          </cell>
          <cell r="W210">
            <v>6.5</v>
          </cell>
          <cell r="X210">
            <v>6.5</v>
          </cell>
          <cell r="Y210">
            <v>6.5</v>
          </cell>
          <cell r="Z210">
            <v>2.5</v>
          </cell>
          <cell r="AA210">
            <v>2.5</v>
          </cell>
          <cell r="AB210">
            <v>2.5</v>
          </cell>
          <cell r="AC210">
            <v>2.5</v>
          </cell>
          <cell r="AD210">
            <v>2.5</v>
          </cell>
          <cell r="AE210">
            <v>2.5</v>
          </cell>
          <cell r="AF210">
            <v>2.5</v>
          </cell>
          <cell r="AG210">
            <v>2.5</v>
          </cell>
          <cell r="AH210">
            <v>2.5</v>
          </cell>
          <cell r="AI210">
            <v>2.5</v>
          </cell>
          <cell r="AJ210">
            <v>10.5</v>
          </cell>
          <cell r="AK210">
            <v>10.5</v>
          </cell>
          <cell r="AL210">
            <v>2.5</v>
          </cell>
          <cell r="AM210">
            <v>2.5</v>
          </cell>
          <cell r="AN210">
            <v>2.5</v>
          </cell>
          <cell r="AO210" t="str">
            <v>x</v>
          </cell>
          <cell r="AP210">
            <v>30</v>
          </cell>
          <cell r="AQ210">
            <v>0</v>
          </cell>
          <cell r="AR210">
            <v>0</v>
          </cell>
          <cell r="AS210">
            <v>0</v>
          </cell>
          <cell r="AT210">
            <v>0</v>
          </cell>
          <cell r="AU210">
            <v>0</v>
          </cell>
          <cell r="AV210">
            <v>127</v>
          </cell>
          <cell r="AW210">
            <v>21</v>
          </cell>
          <cell r="AX210">
            <v>30</v>
          </cell>
          <cell r="AY210">
            <v>30</v>
          </cell>
          <cell r="AZ210">
            <v>30</v>
          </cell>
          <cell r="CG210">
            <v>63</v>
          </cell>
          <cell r="CH210">
            <v>6</v>
          </cell>
          <cell r="CM210">
            <v>134.708</v>
          </cell>
          <cell r="CN210" t="str">
            <v>Owed 11.708 Rials Oman his work on 31st October'2008 as temporary heavy duty drive.  Owed 123 rials Eid bonus, 63 hours 200%, 6 days desert allowance for Eid Al Adhah'2008 from 8th to 13th December'2008.</v>
          </cell>
        </row>
        <row r="211">
          <cell r="B211">
            <v>458</v>
          </cell>
          <cell r="D211" t="str">
            <v>Said Saleem Mubrook Al Khusibi</v>
          </cell>
          <cell r="E211" t="str">
            <v>Heavy Duty Dvr</v>
          </cell>
          <cell r="G211" t="str">
            <v>N/A</v>
          </cell>
          <cell r="H211">
            <v>39753</v>
          </cell>
          <cell r="J211" t="str">
            <v>Sh:2</v>
          </cell>
          <cell r="K211">
            <v>6.5</v>
          </cell>
          <cell r="L211">
            <v>6.5</v>
          </cell>
          <cell r="M211">
            <v>6.5</v>
          </cell>
          <cell r="N211">
            <v>6.5</v>
          </cell>
          <cell r="O211">
            <v>6.5</v>
          </cell>
          <cell r="P211">
            <v>6.5</v>
          </cell>
          <cell r="Q211">
            <v>6.5</v>
          </cell>
          <cell r="R211">
            <v>7.5</v>
          </cell>
          <cell r="S211">
            <v>6.5</v>
          </cell>
          <cell r="T211">
            <v>6.5</v>
          </cell>
          <cell r="U211">
            <v>6.5</v>
          </cell>
          <cell r="V211">
            <v>2.5</v>
          </cell>
          <cell r="W211">
            <v>8</v>
          </cell>
          <cell r="X211">
            <v>9</v>
          </cell>
          <cell r="Y211">
            <v>9</v>
          </cell>
          <cell r="Z211">
            <v>9</v>
          </cell>
          <cell r="AA211">
            <v>2.5</v>
          </cell>
          <cell r="AB211">
            <v>2.5</v>
          </cell>
          <cell r="AC211">
            <v>2.5</v>
          </cell>
          <cell r="AD211">
            <v>2.5</v>
          </cell>
          <cell r="AE211">
            <v>2.5</v>
          </cell>
          <cell r="AF211">
            <v>2.5</v>
          </cell>
          <cell r="AG211">
            <v>2.5</v>
          </cell>
          <cell r="AH211">
            <v>2.5</v>
          </cell>
          <cell r="AI211">
            <v>2.5</v>
          </cell>
          <cell r="AJ211">
            <v>10.5</v>
          </cell>
          <cell r="AK211">
            <v>10.5</v>
          </cell>
          <cell r="AL211">
            <v>2.5</v>
          </cell>
          <cell r="AM211">
            <v>2.5</v>
          </cell>
          <cell r="AN211">
            <v>2.5</v>
          </cell>
          <cell r="AO211" t="str">
            <v>x</v>
          </cell>
          <cell r="AP211">
            <v>30</v>
          </cell>
          <cell r="AQ211">
            <v>0</v>
          </cell>
          <cell r="AR211">
            <v>0</v>
          </cell>
          <cell r="AS211">
            <v>0</v>
          </cell>
          <cell r="AT211">
            <v>0</v>
          </cell>
          <cell r="AU211">
            <v>0</v>
          </cell>
          <cell r="AV211">
            <v>140</v>
          </cell>
          <cell r="AW211">
            <v>21</v>
          </cell>
          <cell r="AX211">
            <v>30</v>
          </cell>
          <cell r="AY211">
            <v>30</v>
          </cell>
          <cell r="AZ211">
            <v>30</v>
          </cell>
          <cell r="CM211">
            <v>11.708</v>
          </cell>
          <cell r="CN211" t="str">
            <v>Owed 11.708 Rials Oman his work on 31st October'2008 as temporary heavy duty drive.</v>
          </cell>
        </row>
        <row r="212">
          <cell r="B212">
            <v>459</v>
          </cell>
          <cell r="D212" t="str">
            <v>Ibrahim Khamis Mohameed Al Yaqoobi</v>
          </cell>
          <cell r="E212" t="str">
            <v>Heavy Duty Dvr</v>
          </cell>
          <cell r="G212" t="str">
            <v>N/A</v>
          </cell>
          <cell r="H212">
            <v>39753</v>
          </cell>
          <cell r="J212" t="str">
            <v>Sh:1</v>
          </cell>
          <cell r="K212">
            <v>8</v>
          </cell>
          <cell r="L212">
            <v>8</v>
          </cell>
          <cell r="M212">
            <v>8</v>
          </cell>
          <cell r="N212">
            <v>8</v>
          </cell>
          <cell r="O212">
            <v>8</v>
          </cell>
          <cell r="P212">
            <v>8</v>
          </cell>
          <cell r="Q212">
            <v>8</v>
          </cell>
          <cell r="R212">
            <v>8</v>
          </cell>
          <cell r="S212" t="str">
            <v>L</v>
          </cell>
          <cell r="T212" t="str">
            <v>L</v>
          </cell>
          <cell r="U212" t="str">
            <v>L</v>
          </cell>
          <cell r="V212">
            <v>8</v>
          </cell>
          <cell r="W212">
            <v>8</v>
          </cell>
          <cell r="X212">
            <v>9</v>
          </cell>
          <cell r="Y212">
            <v>9</v>
          </cell>
          <cell r="Z212">
            <v>9</v>
          </cell>
          <cell r="AA212">
            <v>9</v>
          </cell>
          <cell r="AB212">
            <v>9</v>
          </cell>
          <cell r="AC212">
            <v>9</v>
          </cell>
          <cell r="AD212">
            <v>9</v>
          </cell>
          <cell r="AE212">
            <v>9</v>
          </cell>
          <cell r="AF212" t="str">
            <v>L</v>
          </cell>
          <cell r="AG212" t="str">
            <v>L</v>
          </cell>
          <cell r="AH212" t="str">
            <v>L</v>
          </cell>
          <cell r="AI212" t="str">
            <v>L</v>
          </cell>
          <cell r="AJ212" t="str">
            <v>L</v>
          </cell>
          <cell r="AK212" t="str">
            <v>L</v>
          </cell>
          <cell r="AL212" t="str">
            <v>L</v>
          </cell>
          <cell r="AM212" t="str">
            <v>L</v>
          </cell>
          <cell r="AN212" t="str">
            <v>L</v>
          </cell>
          <cell r="AO212" t="str">
            <v>x</v>
          </cell>
          <cell r="AP212">
            <v>18</v>
          </cell>
          <cell r="AQ212">
            <v>12</v>
          </cell>
          <cell r="AR212">
            <v>0</v>
          </cell>
          <cell r="AS212">
            <v>0</v>
          </cell>
          <cell r="AT212">
            <v>0</v>
          </cell>
          <cell r="AU212">
            <v>0</v>
          </cell>
          <cell r="AV212">
            <v>152</v>
          </cell>
          <cell r="AW212">
            <v>0</v>
          </cell>
          <cell r="AX212">
            <v>30</v>
          </cell>
          <cell r="AY212">
            <v>18</v>
          </cell>
          <cell r="AZ212">
            <v>30</v>
          </cell>
          <cell r="CG212">
            <v>63</v>
          </cell>
          <cell r="CH212">
            <v>6</v>
          </cell>
          <cell r="CM212">
            <v>134.708</v>
          </cell>
          <cell r="CN212" t="str">
            <v>Owed 11.708 Rials Oman his work on 31st October'2008 as temporary heavy duty drive.  Owed 123 rials Eid bonus, 63 hours 200%, 6 days desert allowance for Eid Al Adhah'2008 from 8th to 13th December'2008.</v>
          </cell>
        </row>
        <row r="213">
          <cell r="B213">
            <v>460</v>
          </cell>
          <cell r="D213" t="str">
            <v>Khalifa Hadoob Obaid  Al Shakali</v>
          </cell>
          <cell r="E213" t="str">
            <v>Heavy Duty Dvr</v>
          </cell>
          <cell r="G213" t="str">
            <v>N/A</v>
          </cell>
          <cell r="H213">
            <v>39753</v>
          </cell>
          <cell r="J213" t="str">
            <v>Sh:1</v>
          </cell>
          <cell r="K213">
            <v>8</v>
          </cell>
          <cell r="L213">
            <v>8</v>
          </cell>
          <cell r="M213">
            <v>8</v>
          </cell>
          <cell r="N213">
            <v>6.5</v>
          </cell>
          <cell r="O213">
            <v>8</v>
          </cell>
          <cell r="P213">
            <v>8</v>
          </cell>
          <cell r="Q213">
            <v>8</v>
          </cell>
          <cell r="R213">
            <v>8</v>
          </cell>
          <cell r="S213" t="str">
            <v>L</v>
          </cell>
          <cell r="T213" t="str">
            <v>L</v>
          </cell>
          <cell r="U213" t="str">
            <v>L</v>
          </cell>
          <cell r="V213" t="str">
            <v>L</v>
          </cell>
          <cell r="W213">
            <v>8</v>
          </cell>
          <cell r="X213">
            <v>9</v>
          </cell>
          <cell r="Y213">
            <v>9</v>
          </cell>
          <cell r="Z213">
            <v>9</v>
          </cell>
          <cell r="AA213">
            <v>9</v>
          </cell>
          <cell r="AB213">
            <v>9</v>
          </cell>
          <cell r="AC213">
            <v>9</v>
          </cell>
          <cell r="AD213">
            <v>9</v>
          </cell>
          <cell r="AE213">
            <v>9</v>
          </cell>
          <cell r="AF213" t="str">
            <v>L</v>
          </cell>
          <cell r="AG213" t="str">
            <v>L</v>
          </cell>
          <cell r="AH213" t="str">
            <v>L</v>
          </cell>
          <cell r="AI213" t="str">
            <v>L</v>
          </cell>
          <cell r="AJ213" t="str">
            <v>L</v>
          </cell>
          <cell r="AK213" t="str">
            <v>L</v>
          </cell>
          <cell r="AL213" t="str">
            <v>L</v>
          </cell>
          <cell r="AM213" t="str">
            <v>L</v>
          </cell>
          <cell r="AN213" t="str">
            <v>L</v>
          </cell>
          <cell r="AO213" t="str">
            <v>x</v>
          </cell>
          <cell r="AP213">
            <v>17</v>
          </cell>
          <cell r="AQ213">
            <v>13</v>
          </cell>
          <cell r="AR213">
            <v>0</v>
          </cell>
          <cell r="AS213">
            <v>0</v>
          </cell>
          <cell r="AT213">
            <v>0</v>
          </cell>
          <cell r="AU213">
            <v>0</v>
          </cell>
          <cell r="AV213">
            <v>142.5</v>
          </cell>
          <cell r="AW213">
            <v>0</v>
          </cell>
          <cell r="AX213">
            <v>30</v>
          </cell>
          <cell r="AY213">
            <v>17</v>
          </cell>
          <cell r="AZ213">
            <v>30</v>
          </cell>
          <cell r="CG213">
            <v>63</v>
          </cell>
          <cell r="CH213">
            <v>6</v>
          </cell>
          <cell r="CM213">
            <v>134.708</v>
          </cell>
          <cell r="CN213" t="str">
            <v>Owed 11.708 Rials Oman his work on 31st October'2008 as temporary heavy duty drive.  Owed 123 rials Eid bonus, 63 hours 200%, 6 days desert allowance for Eid Al Adhah'2008 from 8th to 13th December'2008.</v>
          </cell>
        </row>
        <row r="214">
          <cell r="B214">
            <v>461</v>
          </cell>
          <cell r="D214" t="str">
            <v>Yaqoob Nasser Khamis Al Amri</v>
          </cell>
          <cell r="E214" t="str">
            <v>Labour / Driver</v>
          </cell>
          <cell r="G214" t="str">
            <v>N/A</v>
          </cell>
          <cell r="H214">
            <v>39757</v>
          </cell>
          <cell r="J214" t="str">
            <v>Sh:2</v>
          </cell>
          <cell r="K214" t="str">
            <v>x</v>
          </cell>
          <cell r="L214" t="str">
            <v>x</v>
          </cell>
          <cell r="M214" t="str">
            <v>x</v>
          </cell>
          <cell r="N214" t="str">
            <v>x</v>
          </cell>
          <cell r="O214">
            <v>6.5</v>
          </cell>
          <cell r="P214">
            <v>6.5</v>
          </cell>
          <cell r="Q214">
            <v>6.5</v>
          </cell>
          <cell r="R214">
            <v>2.5</v>
          </cell>
          <cell r="S214">
            <v>2.5</v>
          </cell>
          <cell r="T214">
            <v>2.5</v>
          </cell>
          <cell r="U214">
            <v>2.5</v>
          </cell>
          <cell r="V214">
            <v>2.5</v>
          </cell>
          <cell r="W214">
            <v>2.5</v>
          </cell>
          <cell r="X214">
            <v>2.5</v>
          </cell>
          <cell r="Y214">
            <v>2.5</v>
          </cell>
          <cell r="Z214">
            <v>2.5</v>
          </cell>
          <cell r="AA214">
            <v>2.5</v>
          </cell>
          <cell r="AB214">
            <v>2.5</v>
          </cell>
          <cell r="AC214">
            <v>2.5</v>
          </cell>
          <cell r="AD214">
            <v>2.5</v>
          </cell>
          <cell r="AE214">
            <v>2.5</v>
          </cell>
          <cell r="AF214">
            <v>2.5</v>
          </cell>
          <cell r="AG214">
            <v>2.5</v>
          </cell>
          <cell r="AH214">
            <v>2.5</v>
          </cell>
          <cell r="AI214">
            <v>2.5</v>
          </cell>
          <cell r="AJ214">
            <v>10.5</v>
          </cell>
          <cell r="AK214">
            <v>10.5</v>
          </cell>
          <cell r="AL214">
            <v>2.5</v>
          </cell>
          <cell r="AM214">
            <v>2.5</v>
          </cell>
          <cell r="AN214">
            <v>2.5</v>
          </cell>
          <cell r="AO214" t="str">
            <v>x</v>
          </cell>
          <cell r="AP214">
            <v>26</v>
          </cell>
          <cell r="AQ214">
            <v>0</v>
          </cell>
          <cell r="AR214">
            <v>0</v>
          </cell>
          <cell r="AS214">
            <v>0</v>
          </cell>
          <cell r="AT214">
            <v>0</v>
          </cell>
          <cell r="AU214">
            <v>0</v>
          </cell>
          <cell r="AV214">
            <v>72</v>
          </cell>
          <cell r="AW214">
            <v>21</v>
          </cell>
          <cell r="AX214">
            <v>26</v>
          </cell>
          <cell r="AY214">
            <v>26</v>
          </cell>
          <cell r="AZ214">
            <v>26</v>
          </cell>
          <cell r="CG214">
            <v>63</v>
          </cell>
          <cell r="CH214">
            <v>6</v>
          </cell>
          <cell r="CM214">
            <v>123</v>
          </cell>
          <cell r="CN214" t="str">
            <v xml:space="preserve"> Owed 123 rials Eid bonus, 63 hours 200%, 6 days desert allowance for Eid Al Adhah'2008 from 8th to 13th December'2008.</v>
          </cell>
        </row>
        <row r="215">
          <cell r="B215">
            <v>462</v>
          </cell>
          <cell r="D215" t="str">
            <v>Humaid Ali Said Al Maryamihi</v>
          </cell>
          <cell r="E215" t="str">
            <v>Labour / Driver</v>
          </cell>
          <cell r="G215" t="str">
            <v>N/A</v>
          </cell>
          <cell r="H215">
            <v>39757</v>
          </cell>
          <cell r="J215" t="str">
            <v>Sh:1</v>
          </cell>
          <cell r="K215" t="str">
            <v>x</v>
          </cell>
          <cell r="L215" t="str">
            <v>x</v>
          </cell>
          <cell r="M215" t="str">
            <v>x</v>
          </cell>
          <cell r="N215" t="str">
            <v>x</v>
          </cell>
          <cell r="O215">
            <v>2.5</v>
          </cell>
          <cell r="P215">
            <v>2.5</v>
          </cell>
          <cell r="Q215">
            <v>2.5</v>
          </cell>
          <cell r="R215">
            <v>2.5</v>
          </cell>
          <cell r="S215">
            <v>2.5</v>
          </cell>
          <cell r="T215">
            <v>2.5</v>
          </cell>
          <cell r="U215">
            <v>2.5</v>
          </cell>
          <cell r="V215">
            <v>2.5</v>
          </cell>
          <cell r="W215">
            <v>2.5</v>
          </cell>
          <cell r="X215">
            <v>2.5</v>
          </cell>
          <cell r="Y215">
            <v>2.5</v>
          </cell>
          <cell r="Z215" t="str">
            <v>L</v>
          </cell>
          <cell r="AA215" t="str">
            <v>L</v>
          </cell>
          <cell r="AB215" t="str">
            <v>L</v>
          </cell>
          <cell r="AC215">
            <v>2.5</v>
          </cell>
          <cell r="AD215">
            <v>2.5</v>
          </cell>
          <cell r="AE215">
            <v>2.5</v>
          </cell>
          <cell r="AF215">
            <v>2.5</v>
          </cell>
          <cell r="AG215">
            <v>2.5</v>
          </cell>
          <cell r="AH215">
            <v>2.5</v>
          </cell>
          <cell r="AI215">
            <v>2.5</v>
          </cell>
          <cell r="AJ215">
            <v>10.5</v>
          </cell>
          <cell r="AK215">
            <v>10.5</v>
          </cell>
          <cell r="AL215">
            <v>2.5</v>
          </cell>
          <cell r="AM215">
            <v>2.5</v>
          </cell>
          <cell r="AN215">
            <v>2.5</v>
          </cell>
          <cell r="AO215" t="str">
            <v>x</v>
          </cell>
          <cell r="AP215">
            <v>23</v>
          </cell>
          <cell r="AQ215">
            <v>3</v>
          </cell>
          <cell r="AR215">
            <v>0</v>
          </cell>
          <cell r="AS215">
            <v>0</v>
          </cell>
          <cell r="AT215">
            <v>0</v>
          </cell>
          <cell r="AU215">
            <v>0</v>
          </cell>
          <cell r="AV215">
            <v>52.5</v>
          </cell>
          <cell r="AW215">
            <v>21</v>
          </cell>
          <cell r="AX215">
            <v>26</v>
          </cell>
          <cell r="AY215">
            <v>23</v>
          </cell>
          <cell r="AZ215">
            <v>26</v>
          </cell>
        </row>
        <row r="216">
          <cell r="B216">
            <v>463</v>
          </cell>
          <cell r="D216" t="str">
            <v>Salim Nasser Al Al Busaidi</v>
          </cell>
          <cell r="E216" t="str">
            <v>Labour / Driver</v>
          </cell>
          <cell r="G216" t="str">
            <v>N/A</v>
          </cell>
          <cell r="H216">
            <v>39757</v>
          </cell>
          <cell r="K216" t="str">
            <v>x</v>
          </cell>
          <cell r="L216" t="str">
            <v>x</v>
          </cell>
          <cell r="M216" t="str">
            <v>x</v>
          </cell>
          <cell r="N216" t="str">
            <v>x</v>
          </cell>
          <cell r="O216">
            <v>2.5</v>
          </cell>
          <cell r="P216">
            <v>2.5</v>
          </cell>
          <cell r="Q216">
            <v>2.5</v>
          </cell>
          <cell r="R216" t="str">
            <v>A</v>
          </cell>
          <cell r="S216" t="str">
            <v>A</v>
          </cell>
          <cell r="T216" t="str">
            <v>A</v>
          </cell>
          <cell r="U216" t="str">
            <v>A</v>
          </cell>
          <cell r="V216" t="str">
            <v>A</v>
          </cell>
          <cell r="W216" t="str">
            <v>A</v>
          </cell>
          <cell r="X216" t="str">
            <v>A</v>
          </cell>
          <cell r="Y216" t="str">
            <v>A</v>
          </cell>
          <cell r="Z216" t="str">
            <v>A</v>
          </cell>
          <cell r="AA216" t="str">
            <v>A</v>
          </cell>
          <cell r="AB216" t="str">
            <v>A</v>
          </cell>
          <cell r="AC216" t="str">
            <v>A</v>
          </cell>
          <cell r="AD216" t="str">
            <v>A</v>
          </cell>
          <cell r="AE216" t="str">
            <v>A</v>
          </cell>
          <cell r="AF216" t="str">
            <v>A</v>
          </cell>
          <cell r="AG216" t="str">
            <v>A</v>
          </cell>
          <cell r="AH216" t="str">
            <v>A</v>
          </cell>
          <cell r="AI216" t="str">
            <v>A</v>
          </cell>
          <cell r="AJ216" t="str">
            <v>A</v>
          </cell>
          <cell r="AK216" t="str">
            <v>A</v>
          </cell>
          <cell r="AL216" t="str">
            <v>A</v>
          </cell>
          <cell r="AM216" t="str">
            <v>A</v>
          </cell>
          <cell r="AN216" t="str">
            <v>A</v>
          </cell>
          <cell r="AO216" t="str">
            <v>x</v>
          </cell>
          <cell r="AQ216">
            <v>0</v>
          </cell>
          <cell r="AR216">
            <v>0</v>
          </cell>
          <cell r="AS216">
            <v>0</v>
          </cell>
          <cell r="AU216">
            <v>0</v>
          </cell>
          <cell r="AW216">
            <v>0</v>
          </cell>
          <cell r="AX216">
            <v>0</v>
          </cell>
          <cell r="AY216">
            <v>0</v>
          </cell>
          <cell r="AZ216">
            <v>0</v>
          </cell>
          <cell r="CN216" t="str">
            <v xml:space="preserve">Notes: don't send salary check with HR manager </v>
          </cell>
        </row>
        <row r="217">
          <cell r="B217">
            <v>464</v>
          </cell>
          <cell r="D217" t="str">
            <v>Muhammad Abdullah Habib Aulad Thani</v>
          </cell>
          <cell r="E217" t="str">
            <v>Labour / Driver</v>
          </cell>
          <cell r="G217" t="str">
            <v>N/A</v>
          </cell>
          <cell r="H217">
            <v>39757</v>
          </cell>
          <cell r="J217" t="str">
            <v>Sh:3</v>
          </cell>
          <cell r="K217" t="str">
            <v>x</v>
          </cell>
          <cell r="L217" t="str">
            <v>x</v>
          </cell>
          <cell r="M217" t="str">
            <v>x</v>
          </cell>
          <cell r="N217" t="str">
            <v>x</v>
          </cell>
          <cell r="O217">
            <v>6.5</v>
          </cell>
          <cell r="P217">
            <v>6.5</v>
          </cell>
          <cell r="Q217">
            <v>6.5</v>
          </cell>
          <cell r="R217">
            <v>6.5</v>
          </cell>
          <cell r="S217">
            <v>6.5</v>
          </cell>
          <cell r="T217">
            <v>6.5</v>
          </cell>
          <cell r="U217">
            <v>6.5</v>
          </cell>
          <cell r="V217">
            <v>6.5</v>
          </cell>
          <cell r="W217">
            <v>2.5</v>
          </cell>
          <cell r="X217">
            <v>6.5</v>
          </cell>
          <cell r="Y217">
            <v>6.5</v>
          </cell>
          <cell r="Z217">
            <v>2.5</v>
          </cell>
          <cell r="AA217">
            <v>2.5</v>
          </cell>
          <cell r="AB217">
            <v>2.5</v>
          </cell>
          <cell r="AC217">
            <v>2.5</v>
          </cell>
          <cell r="AD217">
            <v>2.5</v>
          </cell>
          <cell r="AE217">
            <v>2.5</v>
          </cell>
          <cell r="AF217">
            <v>2.5</v>
          </cell>
          <cell r="AG217">
            <v>2.5</v>
          </cell>
          <cell r="AH217">
            <v>2.5</v>
          </cell>
          <cell r="AI217">
            <v>2.5</v>
          </cell>
          <cell r="AJ217">
            <v>10.5</v>
          </cell>
          <cell r="AK217">
            <v>10.5</v>
          </cell>
          <cell r="AL217">
            <v>2.5</v>
          </cell>
          <cell r="AM217">
            <v>2.5</v>
          </cell>
          <cell r="AN217">
            <v>2.5</v>
          </cell>
          <cell r="AO217" t="str">
            <v>x</v>
          </cell>
          <cell r="AP217">
            <v>26</v>
          </cell>
          <cell r="AQ217">
            <v>0</v>
          </cell>
          <cell r="AR217">
            <v>0</v>
          </cell>
          <cell r="AS217">
            <v>0</v>
          </cell>
          <cell r="AT217">
            <v>0</v>
          </cell>
          <cell r="AU217">
            <v>0</v>
          </cell>
          <cell r="AV217">
            <v>100</v>
          </cell>
          <cell r="AW217">
            <v>21</v>
          </cell>
          <cell r="AX217">
            <v>26</v>
          </cell>
          <cell r="AY217">
            <v>26</v>
          </cell>
          <cell r="AZ217">
            <v>26</v>
          </cell>
        </row>
        <row r="218">
          <cell r="B218">
            <v>465</v>
          </cell>
          <cell r="D218" t="str">
            <v>Awadh Saleh Hamed Al Ghafri</v>
          </cell>
          <cell r="E218" t="str">
            <v>Labour / Driver</v>
          </cell>
          <cell r="G218" t="str">
            <v>N/A</v>
          </cell>
          <cell r="H218">
            <v>39757</v>
          </cell>
          <cell r="J218" t="str">
            <v>Sh:3</v>
          </cell>
          <cell r="K218" t="str">
            <v>x</v>
          </cell>
          <cell r="L218" t="str">
            <v>x</v>
          </cell>
          <cell r="M218" t="str">
            <v>x</v>
          </cell>
          <cell r="N218" t="str">
            <v>x</v>
          </cell>
          <cell r="O218">
            <v>6.5</v>
          </cell>
          <cell r="P218">
            <v>2.5</v>
          </cell>
          <cell r="Q218">
            <v>2.5</v>
          </cell>
          <cell r="R218">
            <v>2.5</v>
          </cell>
          <cell r="S218">
            <v>2.5</v>
          </cell>
          <cell r="T218">
            <v>2.5</v>
          </cell>
          <cell r="U218">
            <v>2.5</v>
          </cell>
          <cell r="V218">
            <v>2.5</v>
          </cell>
          <cell r="W218">
            <v>2.5</v>
          </cell>
          <cell r="X218">
            <v>2.5</v>
          </cell>
          <cell r="Y218">
            <v>2.5</v>
          </cell>
          <cell r="Z218">
            <v>2.5</v>
          </cell>
          <cell r="AA218">
            <v>2.5</v>
          </cell>
          <cell r="AB218">
            <v>2.5</v>
          </cell>
          <cell r="AC218">
            <v>0</v>
          </cell>
          <cell r="AD218">
            <v>2.5</v>
          </cell>
          <cell r="AE218">
            <v>2.5</v>
          </cell>
          <cell r="AF218">
            <v>2.5</v>
          </cell>
          <cell r="AG218">
            <v>2.5</v>
          </cell>
          <cell r="AH218">
            <v>2.5</v>
          </cell>
          <cell r="AI218">
            <v>2.5</v>
          </cell>
          <cell r="AJ218">
            <v>10.5</v>
          </cell>
          <cell r="AK218">
            <v>10.5</v>
          </cell>
          <cell r="AL218">
            <v>2.5</v>
          </cell>
          <cell r="AM218">
            <v>2.5</v>
          </cell>
          <cell r="AN218">
            <v>2.5</v>
          </cell>
          <cell r="AO218" t="str">
            <v>x</v>
          </cell>
          <cell r="AP218">
            <v>26</v>
          </cell>
          <cell r="AQ218">
            <v>0</v>
          </cell>
          <cell r="AR218">
            <v>0</v>
          </cell>
          <cell r="AS218">
            <v>0</v>
          </cell>
          <cell r="AT218">
            <v>0</v>
          </cell>
          <cell r="AU218">
            <v>0</v>
          </cell>
          <cell r="AV218">
            <v>61.5</v>
          </cell>
          <cell r="AW218">
            <v>21</v>
          </cell>
          <cell r="AX218">
            <v>26</v>
          </cell>
          <cell r="AY218">
            <v>26</v>
          </cell>
          <cell r="AZ218">
            <v>26</v>
          </cell>
          <cell r="CG218">
            <v>63</v>
          </cell>
          <cell r="CH218">
            <v>6</v>
          </cell>
          <cell r="CM218">
            <v>123</v>
          </cell>
          <cell r="CN218" t="str">
            <v xml:space="preserve"> Owed 123 rials Eid bonus, 63 hours 200%, 6 days desert allowance for Eid Al Adhah'2008 from 8th to 13th December'2008.</v>
          </cell>
        </row>
        <row r="219">
          <cell r="B219">
            <v>466</v>
          </cell>
          <cell r="D219" t="str">
            <v xml:space="preserve">Abdullah Hamed Khalfan </v>
          </cell>
          <cell r="E219" t="str">
            <v>Heavy Duty Dvr</v>
          </cell>
          <cell r="G219" t="str">
            <v>N/A</v>
          </cell>
          <cell r="H219">
            <v>39760</v>
          </cell>
          <cell r="J219" t="str">
            <v>Sh:1</v>
          </cell>
          <cell r="K219" t="str">
            <v>x</v>
          </cell>
          <cell r="L219" t="str">
            <v>x</v>
          </cell>
          <cell r="M219" t="str">
            <v>x</v>
          </cell>
          <cell r="N219" t="str">
            <v>x</v>
          </cell>
          <cell r="O219" t="str">
            <v>x</v>
          </cell>
          <cell r="P219" t="str">
            <v>x</v>
          </cell>
          <cell r="Q219" t="str">
            <v>x</v>
          </cell>
          <cell r="R219">
            <v>7.5</v>
          </cell>
          <cell r="S219">
            <v>8</v>
          </cell>
          <cell r="T219">
            <v>2.5</v>
          </cell>
          <cell r="U219">
            <v>2.5</v>
          </cell>
          <cell r="V219">
            <v>6.5</v>
          </cell>
          <cell r="W219">
            <v>7.5</v>
          </cell>
          <cell r="X219">
            <v>6.5</v>
          </cell>
          <cell r="Y219">
            <v>6.5</v>
          </cell>
          <cell r="Z219">
            <v>2.5</v>
          </cell>
          <cell r="AA219">
            <v>2.5</v>
          </cell>
          <cell r="AB219">
            <v>2.5</v>
          </cell>
          <cell r="AC219">
            <v>2.5</v>
          </cell>
          <cell r="AD219">
            <v>2.5</v>
          </cell>
          <cell r="AE219">
            <v>2.5</v>
          </cell>
          <cell r="AF219">
            <v>2.5</v>
          </cell>
          <cell r="AG219">
            <v>2.5</v>
          </cell>
          <cell r="AH219">
            <v>2.5</v>
          </cell>
          <cell r="AI219">
            <v>2.5</v>
          </cell>
          <cell r="AJ219">
            <v>10.5</v>
          </cell>
          <cell r="AK219">
            <v>10.5</v>
          </cell>
          <cell r="AL219">
            <v>2.5</v>
          </cell>
          <cell r="AM219">
            <v>2.5</v>
          </cell>
          <cell r="AN219">
            <v>2.5</v>
          </cell>
          <cell r="AO219" t="str">
            <v>x</v>
          </cell>
          <cell r="AP219">
            <v>23</v>
          </cell>
          <cell r="AQ219">
            <v>0</v>
          </cell>
          <cell r="AR219">
            <v>0</v>
          </cell>
          <cell r="AS219">
            <v>0</v>
          </cell>
          <cell r="AT219">
            <v>0</v>
          </cell>
          <cell r="AU219">
            <v>0</v>
          </cell>
          <cell r="AV219">
            <v>80</v>
          </cell>
          <cell r="AW219">
            <v>21</v>
          </cell>
          <cell r="AX219">
            <v>23</v>
          </cell>
          <cell r="AY219">
            <v>23</v>
          </cell>
          <cell r="AZ219">
            <v>23</v>
          </cell>
          <cell r="CG219">
            <v>63</v>
          </cell>
          <cell r="CH219">
            <v>6</v>
          </cell>
          <cell r="CM219">
            <v>123</v>
          </cell>
          <cell r="CN219" t="str">
            <v xml:space="preserve"> Owed 123 rials Eid bonus, 63 hours 200%, 6 days desert allowance for Eid Al Adhah'2008 from 8th to 13th December'2008.</v>
          </cell>
        </row>
      </sheetData>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indexed="10"/>
  </sheetPr>
  <dimension ref="A1:I973"/>
  <sheetViews>
    <sheetView zoomScaleNormal="100" zoomScaleSheetLayoutView="100" workbookViewId="0">
      <pane ySplit="4" topLeftCell="A5" activePane="bottomLeft" state="frozen"/>
      <selection activeCell="C23" sqref="C23"/>
      <selection pane="bottomLeft" activeCell="F8" sqref="F8"/>
    </sheetView>
  </sheetViews>
  <sheetFormatPr defaultRowHeight="12.75" x14ac:dyDescent="0.2"/>
  <cols>
    <col min="1" max="1" width="13" style="4" customWidth="1"/>
    <col min="2" max="2" width="10.5703125" style="4" customWidth="1"/>
    <col min="3" max="3" width="16.5703125" style="6" customWidth="1"/>
    <col min="4" max="4" width="29.42578125" style="5" customWidth="1"/>
    <col min="5" max="5" width="14" style="32" customWidth="1"/>
    <col min="6" max="6" width="20" style="5" customWidth="1"/>
    <col min="7" max="7" width="6" style="5" customWidth="1"/>
    <col min="8" max="8" width="40.28515625" style="4" customWidth="1"/>
    <col min="9" max="16384" width="9.140625" style="4"/>
  </cols>
  <sheetData>
    <row r="1" spans="1:8" s="3" customFormat="1" ht="24" customHeight="1" x14ac:dyDescent="0.25">
      <c r="A1" s="110" t="s">
        <v>3</v>
      </c>
      <c r="B1" s="110"/>
      <c r="C1" s="110"/>
      <c r="D1" s="110"/>
      <c r="E1" s="110"/>
      <c r="F1" s="97"/>
      <c r="G1" s="97"/>
    </row>
    <row r="2" spans="1:8" ht="18.75" customHeight="1" x14ac:dyDescent="0.3">
      <c r="A2" s="27" t="s">
        <v>1</v>
      </c>
      <c r="B2" s="106">
        <v>2023</v>
      </c>
      <c r="C2" s="106"/>
      <c r="D2" s="13" t="s">
        <v>2</v>
      </c>
      <c r="E2" s="28" t="s">
        <v>1004</v>
      </c>
      <c r="F2" s="103" t="s">
        <v>1928</v>
      </c>
      <c r="G2" s="104"/>
      <c r="H2" s="104"/>
    </row>
    <row r="3" spans="1:8" ht="15" customHeight="1" x14ac:dyDescent="0.2">
      <c r="A3" s="108">
        <f ca="1">TODAY()</f>
        <v>45741</v>
      </c>
      <c r="B3" s="106" t="s">
        <v>233</v>
      </c>
      <c r="C3" s="106"/>
      <c r="D3" s="111" t="str">
        <f>VLOOKUP($E$2,expat,3,0)</f>
        <v>SODIUM CARBONATE</v>
      </c>
      <c r="E3" s="112" t="s">
        <v>228</v>
      </c>
      <c r="H3" s="4" t="s">
        <v>1929</v>
      </c>
    </row>
    <row r="4" spans="1:8" ht="15" customHeight="1" x14ac:dyDescent="0.2">
      <c r="A4" s="109"/>
      <c r="B4" s="107">
        <f>VLOOKUP($E$2,expat,20,0)</f>
        <v>0</v>
      </c>
      <c r="C4" s="107"/>
      <c r="D4" s="111"/>
      <c r="E4" s="112"/>
      <c r="H4" s="4" t="s">
        <v>1930</v>
      </c>
    </row>
    <row r="5" spans="1:8" ht="14.25" customHeight="1" x14ac:dyDescent="0.2">
      <c r="A5" s="113" t="s">
        <v>235</v>
      </c>
      <c r="B5" s="113"/>
      <c r="C5" s="113"/>
      <c r="D5" s="113"/>
      <c r="E5" s="113"/>
    </row>
    <row r="6" spans="1:8" x14ac:dyDescent="0.2">
      <c r="A6" s="14" t="s">
        <v>229</v>
      </c>
      <c r="B6" s="15" t="s">
        <v>227</v>
      </c>
      <c r="C6" s="16" t="s">
        <v>226</v>
      </c>
      <c r="D6" s="17" t="s">
        <v>230</v>
      </c>
      <c r="E6" s="29" t="s">
        <v>231</v>
      </c>
    </row>
    <row r="7" spans="1:8" ht="14.1" customHeight="1" x14ac:dyDescent="0.2">
      <c r="A7" s="18">
        <v>10</v>
      </c>
      <c r="B7" s="19">
        <f>VLOOKUP($E$2,expat,4,0)</f>
        <v>0</v>
      </c>
      <c r="C7" s="20">
        <f>$B$4*A7</f>
        <v>0</v>
      </c>
      <c r="D7" s="21">
        <f>A7*B7</f>
        <v>0</v>
      </c>
      <c r="E7" s="33">
        <f>C7*D7</f>
        <v>0</v>
      </c>
    </row>
    <row r="8" spans="1:8" ht="14.1" customHeight="1" x14ac:dyDescent="0.2">
      <c r="A8" s="18">
        <v>25</v>
      </c>
      <c r="B8" s="19">
        <f>VLOOKUP($E$2,expat,6,0)</f>
        <v>0</v>
      </c>
      <c r="C8" s="20">
        <f t="shared" ref="C8:C15" si="0">$B$4*A8</f>
        <v>0</v>
      </c>
      <c r="D8" s="21">
        <f t="shared" ref="D8:D15" si="1">A8*B8</f>
        <v>0</v>
      </c>
      <c r="E8" s="33">
        <f t="shared" ref="E8:E15" si="2">C8*D8</f>
        <v>0</v>
      </c>
    </row>
    <row r="9" spans="1:8" ht="14.1" customHeight="1" x14ac:dyDescent="0.2">
      <c r="A9" s="18">
        <v>50</v>
      </c>
      <c r="B9" s="19">
        <f>VLOOKUP($E$2,expat,8,0)</f>
        <v>0</v>
      </c>
      <c r="C9" s="20">
        <f t="shared" si="0"/>
        <v>0</v>
      </c>
      <c r="D9" s="21">
        <f t="shared" si="1"/>
        <v>0</v>
      </c>
      <c r="E9" s="33">
        <f t="shared" si="2"/>
        <v>0</v>
      </c>
    </row>
    <row r="10" spans="1:8" ht="14.1" customHeight="1" x14ac:dyDescent="0.2">
      <c r="A10" s="18">
        <v>100</v>
      </c>
      <c r="B10" s="19">
        <f>VLOOKUP($E$2,expat,10,0)</f>
        <v>0</v>
      </c>
      <c r="C10" s="20">
        <f t="shared" si="0"/>
        <v>0</v>
      </c>
      <c r="D10" s="21">
        <f t="shared" si="1"/>
        <v>0</v>
      </c>
      <c r="E10" s="33">
        <f t="shared" si="2"/>
        <v>0</v>
      </c>
    </row>
    <row r="11" spans="1:8" ht="14.1" customHeight="1" x14ac:dyDescent="0.2">
      <c r="A11" s="18">
        <v>250</v>
      </c>
      <c r="B11" s="19">
        <f>VLOOKUP($E$2,expat,12,0)</f>
        <v>0</v>
      </c>
      <c r="C11" s="20">
        <f t="shared" si="0"/>
        <v>0</v>
      </c>
      <c r="D11" s="21">
        <f t="shared" si="1"/>
        <v>0</v>
      </c>
      <c r="E11" s="33">
        <f t="shared" si="2"/>
        <v>0</v>
      </c>
    </row>
    <row r="12" spans="1:8" ht="14.1" customHeight="1" x14ac:dyDescent="0.2">
      <c r="A12" s="18">
        <v>500</v>
      </c>
      <c r="B12" s="19">
        <v>10</v>
      </c>
      <c r="C12" s="20">
        <f t="shared" si="0"/>
        <v>0</v>
      </c>
      <c r="D12" s="21">
        <f t="shared" si="1"/>
        <v>5000</v>
      </c>
      <c r="E12" s="33">
        <f t="shared" si="2"/>
        <v>0</v>
      </c>
    </row>
    <row r="13" spans="1:8" ht="14.1" customHeight="1" x14ac:dyDescent="0.2">
      <c r="A13" s="18">
        <v>1000</v>
      </c>
      <c r="B13" s="19">
        <f>VLOOKUP($E$2,expat,16,0)</f>
        <v>0</v>
      </c>
      <c r="C13" s="20">
        <f t="shared" si="0"/>
        <v>0</v>
      </c>
      <c r="D13" s="21">
        <f t="shared" si="1"/>
        <v>0</v>
      </c>
      <c r="E13" s="33">
        <f t="shared" si="2"/>
        <v>0</v>
      </c>
    </row>
    <row r="14" spans="1:8" ht="14.1" customHeight="1" x14ac:dyDescent="0.2">
      <c r="A14" s="18">
        <v>2500</v>
      </c>
      <c r="B14" s="19">
        <f>VLOOKUP($E$2,expat,18,0)</f>
        <v>0</v>
      </c>
      <c r="C14" s="20">
        <f t="shared" si="0"/>
        <v>0</v>
      </c>
      <c r="D14" s="21">
        <f t="shared" si="1"/>
        <v>0</v>
      </c>
      <c r="E14" s="33">
        <f t="shared" si="2"/>
        <v>0</v>
      </c>
    </row>
    <row r="15" spans="1:8" ht="14.1" customHeight="1" x14ac:dyDescent="0.2">
      <c r="A15" s="18">
        <v>5000</v>
      </c>
      <c r="B15" s="19">
        <f>VLOOKUP($E$2,expat,20,0)</f>
        <v>0</v>
      </c>
      <c r="C15" s="20">
        <f t="shared" si="0"/>
        <v>0</v>
      </c>
      <c r="D15" s="21">
        <f t="shared" si="1"/>
        <v>0</v>
      </c>
      <c r="E15" s="33">
        <f t="shared" si="2"/>
        <v>0</v>
      </c>
    </row>
    <row r="16" spans="1:8" ht="14.25" x14ac:dyDescent="0.2">
      <c r="A16" s="22"/>
      <c r="B16" s="23"/>
      <c r="C16" s="24" t="s">
        <v>232</v>
      </c>
      <c r="D16" s="25">
        <f>SUM(D7:D15)/1000</f>
        <v>5</v>
      </c>
      <c r="E16" s="34">
        <f>SUM(E7:E15)</f>
        <v>0</v>
      </c>
    </row>
    <row r="17" spans="1:9" ht="21.75" customHeight="1" x14ac:dyDescent="0.2">
      <c r="A17" s="26" t="s">
        <v>0</v>
      </c>
      <c r="B17" s="114" t="str">
        <f>IF(D17=0,("NIL PLEASE PURCHASE"),("STOCK"))</f>
        <v>STOCK</v>
      </c>
      <c r="C17" s="115"/>
      <c r="D17" s="35">
        <f>D16</f>
        <v>5</v>
      </c>
      <c r="E17" s="30"/>
    </row>
    <row r="18" spans="1:9" ht="27" customHeight="1" x14ac:dyDescent="0.2">
      <c r="A18" s="105" t="s">
        <v>1927</v>
      </c>
      <c r="B18" s="105"/>
      <c r="C18" s="105"/>
      <c r="D18" s="105"/>
      <c r="E18" s="105"/>
    </row>
    <row r="19" spans="1:9" ht="23.25" customHeight="1" thickBot="1" x14ac:dyDescent="0.25">
      <c r="A19" s="9" t="s">
        <v>1168</v>
      </c>
      <c r="B19" s="10"/>
      <c r="C19" s="10"/>
      <c r="D19" s="10"/>
      <c r="E19" s="31"/>
    </row>
    <row r="21" spans="1:9" ht="15.75" x14ac:dyDescent="0.25">
      <c r="F21" s="98" t="s">
        <v>5</v>
      </c>
      <c r="G21" s="98" t="s">
        <v>4</v>
      </c>
      <c r="H21" s="99" t="s">
        <v>1926</v>
      </c>
      <c r="I21" s="3"/>
    </row>
    <row r="22" spans="1:9" x14ac:dyDescent="0.2">
      <c r="F22" s="100" t="s">
        <v>236</v>
      </c>
      <c r="G22" s="101">
        <v>1</v>
      </c>
      <c r="H22" s="102" t="s">
        <v>8</v>
      </c>
    </row>
    <row r="23" spans="1:9" x14ac:dyDescent="0.2">
      <c r="F23" s="101" t="s">
        <v>1546</v>
      </c>
      <c r="G23" s="101">
        <v>2</v>
      </c>
      <c r="H23" s="102" t="s">
        <v>9</v>
      </c>
    </row>
    <row r="24" spans="1:9" x14ac:dyDescent="0.2">
      <c r="F24" s="101" t="s">
        <v>237</v>
      </c>
      <c r="G24" s="101">
        <v>3</v>
      </c>
      <c r="H24" s="102" t="s">
        <v>10</v>
      </c>
    </row>
    <row r="25" spans="1:9" x14ac:dyDescent="0.2">
      <c r="F25" s="101" t="s">
        <v>238</v>
      </c>
      <c r="G25" s="101">
        <v>4</v>
      </c>
      <c r="H25" s="102" t="s">
        <v>11</v>
      </c>
    </row>
    <row r="26" spans="1:9" x14ac:dyDescent="0.2">
      <c r="F26" s="101" t="s">
        <v>239</v>
      </c>
      <c r="G26" s="101">
        <v>5</v>
      </c>
      <c r="H26" s="102" t="s">
        <v>12</v>
      </c>
    </row>
    <row r="27" spans="1:9" x14ac:dyDescent="0.2">
      <c r="F27" s="101" t="s">
        <v>240</v>
      </c>
      <c r="G27" s="101">
        <v>6</v>
      </c>
      <c r="H27" s="102" t="s">
        <v>13</v>
      </c>
    </row>
    <row r="28" spans="1:9" x14ac:dyDescent="0.2">
      <c r="F28" s="101" t="s">
        <v>241</v>
      </c>
      <c r="G28" s="101">
        <v>7</v>
      </c>
      <c r="H28" s="102" t="s">
        <v>14</v>
      </c>
    </row>
    <row r="29" spans="1:9" x14ac:dyDescent="0.2">
      <c r="F29" s="101" t="s">
        <v>242</v>
      </c>
      <c r="G29" s="101">
        <v>8</v>
      </c>
      <c r="H29" s="102" t="s">
        <v>15</v>
      </c>
    </row>
    <row r="30" spans="1:9" x14ac:dyDescent="0.2">
      <c r="F30" s="101" t="s">
        <v>1547</v>
      </c>
      <c r="G30" s="101">
        <v>9</v>
      </c>
      <c r="H30" s="102" t="s">
        <v>16</v>
      </c>
    </row>
    <row r="31" spans="1:9" x14ac:dyDescent="0.2">
      <c r="F31" s="101" t="s">
        <v>243</v>
      </c>
      <c r="G31" s="101">
        <v>10</v>
      </c>
      <c r="H31" s="102" t="s">
        <v>17</v>
      </c>
    </row>
    <row r="32" spans="1:9" x14ac:dyDescent="0.2">
      <c r="F32" s="101" t="s">
        <v>244</v>
      </c>
      <c r="G32" s="101">
        <v>11</v>
      </c>
      <c r="H32" s="102" t="s">
        <v>18</v>
      </c>
    </row>
    <row r="33" spans="6:8" x14ac:dyDescent="0.2">
      <c r="F33" s="101" t="s">
        <v>245</v>
      </c>
      <c r="G33" s="101">
        <v>12</v>
      </c>
      <c r="H33" s="102" t="s">
        <v>19</v>
      </c>
    </row>
    <row r="34" spans="6:8" x14ac:dyDescent="0.2">
      <c r="F34" s="101" t="s">
        <v>1548</v>
      </c>
      <c r="G34" s="101">
        <v>13</v>
      </c>
      <c r="H34" s="102" t="s">
        <v>20</v>
      </c>
    </row>
    <row r="35" spans="6:8" x14ac:dyDescent="0.2">
      <c r="F35" s="101" t="s">
        <v>246</v>
      </c>
      <c r="G35" s="101">
        <v>14</v>
      </c>
      <c r="H35" s="102" t="s">
        <v>21</v>
      </c>
    </row>
    <row r="36" spans="6:8" x14ac:dyDescent="0.2">
      <c r="F36" s="101" t="s">
        <v>247</v>
      </c>
      <c r="G36" s="101">
        <v>15</v>
      </c>
      <c r="H36" s="102" t="s">
        <v>22</v>
      </c>
    </row>
    <row r="37" spans="6:8" x14ac:dyDescent="0.2">
      <c r="F37" s="101" t="s">
        <v>248</v>
      </c>
      <c r="G37" s="101">
        <v>16</v>
      </c>
      <c r="H37" s="102" t="s">
        <v>57</v>
      </c>
    </row>
    <row r="38" spans="6:8" x14ac:dyDescent="0.2">
      <c r="F38" s="101" t="s">
        <v>249</v>
      </c>
      <c r="G38" s="101">
        <v>17</v>
      </c>
      <c r="H38" s="102" t="s">
        <v>58</v>
      </c>
    </row>
    <row r="39" spans="6:8" x14ac:dyDescent="0.2">
      <c r="F39" s="101" t="s">
        <v>250</v>
      </c>
      <c r="G39" s="101">
        <v>18</v>
      </c>
      <c r="H39" s="102" t="s">
        <v>23</v>
      </c>
    </row>
    <row r="40" spans="6:8" x14ac:dyDescent="0.2">
      <c r="F40" s="101" t="s">
        <v>251</v>
      </c>
      <c r="G40" s="101">
        <v>19</v>
      </c>
      <c r="H40" s="102" t="s">
        <v>24</v>
      </c>
    </row>
    <row r="41" spans="6:8" x14ac:dyDescent="0.2">
      <c r="F41" s="101" t="s">
        <v>252</v>
      </c>
      <c r="G41" s="101">
        <v>20</v>
      </c>
      <c r="H41" s="102" t="s">
        <v>54</v>
      </c>
    </row>
    <row r="42" spans="6:8" x14ac:dyDescent="0.2">
      <c r="F42" s="101" t="s">
        <v>253</v>
      </c>
      <c r="G42" s="101">
        <v>21</v>
      </c>
      <c r="H42" s="102" t="s">
        <v>25</v>
      </c>
    </row>
    <row r="43" spans="6:8" x14ac:dyDescent="0.2">
      <c r="F43" s="101" t="s">
        <v>254</v>
      </c>
      <c r="G43" s="101">
        <v>22</v>
      </c>
      <c r="H43" s="102" t="s">
        <v>26</v>
      </c>
    </row>
    <row r="44" spans="6:8" x14ac:dyDescent="0.2">
      <c r="F44" s="101" t="s">
        <v>255</v>
      </c>
      <c r="G44" s="101">
        <v>23</v>
      </c>
      <c r="H44" s="102" t="s">
        <v>27</v>
      </c>
    </row>
    <row r="45" spans="6:8" x14ac:dyDescent="0.2">
      <c r="F45" s="101" t="s">
        <v>256</v>
      </c>
      <c r="G45" s="101">
        <v>24</v>
      </c>
      <c r="H45" s="102" t="s">
        <v>28</v>
      </c>
    </row>
    <row r="46" spans="6:8" x14ac:dyDescent="0.2">
      <c r="F46" s="101" t="s">
        <v>257</v>
      </c>
      <c r="G46" s="101">
        <v>25</v>
      </c>
      <c r="H46" s="102" t="s">
        <v>29</v>
      </c>
    </row>
    <row r="47" spans="6:8" x14ac:dyDescent="0.2">
      <c r="F47" s="101" t="s">
        <v>258</v>
      </c>
      <c r="G47" s="101">
        <v>26</v>
      </c>
      <c r="H47" s="102" t="s">
        <v>30</v>
      </c>
    </row>
    <row r="48" spans="6:8" x14ac:dyDescent="0.2">
      <c r="F48" s="101" t="s">
        <v>259</v>
      </c>
      <c r="G48" s="101">
        <v>27</v>
      </c>
      <c r="H48" s="102" t="s">
        <v>31</v>
      </c>
    </row>
    <row r="49" spans="6:8" x14ac:dyDescent="0.2">
      <c r="F49" s="101" t="s">
        <v>260</v>
      </c>
      <c r="G49" s="101">
        <v>28</v>
      </c>
      <c r="H49" s="102" t="s">
        <v>32</v>
      </c>
    </row>
    <row r="50" spans="6:8" x14ac:dyDescent="0.2">
      <c r="F50" s="101" t="s">
        <v>261</v>
      </c>
      <c r="G50" s="101">
        <v>29</v>
      </c>
      <c r="H50" s="102" t="s">
        <v>33</v>
      </c>
    </row>
    <row r="51" spans="6:8" x14ac:dyDescent="0.2">
      <c r="F51" s="101" t="s">
        <v>262</v>
      </c>
      <c r="G51" s="101">
        <v>30</v>
      </c>
      <c r="H51" s="102" t="s">
        <v>34</v>
      </c>
    </row>
    <row r="52" spans="6:8" x14ac:dyDescent="0.2">
      <c r="F52" s="101" t="s">
        <v>263</v>
      </c>
      <c r="G52" s="101">
        <v>31</v>
      </c>
      <c r="H52" s="102" t="s">
        <v>35</v>
      </c>
    </row>
    <row r="53" spans="6:8" x14ac:dyDescent="0.2">
      <c r="F53" s="101" t="s">
        <v>264</v>
      </c>
      <c r="G53" s="101">
        <v>32</v>
      </c>
      <c r="H53" s="102" t="s">
        <v>36</v>
      </c>
    </row>
    <row r="54" spans="6:8" x14ac:dyDescent="0.2">
      <c r="F54" s="101" t="s">
        <v>265</v>
      </c>
      <c r="G54" s="101">
        <v>33</v>
      </c>
      <c r="H54" s="102" t="s">
        <v>37</v>
      </c>
    </row>
    <row r="55" spans="6:8" x14ac:dyDescent="0.2">
      <c r="F55" s="101" t="s">
        <v>266</v>
      </c>
      <c r="G55" s="101">
        <v>34</v>
      </c>
      <c r="H55" s="102" t="s">
        <v>38</v>
      </c>
    </row>
    <row r="56" spans="6:8" x14ac:dyDescent="0.2">
      <c r="F56" s="101" t="s">
        <v>267</v>
      </c>
      <c r="G56" s="101">
        <v>35</v>
      </c>
      <c r="H56" s="102" t="s">
        <v>39</v>
      </c>
    </row>
    <row r="57" spans="6:8" x14ac:dyDescent="0.2">
      <c r="F57" s="101" t="s">
        <v>268</v>
      </c>
      <c r="G57" s="101">
        <v>36</v>
      </c>
      <c r="H57" s="102" t="s">
        <v>40</v>
      </c>
    </row>
    <row r="58" spans="6:8" x14ac:dyDescent="0.2">
      <c r="F58" s="101" t="s">
        <v>269</v>
      </c>
      <c r="G58" s="101">
        <v>37</v>
      </c>
      <c r="H58" s="102" t="s">
        <v>41</v>
      </c>
    </row>
    <row r="59" spans="6:8" x14ac:dyDescent="0.2">
      <c r="F59" s="101" t="s">
        <v>270</v>
      </c>
      <c r="G59" s="101">
        <v>38</v>
      </c>
      <c r="H59" s="102" t="s">
        <v>42</v>
      </c>
    </row>
    <row r="60" spans="6:8" x14ac:dyDescent="0.2">
      <c r="F60" s="101" t="s">
        <v>271</v>
      </c>
      <c r="G60" s="101">
        <v>39</v>
      </c>
      <c r="H60" s="102" t="s">
        <v>43</v>
      </c>
    </row>
    <row r="61" spans="6:8" x14ac:dyDescent="0.2">
      <c r="F61" s="101" t="s">
        <v>272</v>
      </c>
      <c r="G61" s="101">
        <v>40</v>
      </c>
      <c r="H61" s="102" t="s">
        <v>44</v>
      </c>
    </row>
    <row r="62" spans="6:8" x14ac:dyDescent="0.2">
      <c r="F62" s="101" t="s">
        <v>273</v>
      </c>
      <c r="G62" s="101">
        <v>41</v>
      </c>
      <c r="H62" s="102" t="s">
        <v>45</v>
      </c>
    </row>
    <row r="63" spans="6:8" x14ac:dyDescent="0.2">
      <c r="F63" s="101" t="s">
        <v>274</v>
      </c>
      <c r="G63" s="101">
        <v>42</v>
      </c>
      <c r="H63" s="102" t="s">
        <v>46</v>
      </c>
    </row>
    <row r="64" spans="6:8" x14ac:dyDescent="0.2">
      <c r="F64" s="101" t="s">
        <v>275</v>
      </c>
      <c r="G64" s="101">
        <v>43</v>
      </c>
      <c r="H64" s="102" t="s">
        <v>47</v>
      </c>
    </row>
    <row r="65" spans="6:8" x14ac:dyDescent="0.2">
      <c r="F65" s="101" t="s">
        <v>276</v>
      </c>
      <c r="G65" s="101">
        <v>44</v>
      </c>
      <c r="H65" s="102" t="s">
        <v>48</v>
      </c>
    </row>
    <row r="66" spans="6:8" x14ac:dyDescent="0.2">
      <c r="F66" s="101" t="s">
        <v>277</v>
      </c>
      <c r="G66" s="101">
        <v>45</v>
      </c>
      <c r="H66" s="102" t="s">
        <v>1922</v>
      </c>
    </row>
    <row r="67" spans="6:8" x14ac:dyDescent="0.2">
      <c r="F67" s="101" t="s">
        <v>278</v>
      </c>
      <c r="G67" s="101">
        <v>46</v>
      </c>
      <c r="H67" s="102" t="s">
        <v>49</v>
      </c>
    </row>
    <row r="68" spans="6:8" x14ac:dyDescent="0.2">
      <c r="F68" s="101" t="s">
        <v>279</v>
      </c>
      <c r="G68" s="101">
        <v>47</v>
      </c>
      <c r="H68" s="102" t="s">
        <v>50</v>
      </c>
    </row>
    <row r="69" spans="6:8" x14ac:dyDescent="0.2">
      <c r="F69" s="101" t="s">
        <v>280</v>
      </c>
      <c r="G69" s="101">
        <v>48</v>
      </c>
      <c r="H69" s="102" t="s">
        <v>52</v>
      </c>
    </row>
    <row r="70" spans="6:8" x14ac:dyDescent="0.2">
      <c r="F70" s="101" t="s">
        <v>281</v>
      </c>
      <c r="G70" s="101">
        <v>49</v>
      </c>
      <c r="H70" s="102" t="s">
        <v>51</v>
      </c>
    </row>
    <row r="71" spans="6:8" x14ac:dyDescent="0.2">
      <c r="F71" s="101" t="s">
        <v>282</v>
      </c>
      <c r="G71" s="101">
        <v>50</v>
      </c>
      <c r="H71" s="102" t="s">
        <v>53</v>
      </c>
    </row>
    <row r="72" spans="6:8" x14ac:dyDescent="0.2">
      <c r="F72" s="101" t="s">
        <v>283</v>
      </c>
      <c r="G72" s="101">
        <v>51</v>
      </c>
      <c r="H72" s="102" t="s">
        <v>55</v>
      </c>
    </row>
    <row r="73" spans="6:8" x14ac:dyDescent="0.2">
      <c r="F73" s="101" t="s">
        <v>284</v>
      </c>
      <c r="G73" s="101">
        <v>52</v>
      </c>
      <c r="H73" s="102" t="s">
        <v>56</v>
      </c>
    </row>
    <row r="74" spans="6:8" x14ac:dyDescent="0.2">
      <c r="F74" s="101" t="s">
        <v>285</v>
      </c>
      <c r="G74" s="101">
        <v>53</v>
      </c>
      <c r="H74" s="102" t="s">
        <v>59</v>
      </c>
    </row>
    <row r="75" spans="6:8" x14ac:dyDescent="0.2">
      <c r="F75" s="101" t="s">
        <v>286</v>
      </c>
      <c r="G75" s="101">
        <v>54</v>
      </c>
      <c r="H75" s="102" t="s">
        <v>59</v>
      </c>
    </row>
    <row r="76" spans="6:8" x14ac:dyDescent="0.2">
      <c r="F76" s="101" t="s">
        <v>287</v>
      </c>
      <c r="G76" s="101">
        <v>55</v>
      </c>
      <c r="H76" s="102" t="s">
        <v>60</v>
      </c>
    </row>
    <row r="77" spans="6:8" x14ac:dyDescent="0.2">
      <c r="F77" s="101" t="s">
        <v>288</v>
      </c>
      <c r="G77" s="101">
        <v>56</v>
      </c>
      <c r="H77" s="102" t="s">
        <v>61</v>
      </c>
    </row>
    <row r="78" spans="6:8" x14ac:dyDescent="0.2">
      <c r="F78" s="101" t="s">
        <v>289</v>
      </c>
      <c r="G78" s="101">
        <v>57</v>
      </c>
      <c r="H78" s="102" t="s">
        <v>62</v>
      </c>
    </row>
    <row r="79" spans="6:8" x14ac:dyDescent="0.2">
      <c r="F79" s="101" t="s">
        <v>290</v>
      </c>
      <c r="G79" s="101">
        <v>58</v>
      </c>
      <c r="H79" s="102" t="s">
        <v>63</v>
      </c>
    </row>
    <row r="80" spans="6:8" x14ac:dyDescent="0.2">
      <c r="F80" s="101" t="s">
        <v>291</v>
      </c>
      <c r="G80" s="101">
        <v>59</v>
      </c>
      <c r="H80" s="102" t="s">
        <v>64</v>
      </c>
    </row>
    <row r="81" spans="6:8" x14ac:dyDescent="0.2">
      <c r="F81" s="101" t="s">
        <v>292</v>
      </c>
      <c r="G81" s="101">
        <v>60</v>
      </c>
      <c r="H81" s="102" t="s">
        <v>65</v>
      </c>
    </row>
    <row r="82" spans="6:8" x14ac:dyDescent="0.2">
      <c r="F82" s="101" t="s">
        <v>293</v>
      </c>
      <c r="G82" s="101">
        <v>61</v>
      </c>
      <c r="H82" s="102" t="s">
        <v>66</v>
      </c>
    </row>
    <row r="83" spans="6:8" x14ac:dyDescent="0.2">
      <c r="F83" s="101" t="s">
        <v>294</v>
      </c>
      <c r="G83" s="101">
        <v>62</v>
      </c>
      <c r="H83" s="102" t="s">
        <v>67</v>
      </c>
    </row>
    <row r="84" spans="6:8" x14ac:dyDescent="0.2">
      <c r="F84" s="101" t="s">
        <v>295</v>
      </c>
      <c r="G84" s="101">
        <v>63</v>
      </c>
      <c r="H84" s="102" t="s">
        <v>68</v>
      </c>
    </row>
    <row r="85" spans="6:8" x14ac:dyDescent="0.2">
      <c r="F85" s="101" t="s">
        <v>296</v>
      </c>
      <c r="G85" s="101">
        <v>64</v>
      </c>
      <c r="H85" s="102" t="s">
        <v>69</v>
      </c>
    </row>
    <row r="86" spans="6:8" x14ac:dyDescent="0.2">
      <c r="F86" s="101" t="s">
        <v>297</v>
      </c>
      <c r="G86" s="101">
        <v>65</v>
      </c>
      <c r="H86" s="102" t="s">
        <v>70</v>
      </c>
    </row>
    <row r="87" spans="6:8" x14ac:dyDescent="0.2">
      <c r="F87" s="101" t="s">
        <v>298</v>
      </c>
      <c r="G87" s="101">
        <v>66</v>
      </c>
      <c r="H87" s="102" t="s">
        <v>71</v>
      </c>
    </row>
    <row r="88" spans="6:8" x14ac:dyDescent="0.2">
      <c r="F88" s="101" t="s">
        <v>299</v>
      </c>
      <c r="G88" s="101">
        <v>67</v>
      </c>
      <c r="H88" s="102" t="s">
        <v>72</v>
      </c>
    </row>
    <row r="89" spans="6:8" x14ac:dyDescent="0.2">
      <c r="F89" s="101" t="s">
        <v>300</v>
      </c>
      <c r="G89" s="101">
        <v>68</v>
      </c>
      <c r="H89" s="102" t="s">
        <v>73</v>
      </c>
    </row>
    <row r="90" spans="6:8" x14ac:dyDescent="0.2">
      <c r="F90" s="101" t="s">
        <v>301</v>
      </c>
      <c r="G90" s="101">
        <v>69</v>
      </c>
      <c r="H90" s="102" t="s">
        <v>74</v>
      </c>
    </row>
    <row r="91" spans="6:8" x14ac:dyDescent="0.2">
      <c r="F91" s="101" t="s">
        <v>302</v>
      </c>
      <c r="G91" s="101">
        <v>70</v>
      </c>
      <c r="H91" s="102" t="s">
        <v>75</v>
      </c>
    </row>
    <row r="92" spans="6:8" x14ac:dyDescent="0.2">
      <c r="F92" s="101" t="s">
        <v>303</v>
      </c>
      <c r="G92" s="101">
        <v>71</v>
      </c>
      <c r="H92" s="102" t="s">
        <v>76</v>
      </c>
    </row>
    <row r="93" spans="6:8" x14ac:dyDescent="0.2">
      <c r="F93" s="101" t="s">
        <v>304</v>
      </c>
      <c r="G93" s="101">
        <v>72</v>
      </c>
      <c r="H93" s="102" t="s">
        <v>77</v>
      </c>
    </row>
    <row r="94" spans="6:8" x14ac:dyDescent="0.2">
      <c r="F94" s="101" t="s">
        <v>305</v>
      </c>
      <c r="G94" s="101">
        <v>73</v>
      </c>
      <c r="H94" s="102" t="s">
        <v>78</v>
      </c>
    </row>
    <row r="95" spans="6:8" x14ac:dyDescent="0.2">
      <c r="F95" s="101" t="s">
        <v>306</v>
      </c>
      <c r="G95" s="101">
        <v>74</v>
      </c>
      <c r="H95" s="102" t="s">
        <v>79</v>
      </c>
    </row>
    <row r="96" spans="6:8" x14ac:dyDescent="0.2">
      <c r="F96" s="101" t="s">
        <v>307</v>
      </c>
      <c r="G96" s="101">
        <v>75</v>
      </c>
      <c r="H96" s="102" t="s">
        <v>80</v>
      </c>
    </row>
    <row r="97" spans="6:8" x14ac:dyDescent="0.2">
      <c r="F97" s="101" t="s">
        <v>308</v>
      </c>
      <c r="G97" s="101">
        <v>76</v>
      </c>
      <c r="H97" s="102" t="s">
        <v>81</v>
      </c>
    </row>
    <row r="98" spans="6:8" x14ac:dyDescent="0.2">
      <c r="F98" s="101" t="s">
        <v>309</v>
      </c>
      <c r="G98" s="101">
        <v>77</v>
      </c>
      <c r="H98" s="102" t="s">
        <v>82</v>
      </c>
    </row>
    <row r="99" spans="6:8" x14ac:dyDescent="0.2">
      <c r="F99" s="101" t="s">
        <v>310</v>
      </c>
      <c r="G99" s="101">
        <v>78</v>
      </c>
      <c r="H99" s="102" t="s">
        <v>83</v>
      </c>
    </row>
    <row r="100" spans="6:8" x14ac:dyDescent="0.2">
      <c r="F100" s="101" t="s">
        <v>311</v>
      </c>
      <c r="G100" s="101">
        <v>79</v>
      </c>
      <c r="H100" s="102" t="s">
        <v>84</v>
      </c>
    </row>
    <row r="101" spans="6:8" x14ac:dyDescent="0.2">
      <c r="F101" s="101" t="s">
        <v>312</v>
      </c>
      <c r="G101" s="101">
        <v>80</v>
      </c>
      <c r="H101" s="102" t="s">
        <v>85</v>
      </c>
    </row>
    <row r="102" spans="6:8" x14ac:dyDescent="0.2">
      <c r="F102" s="101" t="s">
        <v>313</v>
      </c>
      <c r="G102" s="101">
        <v>81</v>
      </c>
      <c r="H102" s="102" t="s">
        <v>86</v>
      </c>
    </row>
    <row r="103" spans="6:8" x14ac:dyDescent="0.2">
      <c r="F103" s="101" t="s">
        <v>314</v>
      </c>
      <c r="G103" s="101">
        <v>82</v>
      </c>
      <c r="H103" s="102" t="s">
        <v>87</v>
      </c>
    </row>
    <row r="104" spans="6:8" x14ac:dyDescent="0.2">
      <c r="F104" s="101" t="s">
        <v>315</v>
      </c>
      <c r="G104" s="101">
        <v>83</v>
      </c>
      <c r="H104" s="102" t="s">
        <v>88</v>
      </c>
    </row>
    <row r="105" spans="6:8" x14ac:dyDescent="0.2">
      <c r="F105" s="101" t="s">
        <v>316</v>
      </c>
      <c r="G105" s="101">
        <v>84</v>
      </c>
      <c r="H105" s="102" t="s">
        <v>89</v>
      </c>
    </row>
    <row r="106" spans="6:8" x14ac:dyDescent="0.2">
      <c r="F106" s="101" t="s">
        <v>317</v>
      </c>
      <c r="G106" s="101">
        <v>85</v>
      </c>
      <c r="H106" s="102" t="s">
        <v>90</v>
      </c>
    </row>
    <row r="107" spans="6:8" x14ac:dyDescent="0.2">
      <c r="F107" s="101" t="s">
        <v>318</v>
      </c>
      <c r="G107" s="101">
        <v>86</v>
      </c>
      <c r="H107" s="102" t="s">
        <v>91</v>
      </c>
    </row>
    <row r="108" spans="6:8" x14ac:dyDescent="0.2">
      <c r="F108" s="101" t="s">
        <v>319</v>
      </c>
      <c r="G108" s="101">
        <v>87</v>
      </c>
      <c r="H108" s="102" t="s">
        <v>93</v>
      </c>
    </row>
    <row r="109" spans="6:8" x14ac:dyDescent="0.2">
      <c r="F109" s="101" t="s">
        <v>320</v>
      </c>
      <c r="G109" s="101">
        <v>88</v>
      </c>
      <c r="H109" s="102" t="s">
        <v>92</v>
      </c>
    </row>
    <row r="110" spans="6:8" x14ac:dyDescent="0.2">
      <c r="F110" s="101" t="s">
        <v>321</v>
      </c>
      <c r="G110" s="101">
        <v>89</v>
      </c>
      <c r="H110" s="102" t="s">
        <v>94</v>
      </c>
    </row>
    <row r="111" spans="6:8" x14ac:dyDescent="0.2">
      <c r="F111" s="101" t="s">
        <v>322</v>
      </c>
      <c r="G111" s="101">
        <v>90</v>
      </c>
      <c r="H111" s="102" t="s">
        <v>95</v>
      </c>
    </row>
    <row r="112" spans="6:8" x14ac:dyDescent="0.2">
      <c r="F112" s="101" t="s">
        <v>323</v>
      </c>
      <c r="G112" s="101">
        <v>91</v>
      </c>
      <c r="H112" s="102" t="s">
        <v>96</v>
      </c>
    </row>
    <row r="113" spans="6:8" x14ac:dyDescent="0.2">
      <c r="F113" s="101" t="s">
        <v>324</v>
      </c>
      <c r="G113" s="101">
        <v>92</v>
      </c>
      <c r="H113" s="102" t="s">
        <v>97</v>
      </c>
    </row>
    <row r="114" spans="6:8" x14ac:dyDescent="0.2">
      <c r="F114" s="101" t="s">
        <v>325</v>
      </c>
      <c r="G114" s="101">
        <v>93</v>
      </c>
      <c r="H114" s="102" t="s">
        <v>98</v>
      </c>
    </row>
    <row r="115" spans="6:8" x14ac:dyDescent="0.2">
      <c r="F115" s="101" t="s">
        <v>326</v>
      </c>
      <c r="G115" s="101">
        <v>94</v>
      </c>
      <c r="H115" s="102" t="s">
        <v>99</v>
      </c>
    </row>
    <row r="116" spans="6:8" x14ac:dyDescent="0.2">
      <c r="F116" s="101" t="s">
        <v>327</v>
      </c>
      <c r="G116" s="101">
        <v>95</v>
      </c>
      <c r="H116" s="102" t="s">
        <v>100</v>
      </c>
    </row>
    <row r="117" spans="6:8" x14ac:dyDescent="0.2">
      <c r="F117" s="101" t="s">
        <v>328</v>
      </c>
      <c r="G117" s="101">
        <v>96</v>
      </c>
      <c r="H117" s="102" t="s">
        <v>101</v>
      </c>
    </row>
    <row r="118" spans="6:8" x14ac:dyDescent="0.2">
      <c r="F118" s="101" t="s">
        <v>329</v>
      </c>
      <c r="G118" s="101">
        <v>97</v>
      </c>
      <c r="H118" s="102" t="s">
        <v>102</v>
      </c>
    </row>
    <row r="119" spans="6:8" x14ac:dyDescent="0.2">
      <c r="F119" s="101" t="s">
        <v>330</v>
      </c>
      <c r="G119" s="101">
        <v>98</v>
      </c>
      <c r="H119" s="102" t="s">
        <v>103</v>
      </c>
    </row>
    <row r="120" spans="6:8" x14ac:dyDescent="0.2">
      <c r="F120" s="101" t="s">
        <v>331</v>
      </c>
      <c r="G120" s="101">
        <v>99</v>
      </c>
      <c r="H120" s="102" t="s">
        <v>104</v>
      </c>
    </row>
    <row r="121" spans="6:8" x14ac:dyDescent="0.2">
      <c r="F121" s="101" t="s">
        <v>332</v>
      </c>
      <c r="G121" s="101">
        <v>100</v>
      </c>
      <c r="H121" s="102" t="s">
        <v>105</v>
      </c>
    </row>
    <row r="122" spans="6:8" x14ac:dyDescent="0.2">
      <c r="F122" s="101" t="s">
        <v>333</v>
      </c>
      <c r="G122" s="101">
        <v>101</v>
      </c>
      <c r="H122" s="102" t="s">
        <v>106</v>
      </c>
    </row>
    <row r="123" spans="6:8" x14ac:dyDescent="0.2">
      <c r="F123" s="101" t="s">
        <v>334</v>
      </c>
      <c r="G123" s="101">
        <v>102</v>
      </c>
      <c r="H123" s="102" t="s">
        <v>107</v>
      </c>
    </row>
    <row r="124" spans="6:8" x14ac:dyDescent="0.2">
      <c r="F124" s="101" t="s">
        <v>335</v>
      </c>
      <c r="G124" s="101">
        <v>103</v>
      </c>
      <c r="H124" s="102" t="s">
        <v>108</v>
      </c>
    </row>
    <row r="125" spans="6:8" x14ac:dyDescent="0.2">
      <c r="F125" s="101" t="s">
        <v>336</v>
      </c>
      <c r="G125" s="101">
        <v>104</v>
      </c>
      <c r="H125" s="102" t="s">
        <v>109</v>
      </c>
    </row>
    <row r="126" spans="6:8" x14ac:dyDescent="0.2">
      <c r="F126" s="101" t="s">
        <v>337</v>
      </c>
      <c r="G126" s="101">
        <v>105</v>
      </c>
      <c r="H126" s="102" t="s">
        <v>110</v>
      </c>
    </row>
    <row r="127" spans="6:8" x14ac:dyDescent="0.2">
      <c r="F127" s="101" t="s">
        <v>338</v>
      </c>
      <c r="G127" s="101">
        <v>106</v>
      </c>
      <c r="H127" s="102" t="s">
        <v>111</v>
      </c>
    </row>
    <row r="128" spans="6:8" x14ac:dyDescent="0.2">
      <c r="F128" s="101" t="s">
        <v>339</v>
      </c>
      <c r="G128" s="101">
        <v>107</v>
      </c>
      <c r="H128" s="102" t="s">
        <v>112</v>
      </c>
    </row>
    <row r="129" spans="6:8" x14ac:dyDescent="0.2">
      <c r="F129" s="101" t="s">
        <v>340</v>
      </c>
      <c r="G129" s="101">
        <v>108</v>
      </c>
      <c r="H129" s="102" t="s">
        <v>113</v>
      </c>
    </row>
    <row r="130" spans="6:8" x14ac:dyDescent="0.2">
      <c r="F130" s="101" t="s">
        <v>341</v>
      </c>
      <c r="G130" s="101">
        <v>109</v>
      </c>
      <c r="H130" s="102" t="s">
        <v>114</v>
      </c>
    </row>
    <row r="131" spans="6:8" x14ac:dyDescent="0.2">
      <c r="F131" s="101" t="s">
        <v>342</v>
      </c>
      <c r="G131" s="101">
        <v>110</v>
      </c>
      <c r="H131" s="102" t="s">
        <v>115</v>
      </c>
    </row>
    <row r="132" spans="6:8" x14ac:dyDescent="0.2">
      <c r="F132" s="101" t="s">
        <v>343</v>
      </c>
      <c r="G132" s="101">
        <v>111</v>
      </c>
      <c r="H132" s="102" t="s">
        <v>116</v>
      </c>
    </row>
    <row r="133" spans="6:8" x14ac:dyDescent="0.2">
      <c r="F133" s="101" t="s">
        <v>344</v>
      </c>
      <c r="G133" s="101">
        <v>112</v>
      </c>
      <c r="H133" s="102" t="s">
        <v>117</v>
      </c>
    </row>
    <row r="134" spans="6:8" x14ac:dyDescent="0.2">
      <c r="F134" s="101" t="s">
        <v>345</v>
      </c>
      <c r="G134" s="101">
        <v>113</v>
      </c>
      <c r="H134" s="102" t="s">
        <v>118</v>
      </c>
    </row>
    <row r="135" spans="6:8" x14ac:dyDescent="0.2">
      <c r="F135" s="101" t="s">
        <v>346</v>
      </c>
      <c r="G135" s="101">
        <v>114</v>
      </c>
      <c r="H135" s="102" t="s">
        <v>119</v>
      </c>
    </row>
    <row r="136" spans="6:8" x14ac:dyDescent="0.2">
      <c r="F136" s="101" t="s">
        <v>347</v>
      </c>
      <c r="G136" s="101">
        <v>115</v>
      </c>
      <c r="H136" s="102" t="s">
        <v>120</v>
      </c>
    </row>
    <row r="137" spans="6:8" x14ac:dyDescent="0.2">
      <c r="F137" s="101" t="s">
        <v>348</v>
      </c>
      <c r="G137" s="101">
        <v>116</v>
      </c>
      <c r="H137" s="102" t="s">
        <v>121</v>
      </c>
    </row>
    <row r="138" spans="6:8" x14ac:dyDescent="0.2">
      <c r="F138" s="101" t="s">
        <v>349</v>
      </c>
      <c r="G138" s="101">
        <v>117</v>
      </c>
      <c r="H138" s="102" t="s">
        <v>122</v>
      </c>
    </row>
    <row r="139" spans="6:8" x14ac:dyDescent="0.2">
      <c r="F139" s="101" t="s">
        <v>350</v>
      </c>
      <c r="G139" s="101">
        <v>118</v>
      </c>
      <c r="H139" s="102" t="s">
        <v>123</v>
      </c>
    </row>
    <row r="140" spans="6:8" x14ac:dyDescent="0.2">
      <c r="F140" s="101" t="s">
        <v>351</v>
      </c>
      <c r="G140" s="101">
        <v>119</v>
      </c>
      <c r="H140" s="102" t="s">
        <v>124</v>
      </c>
    </row>
    <row r="141" spans="6:8" x14ac:dyDescent="0.2">
      <c r="F141" s="101" t="s">
        <v>352</v>
      </c>
      <c r="G141" s="101">
        <v>120</v>
      </c>
      <c r="H141" s="102" t="s">
        <v>125</v>
      </c>
    </row>
    <row r="142" spans="6:8" x14ac:dyDescent="0.2">
      <c r="F142" s="101" t="s">
        <v>353</v>
      </c>
      <c r="G142" s="101">
        <v>121</v>
      </c>
      <c r="H142" s="102" t="s">
        <v>126</v>
      </c>
    </row>
    <row r="143" spans="6:8" x14ac:dyDescent="0.2">
      <c r="F143" s="101" t="s">
        <v>354</v>
      </c>
      <c r="G143" s="101">
        <v>122</v>
      </c>
      <c r="H143" s="102" t="s">
        <v>127</v>
      </c>
    </row>
    <row r="144" spans="6:8" x14ac:dyDescent="0.2">
      <c r="F144" s="101" t="s">
        <v>355</v>
      </c>
      <c r="G144" s="101">
        <v>123</v>
      </c>
      <c r="H144" s="102" t="s">
        <v>128</v>
      </c>
    </row>
    <row r="145" spans="6:8" x14ac:dyDescent="0.2">
      <c r="F145" s="101" t="s">
        <v>356</v>
      </c>
      <c r="G145" s="101">
        <v>124</v>
      </c>
      <c r="H145" s="102" t="s">
        <v>129</v>
      </c>
    </row>
    <row r="146" spans="6:8" x14ac:dyDescent="0.2">
      <c r="F146" s="101" t="s">
        <v>357</v>
      </c>
      <c r="G146" s="101">
        <v>125</v>
      </c>
      <c r="H146" s="102" t="s">
        <v>130</v>
      </c>
    </row>
    <row r="147" spans="6:8" x14ac:dyDescent="0.2">
      <c r="F147" s="101" t="s">
        <v>358</v>
      </c>
      <c r="G147" s="101">
        <v>126</v>
      </c>
      <c r="H147" s="102" t="s">
        <v>131</v>
      </c>
    </row>
    <row r="148" spans="6:8" x14ac:dyDescent="0.2">
      <c r="F148" s="101" t="s">
        <v>359</v>
      </c>
      <c r="G148" s="101">
        <v>127</v>
      </c>
      <c r="H148" s="102" t="s">
        <v>132</v>
      </c>
    </row>
    <row r="149" spans="6:8" x14ac:dyDescent="0.2">
      <c r="F149" s="101" t="s">
        <v>360</v>
      </c>
      <c r="G149" s="101">
        <v>128</v>
      </c>
      <c r="H149" s="102" t="s">
        <v>133</v>
      </c>
    </row>
    <row r="150" spans="6:8" x14ac:dyDescent="0.2">
      <c r="F150" s="101" t="s">
        <v>361</v>
      </c>
      <c r="G150" s="101">
        <v>129</v>
      </c>
      <c r="H150" s="102" t="s">
        <v>134</v>
      </c>
    </row>
    <row r="151" spans="6:8" x14ac:dyDescent="0.2">
      <c r="F151" s="101" t="s">
        <v>362</v>
      </c>
      <c r="G151" s="101">
        <v>130</v>
      </c>
      <c r="H151" s="102" t="s">
        <v>135</v>
      </c>
    </row>
    <row r="152" spans="6:8" x14ac:dyDescent="0.2">
      <c r="F152" s="101" t="s">
        <v>363</v>
      </c>
      <c r="G152" s="101">
        <v>131</v>
      </c>
      <c r="H152" s="102" t="s">
        <v>136</v>
      </c>
    </row>
    <row r="153" spans="6:8" x14ac:dyDescent="0.2">
      <c r="F153" s="101" t="s">
        <v>364</v>
      </c>
      <c r="G153" s="101">
        <v>132</v>
      </c>
      <c r="H153" s="102" t="s">
        <v>137</v>
      </c>
    </row>
    <row r="154" spans="6:8" x14ac:dyDescent="0.2">
      <c r="F154" s="101" t="s">
        <v>365</v>
      </c>
      <c r="G154" s="101">
        <v>133</v>
      </c>
      <c r="H154" s="102" t="s">
        <v>138</v>
      </c>
    </row>
    <row r="155" spans="6:8" x14ac:dyDescent="0.2">
      <c r="F155" s="101" t="s">
        <v>366</v>
      </c>
      <c r="G155" s="101">
        <v>134</v>
      </c>
      <c r="H155" s="102" t="s">
        <v>139</v>
      </c>
    </row>
    <row r="156" spans="6:8" x14ac:dyDescent="0.2">
      <c r="F156" s="101" t="s">
        <v>367</v>
      </c>
      <c r="G156" s="101">
        <v>135</v>
      </c>
      <c r="H156" s="102" t="s">
        <v>140</v>
      </c>
    </row>
    <row r="157" spans="6:8" x14ac:dyDescent="0.2">
      <c r="F157" s="101" t="s">
        <v>368</v>
      </c>
      <c r="G157" s="101">
        <v>136</v>
      </c>
      <c r="H157" s="102" t="s">
        <v>141</v>
      </c>
    </row>
    <row r="158" spans="6:8" x14ac:dyDescent="0.2">
      <c r="F158" s="101" t="s">
        <v>369</v>
      </c>
      <c r="G158" s="101">
        <v>137</v>
      </c>
      <c r="H158" s="102" t="s">
        <v>142</v>
      </c>
    </row>
    <row r="159" spans="6:8" x14ac:dyDescent="0.2">
      <c r="F159" s="101" t="s">
        <v>370</v>
      </c>
      <c r="G159" s="101">
        <v>138</v>
      </c>
      <c r="H159" s="102" t="s">
        <v>143</v>
      </c>
    </row>
    <row r="160" spans="6:8" x14ac:dyDescent="0.2">
      <c r="F160" s="101" t="s">
        <v>371</v>
      </c>
      <c r="G160" s="101">
        <v>139</v>
      </c>
      <c r="H160" s="102" t="s">
        <v>144</v>
      </c>
    </row>
    <row r="161" spans="6:8" x14ac:dyDescent="0.2">
      <c r="F161" s="101" t="s">
        <v>372</v>
      </c>
      <c r="G161" s="101">
        <v>140</v>
      </c>
      <c r="H161" s="102" t="s">
        <v>145</v>
      </c>
    </row>
    <row r="162" spans="6:8" x14ac:dyDescent="0.2">
      <c r="F162" s="101" t="s">
        <v>373</v>
      </c>
      <c r="G162" s="101">
        <v>141</v>
      </c>
      <c r="H162" s="102" t="s">
        <v>146</v>
      </c>
    </row>
    <row r="163" spans="6:8" x14ac:dyDescent="0.2">
      <c r="F163" s="101" t="s">
        <v>374</v>
      </c>
      <c r="G163" s="101">
        <v>142</v>
      </c>
      <c r="H163" s="102" t="s">
        <v>147</v>
      </c>
    </row>
    <row r="164" spans="6:8" x14ac:dyDescent="0.2">
      <c r="F164" s="101" t="s">
        <v>375</v>
      </c>
      <c r="G164" s="101">
        <v>143</v>
      </c>
      <c r="H164" s="102" t="s">
        <v>148</v>
      </c>
    </row>
    <row r="165" spans="6:8" x14ac:dyDescent="0.2">
      <c r="F165" s="101" t="s">
        <v>376</v>
      </c>
      <c r="G165" s="101">
        <v>144</v>
      </c>
      <c r="H165" s="102" t="s">
        <v>149</v>
      </c>
    </row>
    <row r="166" spans="6:8" x14ac:dyDescent="0.2">
      <c r="F166" s="101" t="s">
        <v>377</v>
      </c>
      <c r="G166" s="101">
        <v>145</v>
      </c>
      <c r="H166" s="102" t="s">
        <v>150</v>
      </c>
    </row>
    <row r="167" spans="6:8" x14ac:dyDescent="0.2">
      <c r="F167" s="101" t="s">
        <v>378</v>
      </c>
      <c r="G167" s="101">
        <v>146</v>
      </c>
      <c r="H167" s="102" t="s">
        <v>151</v>
      </c>
    </row>
    <row r="168" spans="6:8" x14ac:dyDescent="0.2">
      <c r="F168" s="101" t="s">
        <v>379</v>
      </c>
      <c r="G168" s="101">
        <v>147</v>
      </c>
      <c r="H168" s="102" t="s">
        <v>152</v>
      </c>
    </row>
    <row r="169" spans="6:8" x14ac:dyDescent="0.2">
      <c r="F169" s="101" t="s">
        <v>380</v>
      </c>
      <c r="G169" s="101">
        <v>148</v>
      </c>
      <c r="H169" s="102" t="s">
        <v>153</v>
      </c>
    </row>
    <row r="170" spans="6:8" x14ac:dyDescent="0.2">
      <c r="F170" s="101" t="s">
        <v>381</v>
      </c>
      <c r="G170" s="101">
        <v>149</v>
      </c>
      <c r="H170" s="102" t="s">
        <v>155</v>
      </c>
    </row>
    <row r="171" spans="6:8" x14ac:dyDescent="0.2">
      <c r="F171" s="101" t="s">
        <v>382</v>
      </c>
      <c r="G171" s="101">
        <v>150</v>
      </c>
      <c r="H171" s="102" t="s">
        <v>154</v>
      </c>
    </row>
    <row r="172" spans="6:8" x14ac:dyDescent="0.2">
      <c r="F172" s="101" t="s">
        <v>383</v>
      </c>
      <c r="G172" s="101">
        <v>151</v>
      </c>
      <c r="H172" s="102" t="s">
        <v>156</v>
      </c>
    </row>
    <row r="173" spans="6:8" x14ac:dyDescent="0.2">
      <c r="F173" s="101" t="s">
        <v>384</v>
      </c>
      <c r="G173" s="101">
        <v>152</v>
      </c>
      <c r="H173" s="102" t="s">
        <v>157</v>
      </c>
    </row>
    <row r="174" spans="6:8" x14ac:dyDescent="0.2">
      <c r="F174" s="101" t="s">
        <v>385</v>
      </c>
      <c r="G174" s="101">
        <v>153</v>
      </c>
      <c r="H174" s="102" t="s">
        <v>158</v>
      </c>
    </row>
    <row r="175" spans="6:8" x14ac:dyDescent="0.2">
      <c r="F175" s="101" t="s">
        <v>386</v>
      </c>
      <c r="G175" s="101">
        <v>154</v>
      </c>
      <c r="H175" s="102" t="s">
        <v>159</v>
      </c>
    </row>
    <row r="176" spans="6:8" x14ac:dyDescent="0.2">
      <c r="F176" s="101" t="s">
        <v>387</v>
      </c>
      <c r="G176" s="101">
        <v>155</v>
      </c>
      <c r="H176" s="102" t="s">
        <v>160</v>
      </c>
    </row>
    <row r="177" spans="6:8" x14ac:dyDescent="0.2">
      <c r="F177" s="101" t="s">
        <v>388</v>
      </c>
      <c r="G177" s="101">
        <v>156</v>
      </c>
      <c r="H177" s="102" t="s">
        <v>161</v>
      </c>
    </row>
    <row r="178" spans="6:8" x14ac:dyDescent="0.2">
      <c r="F178" s="101" t="s">
        <v>389</v>
      </c>
      <c r="G178" s="101">
        <v>157</v>
      </c>
      <c r="H178" s="102" t="s">
        <v>162</v>
      </c>
    </row>
    <row r="179" spans="6:8" x14ac:dyDescent="0.2">
      <c r="F179" s="101" t="s">
        <v>390</v>
      </c>
      <c r="G179" s="101">
        <v>158</v>
      </c>
      <c r="H179" s="102" t="s">
        <v>163</v>
      </c>
    </row>
    <row r="180" spans="6:8" x14ac:dyDescent="0.2">
      <c r="F180" s="101" t="s">
        <v>391</v>
      </c>
      <c r="G180" s="101">
        <v>159</v>
      </c>
      <c r="H180" s="102" t="s">
        <v>164</v>
      </c>
    </row>
    <row r="181" spans="6:8" x14ac:dyDescent="0.2">
      <c r="F181" s="101" t="s">
        <v>392</v>
      </c>
      <c r="G181" s="101">
        <v>160</v>
      </c>
      <c r="H181" s="102" t="s">
        <v>165</v>
      </c>
    </row>
    <row r="182" spans="6:8" x14ac:dyDescent="0.2">
      <c r="F182" s="101" t="s">
        <v>393</v>
      </c>
      <c r="G182" s="101">
        <v>161</v>
      </c>
      <c r="H182" s="102" t="s">
        <v>166</v>
      </c>
    </row>
    <row r="183" spans="6:8" x14ac:dyDescent="0.2">
      <c r="F183" s="101" t="s">
        <v>394</v>
      </c>
      <c r="G183" s="101">
        <v>162</v>
      </c>
      <c r="H183" s="102" t="s">
        <v>167</v>
      </c>
    </row>
    <row r="184" spans="6:8" x14ac:dyDescent="0.2">
      <c r="F184" s="101" t="s">
        <v>395</v>
      </c>
      <c r="G184" s="101">
        <v>163</v>
      </c>
      <c r="H184" s="102" t="s">
        <v>168</v>
      </c>
    </row>
    <row r="185" spans="6:8" x14ac:dyDescent="0.2">
      <c r="F185" s="101" t="s">
        <v>396</v>
      </c>
      <c r="G185" s="101">
        <v>164</v>
      </c>
      <c r="H185" s="102" t="s">
        <v>169</v>
      </c>
    </row>
    <row r="186" spans="6:8" x14ac:dyDescent="0.2">
      <c r="F186" s="101" t="s">
        <v>397</v>
      </c>
      <c r="G186" s="101">
        <v>165</v>
      </c>
      <c r="H186" s="102" t="s">
        <v>170</v>
      </c>
    </row>
    <row r="187" spans="6:8" x14ac:dyDescent="0.2">
      <c r="F187" s="101" t="s">
        <v>398</v>
      </c>
      <c r="G187" s="101">
        <v>166</v>
      </c>
      <c r="H187" s="102" t="s">
        <v>171</v>
      </c>
    </row>
    <row r="188" spans="6:8" x14ac:dyDescent="0.2">
      <c r="F188" s="101" t="s">
        <v>399</v>
      </c>
      <c r="G188" s="101">
        <v>167</v>
      </c>
      <c r="H188" s="102" t="s">
        <v>172</v>
      </c>
    </row>
    <row r="189" spans="6:8" x14ac:dyDescent="0.2">
      <c r="F189" s="101" t="s">
        <v>400</v>
      </c>
      <c r="G189" s="101">
        <v>168</v>
      </c>
      <c r="H189" s="102" t="s">
        <v>173</v>
      </c>
    </row>
    <row r="190" spans="6:8" x14ac:dyDescent="0.2">
      <c r="F190" s="101" t="s">
        <v>401</v>
      </c>
      <c r="G190" s="101">
        <v>169</v>
      </c>
      <c r="H190" s="102" t="s">
        <v>174</v>
      </c>
    </row>
    <row r="191" spans="6:8" x14ac:dyDescent="0.2">
      <c r="F191" s="101" t="s">
        <v>402</v>
      </c>
      <c r="G191" s="101">
        <v>170</v>
      </c>
      <c r="H191" s="102" t="s">
        <v>175</v>
      </c>
    </row>
    <row r="192" spans="6:8" x14ac:dyDescent="0.2">
      <c r="F192" s="101" t="s">
        <v>403</v>
      </c>
      <c r="G192" s="101">
        <v>171</v>
      </c>
      <c r="H192" s="102" t="s">
        <v>176</v>
      </c>
    </row>
    <row r="193" spans="6:8" x14ac:dyDescent="0.2">
      <c r="F193" s="101" t="s">
        <v>404</v>
      </c>
      <c r="G193" s="101">
        <v>172</v>
      </c>
      <c r="H193" s="102" t="s">
        <v>177</v>
      </c>
    </row>
    <row r="194" spans="6:8" x14ac:dyDescent="0.2">
      <c r="F194" s="101" t="s">
        <v>405</v>
      </c>
      <c r="G194" s="101">
        <v>173</v>
      </c>
      <c r="H194" s="102" t="s">
        <v>178</v>
      </c>
    </row>
    <row r="195" spans="6:8" x14ac:dyDescent="0.2">
      <c r="F195" s="101" t="s">
        <v>406</v>
      </c>
      <c r="G195" s="101">
        <v>174</v>
      </c>
      <c r="H195" s="102" t="s">
        <v>179</v>
      </c>
    </row>
    <row r="196" spans="6:8" x14ac:dyDescent="0.2">
      <c r="F196" s="101" t="s">
        <v>407</v>
      </c>
      <c r="G196" s="101">
        <v>175</v>
      </c>
      <c r="H196" s="102" t="s">
        <v>180</v>
      </c>
    </row>
    <row r="197" spans="6:8" x14ac:dyDescent="0.2">
      <c r="F197" s="101" t="s">
        <v>408</v>
      </c>
      <c r="G197" s="101">
        <v>176</v>
      </c>
      <c r="H197" s="102" t="s">
        <v>181</v>
      </c>
    </row>
    <row r="198" spans="6:8" x14ac:dyDescent="0.2">
      <c r="F198" s="101" t="s">
        <v>409</v>
      </c>
      <c r="G198" s="101">
        <v>177</v>
      </c>
      <c r="H198" s="102" t="s">
        <v>182</v>
      </c>
    </row>
    <row r="199" spans="6:8" x14ac:dyDescent="0.2">
      <c r="F199" s="101" t="s">
        <v>410</v>
      </c>
      <c r="G199" s="101">
        <v>178</v>
      </c>
      <c r="H199" s="102" t="s">
        <v>183</v>
      </c>
    </row>
    <row r="200" spans="6:8" x14ac:dyDescent="0.2">
      <c r="F200" s="101" t="s">
        <v>411</v>
      </c>
      <c r="G200" s="101">
        <v>179</v>
      </c>
      <c r="H200" s="102" t="s">
        <v>184</v>
      </c>
    </row>
    <row r="201" spans="6:8" x14ac:dyDescent="0.2">
      <c r="F201" s="101" t="s">
        <v>412</v>
      </c>
      <c r="G201" s="101">
        <v>180</v>
      </c>
      <c r="H201" s="102" t="s">
        <v>185</v>
      </c>
    </row>
    <row r="202" spans="6:8" x14ac:dyDescent="0.2">
      <c r="F202" s="101" t="s">
        <v>413</v>
      </c>
      <c r="G202" s="101">
        <v>181</v>
      </c>
      <c r="H202" s="102" t="s">
        <v>186</v>
      </c>
    </row>
    <row r="203" spans="6:8" x14ac:dyDescent="0.2">
      <c r="F203" s="101" t="s">
        <v>414</v>
      </c>
      <c r="G203" s="101">
        <v>182</v>
      </c>
      <c r="H203" s="102" t="s">
        <v>187</v>
      </c>
    </row>
    <row r="204" spans="6:8" x14ac:dyDescent="0.2">
      <c r="F204" s="101" t="s">
        <v>415</v>
      </c>
      <c r="G204" s="101">
        <v>183</v>
      </c>
      <c r="H204" s="102" t="s">
        <v>188</v>
      </c>
    </row>
    <row r="205" spans="6:8" x14ac:dyDescent="0.2">
      <c r="F205" s="101" t="s">
        <v>416</v>
      </c>
      <c r="G205" s="101">
        <v>184</v>
      </c>
      <c r="H205" s="102" t="s">
        <v>189</v>
      </c>
    </row>
    <row r="206" spans="6:8" x14ac:dyDescent="0.2">
      <c r="F206" s="101" t="s">
        <v>417</v>
      </c>
      <c r="G206" s="101">
        <v>185</v>
      </c>
      <c r="H206" s="102" t="s">
        <v>190</v>
      </c>
    </row>
    <row r="207" spans="6:8" x14ac:dyDescent="0.2">
      <c r="F207" s="101" t="s">
        <v>418</v>
      </c>
      <c r="G207" s="101">
        <v>186</v>
      </c>
      <c r="H207" s="102" t="s">
        <v>192</v>
      </c>
    </row>
    <row r="208" spans="6:8" x14ac:dyDescent="0.2">
      <c r="F208" s="101" t="s">
        <v>419</v>
      </c>
      <c r="G208" s="101">
        <v>187</v>
      </c>
      <c r="H208" s="102" t="s">
        <v>191</v>
      </c>
    </row>
    <row r="209" spans="6:8" x14ac:dyDescent="0.2">
      <c r="F209" s="101" t="s">
        <v>420</v>
      </c>
      <c r="G209" s="101">
        <v>188</v>
      </c>
      <c r="H209" s="102" t="s">
        <v>193</v>
      </c>
    </row>
    <row r="210" spans="6:8" x14ac:dyDescent="0.2">
      <c r="F210" s="101" t="s">
        <v>421</v>
      </c>
      <c r="G210" s="101">
        <v>189</v>
      </c>
      <c r="H210" s="102" t="s">
        <v>194</v>
      </c>
    </row>
    <row r="211" spans="6:8" x14ac:dyDescent="0.2">
      <c r="F211" s="101" t="s">
        <v>422</v>
      </c>
      <c r="G211" s="101">
        <v>190</v>
      </c>
      <c r="H211" s="102" t="s">
        <v>195</v>
      </c>
    </row>
    <row r="212" spans="6:8" x14ac:dyDescent="0.2">
      <c r="F212" s="101" t="s">
        <v>423</v>
      </c>
      <c r="G212" s="101">
        <v>191</v>
      </c>
      <c r="H212" s="102" t="s">
        <v>196</v>
      </c>
    </row>
    <row r="213" spans="6:8" x14ac:dyDescent="0.2">
      <c r="F213" s="101" t="s">
        <v>424</v>
      </c>
      <c r="G213" s="101">
        <v>192</v>
      </c>
      <c r="H213" s="102" t="s">
        <v>1540</v>
      </c>
    </row>
    <row r="214" spans="6:8" x14ac:dyDescent="0.2">
      <c r="F214" s="101" t="s">
        <v>425</v>
      </c>
      <c r="G214" s="101">
        <v>193</v>
      </c>
      <c r="H214" s="102" t="s">
        <v>197</v>
      </c>
    </row>
    <row r="215" spans="6:8" x14ac:dyDescent="0.2">
      <c r="F215" s="101" t="s">
        <v>426</v>
      </c>
      <c r="G215" s="101">
        <v>194</v>
      </c>
      <c r="H215" s="102" t="s">
        <v>198</v>
      </c>
    </row>
    <row r="216" spans="6:8" x14ac:dyDescent="0.2">
      <c r="F216" s="101" t="s">
        <v>427</v>
      </c>
      <c r="G216" s="101">
        <v>195</v>
      </c>
      <c r="H216" s="102" t="s">
        <v>199</v>
      </c>
    </row>
    <row r="217" spans="6:8" x14ac:dyDescent="0.2">
      <c r="F217" s="101" t="s">
        <v>428</v>
      </c>
      <c r="G217" s="101">
        <v>196</v>
      </c>
      <c r="H217" s="102" t="s">
        <v>200</v>
      </c>
    </row>
    <row r="218" spans="6:8" x14ac:dyDescent="0.2">
      <c r="F218" s="101" t="s">
        <v>429</v>
      </c>
      <c r="G218" s="101">
        <v>197</v>
      </c>
      <c r="H218" s="102" t="s">
        <v>201</v>
      </c>
    </row>
    <row r="219" spans="6:8" x14ac:dyDescent="0.2">
      <c r="F219" s="101" t="s">
        <v>430</v>
      </c>
      <c r="G219" s="101">
        <v>198</v>
      </c>
      <c r="H219" s="102" t="s">
        <v>202</v>
      </c>
    </row>
    <row r="220" spans="6:8" x14ac:dyDescent="0.2">
      <c r="F220" s="101" t="s">
        <v>431</v>
      </c>
      <c r="G220" s="101">
        <v>199</v>
      </c>
      <c r="H220" s="102" t="s">
        <v>203</v>
      </c>
    </row>
    <row r="221" spans="6:8" x14ac:dyDescent="0.2">
      <c r="F221" s="101" t="s">
        <v>432</v>
      </c>
      <c r="G221" s="101">
        <v>200</v>
      </c>
      <c r="H221" s="102" t="s">
        <v>204</v>
      </c>
    </row>
    <row r="222" spans="6:8" x14ac:dyDescent="0.2">
      <c r="F222" s="101" t="s">
        <v>433</v>
      </c>
      <c r="G222" s="101">
        <v>201</v>
      </c>
      <c r="H222" s="102" t="s">
        <v>205</v>
      </c>
    </row>
    <row r="223" spans="6:8" x14ac:dyDescent="0.2">
      <c r="F223" s="101" t="s">
        <v>434</v>
      </c>
      <c r="G223" s="101">
        <v>202</v>
      </c>
      <c r="H223" s="102" t="s">
        <v>206</v>
      </c>
    </row>
    <row r="224" spans="6:8" x14ac:dyDescent="0.2">
      <c r="F224" s="101" t="s">
        <v>435</v>
      </c>
      <c r="G224" s="101">
        <v>203</v>
      </c>
      <c r="H224" s="102" t="s">
        <v>207</v>
      </c>
    </row>
    <row r="225" spans="6:8" x14ac:dyDescent="0.2">
      <c r="F225" s="101" t="s">
        <v>436</v>
      </c>
      <c r="G225" s="101">
        <v>204</v>
      </c>
      <c r="H225" s="102" t="s">
        <v>208</v>
      </c>
    </row>
    <row r="226" spans="6:8" x14ac:dyDescent="0.2">
      <c r="F226" s="101" t="s">
        <v>437</v>
      </c>
      <c r="G226" s="101">
        <v>205</v>
      </c>
      <c r="H226" s="102" t="s">
        <v>209</v>
      </c>
    </row>
    <row r="227" spans="6:8" x14ac:dyDescent="0.2">
      <c r="F227" s="101" t="s">
        <v>438</v>
      </c>
      <c r="G227" s="101">
        <v>206</v>
      </c>
      <c r="H227" s="102" t="s">
        <v>211</v>
      </c>
    </row>
    <row r="228" spans="6:8" x14ac:dyDescent="0.2">
      <c r="F228" s="101" t="s">
        <v>439</v>
      </c>
      <c r="G228" s="101">
        <v>207</v>
      </c>
      <c r="H228" s="102" t="s">
        <v>210</v>
      </c>
    </row>
    <row r="229" spans="6:8" x14ac:dyDescent="0.2">
      <c r="F229" s="101" t="s">
        <v>440</v>
      </c>
      <c r="G229" s="101">
        <v>208</v>
      </c>
      <c r="H229" s="102" t="s">
        <v>212</v>
      </c>
    </row>
    <row r="230" spans="6:8" x14ac:dyDescent="0.2">
      <c r="F230" s="101" t="s">
        <v>441</v>
      </c>
      <c r="G230" s="101">
        <v>209</v>
      </c>
      <c r="H230" s="102" t="s">
        <v>213</v>
      </c>
    </row>
    <row r="231" spans="6:8" x14ac:dyDescent="0.2">
      <c r="F231" s="101" t="s">
        <v>442</v>
      </c>
      <c r="G231" s="101">
        <v>210</v>
      </c>
      <c r="H231" s="102" t="s">
        <v>214</v>
      </c>
    </row>
    <row r="232" spans="6:8" x14ac:dyDescent="0.2">
      <c r="F232" s="101" t="s">
        <v>443</v>
      </c>
      <c r="G232" s="101">
        <v>211</v>
      </c>
      <c r="H232" s="102" t="s">
        <v>215</v>
      </c>
    </row>
    <row r="233" spans="6:8" x14ac:dyDescent="0.2">
      <c r="F233" s="101" t="s">
        <v>444</v>
      </c>
      <c r="G233" s="101">
        <v>212</v>
      </c>
      <c r="H233" s="102" t="s">
        <v>216</v>
      </c>
    </row>
    <row r="234" spans="6:8" x14ac:dyDescent="0.2">
      <c r="F234" s="101" t="s">
        <v>445</v>
      </c>
      <c r="G234" s="101">
        <v>213</v>
      </c>
      <c r="H234" s="102" t="s">
        <v>217</v>
      </c>
    </row>
    <row r="235" spans="6:8" x14ac:dyDescent="0.2">
      <c r="F235" s="101" t="s">
        <v>446</v>
      </c>
      <c r="G235" s="101">
        <v>214</v>
      </c>
      <c r="H235" s="102" t="s">
        <v>218</v>
      </c>
    </row>
    <row r="236" spans="6:8" x14ac:dyDescent="0.2">
      <c r="F236" s="101" t="s">
        <v>447</v>
      </c>
      <c r="G236" s="101">
        <v>215</v>
      </c>
      <c r="H236" s="102" t="s">
        <v>219</v>
      </c>
    </row>
    <row r="237" spans="6:8" x14ac:dyDescent="0.2">
      <c r="F237" s="101" t="s">
        <v>448</v>
      </c>
      <c r="G237" s="101">
        <v>216</v>
      </c>
      <c r="H237" s="102" t="s">
        <v>1921</v>
      </c>
    </row>
    <row r="238" spans="6:8" x14ac:dyDescent="0.2">
      <c r="F238" s="101" t="s">
        <v>449</v>
      </c>
      <c r="G238" s="101">
        <v>217</v>
      </c>
      <c r="H238" s="102" t="s">
        <v>220</v>
      </c>
    </row>
    <row r="239" spans="6:8" x14ac:dyDescent="0.2">
      <c r="F239" s="101" t="s">
        <v>450</v>
      </c>
      <c r="G239" s="101">
        <v>218</v>
      </c>
      <c r="H239" s="102" t="s">
        <v>221</v>
      </c>
    </row>
    <row r="240" spans="6:8" x14ac:dyDescent="0.2">
      <c r="F240" s="101" t="s">
        <v>451</v>
      </c>
      <c r="G240" s="101">
        <v>219</v>
      </c>
      <c r="H240" s="102" t="s">
        <v>222</v>
      </c>
    </row>
    <row r="241" spans="6:8" x14ac:dyDescent="0.2">
      <c r="F241" s="101" t="s">
        <v>452</v>
      </c>
      <c r="G241" s="101">
        <v>220</v>
      </c>
      <c r="H241" s="102" t="s">
        <v>223</v>
      </c>
    </row>
    <row r="242" spans="6:8" x14ac:dyDescent="0.2">
      <c r="F242" s="101" t="s">
        <v>453</v>
      </c>
      <c r="G242" s="101">
        <v>221</v>
      </c>
      <c r="H242" s="102" t="s">
        <v>224</v>
      </c>
    </row>
    <row r="243" spans="6:8" x14ac:dyDescent="0.2">
      <c r="F243" s="101" t="s">
        <v>454</v>
      </c>
      <c r="G243" s="101">
        <v>222</v>
      </c>
      <c r="H243" s="102" t="s">
        <v>225</v>
      </c>
    </row>
    <row r="244" spans="6:8" x14ac:dyDescent="0.2">
      <c r="F244" s="101" t="s">
        <v>455</v>
      </c>
      <c r="G244" s="101">
        <v>223</v>
      </c>
      <c r="H244" s="102" t="s">
        <v>542</v>
      </c>
    </row>
    <row r="245" spans="6:8" x14ac:dyDescent="0.2">
      <c r="F245" s="101" t="s">
        <v>456</v>
      </c>
      <c r="G245" s="101">
        <v>224</v>
      </c>
      <c r="H245" s="102" t="s">
        <v>543</v>
      </c>
    </row>
    <row r="246" spans="6:8" x14ac:dyDescent="0.2">
      <c r="F246" s="101" t="s">
        <v>457</v>
      </c>
      <c r="G246" s="101">
        <v>225</v>
      </c>
      <c r="H246" s="102" t="s">
        <v>544</v>
      </c>
    </row>
    <row r="247" spans="6:8" x14ac:dyDescent="0.2">
      <c r="F247" s="101" t="s">
        <v>458</v>
      </c>
      <c r="G247" s="101">
        <v>226</v>
      </c>
      <c r="H247" s="102" t="s">
        <v>545</v>
      </c>
    </row>
    <row r="248" spans="6:8" x14ac:dyDescent="0.2">
      <c r="F248" s="101" t="s">
        <v>459</v>
      </c>
      <c r="G248" s="101">
        <v>227</v>
      </c>
      <c r="H248" s="102" t="s">
        <v>546</v>
      </c>
    </row>
    <row r="249" spans="6:8" x14ac:dyDescent="0.2">
      <c r="F249" s="101" t="s">
        <v>460</v>
      </c>
      <c r="G249" s="101">
        <v>228</v>
      </c>
      <c r="H249" s="102" t="s">
        <v>547</v>
      </c>
    </row>
    <row r="250" spans="6:8" x14ac:dyDescent="0.2">
      <c r="F250" s="101" t="s">
        <v>461</v>
      </c>
      <c r="G250" s="101">
        <v>229</v>
      </c>
      <c r="H250" s="102" t="s">
        <v>548</v>
      </c>
    </row>
    <row r="251" spans="6:8" x14ac:dyDescent="0.2">
      <c r="F251" s="101" t="s">
        <v>462</v>
      </c>
      <c r="G251" s="101">
        <v>230</v>
      </c>
      <c r="H251" s="102" t="s">
        <v>549</v>
      </c>
    </row>
    <row r="252" spans="6:8" x14ac:dyDescent="0.2">
      <c r="F252" s="101" t="s">
        <v>463</v>
      </c>
      <c r="G252" s="101">
        <v>231</v>
      </c>
      <c r="H252" s="102" t="s">
        <v>550</v>
      </c>
    </row>
    <row r="253" spans="6:8" x14ac:dyDescent="0.2">
      <c r="F253" s="101" t="s">
        <v>464</v>
      </c>
      <c r="G253" s="101">
        <v>232</v>
      </c>
      <c r="H253" s="102" t="s">
        <v>551</v>
      </c>
    </row>
    <row r="254" spans="6:8" x14ac:dyDescent="0.2">
      <c r="F254" s="101" t="s">
        <v>465</v>
      </c>
      <c r="G254" s="101">
        <v>233</v>
      </c>
      <c r="H254" s="102" t="s">
        <v>552</v>
      </c>
    </row>
    <row r="255" spans="6:8" x14ac:dyDescent="0.2">
      <c r="F255" s="101" t="s">
        <v>466</v>
      </c>
      <c r="G255" s="101">
        <v>234</v>
      </c>
      <c r="H255" s="102" t="s">
        <v>553</v>
      </c>
    </row>
    <row r="256" spans="6:8" x14ac:dyDescent="0.2">
      <c r="F256" s="101" t="s">
        <v>467</v>
      </c>
      <c r="G256" s="101">
        <v>235</v>
      </c>
      <c r="H256" s="102" t="s">
        <v>554</v>
      </c>
    </row>
    <row r="257" spans="6:8" x14ac:dyDescent="0.2">
      <c r="F257" s="101" t="s">
        <v>468</v>
      </c>
      <c r="G257" s="101">
        <v>236</v>
      </c>
      <c r="H257" s="102" t="s">
        <v>555</v>
      </c>
    </row>
    <row r="258" spans="6:8" x14ac:dyDescent="0.2">
      <c r="F258" s="101" t="s">
        <v>469</v>
      </c>
      <c r="G258" s="101">
        <v>237</v>
      </c>
      <c r="H258" s="102" t="s">
        <v>556</v>
      </c>
    </row>
    <row r="259" spans="6:8" x14ac:dyDescent="0.2">
      <c r="F259" s="101" t="s">
        <v>470</v>
      </c>
      <c r="G259" s="101">
        <v>238</v>
      </c>
      <c r="H259" s="102" t="s">
        <v>557</v>
      </c>
    </row>
    <row r="260" spans="6:8" x14ac:dyDescent="0.2">
      <c r="F260" s="101" t="s">
        <v>471</v>
      </c>
      <c r="G260" s="101">
        <v>239</v>
      </c>
      <c r="H260" s="102" t="s">
        <v>558</v>
      </c>
    </row>
    <row r="261" spans="6:8" x14ac:dyDescent="0.2">
      <c r="F261" s="101" t="s">
        <v>472</v>
      </c>
      <c r="G261" s="101">
        <v>240</v>
      </c>
      <c r="H261" s="102" t="s">
        <v>559</v>
      </c>
    </row>
    <row r="262" spans="6:8" x14ac:dyDescent="0.2">
      <c r="F262" s="101" t="s">
        <v>473</v>
      </c>
      <c r="G262" s="101">
        <v>241</v>
      </c>
      <c r="H262" s="102" t="s">
        <v>560</v>
      </c>
    </row>
    <row r="263" spans="6:8" x14ac:dyDescent="0.2">
      <c r="F263" s="101" t="s">
        <v>474</v>
      </c>
      <c r="G263" s="101">
        <v>242</v>
      </c>
      <c r="H263" s="102" t="s">
        <v>561</v>
      </c>
    </row>
    <row r="264" spans="6:8" x14ac:dyDescent="0.2">
      <c r="F264" s="101" t="s">
        <v>475</v>
      </c>
      <c r="G264" s="101">
        <v>243</v>
      </c>
      <c r="H264" s="102" t="s">
        <v>562</v>
      </c>
    </row>
    <row r="265" spans="6:8" x14ac:dyDescent="0.2">
      <c r="F265" s="101" t="s">
        <v>476</v>
      </c>
      <c r="G265" s="101">
        <v>244</v>
      </c>
      <c r="H265" s="102" t="s">
        <v>563</v>
      </c>
    </row>
    <row r="266" spans="6:8" x14ac:dyDescent="0.2">
      <c r="F266" s="101" t="s">
        <v>477</v>
      </c>
      <c r="G266" s="101">
        <v>245</v>
      </c>
      <c r="H266" s="102" t="s">
        <v>564</v>
      </c>
    </row>
    <row r="267" spans="6:8" x14ac:dyDescent="0.2">
      <c r="F267" s="101" t="s">
        <v>478</v>
      </c>
      <c r="G267" s="101">
        <v>246</v>
      </c>
      <c r="H267" s="102" t="s">
        <v>565</v>
      </c>
    </row>
    <row r="268" spans="6:8" x14ac:dyDescent="0.2">
      <c r="F268" s="101" t="s">
        <v>479</v>
      </c>
      <c r="G268" s="101">
        <v>247</v>
      </c>
      <c r="H268" s="102" t="s">
        <v>566</v>
      </c>
    </row>
    <row r="269" spans="6:8" x14ac:dyDescent="0.2">
      <c r="F269" s="101" t="s">
        <v>480</v>
      </c>
      <c r="G269" s="101">
        <v>248</v>
      </c>
      <c r="H269" s="102" t="s">
        <v>567</v>
      </c>
    </row>
    <row r="270" spans="6:8" x14ac:dyDescent="0.2">
      <c r="F270" s="101" t="s">
        <v>481</v>
      </c>
      <c r="G270" s="101">
        <v>249</v>
      </c>
      <c r="H270" s="102" t="s">
        <v>568</v>
      </c>
    </row>
    <row r="271" spans="6:8" x14ac:dyDescent="0.2">
      <c r="F271" s="101" t="s">
        <v>482</v>
      </c>
      <c r="G271" s="101">
        <v>250</v>
      </c>
      <c r="H271" s="102" t="s">
        <v>569</v>
      </c>
    </row>
    <row r="272" spans="6:8" x14ac:dyDescent="0.2">
      <c r="F272" s="101" t="s">
        <v>483</v>
      </c>
      <c r="G272" s="101">
        <v>251</v>
      </c>
      <c r="H272" s="102" t="s">
        <v>570</v>
      </c>
    </row>
    <row r="273" spans="6:8" x14ac:dyDescent="0.2">
      <c r="F273" s="101" t="s">
        <v>484</v>
      </c>
      <c r="G273" s="101">
        <v>252</v>
      </c>
      <c r="H273" s="102" t="s">
        <v>571</v>
      </c>
    </row>
    <row r="274" spans="6:8" x14ac:dyDescent="0.2">
      <c r="F274" s="101" t="s">
        <v>485</v>
      </c>
      <c r="G274" s="101">
        <v>253</v>
      </c>
      <c r="H274" s="102" t="s">
        <v>572</v>
      </c>
    </row>
    <row r="275" spans="6:8" x14ac:dyDescent="0.2">
      <c r="F275" s="101" t="s">
        <v>486</v>
      </c>
      <c r="G275" s="101">
        <v>254</v>
      </c>
      <c r="H275" s="102" t="s">
        <v>573</v>
      </c>
    </row>
    <row r="276" spans="6:8" x14ac:dyDescent="0.2">
      <c r="F276" s="101" t="s">
        <v>487</v>
      </c>
      <c r="G276" s="101">
        <v>255</v>
      </c>
      <c r="H276" s="102" t="s">
        <v>574</v>
      </c>
    </row>
    <row r="277" spans="6:8" x14ac:dyDescent="0.2">
      <c r="F277" s="101" t="s">
        <v>488</v>
      </c>
      <c r="G277" s="101">
        <v>256</v>
      </c>
      <c r="H277" s="102" t="s">
        <v>575</v>
      </c>
    </row>
    <row r="278" spans="6:8" x14ac:dyDescent="0.2">
      <c r="F278" s="101" t="s">
        <v>489</v>
      </c>
      <c r="G278" s="101">
        <v>257</v>
      </c>
      <c r="H278" s="102" t="s">
        <v>576</v>
      </c>
    </row>
    <row r="279" spans="6:8" x14ac:dyDescent="0.2">
      <c r="F279" s="101" t="s">
        <v>490</v>
      </c>
      <c r="G279" s="101">
        <v>258</v>
      </c>
      <c r="H279" s="102" t="s">
        <v>577</v>
      </c>
    </row>
    <row r="280" spans="6:8" x14ac:dyDescent="0.2">
      <c r="F280" s="101" t="s">
        <v>491</v>
      </c>
      <c r="G280" s="101">
        <v>259</v>
      </c>
      <c r="H280" s="102" t="s">
        <v>578</v>
      </c>
    </row>
    <row r="281" spans="6:8" x14ac:dyDescent="0.2">
      <c r="F281" s="101" t="s">
        <v>492</v>
      </c>
      <c r="G281" s="101">
        <v>260</v>
      </c>
      <c r="H281" s="102" t="s">
        <v>579</v>
      </c>
    </row>
    <row r="282" spans="6:8" x14ac:dyDescent="0.2">
      <c r="F282" s="101" t="s">
        <v>493</v>
      </c>
      <c r="G282" s="101">
        <v>261</v>
      </c>
      <c r="H282" s="102" t="s">
        <v>580</v>
      </c>
    </row>
    <row r="283" spans="6:8" x14ac:dyDescent="0.2">
      <c r="F283" s="101" t="s">
        <v>494</v>
      </c>
      <c r="G283" s="101">
        <v>262</v>
      </c>
      <c r="H283" s="102" t="s">
        <v>581</v>
      </c>
    </row>
    <row r="284" spans="6:8" x14ac:dyDescent="0.2">
      <c r="F284" s="101" t="s">
        <v>495</v>
      </c>
      <c r="G284" s="101">
        <v>263</v>
      </c>
      <c r="H284" s="102" t="s">
        <v>582</v>
      </c>
    </row>
    <row r="285" spans="6:8" x14ac:dyDescent="0.2">
      <c r="F285" s="101" t="s">
        <v>496</v>
      </c>
      <c r="G285" s="101">
        <v>264</v>
      </c>
      <c r="H285" s="102" t="s">
        <v>583</v>
      </c>
    </row>
    <row r="286" spans="6:8" x14ac:dyDescent="0.2">
      <c r="F286" s="101" t="s">
        <v>497</v>
      </c>
      <c r="G286" s="101">
        <v>265</v>
      </c>
      <c r="H286" s="102" t="s">
        <v>584</v>
      </c>
    </row>
    <row r="287" spans="6:8" x14ac:dyDescent="0.2">
      <c r="F287" s="101" t="s">
        <v>498</v>
      </c>
      <c r="G287" s="101">
        <v>266</v>
      </c>
      <c r="H287" s="102" t="s">
        <v>585</v>
      </c>
    </row>
    <row r="288" spans="6:8" x14ac:dyDescent="0.2">
      <c r="F288" s="101" t="s">
        <v>499</v>
      </c>
      <c r="G288" s="101">
        <v>267</v>
      </c>
      <c r="H288" s="102" t="s">
        <v>586</v>
      </c>
    </row>
    <row r="289" spans="6:8" x14ac:dyDescent="0.2">
      <c r="F289" s="101" t="s">
        <v>500</v>
      </c>
      <c r="G289" s="101">
        <v>268</v>
      </c>
      <c r="H289" s="102" t="s">
        <v>587</v>
      </c>
    </row>
    <row r="290" spans="6:8" x14ac:dyDescent="0.2">
      <c r="F290" s="101" t="s">
        <v>501</v>
      </c>
      <c r="G290" s="101">
        <v>269</v>
      </c>
      <c r="H290" s="102" t="s">
        <v>588</v>
      </c>
    </row>
    <row r="291" spans="6:8" x14ac:dyDescent="0.2">
      <c r="F291" s="101" t="s">
        <v>502</v>
      </c>
      <c r="G291" s="101">
        <v>270</v>
      </c>
      <c r="H291" s="102" t="s">
        <v>589</v>
      </c>
    </row>
    <row r="292" spans="6:8" x14ac:dyDescent="0.2">
      <c r="F292" s="101" t="s">
        <v>503</v>
      </c>
      <c r="G292" s="101">
        <v>271</v>
      </c>
      <c r="H292" s="102" t="s">
        <v>590</v>
      </c>
    </row>
    <row r="293" spans="6:8" x14ac:dyDescent="0.2">
      <c r="F293" s="101" t="s">
        <v>504</v>
      </c>
      <c r="G293" s="101">
        <v>272</v>
      </c>
      <c r="H293" s="102" t="s">
        <v>591</v>
      </c>
    </row>
    <row r="294" spans="6:8" x14ac:dyDescent="0.2">
      <c r="F294" s="101" t="s">
        <v>505</v>
      </c>
      <c r="G294" s="101">
        <v>273</v>
      </c>
      <c r="H294" s="102" t="s">
        <v>592</v>
      </c>
    </row>
    <row r="295" spans="6:8" x14ac:dyDescent="0.2">
      <c r="F295" s="101" t="s">
        <v>506</v>
      </c>
      <c r="G295" s="101">
        <v>274</v>
      </c>
      <c r="H295" s="102" t="s">
        <v>593</v>
      </c>
    </row>
    <row r="296" spans="6:8" x14ac:dyDescent="0.2">
      <c r="F296" s="101" t="s">
        <v>507</v>
      </c>
      <c r="G296" s="101">
        <v>275</v>
      </c>
      <c r="H296" s="102" t="s">
        <v>594</v>
      </c>
    </row>
    <row r="297" spans="6:8" x14ac:dyDescent="0.2">
      <c r="F297" s="101" t="s">
        <v>508</v>
      </c>
      <c r="G297" s="101">
        <v>276</v>
      </c>
      <c r="H297" s="102" t="s">
        <v>595</v>
      </c>
    </row>
    <row r="298" spans="6:8" x14ac:dyDescent="0.2">
      <c r="F298" s="101" t="s">
        <v>509</v>
      </c>
      <c r="G298" s="101">
        <v>277</v>
      </c>
      <c r="H298" s="102" t="s">
        <v>596</v>
      </c>
    </row>
    <row r="299" spans="6:8" x14ac:dyDescent="0.2">
      <c r="F299" s="101" t="s">
        <v>510</v>
      </c>
      <c r="G299" s="101">
        <v>278</v>
      </c>
      <c r="H299" s="102" t="s">
        <v>597</v>
      </c>
    </row>
    <row r="300" spans="6:8" x14ac:dyDescent="0.2">
      <c r="F300" s="101" t="s">
        <v>511</v>
      </c>
      <c r="G300" s="101">
        <v>279</v>
      </c>
      <c r="H300" s="102" t="s">
        <v>598</v>
      </c>
    </row>
    <row r="301" spans="6:8" x14ac:dyDescent="0.2">
      <c r="F301" s="101" t="s">
        <v>512</v>
      </c>
      <c r="G301" s="101">
        <v>280</v>
      </c>
      <c r="H301" s="102" t="s">
        <v>599</v>
      </c>
    </row>
    <row r="302" spans="6:8" x14ac:dyDescent="0.2">
      <c r="F302" s="101" t="s">
        <v>513</v>
      </c>
      <c r="G302" s="101">
        <v>281</v>
      </c>
      <c r="H302" s="102" t="s">
        <v>600</v>
      </c>
    </row>
    <row r="303" spans="6:8" x14ac:dyDescent="0.2">
      <c r="F303" s="101" t="s">
        <v>514</v>
      </c>
      <c r="G303" s="101">
        <v>282</v>
      </c>
      <c r="H303" s="102" t="s">
        <v>601</v>
      </c>
    </row>
    <row r="304" spans="6:8" x14ac:dyDescent="0.2">
      <c r="F304" s="101" t="s">
        <v>515</v>
      </c>
      <c r="G304" s="101">
        <v>283</v>
      </c>
      <c r="H304" s="102" t="s">
        <v>602</v>
      </c>
    </row>
    <row r="305" spans="6:8" x14ac:dyDescent="0.2">
      <c r="F305" s="101" t="s">
        <v>516</v>
      </c>
      <c r="G305" s="101">
        <v>284</v>
      </c>
      <c r="H305" s="102" t="s">
        <v>603</v>
      </c>
    </row>
    <row r="306" spans="6:8" x14ac:dyDescent="0.2">
      <c r="F306" s="101" t="s">
        <v>517</v>
      </c>
      <c r="G306" s="101">
        <v>285</v>
      </c>
      <c r="H306" s="102" t="s">
        <v>604</v>
      </c>
    </row>
    <row r="307" spans="6:8" x14ac:dyDescent="0.2">
      <c r="F307" s="101" t="s">
        <v>518</v>
      </c>
      <c r="G307" s="101">
        <v>286</v>
      </c>
      <c r="H307" s="102" t="s">
        <v>605</v>
      </c>
    </row>
    <row r="308" spans="6:8" x14ac:dyDescent="0.2">
      <c r="F308" s="101" t="s">
        <v>519</v>
      </c>
      <c r="G308" s="101">
        <v>287</v>
      </c>
      <c r="H308" s="102" t="s">
        <v>606</v>
      </c>
    </row>
    <row r="309" spans="6:8" x14ac:dyDescent="0.2">
      <c r="F309" s="101" t="s">
        <v>520</v>
      </c>
      <c r="G309" s="101">
        <v>288</v>
      </c>
      <c r="H309" s="102" t="s">
        <v>607</v>
      </c>
    </row>
    <row r="310" spans="6:8" x14ac:dyDescent="0.2">
      <c r="F310" s="101" t="s">
        <v>521</v>
      </c>
      <c r="G310" s="101">
        <v>289</v>
      </c>
      <c r="H310" s="102" t="s">
        <v>608</v>
      </c>
    </row>
    <row r="311" spans="6:8" x14ac:dyDescent="0.2">
      <c r="F311" s="101" t="s">
        <v>522</v>
      </c>
      <c r="G311" s="101">
        <v>290</v>
      </c>
      <c r="H311" s="102" t="s">
        <v>609</v>
      </c>
    </row>
    <row r="312" spans="6:8" x14ac:dyDescent="0.2">
      <c r="F312" s="101" t="s">
        <v>523</v>
      </c>
      <c r="G312" s="101">
        <v>291</v>
      </c>
      <c r="H312" s="102" t="s">
        <v>610</v>
      </c>
    </row>
    <row r="313" spans="6:8" x14ac:dyDescent="0.2">
      <c r="F313" s="101" t="s">
        <v>524</v>
      </c>
      <c r="G313" s="101">
        <v>292</v>
      </c>
      <c r="H313" s="102" t="s">
        <v>611</v>
      </c>
    </row>
    <row r="314" spans="6:8" x14ac:dyDescent="0.2">
      <c r="F314" s="101" t="s">
        <v>525</v>
      </c>
      <c r="G314" s="101">
        <v>293</v>
      </c>
      <c r="H314" s="102" t="s">
        <v>612</v>
      </c>
    </row>
    <row r="315" spans="6:8" x14ac:dyDescent="0.2">
      <c r="F315" s="101" t="s">
        <v>526</v>
      </c>
      <c r="G315" s="101">
        <v>294</v>
      </c>
      <c r="H315" s="102" t="s">
        <v>613</v>
      </c>
    </row>
    <row r="316" spans="6:8" x14ac:dyDescent="0.2">
      <c r="F316" s="101" t="s">
        <v>527</v>
      </c>
      <c r="G316" s="101">
        <v>295</v>
      </c>
      <c r="H316" s="102" t="s">
        <v>614</v>
      </c>
    </row>
    <row r="317" spans="6:8" x14ac:dyDescent="0.2">
      <c r="F317" s="101" t="s">
        <v>528</v>
      </c>
      <c r="G317" s="101">
        <v>296</v>
      </c>
      <c r="H317" s="102" t="s">
        <v>615</v>
      </c>
    </row>
    <row r="318" spans="6:8" x14ac:dyDescent="0.2">
      <c r="F318" s="101" t="s">
        <v>529</v>
      </c>
      <c r="G318" s="101">
        <v>297</v>
      </c>
      <c r="H318" s="102" t="s">
        <v>616</v>
      </c>
    </row>
    <row r="319" spans="6:8" x14ac:dyDescent="0.2">
      <c r="F319" s="101" t="s">
        <v>530</v>
      </c>
      <c r="G319" s="101">
        <v>298</v>
      </c>
      <c r="H319" s="102" t="s">
        <v>617</v>
      </c>
    </row>
    <row r="320" spans="6:8" x14ac:dyDescent="0.2">
      <c r="F320" s="101" t="s">
        <v>531</v>
      </c>
      <c r="G320" s="101">
        <v>299</v>
      </c>
      <c r="H320" s="102" t="s">
        <v>618</v>
      </c>
    </row>
    <row r="321" spans="6:8" x14ac:dyDescent="0.2">
      <c r="F321" s="101" t="s">
        <v>532</v>
      </c>
      <c r="G321" s="101">
        <v>300</v>
      </c>
      <c r="H321" s="102" t="s">
        <v>619</v>
      </c>
    </row>
    <row r="322" spans="6:8" x14ac:dyDescent="0.2">
      <c r="F322" s="101" t="s">
        <v>533</v>
      </c>
      <c r="G322" s="101">
        <v>301</v>
      </c>
      <c r="H322" s="102" t="s">
        <v>620</v>
      </c>
    </row>
    <row r="323" spans="6:8" x14ac:dyDescent="0.2">
      <c r="F323" s="101" t="s">
        <v>534</v>
      </c>
      <c r="G323" s="101">
        <v>302</v>
      </c>
      <c r="H323" s="102" t="s">
        <v>621</v>
      </c>
    </row>
    <row r="324" spans="6:8" x14ac:dyDescent="0.2">
      <c r="F324" s="101" t="s">
        <v>535</v>
      </c>
      <c r="G324" s="101">
        <v>303</v>
      </c>
      <c r="H324" s="102" t="s">
        <v>622</v>
      </c>
    </row>
    <row r="325" spans="6:8" x14ac:dyDescent="0.2">
      <c r="F325" s="101" t="s">
        <v>536</v>
      </c>
      <c r="G325" s="101">
        <v>304</v>
      </c>
      <c r="H325" s="102" t="s">
        <v>623</v>
      </c>
    </row>
    <row r="326" spans="6:8" x14ac:dyDescent="0.2">
      <c r="F326" s="101" t="s">
        <v>537</v>
      </c>
      <c r="G326" s="101">
        <v>305</v>
      </c>
      <c r="H326" s="102" t="s">
        <v>624</v>
      </c>
    </row>
    <row r="327" spans="6:8" x14ac:dyDescent="0.2">
      <c r="F327" s="101" t="s">
        <v>538</v>
      </c>
      <c r="G327" s="101">
        <v>306</v>
      </c>
      <c r="H327" s="102" t="s">
        <v>625</v>
      </c>
    </row>
    <row r="328" spans="6:8" x14ac:dyDescent="0.2">
      <c r="F328" s="101" t="s">
        <v>539</v>
      </c>
      <c r="G328" s="101">
        <v>307</v>
      </c>
      <c r="H328" s="102" t="s">
        <v>626</v>
      </c>
    </row>
    <row r="329" spans="6:8" x14ac:dyDescent="0.2">
      <c r="F329" s="101" t="s">
        <v>540</v>
      </c>
      <c r="G329" s="101">
        <v>308</v>
      </c>
      <c r="H329" s="102" t="s">
        <v>627</v>
      </c>
    </row>
    <row r="330" spans="6:8" x14ac:dyDescent="0.2">
      <c r="F330" s="101" t="s">
        <v>541</v>
      </c>
      <c r="G330" s="101">
        <v>309</v>
      </c>
      <c r="H330" s="102" t="s">
        <v>628</v>
      </c>
    </row>
    <row r="331" spans="6:8" x14ac:dyDescent="0.2">
      <c r="F331" s="101" t="s">
        <v>897</v>
      </c>
      <c r="G331" s="101">
        <v>310</v>
      </c>
      <c r="H331" s="102" t="s">
        <v>629</v>
      </c>
    </row>
    <row r="332" spans="6:8" x14ac:dyDescent="0.2">
      <c r="F332" s="101" t="s">
        <v>898</v>
      </c>
      <c r="G332" s="101">
        <v>311</v>
      </c>
      <c r="H332" s="102" t="s">
        <v>630</v>
      </c>
    </row>
    <row r="333" spans="6:8" x14ac:dyDescent="0.2">
      <c r="F333" s="101" t="s">
        <v>899</v>
      </c>
      <c r="G333" s="101">
        <v>312</v>
      </c>
      <c r="H333" s="102" t="s">
        <v>631</v>
      </c>
    </row>
    <row r="334" spans="6:8" x14ac:dyDescent="0.2">
      <c r="F334" s="101" t="s">
        <v>900</v>
      </c>
      <c r="G334" s="101">
        <v>313</v>
      </c>
      <c r="H334" s="102" t="s">
        <v>632</v>
      </c>
    </row>
    <row r="335" spans="6:8" x14ac:dyDescent="0.2">
      <c r="F335" s="101" t="s">
        <v>901</v>
      </c>
      <c r="G335" s="101">
        <v>314</v>
      </c>
      <c r="H335" s="102" t="s">
        <v>633</v>
      </c>
    </row>
    <row r="336" spans="6:8" x14ac:dyDescent="0.2">
      <c r="F336" s="101" t="s">
        <v>902</v>
      </c>
      <c r="G336" s="101">
        <v>315</v>
      </c>
      <c r="H336" s="102" t="s">
        <v>634</v>
      </c>
    </row>
    <row r="337" spans="6:8" x14ac:dyDescent="0.2">
      <c r="F337" s="101" t="s">
        <v>903</v>
      </c>
      <c r="G337" s="101">
        <v>316</v>
      </c>
      <c r="H337" s="102" t="s">
        <v>635</v>
      </c>
    </row>
    <row r="338" spans="6:8" x14ac:dyDescent="0.2">
      <c r="F338" s="101" t="s">
        <v>904</v>
      </c>
      <c r="G338" s="101">
        <v>317</v>
      </c>
      <c r="H338" s="102" t="s">
        <v>636</v>
      </c>
    </row>
    <row r="339" spans="6:8" x14ac:dyDescent="0.2">
      <c r="F339" s="101" t="s">
        <v>905</v>
      </c>
      <c r="G339" s="101">
        <v>318</v>
      </c>
      <c r="H339" s="102" t="s">
        <v>637</v>
      </c>
    </row>
    <row r="340" spans="6:8" x14ac:dyDescent="0.2">
      <c r="F340" s="101" t="s">
        <v>906</v>
      </c>
      <c r="G340" s="101">
        <v>319</v>
      </c>
      <c r="H340" s="102" t="s">
        <v>638</v>
      </c>
    </row>
    <row r="341" spans="6:8" x14ac:dyDescent="0.2">
      <c r="F341" s="101" t="s">
        <v>907</v>
      </c>
      <c r="G341" s="101">
        <v>320</v>
      </c>
      <c r="H341" s="102" t="s">
        <v>639</v>
      </c>
    </row>
    <row r="342" spans="6:8" x14ac:dyDescent="0.2">
      <c r="F342" s="101" t="s">
        <v>908</v>
      </c>
      <c r="G342" s="101">
        <v>321</v>
      </c>
      <c r="H342" s="102" t="s">
        <v>640</v>
      </c>
    </row>
    <row r="343" spans="6:8" x14ac:dyDescent="0.2">
      <c r="F343" s="101" t="s">
        <v>909</v>
      </c>
      <c r="G343" s="101">
        <v>322</v>
      </c>
      <c r="H343" s="102" t="s">
        <v>641</v>
      </c>
    </row>
    <row r="344" spans="6:8" x14ac:dyDescent="0.2">
      <c r="F344" s="101" t="s">
        <v>910</v>
      </c>
      <c r="G344" s="101">
        <v>323</v>
      </c>
      <c r="H344" s="102" t="s">
        <v>642</v>
      </c>
    </row>
    <row r="345" spans="6:8" x14ac:dyDescent="0.2">
      <c r="F345" s="101" t="s">
        <v>911</v>
      </c>
      <c r="G345" s="101">
        <v>324</v>
      </c>
      <c r="H345" s="102" t="s">
        <v>643</v>
      </c>
    </row>
    <row r="346" spans="6:8" x14ac:dyDescent="0.2">
      <c r="F346" s="101" t="s">
        <v>912</v>
      </c>
      <c r="G346" s="101">
        <v>325</v>
      </c>
      <c r="H346" s="102" t="s">
        <v>644</v>
      </c>
    </row>
    <row r="347" spans="6:8" x14ac:dyDescent="0.2">
      <c r="F347" s="101" t="s">
        <v>913</v>
      </c>
      <c r="G347" s="101">
        <v>326</v>
      </c>
      <c r="H347" s="102" t="s">
        <v>645</v>
      </c>
    </row>
    <row r="348" spans="6:8" x14ac:dyDescent="0.2">
      <c r="F348" s="101" t="s">
        <v>914</v>
      </c>
      <c r="G348" s="101">
        <v>327</v>
      </c>
      <c r="H348" s="102" t="s">
        <v>646</v>
      </c>
    </row>
    <row r="349" spans="6:8" x14ac:dyDescent="0.2">
      <c r="F349" s="101" t="s">
        <v>915</v>
      </c>
      <c r="G349" s="101">
        <v>328</v>
      </c>
      <c r="H349" s="102" t="s">
        <v>647</v>
      </c>
    </row>
    <row r="350" spans="6:8" x14ac:dyDescent="0.2">
      <c r="F350" s="101" t="s">
        <v>916</v>
      </c>
      <c r="G350" s="101">
        <v>329</v>
      </c>
      <c r="H350" s="102" t="s">
        <v>648</v>
      </c>
    </row>
    <row r="351" spans="6:8" x14ac:dyDescent="0.2">
      <c r="F351" s="101" t="s">
        <v>917</v>
      </c>
      <c r="G351" s="101">
        <v>330</v>
      </c>
      <c r="H351" s="102" t="s">
        <v>649</v>
      </c>
    </row>
    <row r="352" spans="6:8" x14ac:dyDescent="0.2">
      <c r="F352" s="101" t="s">
        <v>918</v>
      </c>
      <c r="G352" s="101">
        <v>331</v>
      </c>
      <c r="H352" s="102" t="s">
        <v>650</v>
      </c>
    </row>
    <row r="353" spans="6:8" x14ac:dyDescent="0.2">
      <c r="F353" s="101" t="s">
        <v>919</v>
      </c>
      <c r="G353" s="101">
        <v>332</v>
      </c>
      <c r="H353" s="102" t="s">
        <v>651</v>
      </c>
    </row>
    <row r="354" spans="6:8" x14ac:dyDescent="0.2">
      <c r="F354" s="101" t="s">
        <v>920</v>
      </c>
      <c r="G354" s="101">
        <v>333</v>
      </c>
      <c r="H354" s="102" t="s">
        <v>652</v>
      </c>
    </row>
    <row r="355" spans="6:8" x14ac:dyDescent="0.2">
      <c r="F355" s="101" t="s">
        <v>921</v>
      </c>
      <c r="G355" s="101">
        <v>334</v>
      </c>
      <c r="H355" s="102" t="s">
        <v>653</v>
      </c>
    </row>
    <row r="356" spans="6:8" x14ac:dyDescent="0.2">
      <c r="F356" s="101" t="s">
        <v>922</v>
      </c>
      <c r="G356" s="101">
        <v>335</v>
      </c>
      <c r="H356" s="102" t="s">
        <v>654</v>
      </c>
    </row>
    <row r="357" spans="6:8" x14ac:dyDescent="0.2">
      <c r="F357" s="101" t="s">
        <v>923</v>
      </c>
      <c r="G357" s="101">
        <v>336</v>
      </c>
      <c r="H357" s="102" t="s">
        <v>655</v>
      </c>
    </row>
    <row r="358" spans="6:8" x14ac:dyDescent="0.2">
      <c r="F358" s="101" t="s">
        <v>924</v>
      </c>
      <c r="G358" s="101">
        <v>337</v>
      </c>
      <c r="H358" s="102" t="s">
        <v>656</v>
      </c>
    </row>
    <row r="359" spans="6:8" x14ac:dyDescent="0.2">
      <c r="F359" s="101" t="s">
        <v>925</v>
      </c>
      <c r="G359" s="101">
        <v>338</v>
      </c>
      <c r="H359" s="102" t="s">
        <v>657</v>
      </c>
    </row>
    <row r="360" spans="6:8" x14ac:dyDescent="0.2">
      <c r="F360" s="101" t="s">
        <v>926</v>
      </c>
      <c r="G360" s="101">
        <v>339</v>
      </c>
      <c r="H360" s="102" t="s">
        <v>658</v>
      </c>
    </row>
    <row r="361" spans="6:8" x14ac:dyDescent="0.2">
      <c r="F361" s="101" t="s">
        <v>927</v>
      </c>
      <c r="G361" s="101">
        <v>340</v>
      </c>
      <c r="H361" s="102" t="s">
        <v>659</v>
      </c>
    </row>
    <row r="362" spans="6:8" x14ac:dyDescent="0.2">
      <c r="F362" s="101" t="s">
        <v>928</v>
      </c>
      <c r="G362" s="101">
        <v>341</v>
      </c>
      <c r="H362" s="102" t="s">
        <v>660</v>
      </c>
    </row>
    <row r="363" spans="6:8" x14ac:dyDescent="0.2">
      <c r="F363" s="101" t="s">
        <v>929</v>
      </c>
      <c r="G363" s="101">
        <v>342</v>
      </c>
      <c r="H363" s="102" t="s">
        <v>661</v>
      </c>
    </row>
    <row r="364" spans="6:8" x14ac:dyDescent="0.2">
      <c r="F364" s="101" t="s">
        <v>930</v>
      </c>
      <c r="G364" s="101">
        <v>343</v>
      </c>
      <c r="H364" s="102" t="s">
        <v>662</v>
      </c>
    </row>
    <row r="365" spans="6:8" x14ac:dyDescent="0.2">
      <c r="F365" s="101" t="s">
        <v>931</v>
      </c>
      <c r="G365" s="101">
        <v>344</v>
      </c>
      <c r="H365" s="102" t="s">
        <v>663</v>
      </c>
    </row>
    <row r="366" spans="6:8" x14ac:dyDescent="0.2">
      <c r="F366" s="101" t="s">
        <v>932</v>
      </c>
      <c r="G366" s="101">
        <v>345</v>
      </c>
      <c r="H366" s="102" t="s">
        <v>664</v>
      </c>
    </row>
    <row r="367" spans="6:8" x14ac:dyDescent="0.2">
      <c r="F367" s="101" t="s">
        <v>933</v>
      </c>
      <c r="G367" s="101">
        <v>346</v>
      </c>
      <c r="H367" s="102" t="s">
        <v>665</v>
      </c>
    </row>
    <row r="368" spans="6:8" x14ac:dyDescent="0.2">
      <c r="F368" s="101" t="s">
        <v>934</v>
      </c>
      <c r="G368" s="101">
        <v>347</v>
      </c>
      <c r="H368" s="102" t="s">
        <v>666</v>
      </c>
    </row>
    <row r="369" spans="6:8" x14ac:dyDescent="0.2">
      <c r="F369" s="101" t="s">
        <v>935</v>
      </c>
      <c r="G369" s="101">
        <v>348</v>
      </c>
      <c r="H369" s="102" t="s">
        <v>667</v>
      </c>
    </row>
    <row r="370" spans="6:8" x14ac:dyDescent="0.2">
      <c r="F370" s="101" t="s">
        <v>936</v>
      </c>
      <c r="G370" s="101">
        <v>349</v>
      </c>
      <c r="H370" s="102" t="s">
        <v>668</v>
      </c>
    </row>
    <row r="371" spans="6:8" x14ac:dyDescent="0.2">
      <c r="F371" s="101" t="s">
        <v>937</v>
      </c>
      <c r="G371" s="101">
        <v>350</v>
      </c>
      <c r="H371" s="102" t="s">
        <v>669</v>
      </c>
    </row>
    <row r="372" spans="6:8" x14ac:dyDescent="0.2">
      <c r="F372" s="101" t="s">
        <v>938</v>
      </c>
      <c r="G372" s="101">
        <v>351</v>
      </c>
      <c r="H372" s="102" t="s">
        <v>670</v>
      </c>
    </row>
    <row r="373" spans="6:8" x14ac:dyDescent="0.2">
      <c r="F373" s="101" t="s">
        <v>939</v>
      </c>
      <c r="G373" s="101">
        <v>352</v>
      </c>
      <c r="H373" s="102" t="s">
        <v>671</v>
      </c>
    </row>
    <row r="374" spans="6:8" x14ac:dyDescent="0.2">
      <c r="F374" s="101" t="s">
        <v>940</v>
      </c>
      <c r="G374" s="101">
        <v>353</v>
      </c>
      <c r="H374" s="102" t="s">
        <v>672</v>
      </c>
    </row>
    <row r="375" spans="6:8" x14ac:dyDescent="0.2">
      <c r="F375" s="101" t="s">
        <v>941</v>
      </c>
      <c r="G375" s="101">
        <v>354</v>
      </c>
      <c r="H375" s="102" t="s">
        <v>673</v>
      </c>
    </row>
    <row r="376" spans="6:8" x14ac:dyDescent="0.2">
      <c r="F376" s="101" t="s">
        <v>942</v>
      </c>
      <c r="G376" s="101">
        <v>355</v>
      </c>
      <c r="H376" s="102" t="s">
        <v>674</v>
      </c>
    </row>
    <row r="377" spans="6:8" x14ac:dyDescent="0.2">
      <c r="F377" s="101" t="s">
        <v>943</v>
      </c>
      <c r="G377" s="101">
        <v>356</v>
      </c>
      <c r="H377" s="102" t="s">
        <v>675</v>
      </c>
    </row>
    <row r="378" spans="6:8" x14ac:dyDescent="0.2">
      <c r="F378" s="101" t="s">
        <v>944</v>
      </c>
      <c r="G378" s="101">
        <v>357</v>
      </c>
      <c r="H378" s="102" t="s">
        <v>676</v>
      </c>
    </row>
    <row r="379" spans="6:8" x14ac:dyDescent="0.2">
      <c r="F379" s="101" t="s">
        <v>945</v>
      </c>
      <c r="G379" s="101">
        <v>358</v>
      </c>
      <c r="H379" s="102" t="s">
        <v>677</v>
      </c>
    </row>
    <row r="380" spans="6:8" x14ac:dyDescent="0.2">
      <c r="F380" s="101" t="s">
        <v>946</v>
      </c>
      <c r="G380" s="101">
        <v>359</v>
      </c>
      <c r="H380" s="102" t="s">
        <v>678</v>
      </c>
    </row>
    <row r="381" spans="6:8" x14ac:dyDescent="0.2">
      <c r="F381" s="101" t="s">
        <v>947</v>
      </c>
      <c r="G381" s="101">
        <v>360</v>
      </c>
      <c r="H381" s="102" t="s">
        <v>679</v>
      </c>
    </row>
    <row r="382" spans="6:8" x14ac:dyDescent="0.2">
      <c r="F382" s="101" t="s">
        <v>948</v>
      </c>
      <c r="G382" s="101">
        <v>361</v>
      </c>
      <c r="H382" s="102" t="s">
        <v>680</v>
      </c>
    </row>
    <row r="383" spans="6:8" x14ac:dyDescent="0.2">
      <c r="F383" s="101" t="s">
        <v>949</v>
      </c>
      <c r="G383" s="101">
        <v>362</v>
      </c>
      <c r="H383" s="102" t="s">
        <v>681</v>
      </c>
    </row>
    <row r="384" spans="6:8" x14ac:dyDescent="0.2">
      <c r="F384" s="101" t="s">
        <v>950</v>
      </c>
      <c r="G384" s="101">
        <v>363</v>
      </c>
      <c r="H384" s="102" t="s">
        <v>682</v>
      </c>
    </row>
    <row r="385" spans="6:8" x14ac:dyDescent="0.2">
      <c r="F385" s="101" t="s">
        <v>951</v>
      </c>
      <c r="G385" s="101">
        <v>364</v>
      </c>
      <c r="H385" s="102" t="s">
        <v>683</v>
      </c>
    </row>
    <row r="386" spans="6:8" x14ac:dyDescent="0.2">
      <c r="F386" s="101" t="s">
        <v>952</v>
      </c>
      <c r="G386" s="101">
        <v>365</v>
      </c>
      <c r="H386" s="102" t="s">
        <v>684</v>
      </c>
    </row>
    <row r="387" spans="6:8" x14ac:dyDescent="0.2">
      <c r="F387" s="101" t="s">
        <v>953</v>
      </c>
      <c r="G387" s="101">
        <v>366</v>
      </c>
      <c r="H387" s="102" t="s">
        <v>685</v>
      </c>
    </row>
    <row r="388" spans="6:8" x14ac:dyDescent="0.2">
      <c r="F388" s="101" t="s">
        <v>954</v>
      </c>
      <c r="G388" s="101">
        <v>367</v>
      </c>
      <c r="H388" s="102" t="s">
        <v>686</v>
      </c>
    </row>
    <row r="389" spans="6:8" x14ac:dyDescent="0.2">
      <c r="F389" s="101" t="s">
        <v>955</v>
      </c>
      <c r="G389" s="101">
        <v>368</v>
      </c>
      <c r="H389" s="102" t="s">
        <v>687</v>
      </c>
    </row>
    <row r="390" spans="6:8" x14ac:dyDescent="0.2">
      <c r="F390" s="101" t="s">
        <v>956</v>
      </c>
      <c r="G390" s="101">
        <v>369</v>
      </c>
      <c r="H390" s="102" t="s">
        <v>688</v>
      </c>
    </row>
    <row r="391" spans="6:8" x14ac:dyDescent="0.2">
      <c r="F391" s="101" t="s">
        <v>957</v>
      </c>
      <c r="G391" s="101">
        <v>370</v>
      </c>
      <c r="H391" s="102" t="s">
        <v>689</v>
      </c>
    </row>
    <row r="392" spans="6:8" x14ac:dyDescent="0.2">
      <c r="F392" s="101" t="s">
        <v>958</v>
      </c>
      <c r="G392" s="101">
        <v>371</v>
      </c>
      <c r="H392" s="102" t="s">
        <v>690</v>
      </c>
    </row>
    <row r="393" spans="6:8" x14ac:dyDescent="0.2">
      <c r="F393" s="101" t="s">
        <v>959</v>
      </c>
      <c r="G393" s="101">
        <v>372</v>
      </c>
      <c r="H393" s="102" t="s">
        <v>691</v>
      </c>
    </row>
    <row r="394" spans="6:8" x14ac:dyDescent="0.2">
      <c r="F394" s="101" t="s">
        <v>960</v>
      </c>
      <c r="G394" s="101">
        <v>373</v>
      </c>
      <c r="H394" s="102" t="s">
        <v>692</v>
      </c>
    </row>
    <row r="395" spans="6:8" x14ac:dyDescent="0.2">
      <c r="F395" s="101" t="s">
        <v>961</v>
      </c>
      <c r="G395" s="101">
        <v>374</v>
      </c>
      <c r="H395" s="102" t="s">
        <v>693</v>
      </c>
    </row>
    <row r="396" spans="6:8" x14ac:dyDescent="0.2">
      <c r="F396" s="101" t="s">
        <v>962</v>
      </c>
      <c r="G396" s="101">
        <v>375</v>
      </c>
      <c r="H396" s="102" t="s">
        <v>694</v>
      </c>
    </row>
    <row r="397" spans="6:8" x14ac:dyDescent="0.2">
      <c r="F397" s="101" t="s">
        <v>963</v>
      </c>
      <c r="G397" s="101">
        <v>376</v>
      </c>
      <c r="H397" s="102" t="s">
        <v>695</v>
      </c>
    </row>
    <row r="398" spans="6:8" x14ac:dyDescent="0.2">
      <c r="F398" s="101" t="s">
        <v>964</v>
      </c>
      <c r="G398" s="101">
        <v>377</v>
      </c>
      <c r="H398" s="102" t="s">
        <v>696</v>
      </c>
    </row>
    <row r="399" spans="6:8" x14ac:dyDescent="0.2">
      <c r="F399" s="101" t="s">
        <v>965</v>
      </c>
      <c r="G399" s="101">
        <v>378</v>
      </c>
      <c r="H399" s="102" t="s">
        <v>697</v>
      </c>
    </row>
    <row r="400" spans="6:8" x14ac:dyDescent="0.2">
      <c r="F400" s="101" t="s">
        <v>966</v>
      </c>
      <c r="G400" s="101">
        <v>379</v>
      </c>
      <c r="H400" s="102" t="s">
        <v>698</v>
      </c>
    </row>
    <row r="401" spans="6:8" x14ac:dyDescent="0.2">
      <c r="F401" s="101" t="s">
        <v>967</v>
      </c>
      <c r="G401" s="101">
        <v>380</v>
      </c>
      <c r="H401" s="102" t="s">
        <v>699</v>
      </c>
    </row>
    <row r="402" spans="6:8" x14ac:dyDescent="0.2">
      <c r="F402" s="101" t="s">
        <v>968</v>
      </c>
      <c r="G402" s="101">
        <v>381</v>
      </c>
      <c r="H402" s="102" t="s">
        <v>700</v>
      </c>
    </row>
    <row r="403" spans="6:8" x14ac:dyDescent="0.2">
      <c r="F403" s="101" t="s">
        <v>969</v>
      </c>
      <c r="G403" s="101">
        <v>382</v>
      </c>
      <c r="H403" s="102" t="s">
        <v>701</v>
      </c>
    </row>
    <row r="404" spans="6:8" x14ac:dyDescent="0.2">
      <c r="F404" s="101" t="s">
        <v>970</v>
      </c>
      <c r="G404" s="101">
        <v>383</v>
      </c>
      <c r="H404" s="102" t="s">
        <v>702</v>
      </c>
    </row>
    <row r="405" spans="6:8" x14ac:dyDescent="0.2">
      <c r="F405" s="101" t="s">
        <v>971</v>
      </c>
      <c r="G405" s="101">
        <v>384</v>
      </c>
      <c r="H405" s="102" t="s">
        <v>703</v>
      </c>
    </row>
    <row r="406" spans="6:8" x14ac:dyDescent="0.2">
      <c r="F406" s="101" t="s">
        <v>972</v>
      </c>
      <c r="G406" s="101">
        <v>385</v>
      </c>
      <c r="H406" s="102" t="s">
        <v>704</v>
      </c>
    </row>
    <row r="407" spans="6:8" x14ac:dyDescent="0.2">
      <c r="F407" s="101" t="s">
        <v>973</v>
      </c>
      <c r="G407" s="101">
        <v>386</v>
      </c>
      <c r="H407" s="102" t="s">
        <v>705</v>
      </c>
    </row>
    <row r="408" spans="6:8" x14ac:dyDescent="0.2">
      <c r="F408" s="101" t="s">
        <v>974</v>
      </c>
      <c r="G408" s="101">
        <v>387</v>
      </c>
      <c r="H408" s="102" t="s">
        <v>706</v>
      </c>
    </row>
    <row r="409" spans="6:8" x14ac:dyDescent="0.2">
      <c r="F409" s="101" t="s">
        <v>975</v>
      </c>
      <c r="G409" s="101">
        <v>388</v>
      </c>
      <c r="H409" s="102" t="s">
        <v>707</v>
      </c>
    </row>
    <row r="410" spans="6:8" x14ac:dyDescent="0.2">
      <c r="F410" s="101" t="s">
        <v>976</v>
      </c>
      <c r="G410" s="101">
        <v>389</v>
      </c>
      <c r="H410" s="102" t="s">
        <v>708</v>
      </c>
    </row>
    <row r="411" spans="6:8" x14ac:dyDescent="0.2">
      <c r="F411" s="101" t="s">
        <v>977</v>
      </c>
      <c r="G411" s="101">
        <v>390</v>
      </c>
      <c r="H411" s="102" t="s">
        <v>709</v>
      </c>
    </row>
    <row r="412" spans="6:8" x14ac:dyDescent="0.2">
      <c r="F412" s="101" t="s">
        <v>978</v>
      </c>
      <c r="G412" s="101">
        <v>391</v>
      </c>
      <c r="H412" s="102" t="s">
        <v>710</v>
      </c>
    </row>
    <row r="413" spans="6:8" x14ac:dyDescent="0.2">
      <c r="F413" s="101" t="s">
        <v>979</v>
      </c>
      <c r="G413" s="101">
        <v>392</v>
      </c>
      <c r="H413" s="102" t="s">
        <v>711</v>
      </c>
    </row>
    <row r="414" spans="6:8" x14ac:dyDescent="0.2">
      <c r="F414" s="101" t="s">
        <v>980</v>
      </c>
      <c r="G414" s="101">
        <v>393</v>
      </c>
      <c r="H414" s="102" t="s">
        <v>712</v>
      </c>
    </row>
    <row r="415" spans="6:8" x14ac:dyDescent="0.2">
      <c r="F415" s="101" t="s">
        <v>981</v>
      </c>
      <c r="G415" s="101">
        <v>394</v>
      </c>
      <c r="H415" s="102" t="s">
        <v>713</v>
      </c>
    </row>
    <row r="416" spans="6:8" x14ac:dyDescent="0.2">
      <c r="F416" s="101" t="s">
        <v>982</v>
      </c>
      <c r="G416" s="101">
        <v>395</v>
      </c>
      <c r="H416" s="102" t="s">
        <v>714</v>
      </c>
    </row>
    <row r="417" spans="6:8" x14ac:dyDescent="0.2">
      <c r="F417" s="101" t="s">
        <v>983</v>
      </c>
      <c r="G417" s="101">
        <v>396</v>
      </c>
      <c r="H417" s="102" t="s">
        <v>715</v>
      </c>
    </row>
    <row r="418" spans="6:8" x14ac:dyDescent="0.2">
      <c r="F418" s="101" t="s">
        <v>984</v>
      </c>
      <c r="G418" s="101">
        <v>397</v>
      </c>
      <c r="H418" s="102" t="s">
        <v>716</v>
      </c>
    </row>
    <row r="419" spans="6:8" x14ac:dyDescent="0.2">
      <c r="F419" s="101" t="s">
        <v>985</v>
      </c>
      <c r="G419" s="101">
        <v>398</v>
      </c>
      <c r="H419" s="102" t="s">
        <v>717</v>
      </c>
    </row>
    <row r="420" spans="6:8" x14ac:dyDescent="0.2">
      <c r="F420" s="101" t="s">
        <v>986</v>
      </c>
      <c r="G420" s="101">
        <v>399</v>
      </c>
      <c r="H420" s="102" t="s">
        <v>718</v>
      </c>
    </row>
    <row r="421" spans="6:8" x14ac:dyDescent="0.2">
      <c r="F421" s="101" t="s">
        <v>987</v>
      </c>
      <c r="G421" s="101">
        <v>400</v>
      </c>
      <c r="H421" s="102" t="s">
        <v>718</v>
      </c>
    </row>
    <row r="422" spans="6:8" x14ac:dyDescent="0.2">
      <c r="F422" s="101" t="s">
        <v>988</v>
      </c>
      <c r="G422" s="101">
        <v>401</v>
      </c>
      <c r="H422" s="102" t="s">
        <v>719</v>
      </c>
    </row>
    <row r="423" spans="6:8" x14ac:dyDescent="0.2">
      <c r="F423" s="101" t="s">
        <v>989</v>
      </c>
      <c r="G423" s="101">
        <v>402</v>
      </c>
      <c r="H423" s="102" t="s">
        <v>720</v>
      </c>
    </row>
    <row r="424" spans="6:8" x14ac:dyDescent="0.2">
      <c r="F424" s="101" t="s">
        <v>990</v>
      </c>
      <c r="G424" s="101">
        <v>403</v>
      </c>
      <c r="H424" s="102" t="s">
        <v>721</v>
      </c>
    </row>
    <row r="425" spans="6:8" x14ac:dyDescent="0.2">
      <c r="F425" s="101" t="s">
        <v>991</v>
      </c>
      <c r="G425" s="101">
        <v>404</v>
      </c>
      <c r="H425" s="102" t="s">
        <v>722</v>
      </c>
    </row>
    <row r="426" spans="6:8" x14ac:dyDescent="0.2">
      <c r="F426" s="101" t="s">
        <v>992</v>
      </c>
      <c r="G426" s="101">
        <v>405</v>
      </c>
      <c r="H426" s="102" t="s">
        <v>723</v>
      </c>
    </row>
    <row r="427" spans="6:8" x14ac:dyDescent="0.2">
      <c r="F427" s="101" t="s">
        <v>993</v>
      </c>
      <c r="G427" s="101">
        <v>406</v>
      </c>
      <c r="H427" s="102" t="s">
        <v>724</v>
      </c>
    </row>
    <row r="428" spans="6:8" x14ac:dyDescent="0.2">
      <c r="F428" s="101" t="s">
        <v>994</v>
      </c>
      <c r="G428" s="101">
        <v>407</v>
      </c>
      <c r="H428" s="102" t="s">
        <v>725</v>
      </c>
    </row>
    <row r="429" spans="6:8" x14ac:dyDescent="0.2">
      <c r="F429" s="101" t="s">
        <v>995</v>
      </c>
      <c r="G429" s="101">
        <v>408</v>
      </c>
      <c r="H429" s="102" t="s">
        <v>726</v>
      </c>
    </row>
    <row r="430" spans="6:8" x14ac:dyDescent="0.2">
      <c r="F430" s="101" t="s">
        <v>996</v>
      </c>
      <c r="G430" s="101">
        <v>409</v>
      </c>
      <c r="H430" s="102" t="s">
        <v>727</v>
      </c>
    </row>
    <row r="431" spans="6:8" x14ac:dyDescent="0.2">
      <c r="F431" s="101" t="s">
        <v>997</v>
      </c>
      <c r="G431" s="101">
        <v>410</v>
      </c>
      <c r="H431" s="102" t="s">
        <v>728</v>
      </c>
    </row>
    <row r="432" spans="6:8" x14ac:dyDescent="0.2">
      <c r="F432" s="101" t="s">
        <v>998</v>
      </c>
      <c r="G432" s="101">
        <v>411</v>
      </c>
      <c r="H432" s="102" t="s">
        <v>729</v>
      </c>
    </row>
    <row r="433" spans="6:8" x14ac:dyDescent="0.2">
      <c r="F433" s="101" t="s">
        <v>999</v>
      </c>
      <c r="G433" s="101">
        <v>412</v>
      </c>
      <c r="H433" s="102" t="s">
        <v>730</v>
      </c>
    </row>
    <row r="434" spans="6:8" x14ac:dyDescent="0.2">
      <c r="F434" s="101" t="s">
        <v>1000</v>
      </c>
      <c r="G434" s="101">
        <v>413</v>
      </c>
      <c r="H434" s="102" t="s">
        <v>731</v>
      </c>
    </row>
    <row r="435" spans="6:8" x14ac:dyDescent="0.2">
      <c r="F435" s="101" t="s">
        <v>1001</v>
      </c>
      <c r="G435" s="101">
        <v>414</v>
      </c>
      <c r="H435" s="102" t="s">
        <v>732</v>
      </c>
    </row>
    <row r="436" spans="6:8" x14ac:dyDescent="0.2">
      <c r="F436" s="101" t="s">
        <v>1002</v>
      </c>
      <c r="G436" s="101">
        <v>415</v>
      </c>
      <c r="H436" s="102" t="s">
        <v>733</v>
      </c>
    </row>
    <row r="437" spans="6:8" x14ac:dyDescent="0.2">
      <c r="F437" s="101" t="s">
        <v>1003</v>
      </c>
      <c r="G437" s="101">
        <v>416</v>
      </c>
      <c r="H437" s="102" t="s">
        <v>734</v>
      </c>
    </row>
    <row r="438" spans="6:8" x14ac:dyDescent="0.2">
      <c r="F438" s="101" t="s">
        <v>1004</v>
      </c>
      <c r="G438" s="101">
        <v>417</v>
      </c>
      <c r="H438" s="102" t="s">
        <v>735</v>
      </c>
    </row>
    <row r="439" spans="6:8" x14ac:dyDescent="0.2">
      <c r="F439" s="101" t="s">
        <v>1005</v>
      </c>
      <c r="G439" s="101">
        <v>418</v>
      </c>
      <c r="H439" s="102" t="s">
        <v>736</v>
      </c>
    </row>
    <row r="440" spans="6:8" x14ac:dyDescent="0.2">
      <c r="F440" s="101" t="s">
        <v>1006</v>
      </c>
      <c r="G440" s="101">
        <v>419</v>
      </c>
      <c r="H440" s="102" t="s">
        <v>737</v>
      </c>
    </row>
    <row r="441" spans="6:8" x14ac:dyDescent="0.2">
      <c r="F441" s="101" t="s">
        <v>1007</v>
      </c>
      <c r="G441" s="101">
        <v>420</v>
      </c>
      <c r="H441" s="102" t="s">
        <v>738</v>
      </c>
    </row>
    <row r="442" spans="6:8" x14ac:dyDescent="0.2">
      <c r="F442" s="101" t="s">
        <v>1008</v>
      </c>
      <c r="G442" s="101">
        <v>421</v>
      </c>
      <c r="H442" s="102" t="s">
        <v>739</v>
      </c>
    </row>
    <row r="443" spans="6:8" x14ac:dyDescent="0.2">
      <c r="F443" s="101" t="s">
        <v>1009</v>
      </c>
      <c r="G443" s="101">
        <v>422</v>
      </c>
      <c r="H443" s="102" t="s">
        <v>740</v>
      </c>
    </row>
    <row r="444" spans="6:8" x14ac:dyDescent="0.2">
      <c r="F444" s="101" t="s">
        <v>1010</v>
      </c>
      <c r="G444" s="101">
        <v>423</v>
      </c>
      <c r="H444" s="102" t="s">
        <v>741</v>
      </c>
    </row>
    <row r="445" spans="6:8" x14ac:dyDescent="0.2">
      <c r="F445" s="101" t="s">
        <v>1011</v>
      </c>
      <c r="G445" s="101">
        <v>424</v>
      </c>
      <c r="H445" s="102" t="s">
        <v>742</v>
      </c>
    </row>
    <row r="446" spans="6:8" x14ac:dyDescent="0.2">
      <c r="F446" s="101" t="s">
        <v>1012</v>
      </c>
      <c r="G446" s="101">
        <v>425</v>
      </c>
      <c r="H446" s="102" t="s">
        <v>743</v>
      </c>
    </row>
    <row r="447" spans="6:8" x14ac:dyDescent="0.2">
      <c r="F447" s="101" t="s">
        <v>1013</v>
      </c>
      <c r="G447" s="101">
        <v>426</v>
      </c>
      <c r="H447" s="102" t="s">
        <v>744</v>
      </c>
    </row>
    <row r="448" spans="6:8" x14ac:dyDescent="0.2">
      <c r="F448" s="101" t="s">
        <v>1014</v>
      </c>
      <c r="G448" s="101">
        <v>427</v>
      </c>
      <c r="H448" s="102" t="s">
        <v>745</v>
      </c>
    </row>
    <row r="449" spans="6:8" x14ac:dyDescent="0.2">
      <c r="F449" s="101" t="s">
        <v>1015</v>
      </c>
      <c r="G449" s="101">
        <v>428</v>
      </c>
      <c r="H449" s="102" t="s">
        <v>746</v>
      </c>
    </row>
    <row r="450" spans="6:8" x14ac:dyDescent="0.2">
      <c r="F450" s="101" t="s">
        <v>1016</v>
      </c>
      <c r="G450" s="101">
        <v>429</v>
      </c>
      <c r="H450" s="102" t="s">
        <v>747</v>
      </c>
    </row>
    <row r="451" spans="6:8" x14ac:dyDescent="0.2">
      <c r="F451" s="101" t="s">
        <v>1017</v>
      </c>
      <c r="G451" s="101">
        <v>430</v>
      </c>
      <c r="H451" s="102" t="s">
        <v>748</v>
      </c>
    </row>
    <row r="452" spans="6:8" x14ac:dyDescent="0.2">
      <c r="F452" s="101" t="s">
        <v>1018</v>
      </c>
      <c r="G452" s="101">
        <v>431</v>
      </c>
      <c r="H452" s="102" t="s">
        <v>749</v>
      </c>
    </row>
    <row r="453" spans="6:8" x14ac:dyDescent="0.2">
      <c r="F453" s="101" t="s">
        <v>1019</v>
      </c>
      <c r="G453" s="101">
        <v>432</v>
      </c>
      <c r="H453" s="102" t="s">
        <v>750</v>
      </c>
    </row>
    <row r="454" spans="6:8" x14ac:dyDescent="0.2">
      <c r="F454" s="101" t="s">
        <v>1020</v>
      </c>
      <c r="G454" s="101">
        <v>433</v>
      </c>
      <c r="H454" s="102" t="s">
        <v>751</v>
      </c>
    </row>
    <row r="455" spans="6:8" x14ac:dyDescent="0.2">
      <c r="F455" s="101" t="s">
        <v>1021</v>
      </c>
      <c r="G455" s="101">
        <v>434</v>
      </c>
      <c r="H455" s="102" t="s">
        <v>752</v>
      </c>
    </row>
    <row r="456" spans="6:8" x14ac:dyDescent="0.2">
      <c r="F456" s="101" t="s">
        <v>1022</v>
      </c>
      <c r="G456" s="101">
        <v>435</v>
      </c>
      <c r="H456" s="102" t="s">
        <v>753</v>
      </c>
    </row>
    <row r="457" spans="6:8" x14ac:dyDescent="0.2">
      <c r="F457" s="101" t="s">
        <v>1023</v>
      </c>
      <c r="G457" s="101">
        <v>436</v>
      </c>
      <c r="H457" s="102" t="s">
        <v>754</v>
      </c>
    </row>
    <row r="458" spans="6:8" x14ac:dyDescent="0.2">
      <c r="F458" s="101" t="s">
        <v>1024</v>
      </c>
      <c r="G458" s="101">
        <v>437</v>
      </c>
      <c r="H458" s="102" t="s">
        <v>755</v>
      </c>
    </row>
    <row r="459" spans="6:8" x14ac:dyDescent="0.2">
      <c r="F459" s="101" t="s">
        <v>1025</v>
      </c>
      <c r="G459" s="101">
        <v>438</v>
      </c>
      <c r="H459" s="102" t="s">
        <v>756</v>
      </c>
    </row>
    <row r="460" spans="6:8" x14ac:dyDescent="0.2">
      <c r="F460" s="101" t="s">
        <v>1026</v>
      </c>
      <c r="G460" s="101">
        <v>439</v>
      </c>
      <c r="H460" s="102" t="s">
        <v>757</v>
      </c>
    </row>
    <row r="461" spans="6:8" x14ac:dyDescent="0.2">
      <c r="F461" s="101" t="s">
        <v>1027</v>
      </c>
      <c r="G461" s="101">
        <v>440</v>
      </c>
      <c r="H461" s="102" t="s">
        <v>758</v>
      </c>
    </row>
    <row r="462" spans="6:8" x14ac:dyDescent="0.2">
      <c r="F462" s="101" t="s">
        <v>1028</v>
      </c>
      <c r="G462" s="101">
        <v>441</v>
      </c>
      <c r="H462" s="102" t="s">
        <v>759</v>
      </c>
    </row>
    <row r="463" spans="6:8" x14ac:dyDescent="0.2">
      <c r="F463" s="101" t="s">
        <v>1029</v>
      </c>
      <c r="G463" s="101">
        <v>442</v>
      </c>
      <c r="H463" s="102" t="s">
        <v>1541</v>
      </c>
    </row>
    <row r="464" spans="6:8" x14ac:dyDescent="0.2">
      <c r="F464" s="101" t="s">
        <v>1030</v>
      </c>
      <c r="G464" s="101">
        <v>443</v>
      </c>
      <c r="H464" s="102" t="s">
        <v>760</v>
      </c>
    </row>
    <row r="465" spans="6:8" x14ac:dyDescent="0.2">
      <c r="F465" s="101" t="s">
        <v>1031</v>
      </c>
      <c r="G465" s="101">
        <v>444</v>
      </c>
      <c r="H465" s="102" t="s">
        <v>761</v>
      </c>
    </row>
    <row r="466" spans="6:8" x14ac:dyDescent="0.2">
      <c r="F466" s="101" t="s">
        <v>1032</v>
      </c>
      <c r="G466" s="101">
        <v>445</v>
      </c>
      <c r="H466" s="102" t="s">
        <v>762</v>
      </c>
    </row>
    <row r="467" spans="6:8" x14ac:dyDescent="0.2">
      <c r="F467" s="101" t="s">
        <v>1033</v>
      </c>
      <c r="G467" s="101">
        <v>446</v>
      </c>
      <c r="H467" s="102" t="s">
        <v>763</v>
      </c>
    </row>
    <row r="468" spans="6:8" x14ac:dyDescent="0.2">
      <c r="F468" s="101" t="s">
        <v>1034</v>
      </c>
      <c r="G468" s="101">
        <v>447</v>
      </c>
      <c r="H468" s="102" t="s">
        <v>764</v>
      </c>
    </row>
    <row r="469" spans="6:8" x14ac:dyDescent="0.2">
      <c r="F469" s="101" t="s">
        <v>1035</v>
      </c>
      <c r="G469" s="101">
        <v>448</v>
      </c>
      <c r="H469" s="102" t="s">
        <v>765</v>
      </c>
    </row>
    <row r="470" spans="6:8" x14ac:dyDescent="0.2">
      <c r="F470" s="101" t="s">
        <v>1036</v>
      </c>
      <c r="G470" s="101">
        <v>449</v>
      </c>
      <c r="H470" s="102" t="s">
        <v>766</v>
      </c>
    </row>
    <row r="471" spans="6:8" x14ac:dyDescent="0.2">
      <c r="F471" s="101" t="s">
        <v>1037</v>
      </c>
      <c r="G471" s="101">
        <v>450</v>
      </c>
      <c r="H471" s="102" t="s">
        <v>767</v>
      </c>
    </row>
    <row r="472" spans="6:8" x14ac:dyDescent="0.2">
      <c r="F472" s="101" t="s">
        <v>1038</v>
      </c>
      <c r="G472" s="101">
        <v>451</v>
      </c>
      <c r="H472" s="102" t="s">
        <v>768</v>
      </c>
    </row>
    <row r="473" spans="6:8" x14ac:dyDescent="0.2">
      <c r="F473" s="101" t="s">
        <v>1039</v>
      </c>
      <c r="G473" s="101">
        <v>452</v>
      </c>
      <c r="H473" s="102" t="s">
        <v>769</v>
      </c>
    </row>
    <row r="474" spans="6:8" x14ac:dyDescent="0.2">
      <c r="F474" s="101" t="s">
        <v>1040</v>
      </c>
      <c r="G474" s="101">
        <v>453</v>
      </c>
      <c r="H474" s="102" t="s">
        <v>770</v>
      </c>
    </row>
    <row r="475" spans="6:8" x14ac:dyDescent="0.2">
      <c r="F475" s="101" t="s">
        <v>1041</v>
      </c>
      <c r="G475" s="101">
        <v>454</v>
      </c>
      <c r="H475" s="102" t="s">
        <v>771</v>
      </c>
    </row>
    <row r="476" spans="6:8" x14ac:dyDescent="0.2">
      <c r="F476" s="101" t="s">
        <v>1042</v>
      </c>
      <c r="G476" s="101">
        <v>455</v>
      </c>
      <c r="H476" s="102" t="s">
        <v>772</v>
      </c>
    </row>
    <row r="477" spans="6:8" x14ac:dyDescent="0.2">
      <c r="F477" s="101" t="s">
        <v>1043</v>
      </c>
      <c r="G477" s="101">
        <v>456</v>
      </c>
      <c r="H477" s="102" t="s">
        <v>773</v>
      </c>
    </row>
    <row r="478" spans="6:8" x14ac:dyDescent="0.2">
      <c r="F478" s="101" t="s">
        <v>1044</v>
      </c>
      <c r="G478" s="101">
        <v>457</v>
      </c>
      <c r="H478" s="102" t="s">
        <v>774</v>
      </c>
    </row>
    <row r="479" spans="6:8" x14ac:dyDescent="0.2">
      <c r="F479" s="101" t="s">
        <v>1045</v>
      </c>
      <c r="G479" s="101">
        <v>458</v>
      </c>
      <c r="H479" s="102" t="s">
        <v>775</v>
      </c>
    </row>
    <row r="480" spans="6:8" x14ac:dyDescent="0.2">
      <c r="F480" s="101" t="s">
        <v>1046</v>
      </c>
      <c r="G480" s="101">
        <v>459</v>
      </c>
      <c r="H480" s="102" t="s">
        <v>776</v>
      </c>
    </row>
    <row r="481" spans="6:8" x14ac:dyDescent="0.2">
      <c r="F481" s="101" t="s">
        <v>1047</v>
      </c>
      <c r="G481" s="101">
        <v>460</v>
      </c>
      <c r="H481" s="102" t="s">
        <v>777</v>
      </c>
    </row>
    <row r="482" spans="6:8" x14ac:dyDescent="0.2">
      <c r="F482" s="101" t="s">
        <v>1048</v>
      </c>
      <c r="G482" s="101">
        <v>461</v>
      </c>
      <c r="H482" s="102" t="s">
        <v>778</v>
      </c>
    </row>
    <row r="483" spans="6:8" x14ac:dyDescent="0.2">
      <c r="F483" s="101" t="s">
        <v>1049</v>
      </c>
      <c r="G483" s="101">
        <v>462</v>
      </c>
      <c r="H483" s="102" t="s">
        <v>779</v>
      </c>
    </row>
    <row r="484" spans="6:8" x14ac:dyDescent="0.2">
      <c r="F484" s="101" t="s">
        <v>1050</v>
      </c>
      <c r="G484" s="101">
        <v>463</v>
      </c>
      <c r="H484" s="102" t="s">
        <v>780</v>
      </c>
    </row>
    <row r="485" spans="6:8" x14ac:dyDescent="0.2">
      <c r="F485" s="101" t="s">
        <v>1051</v>
      </c>
      <c r="G485" s="101">
        <v>464</v>
      </c>
      <c r="H485" s="102" t="s">
        <v>781</v>
      </c>
    </row>
    <row r="486" spans="6:8" x14ac:dyDescent="0.2">
      <c r="F486" s="101" t="s">
        <v>1052</v>
      </c>
      <c r="G486" s="101">
        <v>465</v>
      </c>
      <c r="H486" s="102" t="s">
        <v>782</v>
      </c>
    </row>
    <row r="487" spans="6:8" x14ac:dyDescent="0.2">
      <c r="F487" s="101" t="s">
        <v>1053</v>
      </c>
      <c r="G487" s="101">
        <v>466</v>
      </c>
      <c r="H487" s="102" t="s">
        <v>783</v>
      </c>
    </row>
    <row r="488" spans="6:8" x14ac:dyDescent="0.2">
      <c r="F488" s="101" t="s">
        <v>1054</v>
      </c>
      <c r="G488" s="101">
        <v>467</v>
      </c>
      <c r="H488" s="102" t="s">
        <v>784</v>
      </c>
    </row>
    <row r="489" spans="6:8" x14ac:dyDescent="0.2">
      <c r="F489" s="101" t="s">
        <v>1055</v>
      </c>
      <c r="G489" s="101">
        <v>468</v>
      </c>
      <c r="H489" s="102" t="s">
        <v>785</v>
      </c>
    </row>
    <row r="490" spans="6:8" x14ac:dyDescent="0.2">
      <c r="F490" s="101" t="s">
        <v>1056</v>
      </c>
      <c r="G490" s="101">
        <v>469</v>
      </c>
      <c r="H490" s="102" t="s">
        <v>786</v>
      </c>
    </row>
    <row r="491" spans="6:8" x14ac:dyDescent="0.2">
      <c r="F491" s="101" t="s">
        <v>1057</v>
      </c>
      <c r="G491" s="101">
        <v>470</v>
      </c>
      <c r="H491" s="102" t="s">
        <v>787</v>
      </c>
    </row>
    <row r="492" spans="6:8" x14ac:dyDescent="0.2">
      <c r="F492" s="101" t="s">
        <v>1058</v>
      </c>
      <c r="G492" s="101">
        <v>471</v>
      </c>
      <c r="H492" s="102" t="s">
        <v>788</v>
      </c>
    </row>
    <row r="493" spans="6:8" x14ac:dyDescent="0.2">
      <c r="F493" s="101" t="s">
        <v>1059</v>
      </c>
      <c r="G493" s="101">
        <v>472</v>
      </c>
      <c r="H493" s="102" t="s">
        <v>789</v>
      </c>
    </row>
    <row r="494" spans="6:8" x14ac:dyDescent="0.2">
      <c r="F494" s="101" t="s">
        <v>1060</v>
      </c>
      <c r="G494" s="101">
        <v>473</v>
      </c>
      <c r="H494" s="102" t="s">
        <v>790</v>
      </c>
    </row>
    <row r="495" spans="6:8" x14ac:dyDescent="0.2">
      <c r="F495" s="101" t="s">
        <v>1061</v>
      </c>
      <c r="G495" s="101">
        <v>474</v>
      </c>
      <c r="H495" s="102" t="s">
        <v>791</v>
      </c>
    </row>
    <row r="496" spans="6:8" x14ac:dyDescent="0.2">
      <c r="F496" s="101" t="s">
        <v>1062</v>
      </c>
      <c r="G496" s="101">
        <v>475</v>
      </c>
      <c r="H496" s="102" t="s">
        <v>792</v>
      </c>
    </row>
    <row r="497" spans="6:8" x14ac:dyDescent="0.2">
      <c r="F497" s="101" t="s">
        <v>1063</v>
      </c>
      <c r="G497" s="101">
        <v>476</v>
      </c>
      <c r="H497" s="102" t="s">
        <v>793</v>
      </c>
    </row>
    <row r="498" spans="6:8" x14ac:dyDescent="0.2">
      <c r="F498" s="101" t="s">
        <v>1064</v>
      </c>
      <c r="G498" s="101">
        <v>477</v>
      </c>
      <c r="H498" s="102" t="s">
        <v>794</v>
      </c>
    </row>
    <row r="499" spans="6:8" x14ac:dyDescent="0.2">
      <c r="F499" s="101" t="s">
        <v>1065</v>
      </c>
      <c r="G499" s="101">
        <v>478</v>
      </c>
      <c r="H499" s="102" t="s">
        <v>795</v>
      </c>
    </row>
    <row r="500" spans="6:8" x14ac:dyDescent="0.2">
      <c r="F500" s="101" t="s">
        <v>1066</v>
      </c>
      <c r="G500" s="101">
        <v>479</v>
      </c>
      <c r="H500" s="102" t="s">
        <v>796</v>
      </c>
    </row>
    <row r="501" spans="6:8" x14ac:dyDescent="0.2">
      <c r="F501" s="101" t="s">
        <v>1067</v>
      </c>
      <c r="G501" s="101">
        <v>480</v>
      </c>
      <c r="H501" s="102" t="s">
        <v>797</v>
      </c>
    </row>
    <row r="502" spans="6:8" x14ac:dyDescent="0.2">
      <c r="F502" s="101" t="s">
        <v>1068</v>
      </c>
      <c r="G502" s="101">
        <v>481</v>
      </c>
      <c r="H502" s="102" t="s">
        <v>798</v>
      </c>
    </row>
    <row r="503" spans="6:8" x14ac:dyDescent="0.2">
      <c r="F503" s="101" t="s">
        <v>1069</v>
      </c>
      <c r="G503" s="101">
        <v>482</v>
      </c>
      <c r="H503" s="102" t="s">
        <v>799</v>
      </c>
    </row>
    <row r="504" spans="6:8" x14ac:dyDescent="0.2">
      <c r="F504" s="101" t="s">
        <v>1070</v>
      </c>
      <c r="G504" s="101">
        <v>483</v>
      </c>
      <c r="H504" s="102" t="s">
        <v>800</v>
      </c>
    </row>
    <row r="505" spans="6:8" x14ac:dyDescent="0.2">
      <c r="F505" s="101" t="s">
        <v>1071</v>
      </c>
      <c r="G505" s="101">
        <v>484</v>
      </c>
      <c r="H505" s="102" t="s">
        <v>801</v>
      </c>
    </row>
    <row r="506" spans="6:8" x14ac:dyDescent="0.2">
      <c r="F506" s="101" t="s">
        <v>1072</v>
      </c>
      <c r="G506" s="101">
        <v>485</v>
      </c>
      <c r="H506" s="102" t="s">
        <v>802</v>
      </c>
    </row>
    <row r="507" spans="6:8" x14ac:dyDescent="0.2">
      <c r="F507" s="101" t="s">
        <v>1073</v>
      </c>
      <c r="G507" s="101">
        <v>486</v>
      </c>
      <c r="H507" s="102" t="s">
        <v>803</v>
      </c>
    </row>
    <row r="508" spans="6:8" x14ac:dyDescent="0.2">
      <c r="F508" s="101" t="s">
        <v>1074</v>
      </c>
      <c r="G508" s="101">
        <v>487</v>
      </c>
      <c r="H508" s="102" t="s">
        <v>804</v>
      </c>
    </row>
    <row r="509" spans="6:8" x14ac:dyDescent="0.2">
      <c r="F509" s="101" t="s">
        <v>1075</v>
      </c>
      <c r="G509" s="101">
        <v>488</v>
      </c>
      <c r="H509" s="102" t="s">
        <v>805</v>
      </c>
    </row>
    <row r="510" spans="6:8" x14ac:dyDescent="0.2">
      <c r="F510" s="101" t="s">
        <v>1076</v>
      </c>
      <c r="G510" s="101">
        <v>489</v>
      </c>
      <c r="H510" s="102" t="s">
        <v>806</v>
      </c>
    </row>
    <row r="511" spans="6:8" x14ac:dyDescent="0.2">
      <c r="F511" s="101" t="s">
        <v>1077</v>
      </c>
      <c r="G511" s="101">
        <v>490</v>
      </c>
      <c r="H511" s="102" t="s">
        <v>807</v>
      </c>
    </row>
    <row r="512" spans="6:8" x14ac:dyDescent="0.2">
      <c r="F512" s="101" t="s">
        <v>1078</v>
      </c>
      <c r="G512" s="101">
        <v>491</v>
      </c>
      <c r="H512" s="102" t="s">
        <v>808</v>
      </c>
    </row>
    <row r="513" spans="6:8" x14ac:dyDescent="0.2">
      <c r="F513" s="101" t="s">
        <v>1079</v>
      </c>
      <c r="G513" s="101">
        <v>492</v>
      </c>
      <c r="H513" s="102" t="s">
        <v>809</v>
      </c>
    </row>
    <row r="514" spans="6:8" x14ac:dyDescent="0.2">
      <c r="F514" s="101" t="s">
        <v>1080</v>
      </c>
      <c r="G514" s="101">
        <v>493</v>
      </c>
      <c r="H514" s="102" t="s">
        <v>810</v>
      </c>
    </row>
    <row r="515" spans="6:8" x14ac:dyDescent="0.2">
      <c r="F515" s="101" t="s">
        <v>1081</v>
      </c>
      <c r="G515" s="101">
        <v>494</v>
      </c>
      <c r="H515" s="102" t="s">
        <v>811</v>
      </c>
    </row>
    <row r="516" spans="6:8" x14ac:dyDescent="0.2">
      <c r="F516" s="101" t="s">
        <v>1082</v>
      </c>
      <c r="G516" s="101">
        <v>495</v>
      </c>
      <c r="H516" s="102" t="s">
        <v>812</v>
      </c>
    </row>
    <row r="517" spans="6:8" x14ac:dyDescent="0.2">
      <c r="F517" s="101" t="s">
        <v>1083</v>
      </c>
      <c r="G517" s="101">
        <v>496</v>
      </c>
      <c r="H517" s="102" t="s">
        <v>813</v>
      </c>
    </row>
    <row r="518" spans="6:8" x14ac:dyDescent="0.2">
      <c r="F518" s="101" t="s">
        <v>1084</v>
      </c>
      <c r="G518" s="101">
        <v>497</v>
      </c>
      <c r="H518" s="102" t="s">
        <v>814</v>
      </c>
    </row>
    <row r="519" spans="6:8" x14ac:dyDescent="0.2">
      <c r="F519" s="101" t="s">
        <v>1085</v>
      </c>
      <c r="G519" s="101">
        <v>498</v>
      </c>
      <c r="H519" s="102" t="s">
        <v>815</v>
      </c>
    </row>
    <row r="520" spans="6:8" x14ac:dyDescent="0.2">
      <c r="F520" s="101" t="s">
        <v>1086</v>
      </c>
      <c r="G520" s="101">
        <v>499</v>
      </c>
      <c r="H520" s="102" t="s">
        <v>816</v>
      </c>
    </row>
    <row r="521" spans="6:8" x14ac:dyDescent="0.2">
      <c r="F521" s="101" t="s">
        <v>1087</v>
      </c>
      <c r="G521" s="101">
        <v>500</v>
      </c>
      <c r="H521" s="102" t="s">
        <v>817</v>
      </c>
    </row>
    <row r="522" spans="6:8" x14ac:dyDescent="0.2">
      <c r="F522" s="101" t="s">
        <v>1088</v>
      </c>
      <c r="G522" s="101">
        <v>501</v>
      </c>
      <c r="H522" s="102" t="s">
        <v>818</v>
      </c>
    </row>
    <row r="523" spans="6:8" x14ac:dyDescent="0.2">
      <c r="F523" s="101" t="s">
        <v>1089</v>
      </c>
      <c r="G523" s="101">
        <v>502</v>
      </c>
      <c r="H523" s="102" t="s">
        <v>819</v>
      </c>
    </row>
    <row r="524" spans="6:8" x14ac:dyDescent="0.2">
      <c r="F524" s="101" t="s">
        <v>1090</v>
      </c>
      <c r="G524" s="101">
        <v>503</v>
      </c>
      <c r="H524" s="102" t="s">
        <v>820</v>
      </c>
    </row>
    <row r="525" spans="6:8" x14ac:dyDescent="0.2">
      <c r="F525" s="101" t="s">
        <v>1091</v>
      </c>
      <c r="G525" s="101">
        <v>504</v>
      </c>
      <c r="H525" s="102" t="s">
        <v>821</v>
      </c>
    </row>
    <row r="526" spans="6:8" x14ac:dyDescent="0.2">
      <c r="F526" s="101" t="s">
        <v>1092</v>
      </c>
      <c r="G526" s="101">
        <v>505</v>
      </c>
      <c r="H526" s="102" t="s">
        <v>822</v>
      </c>
    </row>
    <row r="527" spans="6:8" x14ac:dyDescent="0.2">
      <c r="F527" s="101" t="s">
        <v>1093</v>
      </c>
      <c r="G527" s="101">
        <v>506</v>
      </c>
      <c r="H527" s="102" t="s">
        <v>823</v>
      </c>
    </row>
    <row r="528" spans="6:8" x14ac:dyDescent="0.2">
      <c r="F528" s="101" t="s">
        <v>1094</v>
      </c>
      <c r="G528" s="101">
        <v>507</v>
      </c>
      <c r="H528" s="102" t="s">
        <v>824</v>
      </c>
    </row>
    <row r="529" spans="6:8" x14ac:dyDescent="0.2">
      <c r="F529" s="101" t="s">
        <v>1095</v>
      </c>
      <c r="G529" s="101">
        <v>508</v>
      </c>
      <c r="H529" s="102" t="s">
        <v>825</v>
      </c>
    </row>
    <row r="530" spans="6:8" x14ac:dyDescent="0.2">
      <c r="F530" s="101" t="s">
        <v>1096</v>
      </c>
      <c r="G530" s="101">
        <v>509</v>
      </c>
      <c r="H530" s="102" t="s">
        <v>826</v>
      </c>
    </row>
    <row r="531" spans="6:8" x14ac:dyDescent="0.2">
      <c r="F531" s="101" t="s">
        <v>1097</v>
      </c>
      <c r="G531" s="101">
        <v>510</v>
      </c>
      <c r="H531" s="102" t="s">
        <v>827</v>
      </c>
    </row>
    <row r="532" spans="6:8" x14ac:dyDescent="0.2">
      <c r="F532" s="101" t="s">
        <v>1098</v>
      </c>
      <c r="G532" s="101">
        <v>511</v>
      </c>
      <c r="H532" s="102" t="s">
        <v>828</v>
      </c>
    </row>
    <row r="533" spans="6:8" x14ac:dyDescent="0.2">
      <c r="F533" s="101" t="s">
        <v>1099</v>
      </c>
      <c r="G533" s="101">
        <v>512</v>
      </c>
      <c r="H533" s="102" t="s">
        <v>829</v>
      </c>
    </row>
    <row r="534" spans="6:8" x14ac:dyDescent="0.2">
      <c r="F534" s="101" t="s">
        <v>1100</v>
      </c>
      <c r="G534" s="101">
        <v>513</v>
      </c>
      <c r="H534" s="102" t="s">
        <v>830</v>
      </c>
    </row>
    <row r="535" spans="6:8" x14ac:dyDescent="0.2">
      <c r="F535" s="101" t="s">
        <v>1101</v>
      </c>
      <c r="G535" s="101">
        <v>514</v>
      </c>
      <c r="H535" s="102" t="s">
        <v>831</v>
      </c>
    </row>
    <row r="536" spans="6:8" x14ac:dyDescent="0.2">
      <c r="F536" s="101" t="s">
        <v>1102</v>
      </c>
      <c r="G536" s="101">
        <v>515</v>
      </c>
      <c r="H536" s="102" t="s">
        <v>832</v>
      </c>
    </row>
    <row r="537" spans="6:8" x14ac:dyDescent="0.2">
      <c r="F537" s="101" t="s">
        <v>1103</v>
      </c>
      <c r="G537" s="101">
        <v>516</v>
      </c>
      <c r="H537" s="102" t="s">
        <v>833</v>
      </c>
    </row>
    <row r="538" spans="6:8" x14ac:dyDescent="0.2">
      <c r="F538" s="101" t="s">
        <v>1104</v>
      </c>
      <c r="G538" s="101">
        <v>517</v>
      </c>
      <c r="H538" s="102" t="s">
        <v>834</v>
      </c>
    </row>
    <row r="539" spans="6:8" x14ac:dyDescent="0.2">
      <c r="F539" s="101" t="s">
        <v>1105</v>
      </c>
      <c r="G539" s="101">
        <v>518</v>
      </c>
      <c r="H539" s="102" t="s">
        <v>835</v>
      </c>
    </row>
    <row r="540" spans="6:8" x14ac:dyDescent="0.2">
      <c r="F540" s="101" t="s">
        <v>1106</v>
      </c>
      <c r="G540" s="101">
        <v>519</v>
      </c>
      <c r="H540" s="102" t="s">
        <v>836</v>
      </c>
    </row>
    <row r="541" spans="6:8" x14ac:dyDescent="0.2">
      <c r="F541" s="101" t="s">
        <v>1107</v>
      </c>
      <c r="G541" s="101">
        <v>520</v>
      </c>
      <c r="H541" s="102" t="s">
        <v>837</v>
      </c>
    </row>
    <row r="542" spans="6:8" x14ac:dyDescent="0.2">
      <c r="F542" s="101" t="s">
        <v>1108</v>
      </c>
      <c r="G542" s="101">
        <v>521</v>
      </c>
      <c r="H542" s="102" t="s">
        <v>838</v>
      </c>
    </row>
    <row r="543" spans="6:8" x14ac:dyDescent="0.2">
      <c r="F543" s="101" t="s">
        <v>1109</v>
      </c>
      <c r="G543" s="101">
        <v>522</v>
      </c>
      <c r="H543" s="102" t="s">
        <v>839</v>
      </c>
    </row>
    <row r="544" spans="6:8" x14ac:dyDescent="0.2">
      <c r="F544" s="101" t="s">
        <v>1110</v>
      </c>
      <c r="G544" s="101">
        <v>523</v>
      </c>
      <c r="H544" s="102" t="s">
        <v>840</v>
      </c>
    </row>
    <row r="545" spans="6:8" x14ac:dyDescent="0.2">
      <c r="F545" s="101" t="s">
        <v>1111</v>
      </c>
      <c r="G545" s="101">
        <v>524</v>
      </c>
      <c r="H545" s="102" t="s">
        <v>841</v>
      </c>
    </row>
    <row r="546" spans="6:8" x14ac:dyDescent="0.2">
      <c r="F546" s="101" t="s">
        <v>1112</v>
      </c>
      <c r="G546" s="101">
        <v>525</v>
      </c>
      <c r="H546" s="102" t="s">
        <v>842</v>
      </c>
    </row>
    <row r="547" spans="6:8" x14ac:dyDescent="0.2">
      <c r="F547" s="101" t="s">
        <v>1113</v>
      </c>
      <c r="G547" s="101">
        <v>526</v>
      </c>
      <c r="H547" s="102" t="s">
        <v>843</v>
      </c>
    </row>
    <row r="548" spans="6:8" x14ac:dyDescent="0.2">
      <c r="F548" s="101" t="s">
        <v>1114</v>
      </c>
      <c r="G548" s="101">
        <v>527</v>
      </c>
      <c r="H548" s="102" t="s">
        <v>844</v>
      </c>
    </row>
    <row r="549" spans="6:8" x14ac:dyDescent="0.2">
      <c r="F549" s="101" t="s">
        <v>1115</v>
      </c>
      <c r="G549" s="101">
        <v>528</v>
      </c>
      <c r="H549" s="102" t="s">
        <v>845</v>
      </c>
    </row>
    <row r="550" spans="6:8" x14ac:dyDescent="0.2">
      <c r="F550" s="101" t="s">
        <v>1116</v>
      </c>
      <c r="G550" s="101">
        <v>529</v>
      </c>
      <c r="H550" s="102" t="s">
        <v>846</v>
      </c>
    </row>
    <row r="551" spans="6:8" x14ac:dyDescent="0.2">
      <c r="F551" s="101" t="s">
        <v>1117</v>
      </c>
      <c r="G551" s="101">
        <v>530</v>
      </c>
      <c r="H551" s="102" t="s">
        <v>847</v>
      </c>
    </row>
    <row r="552" spans="6:8" x14ac:dyDescent="0.2">
      <c r="F552" s="101" t="s">
        <v>1118</v>
      </c>
      <c r="G552" s="101">
        <v>531</v>
      </c>
      <c r="H552" s="102" t="s">
        <v>848</v>
      </c>
    </row>
    <row r="553" spans="6:8" x14ac:dyDescent="0.2">
      <c r="F553" s="101" t="s">
        <v>1119</v>
      </c>
      <c r="G553" s="101">
        <v>532</v>
      </c>
      <c r="H553" s="102" t="s">
        <v>849</v>
      </c>
    </row>
    <row r="554" spans="6:8" x14ac:dyDescent="0.2">
      <c r="F554" s="101" t="s">
        <v>1120</v>
      </c>
      <c r="G554" s="101">
        <v>533</v>
      </c>
      <c r="H554" s="102" t="s">
        <v>850</v>
      </c>
    </row>
    <row r="555" spans="6:8" x14ac:dyDescent="0.2">
      <c r="F555" s="101" t="s">
        <v>1121</v>
      </c>
      <c r="G555" s="101">
        <v>534</v>
      </c>
      <c r="H555" s="102" t="s">
        <v>851</v>
      </c>
    </row>
    <row r="556" spans="6:8" x14ac:dyDescent="0.2">
      <c r="F556" s="101" t="s">
        <v>1122</v>
      </c>
      <c r="G556" s="101">
        <v>535</v>
      </c>
      <c r="H556" s="102" t="s">
        <v>852</v>
      </c>
    </row>
    <row r="557" spans="6:8" x14ac:dyDescent="0.2">
      <c r="F557" s="101" t="s">
        <v>1123</v>
      </c>
      <c r="G557" s="101">
        <v>536</v>
      </c>
      <c r="H557" s="102" t="s">
        <v>853</v>
      </c>
    </row>
    <row r="558" spans="6:8" x14ac:dyDescent="0.2">
      <c r="F558" s="101" t="s">
        <v>1124</v>
      </c>
      <c r="G558" s="101">
        <v>537</v>
      </c>
      <c r="H558" s="102" t="s">
        <v>854</v>
      </c>
    </row>
    <row r="559" spans="6:8" x14ac:dyDescent="0.2">
      <c r="F559" s="101" t="s">
        <v>1125</v>
      </c>
      <c r="G559" s="101">
        <v>538</v>
      </c>
      <c r="H559" s="102" t="s">
        <v>855</v>
      </c>
    </row>
    <row r="560" spans="6:8" x14ac:dyDescent="0.2">
      <c r="F560" s="101" t="s">
        <v>1126</v>
      </c>
      <c r="G560" s="101">
        <v>539</v>
      </c>
      <c r="H560" s="102" t="s">
        <v>856</v>
      </c>
    </row>
    <row r="561" spans="6:8" x14ac:dyDescent="0.2">
      <c r="F561" s="101" t="s">
        <v>1127</v>
      </c>
      <c r="G561" s="101">
        <v>540</v>
      </c>
      <c r="H561" s="102" t="s">
        <v>857</v>
      </c>
    </row>
    <row r="562" spans="6:8" x14ac:dyDescent="0.2">
      <c r="F562" s="101" t="s">
        <v>1128</v>
      </c>
      <c r="G562" s="101">
        <v>541</v>
      </c>
      <c r="H562" s="102" t="s">
        <v>858</v>
      </c>
    </row>
    <row r="563" spans="6:8" x14ac:dyDescent="0.2">
      <c r="F563" s="101" t="s">
        <v>1129</v>
      </c>
      <c r="G563" s="101">
        <v>542</v>
      </c>
      <c r="H563" s="102" t="s">
        <v>859</v>
      </c>
    </row>
    <row r="564" spans="6:8" x14ac:dyDescent="0.2">
      <c r="F564" s="101" t="s">
        <v>1130</v>
      </c>
      <c r="G564" s="101">
        <v>543</v>
      </c>
      <c r="H564" s="102" t="s">
        <v>860</v>
      </c>
    </row>
    <row r="565" spans="6:8" x14ac:dyDescent="0.2">
      <c r="F565" s="101" t="s">
        <v>1131</v>
      </c>
      <c r="G565" s="101">
        <v>544</v>
      </c>
      <c r="H565" s="102" t="s">
        <v>861</v>
      </c>
    </row>
    <row r="566" spans="6:8" x14ac:dyDescent="0.2">
      <c r="F566" s="101" t="s">
        <v>1132</v>
      </c>
      <c r="G566" s="101">
        <v>545</v>
      </c>
      <c r="H566" s="102" t="s">
        <v>862</v>
      </c>
    </row>
    <row r="567" spans="6:8" x14ac:dyDescent="0.2">
      <c r="F567" s="101" t="s">
        <v>1133</v>
      </c>
      <c r="G567" s="101">
        <v>546</v>
      </c>
      <c r="H567" s="102" t="s">
        <v>863</v>
      </c>
    </row>
    <row r="568" spans="6:8" x14ac:dyDescent="0.2">
      <c r="F568" s="101" t="s">
        <v>1134</v>
      </c>
      <c r="G568" s="101">
        <v>547</v>
      </c>
      <c r="H568" s="102" t="s">
        <v>864</v>
      </c>
    </row>
    <row r="569" spans="6:8" x14ac:dyDescent="0.2">
      <c r="F569" s="101" t="s">
        <v>1135</v>
      </c>
      <c r="G569" s="101">
        <v>548</v>
      </c>
      <c r="H569" s="102" t="s">
        <v>865</v>
      </c>
    </row>
    <row r="570" spans="6:8" x14ac:dyDescent="0.2">
      <c r="F570" s="101" t="s">
        <v>1136</v>
      </c>
      <c r="G570" s="101">
        <v>549</v>
      </c>
      <c r="H570" s="102" t="s">
        <v>866</v>
      </c>
    </row>
    <row r="571" spans="6:8" x14ac:dyDescent="0.2">
      <c r="F571" s="101" t="s">
        <v>1137</v>
      </c>
      <c r="G571" s="101">
        <v>550</v>
      </c>
      <c r="H571" s="102" t="s">
        <v>867</v>
      </c>
    </row>
    <row r="572" spans="6:8" x14ac:dyDescent="0.2">
      <c r="F572" s="101" t="s">
        <v>1138</v>
      </c>
      <c r="G572" s="101">
        <v>551</v>
      </c>
      <c r="H572" s="102" t="s">
        <v>868</v>
      </c>
    </row>
    <row r="573" spans="6:8" x14ac:dyDescent="0.2">
      <c r="F573" s="101" t="s">
        <v>1139</v>
      </c>
      <c r="G573" s="101">
        <v>552</v>
      </c>
      <c r="H573" s="102" t="s">
        <v>869</v>
      </c>
    </row>
    <row r="574" spans="6:8" x14ac:dyDescent="0.2">
      <c r="F574" s="101" t="s">
        <v>1140</v>
      </c>
      <c r="G574" s="101">
        <v>553</v>
      </c>
      <c r="H574" s="102" t="s">
        <v>870</v>
      </c>
    </row>
    <row r="575" spans="6:8" x14ac:dyDescent="0.2">
      <c r="F575" s="101" t="s">
        <v>1141</v>
      </c>
      <c r="G575" s="101">
        <v>554</v>
      </c>
      <c r="H575" s="102" t="s">
        <v>871</v>
      </c>
    </row>
    <row r="576" spans="6:8" x14ac:dyDescent="0.2">
      <c r="F576" s="101" t="s">
        <v>1142</v>
      </c>
      <c r="G576" s="101">
        <v>555</v>
      </c>
      <c r="H576" s="102" t="s">
        <v>872</v>
      </c>
    </row>
    <row r="577" spans="6:8" x14ac:dyDescent="0.2">
      <c r="F577" s="101" t="s">
        <v>1143</v>
      </c>
      <c r="G577" s="101">
        <v>556</v>
      </c>
      <c r="H577" s="102" t="s">
        <v>873</v>
      </c>
    </row>
    <row r="578" spans="6:8" x14ac:dyDescent="0.2">
      <c r="F578" s="101" t="s">
        <v>1144</v>
      </c>
      <c r="G578" s="101">
        <v>557</v>
      </c>
      <c r="H578" s="102" t="s">
        <v>874</v>
      </c>
    </row>
    <row r="579" spans="6:8" x14ac:dyDescent="0.2">
      <c r="F579" s="101" t="s">
        <v>1145</v>
      </c>
      <c r="G579" s="101">
        <v>558</v>
      </c>
      <c r="H579" s="102" t="s">
        <v>875</v>
      </c>
    </row>
    <row r="580" spans="6:8" x14ac:dyDescent="0.2">
      <c r="F580" s="101" t="s">
        <v>1146</v>
      </c>
      <c r="G580" s="101">
        <v>559</v>
      </c>
      <c r="H580" s="102" t="s">
        <v>876</v>
      </c>
    </row>
    <row r="581" spans="6:8" x14ac:dyDescent="0.2">
      <c r="F581" s="101" t="s">
        <v>1147</v>
      </c>
      <c r="G581" s="101">
        <v>560</v>
      </c>
      <c r="H581" s="102" t="s">
        <v>877</v>
      </c>
    </row>
    <row r="582" spans="6:8" x14ac:dyDescent="0.2">
      <c r="F582" s="101" t="s">
        <v>1148</v>
      </c>
      <c r="G582" s="101">
        <v>561</v>
      </c>
      <c r="H582" s="102" t="s">
        <v>878</v>
      </c>
    </row>
    <row r="583" spans="6:8" x14ac:dyDescent="0.2">
      <c r="F583" s="101" t="s">
        <v>1149</v>
      </c>
      <c r="G583" s="101">
        <v>562</v>
      </c>
      <c r="H583" s="102" t="s">
        <v>879</v>
      </c>
    </row>
    <row r="584" spans="6:8" x14ac:dyDescent="0.2">
      <c r="F584" s="101" t="s">
        <v>1150</v>
      </c>
      <c r="G584" s="101">
        <v>563</v>
      </c>
      <c r="H584" s="102" t="s">
        <v>880</v>
      </c>
    </row>
    <row r="585" spans="6:8" x14ac:dyDescent="0.2">
      <c r="F585" s="101" t="s">
        <v>1151</v>
      </c>
      <c r="G585" s="101">
        <v>564</v>
      </c>
      <c r="H585" s="102" t="s">
        <v>881</v>
      </c>
    </row>
    <row r="586" spans="6:8" x14ac:dyDescent="0.2">
      <c r="F586" s="101" t="s">
        <v>1152</v>
      </c>
      <c r="G586" s="101">
        <v>565</v>
      </c>
      <c r="H586" s="102" t="s">
        <v>882</v>
      </c>
    </row>
    <row r="587" spans="6:8" x14ac:dyDescent="0.2">
      <c r="F587" s="101" t="s">
        <v>1153</v>
      </c>
      <c r="G587" s="101">
        <v>566</v>
      </c>
      <c r="H587" s="102" t="s">
        <v>883</v>
      </c>
    </row>
    <row r="588" spans="6:8" x14ac:dyDescent="0.2">
      <c r="F588" s="101" t="s">
        <v>1154</v>
      </c>
      <c r="G588" s="101">
        <v>567</v>
      </c>
      <c r="H588" s="102" t="s">
        <v>884</v>
      </c>
    </row>
    <row r="589" spans="6:8" x14ac:dyDescent="0.2">
      <c r="F589" s="101" t="s">
        <v>1155</v>
      </c>
      <c r="G589" s="101">
        <v>568</v>
      </c>
      <c r="H589" s="102" t="s">
        <v>885</v>
      </c>
    </row>
    <row r="590" spans="6:8" x14ac:dyDescent="0.2">
      <c r="F590" s="101" t="s">
        <v>1156</v>
      </c>
      <c r="G590" s="101">
        <v>569</v>
      </c>
      <c r="H590" s="102" t="s">
        <v>886</v>
      </c>
    </row>
    <row r="591" spans="6:8" x14ac:dyDescent="0.2">
      <c r="F591" s="101" t="s">
        <v>1157</v>
      </c>
      <c r="G591" s="101">
        <v>570</v>
      </c>
      <c r="H591" s="102" t="s">
        <v>887</v>
      </c>
    </row>
    <row r="592" spans="6:8" x14ac:dyDescent="0.2">
      <c r="F592" s="101" t="s">
        <v>1158</v>
      </c>
      <c r="G592" s="101">
        <v>571</v>
      </c>
      <c r="H592" s="102" t="s">
        <v>888</v>
      </c>
    </row>
    <row r="593" spans="6:8" x14ac:dyDescent="0.2">
      <c r="F593" s="101" t="s">
        <v>1159</v>
      </c>
      <c r="G593" s="101">
        <v>572</v>
      </c>
      <c r="H593" s="102" t="s">
        <v>889</v>
      </c>
    </row>
    <row r="594" spans="6:8" x14ac:dyDescent="0.2">
      <c r="F594" s="101" t="s">
        <v>1160</v>
      </c>
      <c r="G594" s="101">
        <v>573</v>
      </c>
      <c r="H594" s="102" t="s">
        <v>890</v>
      </c>
    </row>
    <row r="595" spans="6:8" x14ac:dyDescent="0.2">
      <c r="F595" s="101" t="s">
        <v>1161</v>
      </c>
      <c r="G595" s="101">
        <v>574</v>
      </c>
      <c r="H595" s="102" t="s">
        <v>891</v>
      </c>
    </row>
    <row r="596" spans="6:8" x14ac:dyDescent="0.2">
      <c r="F596" s="101" t="s">
        <v>1162</v>
      </c>
      <c r="G596" s="101">
        <v>575</v>
      </c>
      <c r="H596" s="102" t="s">
        <v>892</v>
      </c>
    </row>
    <row r="597" spans="6:8" x14ac:dyDescent="0.2">
      <c r="F597" s="101" t="s">
        <v>1163</v>
      </c>
      <c r="G597" s="101">
        <v>576</v>
      </c>
      <c r="H597" s="102" t="s">
        <v>893</v>
      </c>
    </row>
    <row r="598" spans="6:8" x14ac:dyDescent="0.2">
      <c r="F598" s="101" t="s">
        <v>1164</v>
      </c>
      <c r="G598" s="101">
        <v>577</v>
      </c>
      <c r="H598" s="102" t="s">
        <v>894</v>
      </c>
    </row>
    <row r="599" spans="6:8" x14ac:dyDescent="0.2">
      <c r="F599" s="101" t="s">
        <v>1165</v>
      </c>
      <c r="G599" s="101">
        <v>578</v>
      </c>
      <c r="H599" s="102" t="s">
        <v>895</v>
      </c>
    </row>
    <row r="600" spans="6:8" x14ac:dyDescent="0.2">
      <c r="F600" s="101" t="s">
        <v>1166</v>
      </c>
      <c r="G600" s="101">
        <v>579</v>
      </c>
      <c r="H600" s="102" t="s">
        <v>896</v>
      </c>
    </row>
    <row r="601" spans="6:8" x14ac:dyDescent="0.2">
      <c r="F601" s="101" t="s">
        <v>1543</v>
      </c>
      <c r="G601" s="101">
        <v>1000</v>
      </c>
      <c r="H601" s="102" t="s">
        <v>1542</v>
      </c>
    </row>
    <row r="602" spans="6:8" x14ac:dyDescent="0.2">
      <c r="F602" s="101" t="s">
        <v>1549</v>
      </c>
      <c r="G602" s="101">
        <v>1001</v>
      </c>
      <c r="H602" s="102" t="s">
        <v>1170</v>
      </c>
    </row>
    <row r="603" spans="6:8" x14ac:dyDescent="0.2">
      <c r="F603" s="101" t="s">
        <v>1550</v>
      </c>
      <c r="G603" s="101">
        <v>1001</v>
      </c>
      <c r="H603" s="102" t="s">
        <v>1544</v>
      </c>
    </row>
    <row r="604" spans="6:8" x14ac:dyDescent="0.2">
      <c r="F604" s="101" t="s">
        <v>1551</v>
      </c>
      <c r="G604" s="101">
        <v>1002</v>
      </c>
      <c r="H604" s="102" t="s">
        <v>1171</v>
      </c>
    </row>
    <row r="605" spans="6:8" x14ac:dyDescent="0.2">
      <c r="F605" s="101" t="s">
        <v>1552</v>
      </c>
      <c r="G605" s="101">
        <v>1003</v>
      </c>
      <c r="H605" s="102" t="s">
        <v>1172</v>
      </c>
    </row>
    <row r="606" spans="6:8" x14ac:dyDescent="0.2">
      <c r="F606" s="101" t="s">
        <v>1553</v>
      </c>
      <c r="G606" s="101">
        <v>1004</v>
      </c>
      <c r="H606" s="102" t="s">
        <v>1173</v>
      </c>
    </row>
    <row r="607" spans="6:8" x14ac:dyDescent="0.2">
      <c r="F607" s="101" t="s">
        <v>1554</v>
      </c>
      <c r="G607" s="101">
        <v>1005</v>
      </c>
      <c r="H607" s="102" t="s">
        <v>1174</v>
      </c>
    </row>
    <row r="608" spans="6:8" x14ac:dyDescent="0.2">
      <c r="F608" s="101" t="s">
        <v>1555</v>
      </c>
      <c r="G608" s="101">
        <v>1006</v>
      </c>
      <c r="H608" s="102" t="s">
        <v>1175</v>
      </c>
    </row>
    <row r="609" spans="6:8" x14ac:dyDescent="0.2">
      <c r="F609" s="101" t="s">
        <v>1556</v>
      </c>
      <c r="G609" s="101">
        <v>1007</v>
      </c>
      <c r="H609" s="102" t="s">
        <v>1176</v>
      </c>
    </row>
    <row r="610" spans="6:8" x14ac:dyDescent="0.2">
      <c r="F610" s="101" t="s">
        <v>1557</v>
      </c>
      <c r="G610" s="101">
        <v>1008</v>
      </c>
      <c r="H610" s="102" t="s">
        <v>1177</v>
      </c>
    </row>
    <row r="611" spans="6:8" x14ac:dyDescent="0.2">
      <c r="F611" s="101" t="s">
        <v>1558</v>
      </c>
      <c r="G611" s="101">
        <v>1009</v>
      </c>
      <c r="H611" s="102" t="s">
        <v>1178</v>
      </c>
    </row>
    <row r="612" spans="6:8" x14ac:dyDescent="0.2">
      <c r="F612" s="101" t="s">
        <v>1559</v>
      </c>
      <c r="G612" s="101">
        <v>1010</v>
      </c>
      <c r="H612" s="102" t="s">
        <v>1179</v>
      </c>
    </row>
    <row r="613" spans="6:8" x14ac:dyDescent="0.2">
      <c r="F613" s="101" t="s">
        <v>1560</v>
      </c>
      <c r="G613" s="101">
        <v>1011</v>
      </c>
      <c r="H613" s="102" t="s">
        <v>1180</v>
      </c>
    </row>
    <row r="614" spans="6:8" x14ac:dyDescent="0.2">
      <c r="F614" s="101" t="s">
        <v>1561</v>
      </c>
      <c r="G614" s="101">
        <v>1012</v>
      </c>
      <c r="H614" s="102" t="s">
        <v>1181</v>
      </c>
    </row>
    <row r="615" spans="6:8" x14ac:dyDescent="0.2">
      <c r="F615" s="101" t="s">
        <v>1562</v>
      </c>
      <c r="G615" s="101">
        <v>1013</v>
      </c>
      <c r="H615" s="102" t="s">
        <v>1182</v>
      </c>
    </row>
    <row r="616" spans="6:8" x14ac:dyDescent="0.2">
      <c r="F616" s="101" t="s">
        <v>1563</v>
      </c>
      <c r="G616" s="101">
        <v>1014</v>
      </c>
      <c r="H616" s="102" t="s">
        <v>1183</v>
      </c>
    </row>
    <row r="617" spans="6:8" x14ac:dyDescent="0.2">
      <c r="F617" s="101" t="s">
        <v>1564</v>
      </c>
      <c r="G617" s="101">
        <v>1015</v>
      </c>
      <c r="H617" s="102" t="s">
        <v>1184</v>
      </c>
    </row>
    <row r="618" spans="6:8" x14ac:dyDescent="0.2">
      <c r="F618" s="101" t="s">
        <v>1565</v>
      </c>
      <c r="G618" s="101">
        <v>1016</v>
      </c>
      <c r="H618" s="102" t="s">
        <v>1185</v>
      </c>
    </row>
    <row r="619" spans="6:8" x14ac:dyDescent="0.2">
      <c r="F619" s="101" t="s">
        <v>1566</v>
      </c>
      <c r="G619" s="101">
        <v>1017</v>
      </c>
      <c r="H619" s="102" t="s">
        <v>1186</v>
      </c>
    </row>
    <row r="620" spans="6:8" x14ac:dyDescent="0.2">
      <c r="F620" s="101" t="s">
        <v>1567</v>
      </c>
      <c r="G620" s="101">
        <v>1018</v>
      </c>
      <c r="H620" s="102" t="s">
        <v>1187</v>
      </c>
    </row>
    <row r="621" spans="6:8" x14ac:dyDescent="0.2">
      <c r="F621" s="101" t="s">
        <v>1568</v>
      </c>
      <c r="G621" s="101">
        <v>1019</v>
      </c>
      <c r="H621" s="102" t="s">
        <v>1188</v>
      </c>
    </row>
    <row r="622" spans="6:8" x14ac:dyDescent="0.2">
      <c r="F622" s="101" t="s">
        <v>1569</v>
      </c>
      <c r="G622" s="101">
        <v>1020</v>
      </c>
      <c r="H622" s="102" t="s">
        <v>1189</v>
      </c>
    </row>
    <row r="623" spans="6:8" x14ac:dyDescent="0.2">
      <c r="F623" s="101" t="s">
        <v>1570</v>
      </c>
      <c r="G623" s="101">
        <v>1021</v>
      </c>
      <c r="H623" s="102" t="s">
        <v>1190</v>
      </c>
    </row>
    <row r="624" spans="6:8" x14ac:dyDescent="0.2">
      <c r="F624" s="101" t="s">
        <v>1571</v>
      </c>
      <c r="G624" s="101">
        <v>1022</v>
      </c>
      <c r="H624" s="102" t="s">
        <v>1191</v>
      </c>
    </row>
    <row r="625" spans="6:8" x14ac:dyDescent="0.2">
      <c r="F625" s="101" t="s">
        <v>1572</v>
      </c>
      <c r="G625" s="101">
        <v>1023</v>
      </c>
      <c r="H625" s="102" t="s">
        <v>1192</v>
      </c>
    </row>
    <row r="626" spans="6:8" x14ac:dyDescent="0.2">
      <c r="F626" s="101" t="s">
        <v>1573</v>
      </c>
      <c r="G626" s="101">
        <v>1024</v>
      </c>
      <c r="H626" s="102" t="s">
        <v>1193</v>
      </c>
    </row>
    <row r="627" spans="6:8" x14ac:dyDescent="0.2">
      <c r="F627" s="101" t="s">
        <v>1574</v>
      </c>
      <c r="G627" s="101">
        <v>1025</v>
      </c>
      <c r="H627" s="102" t="s">
        <v>1194</v>
      </c>
    </row>
    <row r="628" spans="6:8" x14ac:dyDescent="0.2">
      <c r="F628" s="101" t="s">
        <v>1575</v>
      </c>
      <c r="G628" s="101">
        <v>1026</v>
      </c>
      <c r="H628" s="102" t="s">
        <v>1195</v>
      </c>
    </row>
    <row r="629" spans="6:8" x14ac:dyDescent="0.2">
      <c r="F629" s="101" t="s">
        <v>1576</v>
      </c>
      <c r="G629" s="101">
        <v>1027</v>
      </c>
      <c r="H629" s="102" t="s">
        <v>1196</v>
      </c>
    </row>
    <row r="630" spans="6:8" x14ac:dyDescent="0.2">
      <c r="F630" s="101" t="s">
        <v>1577</v>
      </c>
      <c r="G630" s="101">
        <v>1028</v>
      </c>
      <c r="H630" s="102" t="s">
        <v>1197</v>
      </c>
    </row>
    <row r="631" spans="6:8" x14ac:dyDescent="0.2">
      <c r="F631" s="101" t="s">
        <v>1578</v>
      </c>
      <c r="G631" s="101">
        <v>1029</v>
      </c>
      <c r="H631" s="102" t="s">
        <v>1198</v>
      </c>
    </row>
    <row r="632" spans="6:8" x14ac:dyDescent="0.2">
      <c r="F632" s="101" t="s">
        <v>1579</v>
      </c>
      <c r="G632" s="101">
        <v>1030</v>
      </c>
      <c r="H632" s="102" t="s">
        <v>1199</v>
      </c>
    </row>
    <row r="633" spans="6:8" x14ac:dyDescent="0.2">
      <c r="F633" s="101" t="s">
        <v>1580</v>
      </c>
      <c r="G633" s="101">
        <v>1031</v>
      </c>
      <c r="H633" s="102" t="s">
        <v>1200</v>
      </c>
    </row>
    <row r="634" spans="6:8" x14ac:dyDescent="0.2">
      <c r="F634" s="101" t="s">
        <v>1581</v>
      </c>
      <c r="G634" s="101">
        <v>1032</v>
      </c>
      <c r="H634" s="102" t="s">
        <v>1201</v>
      </c>
    </row>
    <row r="635" spans="6:8" x14ac:dyDescent="0.2">
      <c r="F635" s="101" t="s">
        <v>1582</v>
      </c>
      <c r="G635" s="101">
        <v>1033</v>
      </c>
      <c r="H635" s="102" t="s">
        <v>1202</v>
      </c>
    </row>
    <row r="636" spans="6:8" x14ac:dyDescent="0.2">
      <c r="F636" s="101" t="s">
        <v>1583</v>
      </c>
      <c r="G636" s="101">
        <v>1034</v>
      </c>
      <c r="H636" s="102" t="s">
        <v>1203</v>
      </c>
    </row>
    <row r="637" spans="6:8" x14ac:dyDescent="0.2">
      <c r="F637" s="101" t="s">
        <v>1584</v>
      </c>
      <c r="G637" s="101">
        <v>1035</v>
      </c>
      <c r="H637" s="102" t="s">
        <v>1204</v>
      </c>
    </row>
    <row r="638" spans="6:8" x14ac:dyDescent="0.2">
      <c r="F638" s="101" t="s">
        <v>1585</v>
      </c>
      <c r="G638" s="101">
        <v>1036</v>
      </c>
      <c r="H638" s="102" t="s">
        <v>1205</v>
      </c>
    </row>
    <row r="639" spans="6:8" x14ac:dyDescent="0.2">
      <c r="F639" s="101" t="s">
        <v>1586</v>
      </c>
      <c r="G639" s="101">
        <v>1037</v>
      </c>
      <c r="H639" s="102" t="s">
        <v>1206</v>
      </c>
    </row>
    <row r="640" spans="6:8" x14ac:dyDescent="0.2">
      <c r="F640" s="101" t="s">
        <v>1587</v>
      </c>
      <c r="G640" s="101">
        <v>1038</v>
      </c>
      <c r="H640" s="102" t="s">
        <v>1207</v>
      </c>
    </row>
    <row r="641" spans="6:8" x14ac:dyDescent="0.2">
      <c r="F641" s="101" t="s">
        <v>1588</v>
      </c>
      <c r="G641" s="101">
        <v>1039</v>
      </c>
      <c r="H641" s="102" t="s">
        <v>1208</v>
      </c>
    </row>
    <row r="642" spans="6:8" x14ac:dyDescent="0.2">
      <c r="F642" s="101" t="s">
        <v>1589</v>
      </c>
      <c r="G642" s="101">
        <v>1040</v>
      </c>
      <c r="H642" s="102" t="s">
        <v>1209</v>
      </c>
    </row>
    <row r="643" spans="6:8" x14ac:dyDescent="0.2">
      <c r="F643" s="101" t="s">
        <v>1590</v>
      </c>
      <c r="G643" s="101">
        <v>1041</v>
      </c>
      <c r="H643" s="102" t="s">
        <v>1210</v>
      </c>
    </row>
    <row r="644" spans="6:8" x14ac:dyDescent="0.2">
      <c r="F644" s="101" t="s">
        <v>1591</v>
      </c>
      <c r="G644" s="101">
        <v>1042</v>
      </c>
      <c r="H644" s="102" t="s">
        <v>1211</v>
      </c>
    </row>
    <row r="645" spans="6:8" x14ac:dyDescent="0.2">
      <c r="F645" s="101" t="s">
        <v>1592</v>
      </c>
      <c r="G645" s="101">
        <v>1043</v>
      </c>
      <c r="H645" s="102" t="s">
        <v>1212</v>
      </c>
    </row>
    <row r="646" spans="6:8" x14ac:dyDescent="0.2">
      <c r="F646" s="101" t="s">
        <v>1593</v>
      </c>
      <c r="G646" s="101">
        <v>1044</v>
      </c>
      <c r="H646" s="102" t="s">
        <v>1213</v>
      </c>
    </row>
    <row r="647" spans="6:8" x14ac:dyDescent="0.2">
      <c r="F647" s="101" t="s">
        <v>1594</v>
      </c>
      <c r="G647" s="101">
        <v>1045</v>
      </c>
      <c r="H647" s="102" t="s">
        <v>1214</v>
      </c>
    </row>
    <row r="648" spans="6:8" x14ac:dyDescent="0.2">
      <c r="F648" s="101" t="s">
        <v>1595</v>
      </c>
      <c r="G648" s="101">
        <v>1046</v>
      </c>
      <c r="H648" s="102" t="s">
        <v>1215</v>
      </c>
    </row>
    <row r="649" spans="6:8" x14ac:dyDescent="0.2">
      <c r="F649" s="101" t="s">
        <v>1596</v>
      </c>
      <c r="G649" s="101">
        <v>1047</v>
      </c>
      <c r="H649" s="102" t="s">
        <v>1216</v>
      </c>
    </row>
    <row r="650" spans="6:8" x14ac:dyDescent="0.2">
      <c r="F650" s="101" t="s">
        <v>1597</v>
      </c>
      <c r="G650" s="101">
        <v>1048</v>
      </c>
      <c r="H650" s="102" t="s">
        <v>1217</v>
      </c>
    </row>
    <row r="651" spans="6:8" x14ac:dyDescent="0.2">
      <c r="F651" s="101" t="s">
        <v>1598</v>
      </c>
      <c r="G651" s="101">
        <v>1049</v>
      </c>
      <c r="H651" s="102" t="s">
        <v>1218</v>
      </c>
    </row>
    <row r="652" spans="6:8" x14ac:dyDescent="0.2">
      <c r="F652" s="101" t="s">
        <v>1599</v>
      </c>
      <c r="G652" s="101">
        <v>1050</v>
      </c>
      <c r="H652" s="102" t="s">
        <v>1219</v>
      </c>
    </row>
    <row r="653" spans="6:8" x14ac:dyDescent="0.2">
      <c r="F653" s="101" t="s">
        <v>1600</v>
      </c>
      <c r="G653" s="101">
        <v>1051</v>
      </c>
      <c r="H653" s="102" t="s">
        <v>1220</v>
      </c>
    </row>
    <row r="654" spans="6:8" x14ac:dyDescent="0.2">
      <c r="F654" s="101" t="s">
        <v>1601</v>
      </c>
      <c r="G654" s="101">
        <v>1052</v>
      </c>
      <c r="H654" s="102" t="s">
        <v>1221</v>
      </c>
    </row>
    <row r="655" spans="6:8" x14ac:dyDescent="0.2">
      <c r="F655" s="101" t="s">
        <v>1602</v>
      </c>
      <c r="G655" s="101">
        <v>1053</v>
      </c>
      <c r="H655" s="102" t="s">
        <v>1222</v>
      </c>
    </row>
    <row r="656" spans="6:8" x14ac:dyDescent="0.2">
      <c r="F656" s="101" t="s">
        <v>1603</v>
      </c>
      <c r="G656" s="101">
        <v>1054</v>
      </c>
      <c r="H656" s="102" t="s">
        <v>1223</v>
      </c>
    </row>
    <row r="657" spans="6:8" x14ac:dyDescent="0.2">
      <c r="F657" s="101" t="s">
        <v>1604</v>
      </c>
      <c r="G657" s="101">
        <v>1055</v>
      </c>
      <c r="H657" s="102" t="s">
        <v>1224</v>
      </c>
    </row>
    <row r="658" spans="6:8" x14ac:dyDescent="0.2">
      <c r="F658" s="101" t="s">
        <v>1605</v>
      </c>
      <c r="G658" s="101">
        <v>1056</v>
      </c>
      <c r="H658" s="102" t="s">
        <v>1225</v>
      </c>
    </row>
    <row r="659" spans="6:8" x14ac:dyDescent="0.2">
      <c r="F659" s="101" t="s">
        <v>1606</v>
      </c>
      <c r="G659" s="101">
        <v>1057</v>
      </c>
      <c r="H659" s="102" t="s">
        <v>1226</v>
      </c>
    </row>
    <row r="660" spans="6:8" x14ac:dyDescent="0.2">
      <c r="F660" s="101" t="s">
        <v>1607</v>
      </c>
      <c r="G660" s="101">
        <v>1058</v>
      </c>
      <c r="H660" s="102" t="s">
        <v>1227</v>
      </c>
    </row>
    <row r="661" spans="6:8" x14ac:dyDescent="0.2">
      <c r="F661" s="101" t="s">
        <v>1608</v>
      </c>
      <c r="G661" s="101">
        <v>1059</v>
      </c>
      <c r="H661" s="102" t="s">
        <v>1228</v>
      </c>
    </row>
    <row r="662" spans="6:8" x14ac:dyDescent="0.2">
      <c r="F662" s="101" t="s">
        <v>1609</v>
      </c>
      <c r="G662" s="101">
        <v>1060</v>
      </c>
      <c r="H662" s="102" t="s">
        <v>1229</v>
      </c>
    </row>
    <row r="663" spans="6:8" x14ac:dyDescent="0.2">
      <c r="F663" s="101" t="s">
        <v>1610</v>
      </c>
      <c r="G663" s="101">
        <v>1061</v>
      </c>
      <c r="H663" s="102" t="s">
        <v>1230</v>
      </c>
    </row>
    <row r="664" spans="6:8" x14ac:dyDescent="0.2">
      <c r="F664" s="101" t="s">
        <v>1611</v>
      </c>
      <c r="G664" s="101">
        <v>1062</v>
      </c>
      <c r="H664" s="102" t="s">
        <v>1231</v>
      </c>
    </row>
    <row r="665" spans="6:8" x14ac:dyDescent="0.2">
      <c r="F665" s="101" t="s">
        <v>1612</v>
      </c>
      <c r="G665" s="101">
        <v>1063</v>
      </c>
      <c r="H665" s="102" t="s">
        <v>1232</v>
      </c>
    </row>
    <row r="666" spans="6:8" x14ac:dyDescent="0.2">
      <c r="F666" s="101" t="s">
        <v>1613</v>
      </c>
      <c r="G666" s="101">
        <v>1064</v>
      </c>
      <c r="H666" s="102" t="s">
        <v>1233</v>
      </c>
    </row>
    <row r="667" spans="6:8" x14ac:dyDescent="0.2">
      <c r="F667" s="101" t="s">
        <v>1614</v>
      </c>
      <c r="G667" s="101">
        <v>1065</v>
      </c>
      <c r="H667" s="102" t="s">
        <v>1234</v>
      </c>
    </row>
    <row r="668" spans="6:8" x14ac:dyDescent="0.2">
      <c r="F668" s="101" t="s">
        <v>1615</v>
      </c>
      <c r="G668" s="101">
        <v>1066</v>
      </c>
      <c r="H668" s="102" t="s">
        <v>1235</v>
      </c>
    </row>
    <row r="669" spans="6:8" x14ac:dyDescent="0.2">
      <c r="F669" s="101" t="s">
        <v>1616</v>
      </c>
      <c r="G669" s="101">
        <v>1067</v>
      </c>
      <c r="H669" s="102" t="s">
        <v>1236</v>
      </c>
    </row>
    <row r="670" spans="6:8" x14ac:dyDescent="0.2">
      <c r="F670" s="101" t="s">
        <v>1617</v>
      </c>
      <c r="G670" s="101">
        <v>1068</v>
      </c>
      <c r="H670" s="102" t="s">
        <v>1237</v>
      </c>
    </row>
    <row r="671" spans="6:8" x14ac:dyDescent="0.2">
      <c r="F671" s="101" t="s">
        <v>1618</v>
      </c>
      <c r="G671" s="101">
        <v>1069</v>
      </c>
      <c r="H671" s="102" t="s">
        <v>1238</v>
      </c>
    </row>
    <row r="672" spans="6:8" x14ac:dyDescent="0.2">
      <c r="F672" s="101" t="s">
        <v>1619</v>
      </c>
      <c r="G672" s="101">
        <v>1070</v>
      </c>
      <c r="H672" s="102" t="s">
        <v>1239</v>
      </c>
    </row>
    <row r="673" spans="6:8" x14ac:dyDescent="0.2">
      <c r="F673" s="101" t="s">
        <v>1620</v>
      </c>
      <c r="G673" s="101">
        <v>1071</v>
      </c>
      <c r="H673" s="102" t="s">
        <v>1240</v>
      </c>
    </row>
    <row r="674" spans="6:8" x14ac:dyDescent="0.2">
      <c r="F674" s="101" t="s">
        <v>1621</v>
      </c>
      <c r="G674" s="101">
        <v>1072</v>
      </c>
      <c r="H674" s="102" t="s">
        <v>1241</v>
      </c>
    </row>
    <row r="675" spans="6:8" x14ac:dyDescent="0.2">
      <c r="F675" s="101" t="s">
        <v>1622</v>
      </c>
      <c r="G675" s="101">
        <v>1073</v>
      </c>
      <c r="H675" s="102" t="s">
        <v>1242</v>
      </c>
    </row>
    <row r="676" spans="6:8" x14ac:dyDescent="0.2">
      <c r="F676" s="101" t="s">
        <v>1623</v>
      </c>
      <c r="G676" s="101">
        <v>1074</v>
      </c>
      <c r="H676" s="102" t="s">
        <v>1243</v>
      </c>
    </row>
    <row r="677" spans="6:8" x14ac:dyDescent="0.2">
      <c r="F677" s="101" t="s">
        <v>1624</v>
      </c>
      <c r="G677" s="101">
        <v>1075</v>
      </c>
      <c r="H677" s="102" t="s">
        <v>1244</v>
      </c>
    </row>
    <row r="678" spans="6:8" x14ac:dyDescent="0.2">
      <c r="F678" s="101" t="s">
        <v>1625</v>
      </c>
      <c r="G678" s="101">
        <v>1076</v>
      </c>
      <c r="H678" s="102" t="s">
        <v>1245</v>
      </c>
    </row>
    <row r="679" spans="6:8" x14ac:dyDescent="0.2">
      <c r="F679" s="101" t="s">
        <v>1626</v>
      </c>
      <c r="G679" s="101">
        <v>1077</v>
      </c>
      <c r="H679" s="102" t="s">
        <v>1545</v>
      </c>
    </row>
    <row r="680" spans="6:8" x14ac:dyDescent="0.2">
      <c r="F680" s="101" t="s">
        <v>1627</v>
      </c>
      <c r="G680" s="101">
        <v>1078</v>
      </c>
      <c r="H680" s="102" t="s">
        <v>1246</v>
      </c>
    </row>
    <row r="681" spans="6:8" x14ac:dyDescent="0.2">
      <c r="F681" s="101" t="s">
        <v>1628</v>
      </c>
      <c r="G681" s="101">
        <v>1079</v>
      </c>
      <c r="H681" s="102" t="s">
        <v>1247</v>
      </c>
    </row>
    <row r="682" spans="6:8" x14ac:dyDescent="0.2">
      <c r="F682" s="101" t="s">
        <v>1629</v>
      </c>
      <c r="G682" s="101">
        <v>1080</v>
      </c>
      <c r="H682" s="102" t="s">
        <v>1248</v>
      </c>
    </row>
    <row r="683" spans="6:8" x14ac:dyDescent="0.2">
      <c r="F683" s="101" t="s">
        <v>1630</v>
      </c>
      <c r="G683" s="101">
        <v>1081</v>
      </c>
      <c r="H683" s="102" t="s">
        <v>1249</v>
      </c>
    </row>
    <row r="684" spans="6:8" x14ac:dyDescent="0.2">
      <c r="F684" s="101" t="s">
        <v>1631</v>
      </c>
      <c r="G684" s="101">
        <v>1082</v>
      </c>
      <c r="H684" s="102" t="s">
        <v>1250</v>
      </c>
    </row>
    <row r="685" spans="6:8" x14ac:dyDescent="0.2">
      <c r="F685" s="101" t="s">
        <v>1632</v>
      </c>
      <c r="G685" s="101">
        <v>1083</v>
      </c>
      <c r="H685" s="102" t="s">
        <v>1251</v>
      </c>
    </row>
    <row r="686" spans="6:8" x14ac:dyDescent="0.2">
      <c r="F686" s="101" t="s">
        <v>1633</v>
      </c>
      <c r="G686" s="101">
        <v>1084</v>
      </c>
      <c r="H686" s="102" t="s">
        <v>1252</v>
      </c>
    </row>
    <row r="687" spans="6:8" x14ac:dyDescent="0.2">
      <c r="F687" s="101" t="s">
        <v>1634</v>
      </c>
      <c r="G687" s="101">
        <v>1085</v>
      </c>
      <c r="H687" s="102" t="s">
        <v>1253</v>
      </c>
    </row>
    <row r="688" spans="6:8" x14ac:dyDescent="0.2">
      <c r="F688" s="101" t="s">
        <v>1635</v>
      </c>
      <c r="G688" s="101">
        <v>1086</v>
      </c>
      <c r="H688" s="102" t="s">
        <v>1254</v>
      </c>
    </row>
    <row r="689" spans="6:8" x14ac:dyDescent="0.2">
      <c r="F689" s="101" t="s">
        <v>1636</v>
      </c>
      <c r="G689" s="101">
        <v>1087</v>
      </c>
      <c r="H689" s="102" t="s">
        <v>1255</v>
      </c>
    </row>
    <row r="690" spans="6:8" x14ac:dyDescent="0.2">
      <c r="F690" s="101" t="s">
        <v>1637</v>
      </c>
      <c r="G690" s="101">
        <v>1088</v>
      </c>
      <c r="H690" s="102" t="s">
        <v>1256</v>
      </c>
    </row>
    <row r="691" spans="6:8" x14ac:dyDescent="0.2">
      <c r="F691" s="101" t="s">
        <v>1638</v>
      </c>
      <c r="G691" s="101">
        <v>1089</v>
      </c>
      <c r="H691" s="102" t="s">
        <v>1257</v>
      </c>
    </row>
    <row r="692" spans="6:8" x14ac:dyDescent="0.2">
      <c r="F692" s="101" t="s">
        <v>1639</v>
      </c>
      <c r="G692" s="101">
        <v>1090</v>
      </c>
      <c r="H692" s="102" t="s">
        <v>1258</v>
      </c>
    </row>
    <row r="693" spans="6:8" x14ac:dyDescent="0.2">
      <c r="F693" s="101" t="s">
        <v>1640</v>
      </c>
      <c r="G693" s="101">
        <v>1091</v>
      </c>
      <c r="H693" s="102" t="s">
        <v>1259</v>
      </c>
    </row>
    <row r="694" spans="6:8" x14ac:dyDescent="0.2">
      <c r="F694" s="101" t="s">
        <v>1641</v>
      </c>
      <c r="G694" s="101">
        <v>1092</v>
      </c>
      <c r="H694" s="102" t="s">
        <v>1260</v>
      </c>
    </row>
    <row r="695" spans="6:8" x14ac:dyDescent="0.2">
      <c r="F695" s="101" t="s">
        <v>1642</v>
      </c>
      <c r="G695" s="101">
        <v>1093</v>
      </c>
      <c r="H695" s="102" t="s">
        <v>1261</v>
      </c>
    </row>
    <row r="696" spans="6:8" x14ac:dyDescent="0.2">
      <c r="F696" s="101" t="s">
        <v>1643</v>
      </c>
      <c r="G696" s="101">
        <v>1094</v>
      </c>
      <c r="H696" s="102" t="s">
        <v>1262</v>
      </c>
    </row>
    <row r="697" spans="6:8" x14ac:dyDescent="0.2">
      <c r="F697" s="101" t="s">
        <v>1644</v>
      </c>
      <c r="G697" s="101">
        <v>1095</v>
      </c>
      <c r="H697" s="102" t="s">
        <v>1263</v>
      </c>
    </row>
    <row r="698" spans="6:8" x14ac:dyDescent="0.2">
      <c r="F698" s="101" t="s">
        <v>1645</v>
      </c>
      <c r="G698" s="101">
        <v>1096</v>
      </c>
      <c r="H698" s="102" t="s">
        <v>1264</v>
      </c>
    </row>
    <row r="699" spans="6:8" x14ac:dyDescent="0.2">
      <c r="F699" s="101" t="s">
        <v>1646</v>
      </c>
      <c r="G699" s="101">
        <v>1097</v>
      </c>
      <c r="H699" s="102" t="s">
        <v>1265</v>
      </c>
    </row>
    <row r="700" spans="6:8" x14ac:dyDescent="0.2">
      <c r="F700" s="101" t="s">
        <v>1647</v>
      </c>
      <c r="G700" s="101">
        <v>1098</v>
      </c>
      <c r="H700" s="102" t="s">
        <v>1266</v>
      </c>
    </row>
    <row r="701" spans="6:8" x14ac:dyDescent="0.2">
      <c r="F701" s="101" t="s">
        <v>1648</v>
      </c>
      <c r="G701" s="101">
        <v>1099</v>
      </c>
      <c r="H701" s="102" t="s">
        <v>1267</v>
      </c>
    </row>
    <row r="702" spans="6:8" x14ac:dyDescent="0.2">
      <c r="F702" s="101" t="s">
        <v>1649</v>
      </c>
      <c r="G702" s="101">
        <v>1100</v>
      </c>
      <c r="H702" s="102" t="s">
        <v>1268</v>
      </c>
    </row>
    <row r="703" spans="6:8" x14ac:dyDescent="0.2">
      <c r="F703" s="101" t="s">
        <v>1650</v>
      </c>
      <c r="G703" s="101">
        <v>1101</v>
      </c>
      <c r="H703" s="102" t="s">
        <v>1269</v>
      </c>
    </row>
    <row r="704" spans="6:8" x14ac:dyDescent="0.2">
      <c r="F704" s="101" t="s">
        <v>1651</v>
      </c>
      <c r="G704" s="101">
        <v>1102</v>
      </c>
      <c r="H704" s="102" t="s">
        <v>1270</v>
      </c>
    </row>
    <row r="705" spans="6:8" x14ac:dyDescent="0.2">
      <c r="F705" s="101" t="s">
        <v>1652</v>
      </c>
      <c r="G705" s="101">
        <v>1103</v>
      </c>
      <c r="H705" s="102" t="s">
        <v>1271</v>
      </c>
    </row>
    <row r="706" spans="6:8" x14ac:dyDescent="0.2">
      <c r="F706" s="101" t="s">
        <v>1653</v>
      </c>
      <c r="G706" s="101">
        <v>1104</v>
      </c>
      <c r="H706" s="102" t="s">
        <v>1272</v>
      </c>
    </row>
    <row r="707" spans="6:8" x14ac:dyDescent="0.2">
      <c r="F707" s="101" t="s">
        <v>1654</v>
      </c>
      <c r="G707" s="101">
        <v>1105</v>
      </c>
      <c r="H707" s="102" t="s">
        <v>1273</v>
      </c>
    </row>
    <row r="708" spans="6:8" x14ac:dyDescent="0.2">
      <c r="F708" s="101" t="s">
        <v>1655</v>
      </c>
      <c r="G708" s="101">
        <v>1106</v>
      </c>
      <c r="H708" s="102" t="s">
        <v>1274</v>
      </c>
    </row>
    <row r="709" spans="6:8" x14ac:dyDescent="0.2">
      <c r="F709" s="101" t="s">
        <v>1656</v>
      </c>
      <c r="G709" s="101">
        <v>1107</v>
      </c>
      <c r="H709" s="102" t="s">
        <v>1275</v>
      </c>
    </row>
    <row r="710" spans="6:8" x14ac:dyDescent="0.2">
      <c r="F710" s="101" t="s">
        <v>1657</v>
      </c>
      <c r="G710" s="101">
        <v>1108</v>
      </c>
      <c r="H710" s="102" t="s">
        <v>1276</v>
      </c>
    </row>
    <row r="711" spans="6:8" x14ac:dyDescent="0.2">
      <c r="F711" s="101" t="s">
        <v>1658</v>
      </c>
      <c r="G711" s="101">
        <v>1109</v>
      </c>
      <c r="H711" s="102" t="s">
        <v>1277</v>
      </c>
    </row>
    <row r="712" spans="6:8" x14ac:dyDescent="0.2">
      <c r="F712" s="101" t="s">
        <v>1659</v>
      </c>
      <c r="G712" s="101">
        <v>1110</v>
      </c>
      <c r="H712" s="102" t="s">
        <v>1278</v>
      </c>
    </row>
    <row r="713" spans="6:8" x14ac:dyDescent="0.2">
      <c r="F713" s="101" t="s">
        <v>1660</v>
      </c>
      <c r="G713" s="101">
        <v>1111</v>
      </c>
      <c r="H713" s="102" t="s">
        <v>1279</v>
      </c>
    </row>
    <row r="714" spans="6:8" x14ac:dyDescent="0.2">
      <c r="F714" s="101" t="s">
        <v>1661</v>
      </c>
      <c r="G714" s="101">
        <v>1112</v>
      </c>
      <c r="H714" s="102" t="s">
        <v>1280</v>
      </c>
    </row>
    <row r="715" spans="6:8" x14ac:dyDescent="0.2">
      <c r="F715" s="101" t="s">
        <v>1662</v>
      </c>
      <c r="G715" s="101">
        <v>1113</v>
      </c>
      <c r="H715" s="102" t="s">
        <v>1281</v>
      </c>
    </row>
    <row r="716" spans="6:8" x14ac:dyDescent="0.2">
      <c r="F716" s="101" t="s">
        <v>1663</v>
      </c>
      <c r="G716" s="101">
        <v>1114</v>
      </c>
      <c r="H716" s="102" t="s">
        <v>1282</v>
      </c>
    </row>
    <row r="717" spans="6:8" x14ac:dyDescent="0.2">
      <c r="F717" s="101" t="s">
        <v>1664</v>
      </c>
      <c r="G717" s="101">
        <v>1115</v>
      </c>
      <c r="H717" s="102" t="s">
        <v>1283</v>
      </c>
    </row>
    <row r="718" spans="6:8" x14ac:dyDescent="0.2">
      <c r="F718" s="101" t="s">
        <v>1665</v>
      </c>
      <c r="G718" s="101">
        <v>1116</v>
      </c>
      <c r="H718" s="102" t="s">
        <v>1284</v>
      </c>
    </row>
    <row r="719" spans="6:8" x14ac:dyDescent="0.2">
      <c r="F719" s="101" t="s">
        <v>1666</v>
      </c>
      <c r="G719" s="101">
        <v>1117</v>
      </c>
      <c r="H719" s="102" t="s">
        <v>1285</v>
      </c>
    </row>
    <row r="720" spans="6:8" x14ac:dyDescent="0.2">
      <c r="F720" s="101" t="s">
        <v>1667</v>
      </c>
      <c r="G720" s="101">
        <v>1118</v>
      </c>
      <c r="H720" s="102" t="s">
        <v>1286</v>
      </c>
    </row>
    <row r="721" spans="6:8" x14ac:dyDescent="0.2">
      <c r="F721" s="101" t="s">
        <v>1668</v>
      </c>
      <c r="G721" s="101">
        <v>1119</v>
      </c>
      <c r="H721" s="102" t="s">
        <v>1287</v>
      </c>
    </row>
    <row r="722" spans="6:8" x14ac:dyDescent="0.2">
      <c r="F722" s="101" t="s">
        <v>1669</v>
      </c>
      <c r="G722" s="101">
        <v>1120</v>
      </c>
      <c r="H722" s="102" t="s">
        <v>1288</v>
      </c>
    </row>
    <row r="723" spans="6:8" x14ac:dyDescent="0.2">
      <c r="F723" s="101" t="s">
        <v>1670</v>
      </c>
      <c r="G723" s="101">
        <v>1121</v>
      </c>
      <c r="H723" s="102" t="s">
        <v>1289</v>
      </c>
    </row>
    <row r="724" spans="6:8" x14ac:dyDescent="0.2">
      <c r="F724" s="101" t="s">
        <v>1671</v>
      </c>
      <c r="G724" s="101">
        <v>1122</v>
      </c>
      <c r="H724" s="102" t="s">
        <v>1290</v>
      </c>
    </row>
    <row r="725" spans="6:8" x14ac:dyDescent="0.2">
      <c r="F725" s="101" t="s">
        <v>1672</v>
      </c>
      <c r="G725" s="101">
        <v>1123</v>
      </c>
      <c r="H725" s="102" t="s">
        <v>1291</v>
      </c>
    </row>
    <row r="726" spans="6:8" x14ac:dyDescent="0.2">
      <c r="F726" s="101" t="s">
        <v>1673</v>
      </c>
      <c r="G726" s="101">
        <v>1124</v>
      </c>
      <c r="H726" s="102" t="s">
        <v>1292</v>
      </c>
    </row>
    <row r="727" spans="6:8" x14ac:dyDescent="0.2">
      <c r="F727" s="101" t="s">
        <v>1674</v>
      </c>
      <c r="G727" s="101">
        <v>1125</v>
      </c>
      <c r="H727" s="102" t="s">
        <v>1293</v>
      </c>
    </row>
    <row r="728" spans="6:8" x14ac:dyDescent="0.2">
      <c r="F728" s="101" t="s">
        <v>1675</v>
      </c>
      <c r="G728" s="101">
        <v>1126</v>
      </c>
      <c r="H728" s="102" t="s">
        <v>1294</v>
      </c>
    </row>
    <row r="729" spans="6:8" x14ac:dyDescent="0.2">
      <c r="F729" s="101" t="s">
        <v>1676</v>
      </c>
      <c r="G729" s="101">
        <v>1127</v>
      </c>
      <c r="H729" s="102" t="s">
        <v>1295</v>
      </c>
    </row>
    <row r="730" spans="6:8" x14ac:dyDescent="0.2">
      <c r="F730" s="101" t="s">
        <v>1677</v>
      </c>
      <c r="G730" s="101">
        <v>1128</v>
      </c>
      <c r="H730" s="102" t="s">
        <v>1296</v>
      </c>
    </row>
    <row r="731" spans="6:8" x14ac:dyDescent="0.2">
      <c r="F731" s="101" t="s">
        <v>1678</v>
      </c>
      <c r="G731" s="101">
        <v>1129</v>
      </c>
      <c r="H731" s="102" t="s">
        <v>1297</v>
      </c>
    </row>
    <row r="732" spans="6:8" x14ac:dyDescent="0.2">
      <c r="F732" s="101" t="s">
        <v>1679</v>
      </c>
      <c r="G732" s="101">
        <v>1130</v>
      </c>
      <c r="H732" s="102" t="s">
        <v>1297</v>
      </c>
    </row>
    <row r="733" spans="6:8" x14ac:dyDescent="0.2">
      <c r="F733" s="101" t="s">
        <v>1680</v>
      </c>
      <c r="G733" s="101">
        <v>1131</v>
      </c>
      <c r="H733" s="102" t="s">
        <v>1169</v>
      </c>
    </row>
    <row r="734" spans="6:8" x14ac:dyDescent="0.2">
      <c r="F734" s="101" t="s">
        <v>1681</v>
      </c>
      <c r="G734" s="101">
        <v>1132</v>
      </c>
      <c r="H734" s="102" t="s">
        <v>1298</v>
      </c>
    </row>
    <row r="735" spans="6:8" x14ac:dyDescent="0.2">
      <c r="F735" s="101" t="s">
        <v>1682</v>
      </c>
      <c r="G735" s="101">
        <v>1133</v>
      </c>
      <c r="H735" s="102" t="s">
        <v>1299</v>
      </c>
    </row>
    <row r="736" spans="6:8" x14ac:dyDescent="0.2">
      <c r="F736" s="101" t="s">
        <v>1683</v>
      </c>
      <c r="G736" s="101">
        <v>1134</v>
      </c>
      <c r="H736" s="102" t="s">
        <v>1300</v>
      </c>
    </row>
    <row r="737" spans="6:8" x14ac:dyDescent="0.2">
      <c r="F737" s="101" t="s">
        <v>1684</v>
      </c>
      <c r="G737" s="101">
        <v>1135</v>
      </c>
      <c r="H737" s="102" t="s">
        <v>1301</v>
      </c>
    </row>
    <row r="738" spans="6:8" x14ac:dyDescent="0.2">
      <c r="F738" s="101" t="s">
        <v>1685</v>
      </c>
      <c r="G738" s="101">
        <v>1136</v>
      </c>
      <c r="H738" s="102" t="s">
        <v>1302</v>
      </c>
    </row>
    <row r="739" spans="6:8" x14ac:dyDescent="0.2">
      <c r="F739" s="101" t="s">
        <v>1686</v>
      </c>
      <c r="G739" s="101">
        <v>1137</v>
      </c>
      <c r="H739" s="102" t="s">
        <v>1303</v>
      </c>
    </row>
    <row r="740" spans="6:8" x14ac:dyDescent="0.2">
      <c r="F740" s="101" t="s">
        <v>1687</v>
      </c>
      <c r="G740" s="101">
        <v>1138</v>
      </c>
      <c r="H740" s="102" t="s">
        <v>1304</v>
      </c>
    </row>
    <row r="741" spans="6:8" x14ac:dyDescent="0.2">
      <c r="F741" s="101" t="s">
        <v>1688</v>
      </c>
      <c r="G741" s="101">
        <v>1139</v>
      </c>
      <c r="H741" s="102" t="s">
        <v>1305</v>
      </c>
    </row>
    <row r="742" spans="6:8" x14ac:dyDescent="0.2">
      <c r="F742" s="101" t="s">
        <v>1689</v>
      </c>
      <c r="G742" s="101">
        <v>1140</v>
      </c>
      <c r="H742" s="102" t="s">
        <v>1306</v>
      </c>
    </row>
    <row r="743" spans="6:8" x14ac:dyDescent="0.2">
      <c r="F743" s="101" t="s">
        <v>1690</v>
      </c>
      <c r="G743" s="101">
        <v>1141</v>
      </c>
      <c r="H743" s="102" t="s">
        <v>1307</v>
      </c>
    </row>
    <row r="744" spans="6:8" x14ac:dyDescent="0.2">
      <c r="F744" s="101" t="s">
        <v>1691</v>
      </c>
      <c r="G744" s="101">
        <v>1142</v>
      </c>
      <c r="H744" s="102" t="s">
        <v>1308</v>
      </c>
    </row>
    <row r="745" spans="6:8" x14ac:dyDescent="0.2">
      <c r="F745" s="101" t="s">
        <v>1692</v>
      </c>
      <c r="G745" s="101">
        <v>1143</v>
      </c>
      <c r="H745" s="102" t="s">
        <v>1309</v>
      </c>
    </row>
    <row r="746" spans="6:8" x14ac:dyDescent="0.2">
      <c r="F746" s="101" t="s">
        <v>1693</v>
      </c>
      <c r="G746" s="101">
        <v>1144</v>
      </c>
      <c r="H746" s="102" t="s">
        <v>1310</v>
      </c>
    </row>
    <row r="747" spans="6:8" x14ac:dyDescent="0.2">
      <c r="F747" s="101" t="s">
        <v>1694</v>
      </c>
      <c r="G747" s="101">
        <v>1145</v>
      </c>
      <c r="H747" s="102" t="s">
        <v>1311</v>
      </c>
    </row>
    <row r="748" spans="6:8" x14ac:dyDescent="0.2">
      <c r="F748" s="101" t="s">
        <v>1695</v>
      </c>
      <c r="G748" s="101">
        <v>1146</v>
      </c>
      <c r="H748" s="102" t="s">
        <v>1312</v>
      </c>
    </row>
    <row r="749" spans="6:8" x14ac:dyDescent="0.2">
      <c r="F749" s="101" t="s">
        <v>1696</v>
      </c>
      <c r="G749" s="101">
        <v>1147</v>
      </c>
      <c r="H749" s="102" t="s">
        <v>1313</v>
      </c>
    </row>
    <row r="750" spans="6:8" x14ac:dyDescent="0.2">
      <c r="F750" s="101" t="s">
        <v>1697</v>
      </c>
      <c r="G750" s="101">
        <v>1148</v>
      </c>
      <c r="H750" s="102" t="s">
        <v>1314</v>
      </c>
    </row>
    <row r="751" spans="6:8" x14ac:dyDescent="0.2">
      <c r="F751" s="101" t="s">
        <v>1698</v>
      </c>
      <c r="G751" s="101">
        <v>1149</v>
      </c>
      <c r="H751" s="102" t="s">
        <v>1315</v>
      </c>
    </row>
    <row r="752" spans="6:8" x14ac:dyDescent="0.2">
      <c r="F752" s="101" t="s">
        <v>1699</v>
      </c>
      <c r="G752" s="101">
        <v>1150</v>
      </c>
      <c r="H752" s="102" t="s">
        <v>1316</v>
      </c>
    </row>
    <row r="753" spans="6:8" x14ac:dyDescent="0.2">
      <c r="F753" s="101" t="s">
        <v>1700</v>
      </c>
      <c r="G753" s="101">
        <v>1151</v>
      </c>
      <c r="H753" s="102" t="s">
        <v>1317</v>
      </c>
    </row>
    <row r="754" spans="6:8" x14ac:dyDescent="0.2">
      <c r="F754" s="101" t="s">
        <v>1701</v>
      </c>
      <c r="G754" s="101">
        <v>1152</v>
      </c>
      <c r="H754" s="102" t="s">
        <v>1318</v>
      </c>
    </row>
    <row r="755" spans="6:8" x14ac:dyDescent="0.2">
      <c r="F755" s="101" t="s">
        <v>1702</v>
      </c>
      <c r="G755" s="101">
        <v>1153</v>
      </c>
      <c r="H755" s="102" t="s">
        <v>1319</v>
      </c>
    </row>
    <row r="756" spans="6:8" x14ac:dyDescent="0.2">
      <c r="F756" s="101" t="s">
        <v>1703</v>
      </c>
      <c r="G756" s="101">
        <v>1154</v>
      </c>
      <c r="H756" s="102" t="s">
        <v>1320</v>
      </c>
    </row>
    <row r="757" spans="6:8" x14ac:dyDescent="0.2">
      <c r="F757" s="101" t="s">
        <v>1704</v>
      </c>
      <c r="G757" s="101">
        <v>1155</v>
      </c>
      <c r="H757" s="102" t="s">
        <v>1321</v>
      </c>
    </row>
    <row r="758" spans="6:8" x14ac:dyDescent="0.2">
      <c r="F758" s="101" t="s">
        <v>1705</v>
      </c>
      <c r="G758" s="101">
        <v>1156</v>
      </c>
      <c r="H758" s="102" t="s">
        <v>1322</v>
      </c>
    </row>
    <row r="759" spans="6:8" x14ac:dyDescent="0.2">
      <c r="F759" s="101" t="s">
        <v>1706</v>
      </c>
      <c r="G759" s="101">
        <v>1157</v>
      </c>
      <c r="H759" s="102" t="s">
        <v>1323</v>
      </c>
    </row>
    <row r="760" spans="6:8" x14ac:dyDescent="0.2">
      <c r="F760" s="101" t="s">
        <v>1707</v>
      </c>
      <c r="G760" s="101">
        <v>1158</v>
      </c>
      <c r="H760" s="102" t="s">
        <v>1324</v>
      </c>
    </row>
    <row r="761" spans="6:8" x14ac:dyDescent="0.2">
      <c r="F761" s="101" t="s">
        <v>1708</v>
      </c>
      <c r="G761" s="101">
        <v>1159</v>
      </c>
      <c r="H761" s="102" t="s">
        <v>1325</v>
      </c>
    </row>
    <row r="762" spans="6:8" x14ac:dyDescent="0.2">
      <c r="F762" s="101" t="s">
        <v>1709</v>
      </c>
      <c r="G762" s="101">
        <v>1160</v>
      </c>
      <c r="H762" s="102" t="s">
        <v>1326</v>
      </c>
    </row>
    <row r="763" spans="6:8" x14ac:dyDescent="0.2">
      <c r="F763" s="101" t="s">
        <v>1710</v>
      </c>
      <c r="G763" s="101">
        <v>1161</v>
      </c>
      <c r="H763" s="102" t="s">
        <v>1327</v>
      </c>
    </row>
    <row r="764" spans="6:8" x14ac:dyDescent="0.2">
      <c r="F764" s="101" t="s">
        <v>1711</v>
      </c>
      <c r="G764" s="101">
        <v>1162</v>
      </c>
      <c r="H764" s="102" t="s">
        <v>1328</v>
      </c>
    </row>
    <row r="765" spans="6:8" x14ac:dyDescent="0.2">
      <c r="F765" s="101" t="s">
        <v>1712</v>
      </c>
      <c r="G765" s="101">
        <v>1163</v>
      </c>
      <c r="H765" s="102" t="s">
        <v>1329</v>
      </c>
    </row>
    <row r="766" spans="6:8" x14ac:dyDescent="0.2">
      <c r="F766" s="101" t="s">
        <v>1713</v>
      </c>
      <c r="G766" s="101">
        <v>1164</v>
      </c>
      <c r="H766" s="102" t="s">
        <v>1330</v>
      </c>
    </row>
    <row r="767" spans="6:8" x14ac:dyDescent="0.2">
      <c r="F767" s="101" t="s">
        <v>1714</v>
      </c>
      <c r="G767" s="101">
        <v>1165</v>
      </c>
      <c r="H767" s="102" t="s">
        <v>1331</v>
      </c>
    </row>
    <row r="768" spans="6:8" x14ac:dyDescent="0.2">
      <c r="F768" s="101" t="s">
        <v>1715</v>
      </c>
      <c r="G768" s="101">
        <v>1166</v>
      </c>
      <c r="H768" s="102" t="s">
        <v>1332</v>
      </c>
    </row>
    <row r="769" spans="6:8" x14ac:dyDescent="0.2">
      <c r="F769" s="101" t="s">
        <v>1716</v>
      </c>
      <c r="G769" s="101">
        <v>1167</v>
      </c>
      <c r="H769" s="102" t="s">
        <v>1333</v>
      </c>
    </row>
    <row r="770" spans="6:8" x14ac:dyDescent="0.2">
      <c r="F770" s="101" t="s">
        <v>1717</v>
      </c>
      <c r="G770" s="101">
        <v>1168</v>
      </c>
      <c r="H770" s="102" t="s">
        <v>1334</v>
      </c>
    </row>
    <row r="771" spans="6:8" x14ac:dyDescent="0.2">
      <c r="F771" s="101" t="s">
        <v>1718</v>
      </c>
      <c r="G771" s="101">
        <v>1169</v>
      </c>
      <c r="H771" s="102" t="s">
        <v>1335</v>
      </c>
    </row>
    <row r="772" spans="6:8" x14ac:dyDescent="0.2">
      <c r="F772" s="101" t="s">
        <v>1719</v>
      </c>
      <c r="G772" s="101">
        <v>1170</v>
      </c>
      <c r="H772" s="102" t="s">
        <v>1336</v>
      </c>
    </row>
    <row r="773" spans="6:8" x14ac:dyDescent="0.2">
      <c r="F773" s="101" t="s">
        <v>1720</v>
      </c>
      <c r="G773" s="101">
        <v>1171</v>
      </c>
      <c r="H773" s="102" t="s">
        <v>1337</v>
      </c>
    </row>
    <row r="774" spans="6:8" x14ac:dyDescent="0.2">
      <c r="F774" s="101" t="s">
        <v>1721</v>
      </c>
      <c r="G774" s="101">
        <v>1172</v>
      </c>
      <c r="H774" s="102" t="s">
        <v>1338</v>
      </c>
    </row>
    <row r="775" spans="6:8" x14ac:dyDescent="0.2">
      <c r="F775" s="101" t="s">
        <v>1722</v>
      </c>
      <c r="G775" s="101">
        <v>1173</v>
      </c>
      <c r="H775" s="102" t="s">
        <v>1339</v>
      </c>
    </row>
    <row r="776" spans="6:8" x14ac:dyDescent="0.2">
      <c r="F776" s="101" t="s">
        <v>1723</v>
      </c>
      <c r="G776" s="101">
        <v>1174</v>
      </c>
      <c r="H776" s="102" t="s">
        <v>1340</v>
      </c>
    </row>
    <row r="777" spans="6:8" x14ac:dyDescent="0.2">
      <c r="F777" s="101" t="s">
        <v>1724</v>
      </c>
      <c r="G777" s="101">
        <v>1175</v>
      </c>
      <c r="H777" s="102" t="s">
        <v>1341</v>
      </c>
    </row>
    <row r="778" spans="6:8" x14ac:dyDescent="0.2">
      <c r="F778" s="101" t="s">
        <v>1725</v>
      </c>
      <c r="G778" s="101">
        <v>1176</v>
      </c>
      <c r="H778" s="102" t="s">
        <v>1342</v>
      </c>
    </row>
    <row r="779" spans="6:8" x14ac:dyDescent="0.2">
      <c r="F779" s="101" t="s">
        <v>1726</v>
      </c>
      <c r="G779" s="101">
        <v>1177</v>
      </c>
      <c r="H779" s="102" t="s">
        <v>1343</v>
      </c>
    </row>
    <row r="780" spans="6:8" x14ac:dyDescent="0.2">
      <c r="F780" s="101" t="s">
        <v>1727</v>
      </c>
      <c r="G780" s="101">
        <v>1178</v>
      </c>
      <c r="H780" s="102" t="s">
        <v>1344</v>
      </c>
    </row>
    <row r="781" spans="6:8" x14ac:dyDescent="0.2">
      <c r="F781" s="101" t="s">
        <v>1728</v>
      </c>
      <c r="G781" s="101">
        <v>1179</v>
      </c>
      <c r="H781" s="102" t="s">
        <v>1345</v>
      </c>
    </row>
    <row r="782" spans="6:8" x14ac:dyDescent="0.2">
      <c r="F782" s="101" t="s">
        <v>1729</v>
      </c>
      <c r="G782" s="101">
        <v>1180</v>
      </c>
      <c r="H782" s="102" t="s">
        <v>1346</v>
      </c>
    </row>
    <row r="783" spans="6:8" x14ac:dyDescent="0.2">
      <c r="F783" s="101" t="s">
        <v>1730</v>
      </c>
      <c r="G783" s="101">
        <v>1181</v>
      </c>
      <c r="H783" s="102" t="s">
        <v>1347</v>
      </c>
    </row>
    <row r="784" spans="6:8" x14ac:dyDescent="0.2">
      <c r="F784" s="101" t="s">
        <v>1731</v>
      </c>
      <c r="G784" s="101">
        <v>1182</v>
      </c>
      <c r="H784" s="102" t="s">
        <v>1348</v>
      </c>
    </row>
    <row r="785" spans="6:8" x14ac:dyDescent="0.2">
      <c r="F785" s="101" t="s">
        <v>1732</v>
      </c>
      <c r="G785" s="101">
        <v>1183</v>
      </c>
      <c r="H785" s="102" t="s">
        <v>1349</v>
      </c>
    </row>
    <row r="786" spans="6:8" x14ac:dyDescent="0.2">
      <c r="F786" s="101" t="s">
        <v>1733</v>
      </c>
      <c r="G786" s="101">
        <v>1184</v>
      </c>
      <c r="H786" s="102" t="s">
        <v>1350</v>
      </c>
    </row>
    <row r="787" spans="6:8" x14ac:dyDescent="0.2">
      <c r="F787" s="101" t="s">
        <v>1734</v>
      </c>
      <c r="G787" s="101">
        <v>1185</v>
      </c>
      <c r="H787" s="102" t="s">
        <v>1351</v>
      </c>
    </row>
    <row r="788" spans="6:8" x14ac:dyDescent="0.2">
      <c r="F788" s="101" t="s">
        <v>1735</v>
      </c>
      <c r="G788" s="101">
        <v>1186</v>
      </c>
      <c r="H788" s="102" t="s">
        <v>1352</v>
      </c>
    </row>
    <row r="789" spans="6:8" x14ac:dyDescent="0.2">
      <c r="F789" s="101" t="s">
        <v>1736</v>
      </c>
      <c r="G789" s="101">
        <v>1187</v>
      </c>
      <c r="H789" s="102" t="s">
        <v>1353</v>
      </c>
    </row>
    <row r="790" spans="6:8" x14ac:dyDescent="0.2">
      <c r="F790" s="101" t="s">
        <v>1737</v>
      </c>
      <c r="G790" s="101">
        <v>1188</v>
      </c>
      <c r="H790" s="102" t="s">
        <v>1354</v>
      </c>
    </row>
    <row r="791" spans="6:8" x14ac:dyDescent="0.2">
      <c r="F791" s="101" t="s">
        <v>1738</v>
      </c>
      <c r="G791" s="101">
        <v>1189</v>
      </c>
      <c r="H791" s="102" t="s">
        <v>1355</v>
      </c>
    </row>
    <row r="792" spans="6:8" x14ac:dyDescent="0.2">
      <c r="F792" s="101" t="s">
        <v>1739</v>
      </c>
      <c r="G792" s="101">
        <v>1190</v>
      </c>
      <c r="H792" s="102" t="s">
        <v>1356</v>
      </c>
    </row>
    <row r="793" spans="6:8" x14ac:dyDescent="0.2">
      <c r="F793" s="101" t="s">
        <v>1740</v>
      </c>
      <c r="G793" s="101">
        <v>1191</v>
      </c>
      <c r="H793" s="102" t="s">
        <v>1357</v>
      </c>
    </row>
    <row r="794" spans="6:8" x14ac:dyDescent="0.2">
      <c r="F794" s="101" t="s">
        <v>1741</v>
      </c>
      <c r="G794" s="101">
        <v>1192</v>
      </c>
      <c r="H794" s="102" t="s">
        <v>1358</v>
      </c>
    </row>
    <row r="795" spans="6:8" x14ac:dyDescent="0.2">
      <c r="F795" s="101" t="s">
        <v>1742</v>
      </c>
      <c r="G795" s="101">
        <v>1193</v>
      </c>
      <c r="H795" s="102" t="s">
        <v>1359</v>
      </c>
    </row>
    <row r="796" spans="6:8" x14ac:dyDescent="0.2">
      <c r="F796" s="101" t="s">
        <v>1743</v>
      </c>
      <c r="G796" s="101">
        <v>1194</v>
      </c>
      <c r="H796" s="102" t="s">
        <v>1360</v>
      </c>
    </row>
    <row r="797" spans="6:8" x14ac:dyDescent="0.2">
      <c r="F797" s="101" t="s">
        <v>1744</v>
      </c>
      <c r="G797" s="101">
        <v>1195</v>
      </c>
      <c r="H797" s="102" t="s">
        <v>1361</v>
      </c>
    </row>
    <row r="798" spans="6:8" x14ac:dyDescent="0.2">
      <c r="F798" s="101" t="s">
        <v>1745</v>
      </c>
      <c r="G798" s="101">
        <v>1196</v>
      </c>
      <c r="H798" s="102" t="s">
        <v>1362</v>
      </c>
    </row>
    <row r="799" spans="6:8" x14ac:dyDescent="0.2">
      <c r="F799" s="101" t="s">
        <v>1746</v>
      </c>
      <c r="G799" s="101">
        <v>1197</v>
      </c>
      <c r="H799" s="102" t="s">
        <v>1363</v>
      </c>
    </row>
    <row r="800" spans="6:8" x14ac:dyDescent="0.2">
      <c r="F800" s="101" t="s">
        <v>1747</v>
      </c>
      <c r="G800" s="101">
        <v>1198</v>
      </c>
      <c r="H800" s="102" t="s">
        <v>1364</v>
      </c>
    </row>
    <row r="801" spans="6:8" x14ac:dyDescent="0.2">
      <c r="F801" s="101" t="s">
        <v>1748</v>
      </c>
      <c r="G801" s="101">
        <v>1199</v>
      </c>
      <c r="H801" s="102" t="s">
        <v>1365</v>
      </c>
    </row>
    <row r="802" spans="6:8" x14ac:dyDescent="0.2">
      <c r="F802" s="101" t="s">
        <v>1749</v>
      </c>
      <c r="G802" s="101">
        <v>1200</v>
      </c>
      <c r="H802" s="102" t="s">
        <v>1366</v>
      </c>
    </row>
    <row r="803" spans="6:8" x14ac:dyDescent="0.2">
      <c r="F803" s="101" t="s">
        <v>1750</v>
      </c>
      <c r="G803" s="101">
        <v>1201</v>
      </c>
      <c r="H803" s="102" t="s">
        <v>1367</v>
      </c>
    </row>
    <row r="804" spans="6:8" x14ac:dyDescent="0.2">
      <c r="F804" s="101" t="s">
        <v>1751</v>
      </c>
      <c r="G804" s="101">
        <v>1202</v>
      </c>
      <c r="H804" s="102" t="s">
        <v>1368</v>
      </c>
    </row>
    <row r="805" spans="6:8" x14ac:dyDescent="0.2">
      <c r="F805" s="101" t="s">
        <v>1752</v>
      </c>
      <c r="G805" s="101">
        <v>1203</v>
      </c>
      <c r="H805" s="102" t="s">
        <v>1369</v>
      </c>
    </row>
    <row r="806" spans="6:8" x14ac:dyDescent="0.2">
      <c r="F806" s="101" t="s">
        <v>1753</v>
      </c>
      <c r="G806" s="101">
        <v>1204</v>
      </c>
      <c r="H806" s="102" t="s">
        <v>1370</v>
      </c>
    </row>
    <row r="807" spans="6:8" x14ac:dyDescent="0.2">
      <c r="F807" s="101" t="s">
        <v>1754</v>
      </c>
      <c r="G807" s="101">
        <v>1205</v>
      </c>
      <c r="H807" s="102" t="s">
        <v>1371</v>
      </c>
    </row>
    <row r="808" spans="6:8" x14ac:dyDescent="0.2">
      <c r="F808" s="101" t="s">
        <v>1755</v>
      </c>
      <c r="G808" s="101">
        <v>1206</v>
      </c>
      <c r="H808" s="102" t="s">
        <v>1372</v>
      </c>
    </row>
    <row r="809" spans="6:8" x14ac:dyDescent="0.2">
      <c r="F809" s="101" t="s">
        <v>1756</v>
      </c>
      <c r="G809" s="101">
        <v>1207</v>
      </c>
      <c r="H809" s="102" t="s">
        <v>1373</v>
      </c>
    </row>
    <row r="810" spans="6:8" x14ac:dyDescent="0.2">
      <c r="F810" s="101" t="s">
        <v>1757</v>
      </c>
      <c r="G810" s="101">
        <v>1208</v>
      </c>
      <c r="H810" s="102" t="s">
        <v>1373</v>
      </c>
    </row>
    <row r="811" spans="6:8" x14ac:dyDescent="0.2">
      <c r="F811" s="101" t="s">
        <v>1758</v>
      </c>
      <c r="G811" s="101">
        <v>1209</v>
      </c>
      <c r="H811" s="102" t="s">
        <v>1374</v>
      </c>
    </row>
    <row r="812" spans="6:8" x14ac:dyDescent="0.2">
      <c r="F812" s="101" t="s">
        <v>1759</v>
      </c>
      <c r="G812" s="101">
        <v>1210</v>
      </c>
      <c r="H812" s="102" t="s">
        <v>1375</v>
      </c>
    </row>
    <row r="813" spans="6:8" x14ac:dyDescent="0.2">
      <c r="F813" s="101" t="s">
        <v>1760</v>
      </c>
      <c r="G813" s="101">
        <v>1211</v>
      </c>
      <c r="H813" s="102" t="s">
        <v>1376</v>
      </c>
    </row>
    <row r="814" spans="6:8" x14ac:dyDescent="0.2">
      <c r="F814" s="101" t="s">
        <v>1761</v>
      </c>
      <c r="G814" s="101">
        <v>1212</v>
      </c>
      <c r="H814" s="102" t="s">
        <v>1377</v>
      </c>
    </row>
    <row r="815" spans="6:8" x14ac:dyDescent="0.2">
      <c r="F815" s="101" t="s">
        <v>1762</v>
      </c>
      <c r="G815" s="101">
        <v>1213</v>
      </c>
      <c r="H815" s="102" t="s">
        <v>1378</v>
      </c>
    </row>
    <row r="816" spans="6:8" x14ac:dyDescent="0.2">
      <c r="F816" s="101" t="s">
        <v>1763</v>
      </c>
      <c r="G816" s="101">
        <v>1214</v>
      </c>
      <c r="H816" s="102" t="s">
        <v>1379</v>
      </c>
    </row>
    <row r="817" spans="6:8" x14ac:dyDescent="0.2">
      <c r="F817" s="101" t="s">
        <v>1764</v>
      </c>
      <c r="G817" s="101">
        <v>1215</v>
      </c>
      <c r="H817" s="102" t="s">
        <v>1380</v>
      </c>
    </row>
    <row r="818" spans="6:8" x14ac:dyDescent="0.2">
      <c r="F818" s="101" t="s">
        <v>1765</v>
      </c>
      <c r="G818" s="101">
        <v>1216</v>
      </c>
      <c r="H818" s="102" t="s">
        <v>1381</v>
      </c>
    </row>
    <row r="819" spans="6:8" x14ac:dyDescent="0.2">
      <c r="F819" s="101" t="s">
        <v>1766</v>
      </c>
      <c r="G819" s="101">
        <v>1217</v>
      </c>
      <c r="H819" s="102" t="s">
        <v>1382</v>
      </c>
    </row>
    <row r="820" spans="6:8" x14ac:dyDescent="0.2">
      <c r="F820" s="101" t="s">
        <v>1767</v>
      </c>
      <c r="G820" s="101">
        <v>1218</v>
      </c>
      <c r="H820" s="102" t="s">
        <v>1383</v>
      </c>
    </row>
    <row r="821" spans="6:8" x14ac:dyDescent="0.2">
      <c r="F821" s="101" t="s">
        <v>1768</v>
      </c>
      <c r="G821" s="101">
        <v>1219</v>
      </c>
      <c r="H821" s="102" t="s">
        <v>1384</v>
      </c>
    </row>
    <row r="822" spans="6:8" x14ac:dyDescent="0.2">
      <c r="F822" s="101" t="s">
        <v>1769</v>
      </c>
      <c r="G822" s="101">
        <v>1220</v>
      </c>
      <c r="H822" s="102" t="s">
        <v>1385</v>
      </c>
    </row>
    <row r="823" spans="6:8" x14ac:dyDescent="0.2">
      <c r="F823" s="101" t="s">
        <v>1770</v>
      </c>
      <c r="G823" s="101">
        <v>1221</v>
      </c>
      <c r="H823" s="102" t="s">
        <v>1386</v>
      </c>
    </row>
    <row r="824" spans="6:8" x14ac:dyDescent="0.2">
      <c r="F824" s="101" t="s">
        <v>1771</v>
      </c>
      <c r="G824" s="101">
        <v>1222</v>
      </c>
      <c r="H824" s="102" t="s">
        <v>1387</v>
      </c>
    </row>
    <row r="825" spans="6:8" x14ac:dyDescent="0.2">
      <c r="F825" s="101" t="s">
        <v>1772</v>
      </c>
      <c r="G825" s="101">
        <v>1223</v>
      </c>
      <c r="H825" s="102" t="s">
        <v>1388</v>
      </c>
    </row>
    <row r="826" spans="6:8" x14ac:dyDescent="0.2">
      <c r="F826" s="101" t="s">
        <v>1773</v>
      </c>
      <c r="G826" s="101">
        <v>1224</v>
      </c>
      <c r="H826" s="102" t="s">
        <v>1389</v>
      </c>
    </row>
    <row r="827" spans="6:8" x14ac:dyDescent="0.2">
      <c r="F827" s="101" t="s">
        <v>1774</v>
      </c>
      <c r="G827" s="101">
        <v>1225</v>
      </c>
      <c r="H827" s="102" t="s">
        <v>1390</v>
      </c>
    </row>
    <row r="828" spans="6:8" x14ac:dyDescent="0.2">
      <c r="F828" s="101" t="s">
        <v>1775</v>
      </c>
      <c r="G828" s="101">
        <v>1226</v>
      </c>
      <c r="H828" s="102" t="s">
        <v>1391</v>
      </c>
    </row>
    <row r="829" spans="6:8" x14ac:dyDescent="0.2">
      <c r="F829" s="101" t="s">
        <v>1776</v>
      </c>
      <c r="G829" s="101">
        <v>1227</v>
      </c>
      <c r="H829" s="102" t="s">
        <v>1392</v>
      </c>
    </row>
    <row r="830" spans="6:8" x14ac:dyDescent="0.2">
      <c r="F830" s="101" t="s">
        <v>1777</v>
      </c>
      <c r="G830" s="101">
        <v>1228</v>
      </c>
      <c r="H830" s="102" t="s">
        <v>1393</v>
      </c>
    </row>
    <row r="831" spans="6:8" x14ac:dyDescent="0.2">
      <c r="F831" s="101" t="s">
        <v>1778</v>
      </c>
      <c r="G831" s="101">
        <v>1229</v>
      </c>
      <c r="H831" s="102" t="s">
        <v>1394</v>
      </c>
    </row>
    <row r="832" spans="6:8" x14ac:dyDescent="0.2">
      <c r="F832" s="101" t="s">
        <v>1779</v>
      </c>
      <c r="G832" s="101">
        <v>1230</v>
      </c>
      <c r="H832" s="102" t="s">
        <v>1395</v>
      </c>
    </row>
    <row r="833" spans="6:8" x14ac:dyDescent="0.2">
      <c r="F833" s="101" t="s">
        <v>1780</v>
      </c>
      <c r="G833" s="101">
        <v>1231</v>
      </c>
      <c r="H833" s="102" t="s">
        <v>1396</v>
      </c>
    </row>
    <row r="834" spans="6:8" x14ac:dyDescent="0.2">
      <c r="F834" s="101" t="s">
        <v>1781</v>
      </c>
      <c r="G834" s="101">
        <v>1232</v>
      </c>
      <c r="H834" s="102" t="s">
        <v>1397</v>
      </c>
    </row>
    <row r="835" spans="6:8" x14ac:dyDescent="0.2">
      <c r="F835" s="101" t="s">
        <v>1782</v>
      </c>
      <c r="G835" s="101">
        <v>1233</v>
      </c>
      <c r="H835" s="102" t="s">
        <v>1398</v>
      </c>
    </row>
    <row r="836" spans="6:8" x14ac:dyDescent="0.2">
      <c r="F836" s="101" t="s">
        <v>1783</v>
      </c>
      <c r="G836" s="101">
        <v>1234</v>
      </c>
      <c r="H836" s="102" t="s">
        <v>1399</v>
      </c>
    </row>
    <row r="837" spans="6:8" x14ac:dyDescent="0.2">
      <c r="F837" s="101" t="s">
        <v>1784</v>
      </c>
      <c r="G837" s="101">
        <v>1235</v>
      </c>
      <c r="H837" s="102" t="s">
        <v>1400</v>
      </c>
    </row>
    <row r="838" spans="6:8" x14ac:dyDescent="0.2">
      <c r="F838" s="101" t="s">
        <v>1785</v>
      </c>
      <c r="G838" s="101">
        <v>1236</v>
      </c>
      <c r="H838" s="102" t="s">
        <v>1401</v>
      </c>
    </row>
    <row r="839" spans="6:8" x14ac:dyDescent="0.2">
      <c r="F839" s="101" t="s">
        <v>1786</v>
      </c>
      <c r="G839" s="101">
        <v>1237</v>
      </c>
      <c r="H839" s="102" t="s">
        <v>1402</v>
      </c>
    </row>
    <row r="840" spans="6:8" x14ac:dyDescent="0.2">
      <c r="F840" s="101" t="s">
        <v>1787</v>
      </c>
      <c r="G840" s="101">
        <v>1238</v>
      </c>
      <c r="H840" s="102" t="s">
        <v>1403</v>
      </c>
    </row>
    <row r="841" spans="6:8" x14ac:dyDescent="0.2">
      <c r="F841" s="101" t="s">
        <v>1788</v>
      </c>
      <c r="G841" s="101">
        <v>1239</v>
      </c>
      <c r="H841" s="102" t="s">
        <v>1404</v>
      </c>
    </row>
    <row r="842" spans="6:8" x14ac:dyDescent="0.2">
      <c r="F842" s="101" t="s">
        <v>1789</v>
      </c>
      <c r="G842" s="101">
        <v>1240</v>
      </c>
      <c r="H842" s="102" t="s">
        <v>1405</v>
      </c>
    </row>
    <row r="843" spans="6:8" x14ac:dyDescent="0.2">
      <c r="F843" s="101" t="s">
        <v>1790</v>
      </c>
      <c r="G843" s="101">
        <v>1241</v>
      </c>
      <c r="H843" s="102" t="s">
        <v>1406</v>
      </c>
    </row>
    <row r="844" spans="6:8" x14ac:dyDescent="0.2">
      <c r="F844" s="101" t="s">
        <v>1791</v>
      </c>
      <c r="G844" s="101">
        <v>1242</v>
      </c>
      <c r="H844" s="102" t="s">
        <v>1407</v>
      </c>
    </row>
    <row r="845" spans="6:8" x14ac:dyDescent="0.2">
      <c r="F845" s="101" t="s">
        <v>1792</v>
      </c>
      <c r="G845" s="101">
        <v>1243</v>
      </c>
      <c r="H845" s="102" t="s">
        <v>1408</v>
      </c>
    </row>
    <row r="846" spans="6:8" x14ac:dyDescent="0.2">
      <c r="F846" s="101" t="s">
        <v>1793</v>
      </c>
      <c r="G846" s="101">
        <v>1244</v>
      </c>
      <c r="H846" s="102" t="s">
        <v>1409</v>
      </c>
    </row>
    <row r="847" spans="6:8" x14ac:dyDescent="0.2">
      <c r="F847" s="101" t="s">
        <v>1794</v>
      </c>
      <c r="G847" s="101">
        <v>1245</v>
      </c>
      <c r="H847" s="102" t="s">
        <v>1410</v>
      </c>
    </row>
    <row r="848" spans="6:8" x14ac:dyDescent="0.2">
      <c r="F848" s="101" t="s">
        <v>1795</v>
      </c>
      <c r="G848" s="101">
        <v>1246</v>
      </c>
      <c r="H848" s="102" t="s">
        <v>1411</v>
      </c>
    </row>
    <row r="849" spans="6:8" x14ac:dyDescent="0.2">
      <c r="F849" s="101" t="s">
        <v>1796</v>
      </c>
      <c r="G849" s="101">
        <v>1247</v>
      </c>
      <c r="H849" s="102" t="s">
        <v>1412</v>
      </c>
    </row>
    <row r="850" spans="6:8" x14ac:dyDescent="0.2">
      <c r="F850" s="101" t="s">
        <v>1797</v>
      </c>
      <c r="G850" s="101">
        <v>1248</v>
      </c>
      <c r="H850" s="102" t="s">
        <v>1413</v>
      </c>
    </row>
    <row r="851" spans="6:8" x14ac:dyDescent="0.2">
      <c r="F851" s="101" t="s">
        <v>1798</v>
      </c>
      <c r="G851" s="101">
        <v>1249</v>
      </c>
      <c r="H851" s="102" t="s">
        <v>1414</v>
      </c>
    </row>
    <row r="852" spans="6:8" x14ac:dyDescent="0.2">
      <c r="F852" s="101" t="s">
        <v>1799</v>
      </c>
      <c r="G852" s="101">
        <v>1250</v>
      </c>
      <c r="H852" s="102" t="s">
        <v>1415</v>
      </c>
    </row>
    <row r="853" spans="6:8" x14ac:dyDescent="0.2">
      <c r="F853" s="101" t="s">
        <v>1800</v>
      </c>
      <c r="G853" s="101">
        <v>1251</v>
      </c>
      <c r="H853" s="102" t="s">
        <v>1416</v>
      </c>
    </row>
    <row r="854" spans="6:8" x14ac:dyDescent="0.2">
      <c r="F854" s="101" t="s">
        <v>1801</v>
      </c>
      <c r="G854" s="101">
        <v>1252</v>
      </c>
      <c r="H854" s="102" t="s">
        <v>1924</v>
      </c>
    </row>
    <row r="855" spans="6:8" x14ac:dyDescent="0.2">
      <c r="F855" s="101" t="s">
        <v>1802</v>
      </c>
      <c r="G855" s="101">
        <v>1253</v>
      </c>
      <c r="H855" s="102" t="s">
        <v>1417</v>
      </c>
    </row>
    <row r="856" spans="6:8" x14ac:dyDescent="0.2">
      <c r="F856" s="101" t="s">
        <v>1803</v>
      </c>
      <c r="G856" s="101">
        <v>1254</v>
      </c>
      <c r="H856" s="102" t="s">
        <v>1418</v>
      </c>
    </row>
    <row r="857" spans="6:8" x14ac:dyDescent="0.2">
      <c r="F857" s="101" t="s">
        <v>1804</v>
      </c>
      <c r="G857" s="101">
        <v>1255</v>
      </c>
      <c r="H857" s="102" t="s">
        <v>1419</v>
      </c>
    </row>
    <row r="858" spans="6:8" x14ac:dyDescent="0.2">
      <c r="F858" s="101" t="s">
        <v>1805</v>
      </c>
      <c r="G858" s="101">
        <v>1256</v>
      </c>
      <c r="H858" s="102" t="s">
        <v>1420</v>
      </c>
    </row>
    <row r="859" spans="6:8" x14ac:dyDescent="0.2">
      <c r="F859" s="101" t="s">
        <v>1806</v>
      </c>
      <c r="G859" s="101">
        <v>1257</v>
      </c>
      <c r="H859" s="102" t="s">
        <v>1421</v>
      </c>
    </row>
    <row r="860" spans="6:8" x14ac:dyDescent="0.2">
      <c r="F860" s="101" t="s">
        <v>1807</v>
      </c>
      <c r="G860" s="101">
        <v>1258</v>
      </c>
      <c r="H860" s="102" t="s">
        <v>1422</v>
      </c>
    </row>
    <row r="861" spans="6:8" x14ac:dyDescent="0.2">
      <c r="F861" s="101" t="s">
        <v>1808</v>
      </c>
      <c r="G861" s="101">
        <v>1259</v>
      </c>
      <c r="H861" s="102" t="s">
        <v>1423</v>
      </c>
    </row>
    <row r="862" spans="6:8" x14ac:dyDescent="0.2">
      <c r="F862" s="101" t="s">
        <v>1809</v>
      </c>
      <c r="G862" s="101">
        <v>1260</v>
      </c>
      <c r="H862" s="102" t="s">
        <v>1424</v>
      </c>
    </row>
    <row r="863" spans="6:8" x14ac:dyDescent="0.2">
      <c r="F863" s="101" t="s">
        <v>1810</v>
      </c>
      <c r="G863" s="101">
        <v>1261</v>
      </c>
      <c r="H863" s="102" t="s">
        <v>1425</v>
      </c>
    </row>
    <row r="864" spans="6:8" x14ac:dyDescent="0.2">
      <c r="F864" s="101" t="s">
        <v>1811</v>
      </c>
      <c r="G864" s="101">
        <v>1262</v>
      </c>
      <c r="H864" s="102" t="s">
        <v>1426</v>
      </c>
    </row>
    <row r="865" spans="6:8" x14ac:dyDescent="0.2">
      <c r="F865" s="101" t="s">
        <v>1812</v>
      </c>
      <c r="G865" s="101">
        <v>1263</v>
      </c>
      <c r="H865" s="102" t="s">
        <v>1427</v>
      </c>
    </row>
    <row r="866" spans="6:8" x14ac:dyDescent="0.2">
      <c r="F866" s="101" t="s">
        <v>1813</v>
      </c>
      <c r="G866" s="101">
        <v>1264</v>
      </c>
      <c r="H866" s="102" t="s">
        <v>1428</v>
      </c>
    </row>
    <row r="867" spans="6:8" x14ac:dyDescent="0.2">
      <c r="F867" s="101" t="s">
        <v>1814</v>
      </c>
      <c r="G867" s="101">
        <v>1265</v>
      </c>
      <c r="H867" s="102" t="s">
        <v>1429</v>
      </c>
    </row>
    <row r="868" spans="6:8" x14ac:dyDescent="0.2">
      <c r="F868" s="101" t="s">
        <v>1815</v>
      </c>
      <c r="G868" s="101">
        <v>1266</v>
      </c>
      <c r="H868" s="102" t="s">
        <v>1430</v>
      </c>
    </row>
    <row r="869" spans="6:8" x14ac:dyDescent="0.2">
      <c r="F869" s="101" t="s">
        <v>1816</v>
      </c>
      <c r="G869" s="101">
        <v>1267</v>
      </c>
      <c r="H869" s="102" t="s">
        <v>1431</v>
      </c>
    </row>
    <row r="870" spans="6:8" x14ac:dyDescent="0.2">
      <c r="F870" s="101" t="s">
        <v>1817</v>
      </c>
      <c r="G870" s="101">
        <v>1268</v>
      </c>
      <c r="H870" s="102" t="s">
        <v>1432</v>
      </c>
    </row>
    <row r="871" spans="6:8" x14ac:dyDescent="0.2">
      <c r="F871" s="101" t="s">
        <v>1818</v>
      </c>
      <c r="G871" s="101">
        <v>1269</v>
      </c>
      <c r="H871" s="102" t="s">
        <v>1433</v>
      </c>
    </row>
    <row r="872" spans="6:8" x14ac:dyDescent="0.2">
      <c r="F872" s="101" t="s">
        <v>1819</v>
      </c>
      <c r="G872" s="101">
        <v>1270</v>
      </c>
      <c r="H872" s="102" t="s">
        <v>1434</v>
      </c>
    </row>
    <row r="873" spans="6:8" x14ac:dyDescent="0.2">
      <c r="F873" s="101" t="s">
        <v>1820</v>
      </c>
      <c r="G873" s="101">
        <v>1271</v>
      </c>
      <c r="H873" s="102" t="s">
        <v>1435</v>
      </c>
    </row>
    <row r="874" spans="6:8" x14ac:dyDescent="0.2">
      <c r="F874" s="101" t="s">
        <v>1821</v>
      </c>
      <c r="G874" s="101">
        <v>1272</v>
      </c>
      <c r="H874" s="102" t="s">
        <v>1436</v>
      </c>
    </row>
    <row r="875" spans="6:8" x14ac:dyDescent="0.2">
      <c r="F875" s="101" t="s">
        <v>1822</v>
      </c>
      <c r="G875" s="101">
        <v>1273</v>
      </c>
      <c r="H875" s="102" t="s">
        <v>1437</v>
      </c>
    </row>
    <row r="876" spans="6:8" x14ac:dyDescent="0.2">
      <c r="F876" s="101" t="s">
        <v>1823</v>
      </c>
      <c r="G876" s="101">
        <v>1274</v>
      </c>
      <c r="H876" s="102" t="s">
        <v>1438</v>
      </c>
    </row>
    <row r="877" spans="6:8" x14ac:dyDescent="0.2">
      <c r="F877" s="101" t="s">
        <v>1824</v>
      </c>
      <c r="G877" s="101">
        <v>1275</v>
      </c>
      <c r="H877" s="102" t="s">
        <v>1439</v>
      </c>
    </row>
    <row r="878" spans="6:8" x14ac:dyDescent="0.2">
      <c r="F878" s="101" t="s">
        <v>1825</v>
      </c>
      <c r="G878" s="101">
        <v>1276</v>
      </c>
      <c r="H878" s="102" t="s">
        <v>1440</v>
      </c>
    </row>
    <row r="879" spans="6:8" x14ac:dyDescent="0.2">
      <c r="F879" s="101" t="s">
        <v>1826</v>
      </c>
      <c r="G879" s="101">
        <v>1277</v>
      </c>
      <c r="H879" s="102" t="s">
        <v>1441</v>
      </c>
    </row>
    <row r="880" spans="6:8" x14ac:dyDescent="0.2">
      <c r="F880" s="101" t="s">
        <v>1827</v>
      </c>
      <c r="G880" s="101">
        <v>1278</v>
      </c>
      <c r="H880" s="102" t="s">
        <v>1442</v>
      </c>
    </row>
    <row r="881" spans="6:8" x14ac:dyDescent="0.2">
      <c r="F881" s="101" t="s">
        <v>1828</v>
      </c>
      <c r="G881" s="101">
        <v>1279</v>
      </c>
      <c r="H881" s="102" t="s">
        <v>1443</v>
      </c>
    </row>
    <row r="882" spans="6:8" x14ac:dyDescent="0.2">
      <c r="F882" s="101" t="s">
        <v>1829</v>
      </c>
      <c r="G882" s="101">
        <v>1280</v>
      </c>
      <c r="H882" s="102" t="s">
        <v>1444</v>
      </c>
    </row>
    <row r="883" spans="6:8" x14ac:dyDescent="0.2">
      <c r="F883" s="101" t="s">
        <v>1830</v>
      </c>
      <c r="G883" s="101">
        <v>1281</v>
      </c>
      <c r="H883" s="102" t="s">
        <v>1445</v>
      </c>
    </row>
    <row r="884" spans="6:8" x14ac:dyDescent="0.2">
      <c r="F884" s="101" t="s">
        <v>1831</v>
      </c>
      <c r="G884" s="101">
        <v>1282</v>
      </c>
      <c r="H884" s="102" t="s">
        <v>1446</v>
      </c>
    </row>
    <row r="885" spans="6:8" x14ac:dyDescent="0.2">
      <c r="F885" s="101" t="s">
        <v>1832</v>
      </c>
      <c r="G885" s="101">
        <v>1283</v>
      </c>
      <c r="H885" s="102" t="s">
        <v>1447</v>
      </c>
    </row>
    <row r="886" spans="6:8" x14ac:dyDescent="0.2">
      <c r="F886" s="101" t="s">
        <v>1833</v>
      </c>
      <c r="G886" s="101">
        <v>1284</v>
      </c>
      <c r="H886" s="102" t="s">
        <v>1448</v>
      </c>
    </row>
    <row r="887" spans="6:8" x14ac:dyDescent="0.2">
      <c r="F887" s="101" t="s">
        <v>1834</v>
      </c>
      <c r="G887" s="101">
        <v>1285</v>
      </c>
      <c r="H887" s="102" t="s">
        <v>1449</v>
      </c>
    </row>
    <row r="888" spans="6:8" x14ac:dyDescent="0.2">
      <c r="F888" s="101" t="s">
        <v>1835</v>
      </c>
      <c r="G888" s="101">
        <v>1286</v>
      </c>
      <c r="H888" s="102" t="s">
        <v>1450</v>
      </c>
    </row>
    <row r="889" spans="6:8" x14ac:dyDescent="0.2">
      <c r="F889" s="101" t="s">
        <v>1836</v>
      </c>
      <c r="G889" s="101">
        <v>1287</v>
      </c>
      <c r="H889" s="102" t="s">
        <v>1451</v>
      </c>
    </row>
    <row r="890" spans="6:8" x14ac:dyDescent="0.2">
      <c r="F890" s="101" t="s">
        <v>1837</v>
      </c>
      <c r="G890" s="101">
        <v>1288</v>
      </c>
      <c r="H890" s="102" t="s">
        <v>1452</v>
      </c>
    </row>
    <row r="891" spans="6:8" x14ac:dyDescent="0.2">
      <c r="F891" s="101" t="s">
        <v>1838</v>
      </c>
      <c r="G891" s="101">
        <v>1289</v>
      </c>
      <c r="H891" s="102" t="s">
        <v>1453</v>
      </c>
    </row>
    <row r="892" spans="6:8" x14ac:dyDescent="0.2">
      <c r="F892" s="101" t="s">
        <v>1839</v>
      </c>
      <c r="G892" s="101">
        <v>1290</v>
      </c>
      <c r="H892" s="102" t="s">
        <v>1454</v>
      </c>
    </row>
    <row r="893" spans="6:8" x14ac:dyDescent="0.2">
      <c r="F893" s="101" t="s">
        <v>1840</v>
      </c>
      <c r="G893" s="101">
        <v>1291</v>
      </c>
      <c r="H893" s="102" t="s">
        <v>1455</v>
      </c>
    </row>
    <row r="894" spans="6:8" x14ac:dyDescent="0.2">
      <c r="F894" s="101" t="s">
        <v>1841</v>
      </c>
      <c r="G894" s="101">
        <v>1292</v>
      </c>
      <c r="H894" s="102" t="s">
        <v>1456</v>
      </c>
    </row>
    <row r="895" spans="6:8" x14ac:dyDescent="0.2">
      <c r="F895" s="101" t="s">
        <v>1842</v>
      </c>
      <c r="G895" s="101">
        <v>1293</v>
      </c>
      <c r="H895" s="102" t="s">
        <v>1457</v>
      </c>
    </row>
    <row r="896" spans="6:8" x14ac:dyDescent="0.2">
      <c r="F896" s="101" t="s">
        <v>1843</v>
      </c>
      <c r="G896" s="101">
        <v>1294</v>
      </c>
      <c r="H896" s="102" t="s">
        <v>1458</v>
      </c>
    </row>
    <row r="897" spans="6:8" x14ac:dyDescent="0.2">
      <c r="F897" s="101" t="s">
        <v>1844</v>
      </c>
      <c r="G897" s="101">
        <v>1295</v>
      </c>
      <c r="H897" s="102" t="s">
        <v>1459</v>
      </c>
    </row>
    <row r="898" spans="6:8" x14ac:dyDescent="0.2">
      <c r="F898" s="101" t="s">
        <v>1845</v>
      </c>
      <c r="G898" s="101">
        <v>1296</v>
      </c>
      <c r="H898" s="102" t="s">
        <v>1460</v>
      </c>
    </row>
    <row r="899" spans="6:8" x14ac:dyDescent="0.2">
      <c r="F899" s="101" t="s">
        <v>1846</v>
      </c>
      <c r="G899" s="101">
        <v>1297</v>
      </c>
      <c r="H899" s="102" t="s">
        <v>1461</v>
      </c>
    </row>
    <row r="900" spans="6:8" x14ac:dyDescent="0.2">
      <c r="F900" s="101" t="s">
        <v>1847</v>
      </c>
      <c r="G900" s="101">
        <v>1298</v>
      </c>
      <c r="H900" s="102" t="s">
        <v>1462</v>
      </c>
    </row>
    <row r="901" spans="6:8" x14ac:dyDescent="0.2">
      <c r="F901" s="101" t="s">
        <v>1848</v>
      </c>
      <c r="G901" s="101">
        <v>1299</v>
      </c>
      <c r="H901" s="102" t="s">
        <v>1463</v>
      </c>
    </row>
    <row r="902" spans="6:8" x14ac:dyDescent="0.2">
      <c r="F902" s="101" t="s">
        <v>1849</v>
      </c>
      <c r="G902" s="101">
        <v>1300</v>
      </c>
      <c r="H902" s="102" t="s">
        <v>1464</v>
      </c>
    </row>
    <row r="903" spans="6:8" x14ac:dyDescent="0.2">
      <c r="F903" s="101" t="s">
        <v>1850</v>
      </c>
      <c r="G903" s="101">
        <v>1301</v>
      </c>
      <c r="H903" s="102" t="s">
        <v>1465</v>
      </c>
    </row>
    <row r="904" spans="6:8" x14ac:dyDescent="0.2">
      <c r="F904" s="101" t="s">
        <v>1851</v>
      </c>
      <c r="G904" s="101">
        <v>1302</v>
      </c>
      <c r="H904" s="102" t="s">
        <v>1466</v>
      </c>
    </row>
    <row r="905" spans="6:8" x14ac:dyDescent="0.2">
      <c r="F905" s="101" t="s">
        <v>1852</v>
      </c>
      <c r="G905" s="101">
        <v>1303</v>
      </c>
      <c r="H905" s="102" t="s">
        <v>1467</v>
      </c>
    </row>
    <row r="906" spans="6:8" x14ac:dyDescent="0.2">
      <c r="F906" s="101" t="s">
        <v>1853</v>
      </c>
      <c r="G906" s="101">
        <v>1304</v>
      </c>
      <c r="H906" s="102" t="s">
        <v>1468</v>
      </c>
    </row>
    <row r="907" spans="6:8" x14ac:dyDescent="0.2">
      <c r="F907" s="101" t="s">
        <v>1854</v>
      </c>
      <c r="G907" s="101">
        <v>1305</v>
      </c>
      <c r="H907" s="102" t="s">
        <v>1469</v>
      </c>
    </row>
    <row r="908" spans="6:8" x14ac:dyDescent="0.2">
      <c r="F908" s="101" t="s">
        <v>1855</v>
      </c>
      <c r="G908" s="101">
        <v>1306</v>
      </c>
      <c r="H908" s="102" t="s">
        <v>1470</v>
      </c>
    </row>
    <row r="909" spans="6:8" x14ac:dyDescent="0.2">
      <c r="F909" s="101" t="s">
        <v>1856</v>
      </c>
      <c r="G909" s="101">
        <v>1307</v>
      </c>
      <c r="H909" s="102" t="s">
        <v>1471</v>
      </c>
    </row>
    <row r="910" spans="6:8" x14ac:dyDescent="0.2">
      <c r="F910" s="101" t="s">
        <v>1857</v>
      </c>
      <c r="G910" s="101">
        <v>1308</v>
      </c>
      <c r="H910" s="102" t="s">
        <v>1472</v>
      </c>
    </row>
    <row r="911" spans="6:8" x14ac:dyDescent="0.2">
      <c r="F911" s="101" t="s">
        <v>1858</v>
      </c>
      <c r="G911" s="101">
        <v>1309</v>
      </c>
      <c r="H911" s="102" t="s">
        <v>1473</v>
      </c>
    </row>
    <row r="912" spans="6:8" x14ac:dyDescent="0.2">
      <c r="F912" s="101" t="s">
        <v>1859</v>
      </c>
      <c r="G912" s="101">
        <v>1310</v>
      </c>
      <c r="H912" s="102" t="s">
        <v>1474</v>
      </c>
    </row>
    <row r="913" spans="6:8" x14ac:dyDescent="0.2">
      <c r="F913" s="101" t="s">
        <v>1860</v>
      </c>
      <c r="G913" s="101">
        <v>1311</v>
      </c>
      <c r="H913" s="102" t="s">
        <v>1475</v>
      </c>
    </row>
    <row r="914" spans="6:8" x14ac:dyDescent="0.2">
      <c r="F914" s="101" t="s">
        <v>1861</v>
      </c>
      <c r="G914" s="101">
        <v>1312</v>
      </c>
      <c r="H914" s="102" t="s">
        <v>1476</v>
      </c>
    </row>
    <row r="915" spans="6:8" x14ac:dyDescent="0.2">
      <c r="F915" s="101" t="s">
        <v>1862</v>
      </c>
      <c r="G915" s="101">
        <v>1313</v>
      </c>
      <c r="H915" s="102" t="s">
        <v>1477</v>
      </c>
    </row>
    <row r="916" spans="6:8" x14ac:dyDescent="0.2">
      <c r="F916" s="101" t="s">
        <v>1863</v>
      </c>
      <c r="G916" s="101">
        <v>1314</v>
      </c>
      <c r="H916" s="102" t="s">
        <v>1478</v>
      </c>
    </row>
    <row r="917" spans="6:8" x14ac:dyDescent="0.2">
      <c r="F917" s="101" t="s">
        <v>1864</v>
      </c>
      <c r="G917" s="101">
        <v>1315</v>
      </c>
      <c r="H917" s="102" t="s">
        <v>1479</v>
      </c>
    </row>
    <row r="918" spans="6:8" x14ac:dyDescent="0.2">
      <c r="F918" s="101" t="s">
        <v>1865</v>
      </c>
      <c r="G918" s="101">
        <v>1316</v>
      </c>
      <c r="H918" s="102" t="s">
        <v>1480</v>
      </c>
    </row>
    <row r="919" spans="6:8" x14ac:dyDescent="0.2">
      <c r="F919" s="101" t="s">
        <v>1866</v>
      </c>
      <c r="G919" s="101">
        <v>1317</v>
      </c>
      <c r="H919" s="102" t="s">
        <v>1481</v>
      </c>
    </row>
    <row r="920" spans="6:8" x14ac:dyDescent="0.2">
      <c r="F920" s="101" t="s">
        <v>1867</v>
      </c>
      <c r="G920" s="101">
        <v>1318</v>
      </c>
      <c r="H920" s="102" t="s">
        <v>1482</v>
      </c>
    </row>
    <row r="921" spans="6:8" x14ac:dyDescent="0.2">
      <c r="F921" s="101" t="s">
        <v>1868</v>
      </c>
      <c r="G921" s="101">
        <v>1319</v>
      </c>
      <c r="H921" s="102" t="s">
        <v>1483</v>
      </c>
    </row>
    <row r="922" spans="6:8" x14ac:dyDescent="0.2">
      <c r="F922" s="101" t="s">
        <v>1869</v>
      </c>
      <c r="G922" s="101">
        <v>1320</v>
      </c>
      <c r="H922" s="102" t="s">
        <v>1484</v>
      </c>
    </row>
    <row r="923" spans="6:8" x14ac:dyDescent="0.2">
      <c r="F923" s="101" t="s">
        <v>1870</v>
      </c>
      <c r="G923" s="101">
        <v>1321</v>
      </c>
      <c r="H923" s="102" t="s">
        <v>1485</v>
      </c>
    </row>
    <row r="924" spans="6:8" x14ac:dyDescent="0.2">
      <c r="F924" s="101" t="s">
        <v>1871</v>
      </c>
      <c r="G924" s="101">
        <v>1322</v>
      </c>
      <c r="H924" s="102" t="s">
        <v>1486</v>
      </c>
    </row>
    <row r="925" spans="6:8" x14ac:dyDescent="0.2">
      <c r="F925" s="101" t="s">
        <v>1872</v>
      </c>
      <c r="G925" s="101">
        <v>1323</v>
      </c>
      <c r="H925" s="102" t="s">
        <v>1487</v>
      </c>
    </row>
    <row r="926" spans="6:8" x14ac:dyDescent="0.2">
      <c r="F926" s="101" t="s">
        <v>1873</v>
      </c>
      <c r="G926" s="101">
        <v>1324</v>
      </c>
      <c r="H926" s="102" t="s">
        <v>1488</v>
      </c>
    </row>
    <row r="927" spans="6:8" x14ac:dyDescent="0.2">
      <c r="F927" s="101" t="s">
        <v>1874</v>
      </c>
      <c r="G927" s="101">
        <v>1325</v>
      </c>
      <c r="H927" s="102" t="s">
        <v>1489</v>
      </c>
    </row>
    <row r="928" spans="6:8" x14ac:dyDescent="0.2">
      <c r="F928" s="101" t="s">
        <v>1875</v>
      </c>
      <c r="G928" s="101">
        <v>1326</v>
      </c>
      <c r="H928" s="102" t="s">
        <v>1490</v>
      </c>
    </row>
    <row r="929" spans="6:8" x14ac:dyDescent="0.2">
      <c r="F929" s="101" t="s">
        <v>1876</v>
      </c>
      <c r="G929" s="101">
        <v>1327</v>
      </c>
      <c r="H929" s="102" t="s">
        <v>1491</v>
      </c>
    </row>
    <row r="930" spans="6:8" x14ac:dyDescent="0.2">
      <c r="F930" s="101" t="s">
        <v>1877</v>
      </c>
      <c r="G930" s="101">
        <v>1328</v>
      </c>
      <c r="H930" s="102" t="s">
        <v>1492</v>
      </c>
    </row>
    <row r="931" spans="6:8" x14ac:dyDescent="0.2">
      <c r="F931" s="101" t="s">
        <v>1878</v>
      </c>
      <c r="G931" s="101">
        <v>1329</v>
      </c>
      <c r="H931" s="102" t="s">
        <v>1493</v>
      </c>
    </row>
    <row r="932" spans="6:8" x14ac:dyDescent="0.2">
      <c r="F932" s="101" t="s">
        <v>1879</v>
      </c>
      <c r="G932" s="101">
        <v>1330</v>
      </c>
      <c r="H932" s="102" t="s">
        <v>1494</v>
      </c>
    </row>
    <row r="933" spans="6:8" x14ac:dyDescent="0.2">
      <c r="F933" s="101" t="s">
        <v>1880</v>
      </c>
      <c r="G933" s="101">
        <v>1331</v>
      </c>
      <c r="H933" s="102" t="s">
        <v>1495</v>
      </c>
    </row>
    <row r="934" spans="6:8" x14ac:dyDescent="0.2">
      <c r="F934" s="101" t="s">
        <v>1881</v>
      </c>
      <c r="G934" s="101">
        <v>1332</v>
      </c>
      <c r="H934" s="102" t="s">
        <v>1496</v>
      </c>
    </row>
    <row r="935" spans="6:8" x14ac:dyDescent="0.2">
      <c r="F935" s="101" t="s">
        <v>1882</v>
      </c>
      <c r="G935" s="101">
        <v>1333</v>
      </c>
      <c r="H935" s="102" t="s">
        <v>1497</v>
      </c>
    </row>
    <row r="936" spans="6:8" x14ac:dyDescent="0.2">
      <c r="F936" s="101" t="s">
        <v>1883</v>
      </c>
      <c r="G936" s="101">
        <v>1334</v>
      </c>
      <c r="H936" s="102" t="s">
        <v>1498</v>
      </c>
    </row>
    <row r="937" spans="6:8" x14ac:dyDescent="0.2">
      <c r="F937" s="101" t="s">
        <v>1884</v>
      </c>
      <c r="G937" s="101">
        <v>1335</v>
      </c>
      <c r="H937" s="102" t="s">
        <v>1499</v>
      </c>
    </row>
    <row r="938" spans="6:8" x14ac:dyDescent="0.2">
      <c r="F938" s="101" t="s">
        <v>1885</v>
      </c>
      <c r="G938" s="101">
        <v>1336</v>
      </c>
      <c r="H938" s="102" t="s">
        <v>1500</v>
      </c>
    </row>
    <row r="939" spans="6:8" x14ac:dyDescent="0.2">
      <c r="F939" s="101" t="s">
        <v>1886</v>
      </c>
      <c r="G939" s="101">
        <v>1337</v>
      </c>
      <c r="H939" s="102" t="s">
        <v>1501</v>
      </c>
    </row>
    <row r="940" spans="6:8" x14ac:dyDescent="0.2">
      <c r="F940" s="101" t="s">
        <v>1887</v>
      </c>
      <c r="G940" s="101">
        <v>1338</v>
      </c>
      <c r="H940" s="102" t="s">
        <v>1502</v>
      </c>
    </row>
    <row r="941" spans="6:8" x14ac:dyDescent="0.2">
      <c r="F941" s="101" t="s">
        <v>1888</v>
      </c>
      <c r="G941" s="101">
        <v>1339</v>
      </c>
      <c r="H941" s="102" t="s">
        <v>1503</v>
      </c>
    </row>
    <row r="942" spans="6:8" x14ac:dyDescent="0.2">
      <c r="F942" s="101" t="s">
        <v>1889</v>
      </c>
      <c r="G942" s="101">
        <v>1340</v>
      </c>
      <c r="H942" s="102" t="s">
        <v>1504</v>
      </c>
    </row>
    <row r="943" spans="6:8" x14ac:dyDescent="0.2">
      <c r="F943" s="101" t="s">
        <v>1890</v>
      </c>
      <c r="G943" s="101">
        <v>1341</v>
      </c>
      <c r="H943" s="102" t="s">
        <v>1505</v>
      </c>
    </row>
    <row r="944" spans="6:8" x14ac:dyDescent="0.2">
      <c r="F944" s="101" t="s">
        <v>1891</v>
      </c>
      <c r="G944" s="101">
        <v>1342</v>
      </c>
      <c r="H944" s="102" t="s">
        <v>1506</v>
      </c>
    </row>
    <row r="945" spans="6:8" x14ac:dyDescent="0.2">
      <c r="F945" s="101" t="s">
        <v>1892</v>
      </c>
      <c r="G945" s="101">
        <v>1343</v>
      </c>
      <c r="H945" s="102" t="s">
        <v>1507</v>
      </c>
    </row>
    <row r="946" spans="6:8" x14ac:dyDescent="0.2">
      <c r="F946" s="101" t="s">
        <v>1893</v>
      </c>
      <c r="G946" s="101">
        <v>1344</v>
      </c>
      <c r="H946" s="102" t="s">
        <v>1508</v>
      </c>
    </row>
    <row r="947" spans="6:8" x14ac:dyDescent="0.2">
      <c r="F947" s="101" t="s">
        <v>1894</v>
      </c>
      <c r="G947" s="101">
        <v>1345</v>
      </c>
      <c r="H947" s="102" t="s">
        <v>1509</v>
      </c>
    </row>
    <row r="948" spans="6:8" x14ac:dyDescent="0.2">
      <c r="F948" s="101" t="s">
        <v>1895</v>
      </c>
      <c r="G948" s="101">
        <v>1346</v>
      </c>
      <c r="H948" s="102" t="s">
        <v>1510</v>
      </c>
    </row>
    <row r="949" spans="6:8" x14ac:dyDescent="0.2">
      <c r="F949" s="101" t="s">
        <v>1896</v>
      </c>
      <c r="G949" s="101">
        <v>1347</v>
      </c>
      <c r="H949" s="102" t="s">
        <v>1511</v>
      </c>
    </row>
    <row r="950" spans="6:8" x14ac:dyDescent="0.2">
      <c r="F950" s="101" t="s">
        <v>1897</v>
      </c>
      <c r="G950" s="101">
        <v>1348</v>
      </c>
      <c r="H950" s="102" t="s">
        <v>1512</v>
      </c>
    </row>
    <row r="951" spans="6:8" x14ac:dyDescent="0.2">
      <c r="F951" s="101" t="s">
        <v>1898</v>
      </c>
      <c r="G951" s="101">
        <v>1349</v>
      </c>
      <c r="H951" s="102" t="s">
        <v>1513</v>
      </c>
    </row>
    <row r="952" spans="6:8" x14ac:dyDescent="0.2">
      <c r="F952" s="101" t="s">
        <v>1899</v>
      </c>
      <c r="G952" s="101">
        <v>1350</v>
      </c>
      <c r="H952" s="102" t="s">
        <v>1514</v>
      </c>
    </row>
    <row r="953" spans="6:8" x14ac:dyDescent="0.2">
      <c r="F953" s="101" t="s">
        <v>1900</v>
      </c>
      <c r="G953" s="101">
        <v>1351</v>
      </c>
      <c r="H953" s="102" t="s">
        <v>1515</v>
      </c>
    </row>
    <row r="954" spans="6:8" x14ac:dyDescent="0.2">
      <c r="F954" s="101" t="s">
        <v>1901</v>
      </c>
      <c r="G954" s="101">
        <v>1352</v>
      </c>
      <c r="H954" s="102" t="s">
        <v>1516</v>
      </c>
    </row>
    <row r="955" spans="6:8" x14ac:dyDescent="0.2">
      <c r="F955" s="101" t="s">
        <v>1902</v>
      </c>
      <c r="G955" s="101">
        <v>1353</v>
      </c>
      <c r="H955" s="102" t="s">
        <v>1517</v>
      </c>
    </row>
    <row r="956" spans="6:8" x14ac:dyDescent="0.2">
      <c r="F956" s="101" t="s">
        <v>1903</v>
      </c>
      <c r="G956" s="101">
        <v>1354</v>
      </c>
      <c r="H956" s="102" t="s">
        <v>1518</v>
      </c>
    </row>
    <row r="957" spans="6:8" x14ac:dyDescent="0.2">
      <c r="F957" s="101" t="s">
        <v>1904</v>
      </c>
      <c r="G957" s="101">
        <v>1355</v>
      </c>
      <c r="H957" s="102" t="s">
        <v>1519</v>
      </c>
    </row>
    <row r="958" spans="6:8" x14ac:dyDescent="0.2">
      <c r="F958" s="101" t="s">
        <v>1905</v>
      </c>
      <c r="G958" s="101">
        <v>1356</v>
      </c>
      <c r="H958" s="102" t="s">
        <v>1520</v>
      </c>
    </row>
    <row r="959" spans="6:8" x14ac:dyDescent="0.2">
      <c r="F959" s="101" t="s">
        <v>1906</v>
      </c>
      <c r="G959" s="101">
        <v>1357</v>
      </c>
      <c r="H959" s="102" t="s">
        <v>1521</v>
      </c>
    </row>
    <row r="960" spans="6:8" x14ac:dyDescent="0.2">
      <c r="F960" s="101" t="s">
        <v>1907</v>
      </c>
      <c r="G960" s="101">
        <v>1358</v>
      </c>
      <c r="H960" s="102" t="s">
        <v>1522</v>
      </c>
    </row>
    <row r="961" spans="6:8" x14ac:dyDescent="0.2">
      <c r="F961" s="101" t="s">
        <v>1908</v>
      </c>
      <c r="G961" s="101">
        <v>1359</v>
      </c>
      <c r="H961" s="102" t="s">
        <v>1523</v>
      </c>
    </row>
    <row r="962" spans="6:8" x14ac:dyDescent="0.2">
      <c r="F962" s="101" t="s">
        <v>1909</v>
      </c>
      <c r="G962" s="101">
        <v>1360</v>
      </c>
      <c r="H962" s="102" t="s">
        <v>1524</v>
      </c>
    </row>
    <row r="963" spans="6:8" x14ac:dyDescent="0.2">
      <c r="F963" s="101" t="s">
        <v>1910</v>
      </c>
      <c r="G963" s="101">
        <v>1361</v>
      </c>
      <c r="H963" s="102" t="s">
        <v>1525</v>
      </c>
    </row>
    <row r="964" spans="6:8" x14ac:dyDescent="0.2">
      <c r="F964" s="101" t="s">
        <v>1911</v>
      </c>
      <c r="G964" s="101">
        <v>1362</v>
      </c>
      <c r="H964" s="102" t="s">
        <v>1526</v>
      </c>
    </row>
    <row r="965" spans="6:8" x14ac:dyDescent="0.2">
      <c r="F965" s="101" t="s">
        <v>1912</v>
      </c>
      <c r="G965" s="101">
        <v>1363</v>
      </c>
      <c r="H965" s="102" t="s">
        <v>1527</v>
      </c>
    </row>
    <row r="966" spans="6:8" x14ac:dyDescent="0.2">
      <c r="F966" s="101" t="s">
        <v>1913</v>
      </c>
      <c r="G966" s="101">
        <v>1364</v>
      </c>
      <c r="H966" s="102" t="s">
        <v>1528</v>
      </c>
    </row>
    <row r="967" spans="6:8" x14ac:dyDescent="0.2">
      <c r="F967" s="101" t="s">
        <v>1914</v>
      </c>
      <c r="G967" s="101">
        <v>1365</v>
      </c>
      <c r="H967" s="102" t="s">
        <v>1529</v>
      </c>
    </row>
    <row r="968" spans="6:8" x14ac:dyDescent="0.2">
      <c r="F968" s="101" t="s">
        <v>1915</v>
      </c>
      <c r="G968" s="101">
        <v>1366</v>
      </c>
      <c r="H968" s="102" t="s">
        <v>1530</v>
      </c>
    </row>
    <row r="969" spans="6:8" x14ac:dyDescent="0.2">
      <c r="F969" s="101" t="s">
        <v>1916</v>
      </c>
      <c r="G969" s="101">
        <v>1367</v>
      </c>
      <c r="H969" s="102" t="s">
        <v>1531</v>
      </c>
    </row>
    <row r="970" spans="6:8" x14ac:dyDescent="0.2">
      <c r="F970" s="101" t="s">
        <v>1917</v>
      </c>
      <c r="G970" s="101">
        <v>1368</v>
      </c>
      <c r="H970" s="102" t="s">
        <v>1532</v>
      </c>
    </row>
    <row r="971" spans="6:8" x14ac:dyDescent="0.2">
      <c r="F971" s="101" t="s">
        <v>1918</v>
      </c>
      <c r="G971" s="101">
        <v>1369</v>
      </c>
      <c r="H971" s="102" t="s">
        <v>1925</v>
      </c>
    </row>
    <row r="972" spans="6:8" x14ac:dyDescent="0.2">
      <c r="F972" s="101" t="s">
        <v>1919</v>
      </c>
      <c r="G972" s="101">
        <v>1370</v>
      </c>
      <c r="H972" s="102" t="s">
        <v>1533</v>
      </c>
    </row>
    <row r="973" spans="6:8" x14ac:dyDescent="0.2">
      <c r="F973" s="101" t="s">
        <v>1920</v>
      </c>
      <c r="G973" s="101">
        <v>1381</v>
      </c>
      <c r="H973" s="102" t="s">
        <v>1534</v>
      </c>
    </row>
  </sheetData>
  <mergeCells count="11">
    <mergeCell ref="A1:E1"/>
    <mergeCell ref="D3:D4"/>
    <mergeCell ref="E3:E4"/>
    <mergeCell ref="A5:E5"/>
    <mergeCell ref="B17:C17"/>
    <mergeCell ref="B2:C2"/>
    <mergeCell ref="F2:H2"/>
    <mergeCell ref="A18:E18"/>
    <mergeCell ref="B3:C3"/>
    <mergeCell ref="B4:C4"/>
    <mergeCell ref="A3:A4"/>
  </mergeCells>
  <phoneticPr fontId="5" type="noConversion"/>
  <dataValidations count="1">
    <dataValidation type="list" allowBlank="1" showInputMessage="1" showErrorMessage="1" sqref="E2">
      <formula1>empsr</formula1>
    </dataValidation>
  </dataValidations>
  <pageMargins left="0.31496062992125984" right="0" top="0.78740157480314965" bottom="0" header="0.51181102362204722" footer="0.51181102362204722"/>
  <pageSetup paperSize="9" scale="98"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DU1791"/>
  <sheetViews>
    <sheetView tabSelected="1" topLeftCell="A2" zoomScale="57" zoomScaleNormal="57" workbookViewId="0">
      <pane ySplit="1" topLeftCell="A3" activePane="bottomLeft" state="frozen"/>
      <selection activeCell="A2" sqref="A2"/>
      <selection pane="bottomLeft" activeCell="L51" sqref="L51"/>
    </sheetView>
  </sheetViews>
  <sheetFormatPr defaultRowHeight="12.75" x14ac:dyDescent="0.2"/>
  <cols>
    <col min="1" max="1" width="17.28515625" customWidth="1"/>
    <col min="2" max="2" width="16.5703125" style="94" customWidth="1"/>
    <col min="3" max="3" width="58.140625" style="95" customWidth="1"/>
    <col min="4" max="4" width="12.28515625" style="11" customWidth="1"/>
    <col min="5" max="5" width="10.5703125" style="7" customWidth="1"/>
    <col min="6" max="6" width="11.42578125" style="11" customWidth="1"/>
    <col min="7" max="7" width="9.140625" style="7" customWidth="1"/>
    <col min="8" max="8" width="11.28515625" style="11" customWidth="1"/>
    <col min="9" max="9" width="7.140625" style="7" customWidth="1"/>
    <col min="10" max="10" width="10.140625" style="11" customWidth="1"/>
    <col min="11" max="11" width="11.42578125" style="7" customWidth="1"/>
    <col min="12" max="12" width="10.85546875" style="7" customWidth="1"/>
    <col min="13" max="13" width="11" style="7" customWidth="1"/>
    <col min="14" max="14" width="10" style="36" customWidth="1"/>
    <col min="15" max="15" width="12.140625" style="7" customWidth="1"/>
    <col min="16" max="16" width="12.140625" style="11" customWidth="1"/>
    <col min="17" max="17" width="9.28515625" style="7" customWidth="1"/>
    <col min="18" max="18" width="14.42578125" style="11" customWidth="1"/>
    <col min="19" max="19" width="13.5703125" style="7" customWidth="1"/>
    <col min="20" max="20" width="7.7109375" style="11" customWidth="1"/>
    <col min="21" max="21" width="6.5703125" style="7" customWidth="1"/>
    <col min="22" max="22" width="10.28515625" style="12" customWidth="1"/>
    <col min="23" max="23" width="10.7109375" customWidth="1"/>
    <col min="24" max="24" width="14.5703125" customWidth="1"/>
    <col min="25" max="25" width="27.7109375" style="8" customWidth="1"/>
    <col min="26" max="26" width="15.5703125" style="8" customWidth="1"/>
    <col min="27" max="125" width="9.140625" style="8"/>
  </cols>
  <sheetData>
    <row r="1" spans="1:125" ht="15.75" hidden="1" customHeight="1" thickBot="1" x14ac:dyDescent="0.3">
      <c r="A1" s="40">
        <v>1</v>
      </c>
      <c r="B1" s="80"/>
      <c r="C1" s="81">
        <v>2</v>
      </c>
      <c r="D1" s="41"/>
      <c r="E1" s="42"/>
      <c r="F1" s="41"/>
      <c r="G1" s="42"/>
      <c r="H1" s="41"/>
      <c r="I1" s="42"/>
      <c r="J1" s="41"/>
      <c r="K1" s="42"/>
      <c r="L1" s="42"/>
      <c r="M1" s="42"/>
      <c r="N1" s="43"/>
      <c r="O1" s="42"/>
      <c r="P1" s="41"/>
      <c r="Q1" s="42"/>
      <c r="R1" s="41"/>
      <c r="S1" s="42"/>
      <c r="T1" s="41"/>
      <c r="U1" s="44"/>
      <c r="V1" s="45"/>
      <c r="W1" s="46">
        <v>1</v>
      </c>
      <c r="X1" s="46"/>
      <c r="Y1" s="47"/>
      <c r="Z1" s="47"/>
    </row>
    <row r="2" spans="1:125" s="2" customFormat="1" ht="31.5" customHeight="1" thickBot="1" x14ac:dyDescent="0.25">
      <c r="A2" s="48" t="s">
        <v>5</v>
      </c>
      <c r="B2" s="82" t="s">
        <v>4</v>
      </c>
      <c r="C2" s="83" t="s">
        <v>1537</v>
      </c>
      <c r="D2" s="49">
        <v>10</v>
      </c>
      <c r="E2" s="50" t="s">
        <v>6</v>
      </c>
      <c r="F2" s="49">
        <v>25</v>
      </c>
      <c r="G2" s="50" t="s">
        <v>6</v>
      </c>
      <c r="H2" s="49">
        <v>50</v>
      </c>
      <c r="I2" s="50" t="s">
        <v>6</v>
      </c>
      <c r="J2" s="49">
        <v>100</v>
      </c>
      <c r="K2" s="50" t="s">
        <v>6</v>
      </c>
      <c r="L2" s="51">
        <v>250</v>
      </c>
      <c r="M2" s="50" t="s">
        <v>6</v>
      </c>
      <c r="N2" s="52">
        <v>500</v>
      </c>
      <c r="O2" s="50" t="s">
        <v>6</v>
      </c>
      <c r="P2" s="49">
        <v>1000</v>
      </c>
      <c r="Q2" s="50" t="s">
        <v>6</v>
      </c>
      <c r="R2" s="49">
        <v>2500</v>
      </c>
      <c r="S2" s="50" t="s">
        <v>6</v>
      </c>
      <c r="T2" s="49">
        <v>5000</v>
      </c>
      <c r="U2" s="53" t="s">
        <v>6</v>
      </c>
      <c r="V2" s="54" t="s">
        <v>234</v>
      </c>
      <c r="W2" s="55" t="s">
        <v>7</v>
      </c>
      <c r="X2" s="56" t="s">
        <v>1167</v>
      </c>
      <c r="Y2" s="57" t="s">
        <v>1535</v>
      </c>
      <c r="Z2" s="58" t="s">
        <v>1536</v>
      </c>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row>
    <row r="3" spans="1:125" s="1" customFormat="1" ht="20.100000000000001" customHeight="1" x14ac:dyDescent="0.25">
      <c r="A3" s="59" t="s">
        <v>236</v>
      </c>
      <c r="B3" s="84">
        <v>1</v>
      </c>
      <c r="C3" s="85" t="s">
        <v>8</v>
      </c>
      <c r="D3" s="60">
        <v>0</v>
      </c>
      <c r="E3" s="61">
        <f>D3*10</f>
        <v>0</v>
      </c>
      <c r="F3" s="60">
        <v>0</v>
      </c>
      <c r="G3" s="61">
        <f>F3*25</f>
        <v>0</v>
      </c>
      <c r="H3" s="60">
        <v>0</v>
      </c>
      <c r="I3" s="61">
        <f>H3*50</f>
        <v>0</v>
      </c>
      <c r="J3" s="60">
        <v>0</v>
      </c>
      <c r="K3" s="61">
        <f>J3*100</f>
        <v>0</v>
      </c>
      <c r="L3" s="62"/>
      <c r="M3" s="61">
        <f>L3*250</f>
        <v>0</v>
      </c>
      <c r="N3" s="63">
        <v>0</v>
      </c>
      <c r="O3" s="61">
        <f>N3*500</f>
        <v>0</v>
      </c>
      <c r="P3" s="60">
        <v>0</v>
      </c>
      <c r="Q3" s="61">
        <f>P3*1000</f>
        <v>0</v>
      </c>
      <c r="R3" s="60">
        <v>0</v>
      </c>
      <c r="S3" s="61">
        <f>R3*2500</f>
        <v>0</v>
      </c>
      <c r="T3" s="60">
        <v>0</v>
      </c>
      <c r="U3" s="64">
        <f>T3*5000</f>
        <v>0</v>
      </c>
      <c r="V3" s="65">
        <v>3.0000000000000001E-3</v>
      </c>
      <c r="W3" s="66">
        <f>E3+G3+I3+K3+M3+O3+Q3+S3+U3</f>
        <v>0</v>
      </c>
      <c r="X3" s="67">
        <f>SUM(W3:W3)/1000</f>
        <v>0</v>
      </c>
      <c r="Y3" s="57" t="str">
        <f>IF(W3=0,("NIL PLEASE PURCHASE"),("STOCK"))</f>
        <v>NIL PLEASE PURCHASE</v>
      </c>
      <c r="Z3" s="68" t="s">
        <v>1539</v>
      </c>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row>
    <row r="4" spans="1:125" s="1" customFormat="1" ht="20.100000000000001" customHeight="1" x14ac:dyDescent="0.25">
      <c r="A4" s="59" t="s">
        <v>1546</v>
      </c>
      <c r="B4" s="84">
        <v>2</v>
      </c>
      <c r="C4" s="85" t="s">
        <v>9</v>
      </c>
      <c r="D4" s="60">
        <v>0</v>
      </c>
      <c r="E4" s="61">
        <f t="shared" ref="E4:E67" si="0">D4*10</f>
        <v>0</v>
      </c>
      <c r="F4" s="60">
        <v>0</v>
      </c>
      <c r="G4" s="61">
        <f t="shared" ref="G4:G67" si="1">F4*25</f>
        <v>0</v>
      </c>
      <c r="H4" s="60">
        <v>0</v>
      </c>
      <c r="I4" s="61">
        <f t="shared" ref="I4:I67" si="2">H4*50</f>
        <v>0</v>
      </c>
      <c r="J4" s="60">
        <v>0</v>
      </c>
      <c r="K4" s="61">
        <f t="shared" ref="K4:K67" si="3">J4*100</f>
        <v>0</v>
      </c>
      <c r="L4" s="62"/>
      <c r="M4" s="61">
        <f t="shared" ref="M4:M67" si="4">L4*250</f>
        <v>0</v>
      </c>
      <c r="N4" s="63">
        <v>0</v>
      </c>
      <c r="O4" s="61">
        <f t="shared" ref="O4:O67" si="5">N4*500</f>
        <v>0</v>
      </c>
      <c r="P4" s="60">
        <v>0</v>
      </c>
      <c r="Q4" s="61">
        <f t="shared" ref="Q4:Q67" si="6">P4*1000</f>
        <v>0</v>
      </c>
      <c r="R4" s="60">
        <v>0</v>
      </c>
      <c r="S4" s="61">
        <f t="shared" ref="S4:S67" si="7">R4*2500</f>
        <v>0</v>
      </c>
      <c r="T4" s="60">
        <v>0</v>
      </c>
      <c r="U4" s="64">
        <f t="shared" ref="U4:U67" si="8">T4*5000</f>
        <v>0</v>
      </c>
      <c r="V4" s="65">
        <v>0</v>
      </c>
      <c r="W4" s="66">
        <f t="shared" ref="W4:W67" si="9">E4+G4+I4+K4+M4+O4+Q4+S4+U4</f>
        <v>0</v>
      </c>
      <c r="X4" s="67">
        <f t="shared" ref="X4:X67" si="10">SUM(W4:W4)/1000</f>
        <v>0</v>
      </c>
      <c r="Y4" s="57" t="str">
        <f t="shared" ref="Y4:Y67" si="11">IF(W4=0,("NIL PLEASE PURCHASE"),("STOCK"))</f>
        <v>NIL PLEASE PURCHASE</v>
      </c>
      <c r="Z4" s="68" t="s">
        <v>1539</v>
      </c>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row>
    <row r="5" spans="1:125" s="1" customFormat="1" ht="20.100000000000001" customHeight="1" x14ac:dyDescent="0.25">
      <c r="A5" s="59" t="s">
        <v>237</v>
      </c>
      <c r="B5" s="84">
        <v>3</v>
      </c>
      <c r="C5" s="85" t="s">
        <v>10</v>
      </c>
      <c r="D5" s="60">
        <v>0</v>
      </c>
      <c r="E5" s="61">
        <f t="shared" si="0"/>
        <v>0</v>
      </c>
      <c r="F5" s="60">
        <v>0</v>
      </c>
      <c r="G5" s="61">
        <f t="shared" si="1"/>
        <v>0</v>
      </c>
      <c r="H5" s="60">
        <v>0</v>
      </c>
      <c r="I5" s="61">
        <f t="shared" si="2"/>
        <v>0</v>
      </c>
      <c r="J5" s="60">
        <v>0</v>
      </c>
      <c r="K5" s="61">
        <f t="shared" si="3"/>
        <v>0</v>
      </c>
      <c r="L5" s="62"/>
      <c r="M5" s="61">
        <f t="shared" si="4"/>
        <v>0</v>
      </c>
      <c r="N5" s="63">
        <v>0</v>
      </c>
      <c r="O5" s="61">
        <f t="shared" si="5"/>
        <v>0</v>
      </c>
      <c r="P5" s="60">
        <v>0</v>
      </c>
      <c r="Q5" s="61">
        <f t="shared" si="6"/>
        <v>0</v>
      </c>
      <c r="R5" s="60">
        <v>0</v>
      </c>
      <c r="S5" s="61">
        <f t="shared" si="7"/>
        <v>0</v>
      </c>
      <c r="T5" s="60">
        <v>0</v>
      </c>
      <c r="U5" s="64">
        <f t="shared" si="8"/>
        <v>0</v>
      </c>
      <c r="V5" s="65">
        <v>0</v>
      </c>
      <c r="W5" s="66">
        <f t="shared" si="9"/>
        <v>0</v>
      </c>
      <c r="X5" s="67">
        <f t="shared" si="10"/>
        <v>0</v>
      </c>
      <c r="Y5" s="57" t="str">
        <f t="shared" si="11"/>
        <v>NIL PLEASE PURCHASE</v>
      </c>
      <c r="Z5" s="68" t="s">
        <v>1539</v>
      </c>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row>
    <row r="6" spans="1:125" s="1" customFormat="1" ht="20.100000000000001" customHeight="1" x14ac:dyDescent="0.25">
      <c r="A6" s="59" t="s">
        <v>238</v>
      </c>
      <c r="B6" s="84">
        <v>4</v>
      </c>
      <c r="C6" s="85" t="s">
        <v>11</v>
      </c>
      <c r="D6" s="60">
        <v>0</v>
      </c>
      <c r="E6" s="61">
        <f t="shared" si="0"/>
        <v>0</v>
      </c>
      <c r="F6" s="60">
        <v>0</v>
      </c>
      <c r="G6" s="61">
        <f t="shared" si="1"/>
        <v>0</v>
      </c>
      <c r="H6" s="60">
        <v>0</v>
      </c>
      <c r="I6" s="61">
        <f t="shared" si="2"/>
        <v>0</v>
      </c>
      <c r="J6" s="60">
        <v>0</v>
      </c>
      <c r="K6" s="61">
        <f t="shared" si="3"/>
        <v>0</v>
      </c>
      <c r="L6" s="62"/>
      <c r="M6" s="61">
        <f t="shared" si="4"/>
        <v>0</v>
      </c>
      <c r="N6" s="63">
        <v>0</v>
      </c>
      <c r="O6" s="61">
        <f t="shared" si="5"/>
        <v>0</v>
      </c>
      <c r="P6" s="60">
        <v>0</v>
      </c>
      <c r="Q6" s="61">
        <f t="shared" si="6"/>
        <v>0</v>
      </c>
      <c r="R6" s="60">
        <v>0</v>
      </c>
      <c r="S6" s="61">
        <f t="shared" si="7"/>
        <v>0</v>
      </c>
      <c r="T6" s="60">
        <v>0</v>
      </c>
      <c r="U6" s="64">
        <f t="shared" si="8"/>
        <v>0</v>
      </c>
      <c r="V6" s="65">
        <v>0</v>
      </c>
      <c r="W6" s="66">
        <f t="shared" si="9"/>
        <v>0</v>
      </c>
      <c r="X6" s="67">
        <f t="shared" si="10"/>
        <v>0</v>
      </c>
      <c r="Y6" s="57" t="str">
        <f t="shared" si="11"/>
        <v>NIL PLEASE PURCHASE</v>
      </c>
      <c r="Z6" s="68" t="s">
        <v>1539</v>
      </c>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row>
    <row r="7" spans="1:125" s="1" customFormat="1" ht="20.100000000000001" customHeight="1" x14ac:dyDescent="0.25">
      <c r="A7" s="59" t="s">
        <v>239</v>
      </c>
      <c r="B7" s="84">
        <v>5</v>
      </c>
      <c r="C7" s="85" t="s">
        <v>12</v>
      </c>
      <c r="D7" s="60">
        <v>0</v>
      </c>
      <c r="E7" s="61">
        <f t="shared" si="0"/>
        <v>0</v>
      </c>
      <c r="F7" s="60">
        <v>0</v>
      </c>
      <c r="G7" s="61">
        <f t="shared" si="1"/>
        <v>0</v>
      </c>
      <c r="H7" s="60">
        <v>0</v>
      </c>
      <c r="I7" s="61">
        <f t="shared" si="2"/>
        <v>0</v>
      </c>
      <c r="J7" s="60">
        <v>0</v>
      </c>
      <c r="K7" s="61">
        <f t="shared" si="3"/>
        <v>0</v>
      </c>
      <c r="L7" s="62"/>
      <c r="M7" s="61">
        <f t="shared" si="4"/>
        <v>0</v>
      </c>
      <c r="N7" s="63">
        <v>0</v>
      </c>
      <c r="O7" s="61">
        <f t="shared" si="5"/>
        <v>0</v>
      </c>
      <c r="P7" s="60">
        <v>0</v>
      </c>
      <c r="Q7" s="61">
        <f t="shared" si="6"/>
        <v>0</v>
      </c>
      <c r="R7" s="60">
        <v>0</v>
      </c>
      <c r="S7" s="61">
        <f t="shared" si="7"/>
        <v>0</v>
      </c>
      <c r="T7" s="60">
        <v>0</v>
      </c>
      <c r="U7" s="64">
        <f t="shared" si="8"/>
        <v>0</v>
      </c>
      <c r="V7" s="65">
        <v>0</v>
      </c>
      <c r="W7" s="66">
        <f t="shared" si="9"/>
        <v>0</v>
      </c>
      <c r="X7" s="67">
        <f t="shared" si="10"/>
        <v>0</v>
      </c>
      <c r="Y7" s="57" t="str">
        <f t="shared" si="11"/>
        <v>NIL PLEASE PURCHASE</v>
      </c>
      <c r="Z7" s="68" t="s">
        <v>1539</v>
      </c>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row>
    <row r="8" spans="1:125" s="1" customFormat="1" ht="22.5" customHeight="1" x14ac:dyDescent="0.25">
      <c r="A8" s="59" t="s">
        <v>240</v>
      </c>
      <c r="B8" s="84">
        <v>6</v>
      </c>
      <c r="C8" s="85" t="s">
        <v>13</v>
      </c>
      <c r="D8" s="60">
        <v>0</v>
      </c>
      <c r="E8" s="61">
        <f t="shared" si="0"/>
        <v>0</v>
      </c>
      <c r="F8" s="60">
        <v>0</v>
      </c>
      <c r="G8" s="61">
        <f t="shared" si="1"/>
        <v>0</v>
      </c>
      <c r="H8" s="60">
        <v>0</v>
      </c>
      <c r="I8" s="61">
        <f t="shared" si="2"/>
        <v>0</v>
      </c>
      <c r="J8" s="60">
        <v>0</v>
      </c>
      <c r="K8" s="61">
        <f t="shared" si="3"/>
        <v>0</v>
      </c>
      <c r="L8" s="62"/>
      <c r="M8" s="61">
        <f t="shared" si="4"/>
        <v>0</v>
      </c>
      <c r="N8" s="63">
        <v>1</v>
      </c>
      <c r="O8" s="61">
        <f t="shared" si="5"/>
        <v>500</v>
      </c>
      <c r="P8" s="60">
        <v>0</v>
      </c>
      <c r="Q8" s="61">
        <f t="shared" si="6"/>
        <v>0</v>
      </c>
      <c r="R8" s="60">
        <v>0</v>
      </c>
      <c r="S8" s="61">
        <f t="shared" si="7"/>
        <v>0</v>
      </c>
      <c r="T8" s="60">
        <v>0</v>
      </c>
      <c r="U8" s="64">
        <f t="shared" si="8"/>
        <v>0</v>
      </c>
      <c r="V8" s="65">
        <v>0</v>
      </c>
      <c r="W8" s="66">
        <f t="shared" si="9"/>
        <v>500</v>
      </c>
      <c r="X8" s="67">
        <f t="shared" si="10"/>
        <v>0.5</v>
      </c>
      <c r="Y8" s="57" t="str">
        <f t="shared" si="11"/>
        <v>STOCK</v>
      </c>
      <c r="Z8" s="68" t="s">
        <v>1538</v>
      </c>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c r="DE8" s="8"/>
      <c r="DF8" s="8"/>
      <c r="DG8" s="8"/>
      <c r="DH8" s="8"/>
      <c r="DI8" s="8"/>
      <c r="DJ8" s="8"/>
      <c r="DK8" s="8"/>
      <c r="DL8" s="8"/>
      <c r="DM8" s="8"/>
      <c r="DN8" s="8"/>
      <c r="DO8" s="8"/>
      <c r="DP8" s="8"/>
      <c r="DQ8" s="8"/>
      <c r="DR8" s="8"/>
      <c r="DS8" s="8"/>
      <c r="DT8" s="8"/>
      <c r="DU8" s="8"/>
    </row>
    <row r="9" spans="1:125" s="1" customFormat="1" ht="20.100000000000001" customHeight="1" x14ac:dyDescent="0.25">
      <c r="A9" s="59" t="s">
        <v>241</v>
      </c>
      <c r="B9" s="84">
        <v>7</v>
      </c>
      <c r="C9" s="85" t="s">
        <v>14</v>
      </c>
      <c r="D9" s="60">
        <v>0</v>
      </c>
      <c r="E9" s="61">
        <f t="shared" si="0"/>
        <v>0</v>
      </c>
      <c r="F9" s="60">
        <v>0</v>
      </c>
      <c r="G9" s="61">
        <f t="shared" si="1"/>
        <v>0</v>
      </c>
      <c r="H9" s="60">
        <v>0</v>
      </c>
      <c r="I9" s="61">
        <f t="shared" si="2"/>
        <v>0</v>
      </c>
      <c r="J9" s="60">
        <v>0</v>
      </c>
      <c r="K9" s="61">
        <f t="shared" si="3"/>
        <v>0</v>
      </c>
      <c r="L9" s="62"/>
      <c r="M9" s="61">
        <f t="shared" si="4"/>
        <v>0</v>
      </c>
      <c r="N9" s="63">
        <v>0</v>
      </c>
      <c r="O9" s="61">
        <f t="shared" si="5"/>
        <v>0</v>
      </c>
      <c r="P9" s="60">
        <v>0</v>
      </c>
      <c r="Q9" s="61">
        <f t="shared" si="6"/>
        <v>0</v>
      </c>
      <c r="R9" s="60">
        <v>0</v>
      </c>
      <c r="S9" s="61">
        <f t="shared" si="7"/>
        <v>0</v>
      </c>
      <c r="T9" s="60">
        <v>0</v>
      </c>
      <c r="U9" s="64">
        <f t="shared" si="8"/>
        <v>0</v>
      </c>
      <c r="V9" s="65">
        <v>0</v>
      </c>
      <c r="W9" s="66">
        <f t="shared" si="9"/>
        <v>0</v>
      </c>
      <c r="X9" s="67">
        <f t="shared" si="10"/>
        <v>0</v>
      </c>
      <c r="Y9" s="57" t="str">
        <f t="shared" si="11"/>
        <v>NIL PLEASE PURCHASE</v>
      </c>
      <c r="Z9" s="68" t="s">
        <v>1539</v>
      </c>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row>
    <row r="10" spans="1:125" s="1" customFormat="1" ht="22.5" customHeight="1" x14ac:dyDescent="0.25">
      <c r="A10" s="59" t="s">
        <v>242</v>
      </c>
      <c r="B10" s="84">
        <v>8</v>
      </c>
      <c r="C10" s="85" t="s">
        <v>15</v>
      </c>
      <c r="D10" s="60">
        <v>0</v>
      </c>
      <c r="E10" s="61">
        <f t="shared" si="0"/>
        <v>0</v>
      </c>
      <c r="F10" s="60">
        <v>0</v>
      </c>
      <c r="G10" s="61">
        <f t="shared" si="1"/>
        <v>0</v>
      </c>
      <c r="H10" s="60">
        <v>0</v>
      </c>
      <c r="I10" s="61">
        <f t="shared" si="2"/>
        <v>0</v>
      </c>
      <c r="J10" s="60">
        <v>0</v>
      </c>
      <c r="K10" s="61">
        <f t="shared" si="3"/>
        <v>0</v>
      </c>
      <c r="L10" s="62"/>
      <c r="M10" s="61">
        <f t="shared" si="4"/>
        <v>0</v>
      </c>
      <c r="N10" s="63">
        <v>6</v>
      </c>
      <c r="O10" s="61">
        <f t="shared" si="5"/>
        <v>3000</v>
      </c>
      <c r="P10" s="60">
        <v>0</v>
      </c>
      <c r="Q10" s="61">
        <f t="shared" si="6"/>
        <v>0</v>
      </c>
      <c r="R10" s="60">
        <v>0</v>
      </c>
      <c r="S10" s="61">
        <f t="shared" si="7"/>
        <v>0</v>
      </c>
      <c r="T10" s="60">
        <v>0</v>
      </c>
      <c r="U10" s="64">
        <f t="shared" si="8"/>
        <v>0</v>
      </c>
      <c r="V10" s="65">
        <v>0</v>
      </c>
      <c r="W10" s="66">
        <f t="shared" si="9"/>
        <v>3000</v>
      </c>
      <c r="X10" s="67">
        <f t="shared" si="10"/>
        <v>3</v>
      </c>
      <c r="Y10" s="57" t="str">
        <f t="shared" si="11"/>
        <v>STOCK</v>
      </c>
      <c r="Z10" s="68" t="s">
        <v>1538</v>
      </c>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row>
    <row r="11" spans="1:125" s="1" customFormat="1" ht="20.100000000000001" customHeight="1" x14ac:dyDescent="0.25">
      <c r="A11" s="59" t="s">
        <v>1547</v>
      </c>
      <c r="B11" s="84">
        <v>9</v>
      </c>
      <c r="C11" s="85" t="s">
        <v>16</v>
      </c>
      <c r="D11" s="60">
        <v>0</v>
      </c>
      <c r="E11" s="61">
        <f t="shared" si="0"/>
        <v>0</v>
      </c>
      <c r="F11" s="60">
        <v>0</v>
      </c>
      <c r="G11" s="61">
        <f t="shared" si="1"/>
        <v>0</v>
      </c>
      <c r="H11" s="60">
        <v>0</v>
      </c>
      <c r="I11" s="61">
        <f t="shared" si="2"/>
        <v>0</v>
      </c>
      <c r="J11" s="60">
        <v>0</v>
      </c>
      <c r="K11" s="61">
        <f t="shared" si="3"/>
        <v>0</v>
      </c>
      <c r="L11" s="62"/>
      <c r="M11" s="61">
        <f t="shared" si="4"/>
        <v>0</v>
      </c>
      <c r="N11" s="63">
        <v>0</v>
      </c>
      <c r="O11" s="61">
        <f t="shared" si="5"/>
        <v>0</v>
      </c>
      <c r="P11" s="60">
        <v>0</v>
      </c>
      <c r="Q11" s="61">
        <f t="shared" si="6"/>
        <v>0</v>
      </c>
      <c r="R11" s="60">
        <v>0</v>
      </c>
      <c r="S11" s="61">
        <f t="shared" si="7"/>
        <v>0</v>
      </c>
      <c r="T11" s="60">
        <v>0</v>
      </c>
      <c r="U11" s="64">
        <f t="shared" si="8"/>
        <v>0</v>
      </c>
      <c r="V11" s="65">
        <v>0</v>
      </c>
      <c r="W11" s="66">
        <f t="shared" si="9"/>
        <v>0</v>
      </c>
      <c r="X11" s="67">
        <f t="shared" si="10"/>
        <v>0</v>
      </c>
      <c r="Y11" s="57" t="str">
        <f t="shared" si="11"/>
        <v>NIL PLEASE PURCHASE</v>
      </c>
      <c r="Z11" s="68" t="s">
        <v>1539</v>
      </c>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row>
    <row r="12" spans="1:125" s="1" customFormat="1" ht="22.5" customHeight="1" x14ac:dyDescent="0.25">
      <c r="A12" s="59" t="s">
        <v>243</v>
      </c>
      <c r="B12" s="84">
        <v>10</v>
      </c>
      <c r="C12" s="85" t="s">
        <v>17</v>
      </c>
      <c r="D12" s="60">
        <v>0</v>
      </c>
      <c r="E12" s="61">
        <f t="shared" si="0"/>
        <v>0</v>
      </c>
      <c r="F12" s="60">
        <v>0</v>
      </c>
      <c r="G12" s="61">
        <f t="shared" si="1"/>
        <v>0</v>
      </c>
      <c r="H12" s="60">
        <v>0</v>
      </c>
      <c r="I12" s="61">
        <f t="shared" si="2"/>
        <v>0</v>
      </c>
      <c r="J12" s="60">
        <v>0</v>
      </c>
      <c r="K12" s="61">
        <f t="shared" si="3"/>
        <v>0</v>
      </c>
      <c r="L12" s="62"/>
      <c r="M12" s="61">
        <f t="shared" si="4"/>
        <v>0</v>
      </c>
      <c r="N12" s="63">
        <v>1</v>
      </c>
      <c r="O12" s="61">
        <f t="shared" si="5"/>
        <v>500</v>
      </c>
      <c r="P12" s="60">
        <v>0</v>
      </c>
      <c r="Q12" s="61">
        <f t="shared" si="6"/>
        <v>0</v>
      </c>
      <c r="R12" s="60">
        <v>0</v>
      </c>
      <c r="S12" s="61">
        <f t="shared" si="7"/>
        <v>0</v>
      </c>
      <c r="T12" s="60">
        <v>0</v>
      </c>
      <c r="U12" s="64">
        <f t="shared" si="8"/>
        <v>0</v>
      </c>
      <c r="V12" s="65">
        <v>0</v>
      </c>
      <c r="W12" s="66">
        <f t="shared" si="9"/>
        <v>500</v>
      </c>
      <c r="X12" s="67">
        <f t="shared" si="10"/>
        <v>0.5</v>
      </c>
      <c r="Y12" s="57" t="str">
        <f t="shared" si="11"/>
        <v>STOCK</v>
      </c>
      <c r="Z12" s="68" t="s">
        <v>1538</v>
      </c>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row>
    <row r="13" spans="1:125" s="1" customFormat="1" ht="22.5" customHeight="1" x14ac:dyDescent="0.25">
      <c r="A13" s="59" t="s">
        <v>244</v>
      </c>
      <c r="B13" s="84">
        <v>11</v>
      </c>
      <c r="C13" s="85" t="s">
        <v>18</v>
      </c>
      <c r="D13" s="60">
        <v>0</v>
      </c>
      <c r="E13" s="61">
        <f t="shared" si="0"/>
        <v>0</v>
      </c>
      <c r="F13" s="60">
        <v>0</v>
      </c>
      <c r="G13" s="61">
        <f t="shared" si="1"/>
        <v>0</v>
      </c>
      <c r="H13" s="60">
        <v>0</v>
      </c>
      <c r="I13" s="61">
        <f t="shared" si="2"/>
        <v>0</v>
      </c>
      <c r="J13" s="60">
        <v>0</v>
      </c>
      <c r="K13" s="61">
        <f t="shared" si="3"/>
        <v>0</v>
      </c>
      <c r="L13" s="62"/>
      <c r="M13" s="61">
        <f t="shared" si="4"/>
        <v>0</v>
      </c>
      <c r="N13" s="63">
        <v>2</v>
      </c>
      <c r="O13" s="61">
        <f t="shared" si="5"/>
        <v>1000</v>
      </c>
      <c r="P13" s="60">
        <v>0</v>
      </c>
      <c r="Q13" s="61">
        <f t="shared" si="6"/>
        <v>0</v>
      </c>
      <c r="R13" s="60">
        <v>0</v>
      </c>
      <c r="S13" s="61">
        <f t="shared" si="7"/>
        <v>0</v>
      </c>
      <c r="T13" s="60">
        <v>0</v>
      </c>
      <c r="U13" s="64">
        <f t="shared" si="8"/>
        <v>0</v>
      </c>
      <c r="V13" s="65">
        <v>0</v>
      </c>
      <c r="W13" s="66">
        <f t="shared" si="9"/>
        <v>1000</v>
      </c>
      <c r="X13" s="67">
        <f t="shared" si="10"/>
        <v>1</v>
      </c>
      <c r="Y13" s="57" t="str">
        <f t="shared" si="11"/>
        <v>STOCK</v>
      </c>
      <c r="Z13" s="68" t="s">
        <v>1538</v>
      </c>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row>
    <row r="14" spans="1:125" s="1" customFormat="1" ht="22.5" customHeight="1" x14ac:dyDescent="0.25">
      <c r="A14" s="59" t="s">
        <v>245</v>
      </c>
      <c r="B14" s="84">
        <v>12</v>
      </c>
      <c r="C14" s="85" t="s">
        <v>19</v>
      </c>
      <c r="D14" s="60">
        <v>0</v>
      </c>
      <c r="E14" s="61">
        <f t="shared" si="0"/>
        <v>0</v>
      </c>
      <c r="F14" s="60">
        <v>0</v>
      </c>
      <c r="G14" s="61">
        <f t="shared" si="1"/>
        <v>0</v>
      </c>
      <c r="H14" s="60">
        <v>0</v>
      </c>
      <c r="I14" s="61">
        <f t="shared" si="2"/>
        <v>0</v>
      </c>
      <c r="J14" s="60">
        <v>0</v>
      </c>
      <c r="K14" s="61">
        <f t="shared" si="3"/>
        <v>0</v>
      </c>
      <c r="L14" s="62"/>
      <c r="M14" s="61">
        <f t="shared" si="4"/>
        <v>0</v>
      </c>
      <c r="N14" s="63">
        <v>5</v>
      </c>
      <c r="O14" s="61">
        <f t="shared" si="5"/>
        <v>2500</v>
      </c>
      <c r="P14" s="60">
        <v>0</v>
      </c>
      <c r="Q14" s="61">
        <f t="shared" si="6"/>
        <v>0</v>
      </c>
      <c r="R14" s="60">
        <v>0</v>
      </c>
      <c r="S14" s="61">
        <f t="shared" si="7"/>
        <v>0</v>
      </c>
      <c r="T14" s="60">
        <v>0</v>
      </c>
      <c r="U14" s="64">
        <f t="shared" si="8"/>
        <v>0</v>
      </c>
      <c r="V14" s="65">
        <v>0</v>
      </c>
      <c r="W14" s="66">
        <f t="shared" si="9"/>
        <v>2500</v>
      </c>
      <c r="X14" s="67">
        <f t="shared" si="10"/>
        <v>2.5</v>
      </c>
      <c r="Y14" s="57" t="str">
        <f t="shared" si="11"/>
        <v>STOCK</v>
      </c>
      <c r="Z14" s="68" t="s">
        <v>1538</v>
      </c>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row>
    <row r="15" spans="1:125" s="1" customFormat="1" ht="20.100000000000001" customHeight="1" x14ac:dyDescent="0.25">
      <c r="A15" s="59" t="s">
        <v>1548</v>
      </c>
      <c r="B15" s="84">
        <v>13</v>
      </c>
      <c r="C15" s="85" t="s">
        <v>20</v>
      </c>
      <c r="D15" s="60">
        <v>0</v>
      </c>
      <c r="E15" s="61">
        <f t="shared" si="0"/>
        <v>0</v>
      </c>
      <c r="F15" s="60">
        <v>0</v>
      </c>
      <c r="G15" s="61">
        <f t="shared" si="1"/>
        <v>0</v>
      </c>
      <c r="H15" s="60">
        <v>0</v>
      </c>
      <c r="I15" s="61">
        <f t="shared" si="2"/>
        <v>0</v>
      </c>
      <c r="J15" s="60">
        <v>0</v>
      </c>
      <c r="K15" s="61">
        <f t="shared" si="3"/>
        <v>0</v>
      </c>
      <c r="L15" s="62"/>
      <c r="M15" s="61">
        <f t="shared" si="4"/>
        <v>0</v>
      </c>
      <c r="N15" s="63">
        <v>0</v>
      </c>
      <c r="O15" s="61">
        <f t="shared" si="5"/>
        <v>0</v>
      </c>
      <c r="P15" s="60">
        <v>0</v>
      </c>
      <c r="Q15" s="61">
        <f t="shared" si="6"/>
        <v>0</v>
      </c>
      <c r="R15" s="60">
        <v>0</v>
      </c>
      <c r="S15" s="61">
        <f t="shared" si="7"/>
        <v>0</v>
      </c>
      <c r="T15" s="60">
        <v>0</v>
      </c>
      <c r="U15" s="64">
        <f t="shared" si="8"/>
        <v>0</v>
      </c>
      <c r="V15" s="65">
        <v>0</v>
      </c>
      <c r="W15" s="66">
        <f t="shared" si="9"/>
        <v>0</v>
      </c>
      <c r="X15" s="67">
        <f t="shared" si="10"/>
        <v>0</v>
      </c>
      <c r="Y15" s="57" t="str">
        <f t="shared" si="11"/>
        <v>NIL PLEASE PURCHASE</v>
      </c>
      <c r="Z15" s="68" t="s">
        <v>1539</v>
      </c>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row>
    <row r="16" spans="1:125" s="1" customFormat="1" ht="20.100000000000001" customHeight="1" x14ac:dyDescent="0.25">
      <c r="A16" s="59" t="s">
        <v>246</v>
      </c>
      <c r="B16" s="84">
        <v>14</v>
      </c>
      <c r="C16" s="85" t="s">
        <v>21</v>
      </c>
      <c r="D16" s="60">
        <v>0</v>
      </c>
      <c r="E16" s="61">
        <f t="shared" si="0"/>
        <v>0</v>
      </c>
      <c r="F16" s="60">
        <v>0</v>
      </c>
      <c r="G16" s="61">
        <f t="shared" si="1"/>
        <v>0</v>
      </c>
      <c r="H16" s="60">
        <v>0</v>
      </c>
      <c r="I16" s="61">
        <f t="shared" si="2"/>
        <v>0</v>
      </c>
      <c r="J16" s="60">
        <v>0</v>
      </c>
      <c r="K16" s="61">
        <f t="shared" si="3"/>
        <v>0</v>
      </c>
      <c r="L16" s="62"/>
      <c r="M16" s="61">
        <f t="shared" si="4"/>
        <v>0</v>
      </c>
      <c r="N16" s="63">
        <v>0</v>
      </c>
      <c r="O16" s="61">
        <f t="shared" si="5"/>
        <v>0</v>
      </c>
      <c r="P16" s="60">
        <v>0</v>
      </c>
      <c r="Q16" s="61">
        <f t="shared" si="6"/>
        <v>0</v>
      </c>
      <c r="R16" s="60">
        <v>0</v>
      </c>
      <c r="S16" s="61">
        <f t="shared" si="7"/>
        <v>0</v>
      </c>
      <c r="T16" s="60">
        <v>0</v>
      </c>
      <c r="U16" s="64">
        <f t="shared" si="8"/>
        <v>0</v>
      </c>
      <c r="V16" s="65">
        <v>0</v>
      </c>
      <c r="W16" s="66">
        <f t="shared" si="9"/>
        <v>0</v>
      </c>
      <c r="X16" s="67">
        <f t="shared" si="10"/>
        <v>0</v>
      </c>
      <c r="Y16" s="57" t="str">
        <f t="shared" si="11"/>
        <v>NIL PLEASE PURCHASE</v>
      </c>
      <c r="Z16" s="68" t="s">
        <v>1539</v>
      </c>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row>
    <row r="17" spans="1:125" s="1" customFormat="1" ht="22.5" customHeight="1" x14ac:dyDescent="0.25">
      <c r="A17" s="59" t="s">
        <v>247</v>
      </c>
      <c r="B17" s="84">
        <v>15</v>
      </c>
      <c r="C17" s="85" t="s">
        <v>22</v>
      </c>
      <c r="D17" s="60">
        <v>0</v>
      </c>
      <c r="E17" s="61">
        <f t="shared" si="0"/>
        <v>0</v>
      </c>
      <c r="F17" s="60">
        <v>0</v>
      </c>
      <c r="G17" s="61">
        <f t="shared" si="1"/>
        <v>0</v>
      </c>
      <c r="H17" s="60">
        <v>0</v>
      </c>
      <c r="I17" s="61">
        <f t="shared" si="2"/>
        <v>0</v>
      </c>
      <c r="J17" s="60">
        <v>0</v>
      </c>
      <c r="K17" s="61">
        <f t="shared" si="3"/>
        <v>0</v>
      </c>
      <c r="L17" s="62"/>
      <c r="M17" s="61">
        <f t="shared" si="4"/>
        <v>0</v>
      </c>
      <c r="N17" s="63">
        <v>8</v>
      </c>
      <c r="O17" s="61">
        <f t="shared" si="5"/>
        <v>4000</v>
      </c>
      <c r="P17" s="60">
        <v>0</v>
      </c>
      <c r="Q17" s="61">
        <f t="shared" si="6"/>
        <v>0</v>
      </c>
      <c r="R17" s="60">
        <v>0</v>
      </c>
      <c r="S17" s="61">
        <f t="shared" si="7"/>
        <v>0</v>
      </c>
      <c r="T17" s="60">
        <v>0</v>
      </c>
      <c r="U17" s="64">
        <f t="shared" si="8"/>
        <v>0</v>
      </c>
      <c r="V17" s="65">
        <v>0</v>
      </c>
      <c r="W17" s="66">
        <f t="shared" si="9"/>
        <v>4000</v>
      </c>
      <c r="X17" s="67">
        <f t="shared" si="10"/>
        <v>4</v>
      </c>
      <c r="Y17" s="57" t="str">
        <f t="shared" si="11"/>
        <v>STOCK</v>
      </c>
      <c r="Z17" s="68" t="s">
        <v>1538</v>
      </c>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row>
    <row r="18" spans="1:125" s="1" customFormat="1" ht="22.5" customHeight="1" x14ac:dyDescent="0.25">
      <c r="A18" s="59" t="s">
        <v>248</v>
      </c>
      <c r="B18" s="84">
        <v>16</v>
      </c>
      <c r="C18" s="85" t="s">
        <v>57</v>
      </c>
      <c r="D18" s="60">
        <v>0</v>
      </c>
      <c r="E18" s="61">
        <f t="shared" si="0"/>
        <v>0</v>
      </c>
      <c r="F18" s="60">
        <v>0</v>
      </c>
      <c r="G18" s="61">
        <f t="shared" si="1"/>
        <v>0</v>
      </c>
      <c r="H18" s="60">
        <v>0</v>
      </c>
      <c r="I18" s="61">
        <f t="shared" si="2"/>
        <v>0</v>
      </c>
      <c r="J18" s="60">
        <v>0</v>
      </c>
      <c r="K18" s="61">
        <f t="shared" si="3"/>
        <v>0</v>
      </c>
      <c r="L18" s="62"/>
      <c r="M18" s="61">
        <f t="shared" si="4"/>
        <v>0</v>
      </c>
      <c r="N18" s="63">
        <v>1</v>
      </c>
      <c r="O18" s="61">
        <f t="shared" si="5"/>
        <v>500</v>
      </c>
      <c r="P18" s="60">
        <v>0</v>
      </c>
      <c r="Q18" s="61">
        <f t="shared" si="6"/>
        <v>0</v>
      </c>
      <c r="R18" s="60">
        <v>0</v>
      </c>
      <c r="S18" s="61">
        <f t="shared" si="7"/>
        <v>0</v>
      </c>
      <c r="T18" s="60">
        <v>0</v>
      </c>
      <c r="U18" s="64">
        <f t="shared" si="8"/>
        <v>0</v>
      </c>
      <c r="V18" s="65">
        <v>0</v>
      </c>
      <c r="W18" s="66">
        <f t="shared" si="9"/>
        <v>500</v>
      </c>
      <c r="X18" s="67">
        <f t="shared" si="10"/>
        <v>0.5</v>
      </c>
      <c r="Y18" s="57" t="str">
        <f t="shared" si="11"/>
        <v>STOCK</v>
      </c>
      <c r="Z18" s="68" t="s">
        <v>1538</v>
      </c>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row>
    <row r="19" spans="1:125" s="1" customFormat="1" ht="22.5" customHeight="1" x14ac:dyDescent="0.25">
      <c r="A19" s="59" t="s">
        <v>249</v>
      </c>
      <c r="B19" s="84">
        <v>17</v>
      </c>
      <c r="C19" s="85" t="s">
        <v>58</v>
      </c>
      <c r="D19" s="60">
        <v>0</v>
      </c>
      <c r="E19" s="61">
        <f t="shared" si="0"/>
        <v>0</v>
      </c>
      <c r="F19" s="60">
        <v>0</v>
      </c>
      <c r="G19" s="61">
        <f t="shared" si="1"/>
        <v>0</v>
      </c>
      <c r="H19" s="60">
        <v>0</v>
      </c>
      <c r="I19" s="61">
        <f t="shared" si="2"/>
        <v>0</v>
      </c>
      <c r="J19" s="60">
        <v>0</v>
      </c>
      <c r="K19" s="61">
        <f t="shared" si="3"/>
        <v>0</v>
      </c>
      <c r="L19" s="62"/>
      <c r="M19" s="61">
        <f t="shared" si="4"/>
        <v>0</v>
      </c>
      <c r="N19" s="63">
        <v>1</v>
      </c>
      <c r="O19" s="61">
        <f t="shared" si="5"/>
        <v>500</v>
      </c>
      <c r="P19" s="60">
        <v>0</v>
      </c>
      <c r="Q19" s="61">
        <f t="shared" si="6"/>
        <v>0</v>
      </c>
      <c r="R19" s="60">
        <v>0</v>
      </c>
      <c r="S19" s="61">
        <f t="shared" si="7"/>
        <v>0</v>
      </c>
      <c r="T19" s="60">
        <v>0</v>
      </c>
      <c r="U19" s="64">
        <f t="shared" si="8"/>
        <v>0</v>
      </c>
      <c r="V19" s="65">
        <v>0</v>
      </c>
      <c r="W19" s="66">
        <f t="shared" si="9"/>
        <v>500</v>
      </c>
      <c r="X19" s="67">
        <f t="shared" si="10"/>
        <v>0.5</v>
      </c>
      <c r="Y19" s="57" t="str">
        <f t="shared" si="11"/>
        <v>STOCK</v>
      </c>
      <c r="Z19" s="68" t="s">
        <v>1538</v>
      </c>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row>
    <row r="20" spans="1:125" s="1" customFormat="1" ht="22.5" customHeight="1" x14ac:dyDescent="0.25">
      <c r="A20" s="59" t="s">
        <v>250</v>
      </c>
      <c r="B20" s="84">
        <v>18</v>
      </c>
      <c r="C20" s="85" t="s">
        <v>23</v>
      </c>
      <c r="D20" s="60">
        <v>0</v>
      </c>
      <c r="E20" s="61">
        <f t="shared" si="0"/>
        <v>0</v>
      </c>
      <c r="F20" s="60">
        <v>0</v>
      </c>
      <c r="G20" s="61">
        <f t="shared" si="1"/>
        <v>0</v>
      </c>
      <c r="H20" s="60">
        <v>0</v>
      </c>
      <c r="I20" s="61">
        <f t="shared" si="2"/>
        <v>0</v>
      </c>
      <c r="J20" s="60">
        <v>0</v>
      </c>
      <c r="K20" s="61">
        <f t="shared" si="3"/>
        <v>0</v>
      </c>
      <c r="L20" s="62"/>
      <c r="M20" s="61">
        <f t="shared" si="4"/>
        <v>0</v>
      </c>
      <c r="N20" s="63">
        <v>34</v>
      </c>
      <c r="O20" s="61">
        <f t="shared" si="5"/>
        <v>17000</v>
      </c>
      <c r="P20" s="60">
        <v>0</v>
      </c>
      <c r="Q20" s="61">
        <f t="shared" si="6"/>
        <v>0</v>
      </c>
      <c r="R20" s="60">
        <v>0</v>
      </c>
      <c r="S20" s="61">
        <f t="shared" si="7"/>
        <v>0</v>
      </c>
      <c r="T20" s="60">
        <v>0</v>
      </c>
      <c r="U20" s="64">
        <f t="shared" si="8"/>
        <v>0</v>
      </c>
      <c r="V20" s="65">
        <v>0</v>
      </c>
      <c r="W20" s="66">
        <f t="shared" si="9"/>
        <v>17000</v>
      </c>
      <c r="X20" s="67">
        <f t="shared" si="10"/>
        <v>17</v>
      </c>
      <c r="Y20" s="57" t="str">
        <f t="shared" si="11"/>
        <v>STOCK</v>
      </c>
      <c r="Z20" s="68" t="s">
        <v>1538</v>
      </c>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row>
    <row r="21" spans="1:125" s="1" customFormat="1" ht="20.100000000000001" customHeight="1" x14ac:dyDescent="0.25">
      <c r="A21" s="59" t="s">
        <v>251</v>
      </c>
      <c r="B21" s="84">
        <v>19</v>
      </c>
      <c r="C21" s="85" t="s">
        <v>24</v>
      </c>
      <c r="D21" s="60">
        <v>0</v>
      </c>
      <c r="E21" s="61">
        <f t="shared" si="0"/>
        <v>0</v>
      </c>
      <c r="F21" s="60">
        <v>0</v>
      </c>
      <c r="G21" s="61">
        <f t="shared" si="1"/>
        <v>0</v>
      </c>
      <c r="H21" s="60">
        <v>0</v>
      </c>
      <c r="I21" s="61">
        <f t="shared" si="2"/>
        <v>0</v>
      </c>
      <c r="J21" s="60">
        <v>0</v>
      </c>
      <c r="K21" s="61">
        <f t="shared" si="3"/>
        <v>0</v>
      </c>
      <c r="L21" s="62"/>
      <c r="M21" s="61">
        <f t="shared" si="4"/>
        <v>0</v>
      </c>
      <c r="N21" s="63">
        <v>0</v>
      </c>
      <c r="O21" s="61">
        <f t="shared" si="5"/>
        <v>0</v>
      </c>
      <c r="P21" s="60">
        <v>0</v>
      </c>
      <c r="Q21" s="61">
        <f t="shared" si="6"/>
        <v>0</v>
      </c>
      <c r="R21" s="60">
        <v>0</v>
      </c>
      <c r="S21" s="61">
        <f t="shared" si="7"/>
        <v>0</v>
      </c>
      <c r="T21" s="60">
        <v>0</v>
      </c>
      <c r="U21" s="64">
        <f t="shared" si="8"/>
        <v>0</v>
      </c>
      <c r="V21" s="65">
        <v>0</v>
      </c>
      <c r="W21" s="66">
        <f t="shared" si="9"/>
        <v>0</v>
      </c>
      <c r="X21" s="67">
        <f t="shared" si="10"/>
        <v>0</v>
      </c>
      <c r="Y21" s="57" t="str">
        <f t="shared" si="11"/>
        <v>NIL PLEASE PURCHASE</v>
      </c>
      <c r="Z21" s="68" t="s">
        <v>1539</v>
      </c>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row>
    <row r="22" spans="1:125" s="1" customFormat="1" ht="20.100000000000001" customHeight="1" x14ac:dyDescent="0.25">
      <c r="A22" s="59" t="s">
        <v>252</v>
      </c>
      <c r="B22" s="84">
        <v>20</v>
      </c>
      <c r="C22" s="85" t="s">
        <v>54</v>
      </c>
      <c r="D22" s="60">
        <v>0</v>
      </c>
      <c r="E22" s="61">
        <f t="shared" si="0"/>
        <v>0</v>
      </c>
      <c r="F22" s="60">
        <v>0</v>
      </c>
      <c r="G22" s="61">
        <f t="shared" si="1"/>
        <v>0</v>
      </c>
      <c r="H22" s="60">
        <v>0</v>
      </c>
      <c r="I22" s="61">
        <f t="shared" si="2"/>
        <v>0</v>
      </c>
      <c r="J22" s="60">
        <v>0</v>
      </c>
      <c r="K22" s="61">
        <f t="shared" si="3"/>
        <v>0</v>
      </c>
      <c r="L22" s="62"/>
      <c r="M22" s="61">
        <f t="shared" si="4"/>
        <v>0</v>
      </c>
      <c r="N22" s="63">
        <v>0</v>
      </c>
      <c r="O22" s="61">
        <f t="shared" si="5"/>
        <v>0</v>
      </c>
      <c r="P22" s="60">
        <v>0</v>
      </c>
      <c r="Q22" s="61">
        <f t="shared" si="6"/>
        <v>0</v>
      </c>
      <c r="R22" s="60">
        <v>0</v>
      </c>
      <c r="S22" s="61">
        <f t="shared" si="7"/>
        <v>0</v>
      </c>
      <c r="T22" s="60">
        <v>0</v>
      </c>
      <c r="U22" s="64">
        <f t="shared" si="8"/>
        <v>0</v>
      </c>
      <c r="V22" s="65">
        <v>0</v>
      </c>
      <c r="W22" s="66">
        <f t="shared" si="9"/>
        <v>0</v>
      </c>
      <c r="X22" s="67">
        <f t="shared" si="10"/>
        <v>0</v>
      </c>
      <c r="Y22" s="57" t="str">
        <f t="shared" si="11"/>
        <v>NIL PLEASE PURCHASE</v>
      </c>
      <c r="Z22" s="68" t="s">
        <v>1539</v>
      </c>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c r="CS22" s="8"/>
      <c r="CT22" s="8"/>
      <c r="CU22" s="8"/>
      <c r="CV22" s="8"/>
      <c r="CW22" s="8"/>
      <c r="CX22" s="8"/>
      <c r="CY22" s="8"/>
      <c r="CZ22" s="8"/>
      <c r="DA22" s="8"/>
      <c r="DB22" s="8"/>
      <c r="DC22" s="8"/>
      <c r="DD22" s="8"/>
      <c r="DE22" s="8"/>
      <c r="DF22" s="8"/>
      <c r="DG22" s="8"/>
      <c r="DH22" s="8"/>
      <c r="DI22" s="8"/>
      <c r="DJ22" s="8"/>
      <c r="DK22" s="8"/>
      <c r="DL22" s="8"/>
      <c r="DM22" s="8"/>
      <c r="DN22" s="8"/>
      <c r="DO22" s="8"/>
      <c r="DP22" s="8"/>
      <c r="DQ22" s="8"/>
      <c r="DR22" s="8"/>
      <c r="DS22" s="8"/>
      <c r="DT22" s="8"/>
      <c r="DU22" s="8"/>
    </row>
    <row r="23" spans="1:125" s="1" customFormat="1" ht="20.100000000000001" customHeight="1" x14ac:dyDescent="0.25">
      <c r="A23" s="59" t="s">
        <v>253</v>
      </c>
      <c r="B23" s="84">
        <v>21</v>
      </c>
      <c r="C23" s="85" t="s">
        <v>25</v>
      </c>
      <c r="D23" s="60">
        <v>0</v>
      </c>
      <c r="E23" s="61">
        <f t="shared" si="0"/>
        <v>0</v>
      </c>
      <c r="F23" s="60">
        <v>0</v>
      </c>
      <c r="G23" s="61">
        <f t="shared" si="1"/>
        <v>0</v>
      </c>
      <c r="H23" s="60">
        <v>0</v>
      </c>
      <c r="I23" s="61">
        <f t="shared" si="2"/>
        <v>0</v>
      </c>
      <c r="J23" s="60">
        <v>0</v>
      </c>
      <c r="K23" s="61">
        <f t="shared" si="3"/>
        <v>0</v>
      </c>
      <c r="L23" s="62"/>
      <c r="M23" s="61">
        <f t="shared" si="4"/>
        <v>0</v>
      </c>
      <c r="N23" s="63">
        <v>0</v>
      </c>
      <c r="O23" s="61">
        <f t="shared" si="5"/>
        <v>0</v>
      </c>
      <c r="P23" s="60">
        <v>0</v>
      </c>
      <c r="Q23" s="61">
        <f t="shared" si="6"/>
        <v>0</v>
      </c>
      <c r="R23" s="60">
        <v>0</v>
      </c>
      <c r="S23" s="61">
        <f t="shared" si="7"/>
        <v>0</v>
      </c>
      <c r="T23" s="60">
        <v>0</v>
      </c>
      <c r="U23" s="64">
        <f t="shared" si="8"/>
        <v>0</v>
      </c>
      <c r="V23" s="65">
        <v>0</v>
      </c>
      <c r="W23" s="66">
        <f t="shared" si="9"/>
        <v>0</v>
      </c>
      <c r="X23" s="67">
        <f t="shared" si="10"/>
        <v>0</v>
      </c>
      <c r="Y23" s="57" t="str">
        <f t="shared" si="11"/>
        <v>NIL PLEASE PURCHASE</v>
      </c>
      <c r="Z23" s="68" t="s">
        <v>1539</v>
      </c>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row>
    <row r="24" spans="1:125" s="1" customFormat="1" ht="22.5" customHeight="1" x14ac:dyDescent="0.25">
      <c r="A24" s="59" t="s">
        <v>254</v>
      </c>
      <c r="B24" s="84">
        <v>22</v>
      </c>
      <c r="C24" s="85" t="s">
        <v>26</v>
      </c>
      <c r="D24" s="60">
        <v>0</v>
      </c>
      <c r="E24" s="61">
        <f t="shared" si="0"/>
        <v>0</v>
      </c>
      <c r="F24" s="60">
        <v>0</v>
      </c>
      <c r="G24" s="61">
        <f t="shared" si="1"/>
        <v>0</v>
      </c>
      <c r="H24" s="60">
        <v>0</v>
      </c>
      <c r="I24" s="61">
        <f t="shared" si="2"/>
        <v>0</v>
      </c>
      <c r="J24" s="60">
        <v>0</v>
      </c>
      <c r="K24" s="61">
        <f t="shared" si="3"/>
        <v>0</v>
      </c>
      <c r="L24" s="62"/>
      <c r="M24" s="61">
        <f t="shared" si="4"/>
        <v>0</v>
      </c>
      <c r="N24" s="63">
        <v>10</v>
      </c>
      <c r="O24" s="61">
        <f t="shared" si="5"/>
        <v>5000</v>
      </c>
      <c r="P24" s="60">
        <v>0</v>
      </c>
      <c r="Q24" s="61">
        <f t="shared" si="6"/>
        <v>0</v>
      </c>
      <c r="R24" s="60">
        <v>0</v>
      </c>
      <c r="S24" s="61">
        <f t="shared" si="7"/>
        <v>0</v>
      </c>
      <c r="T24" s="60">
        <v>0</v>
      </c>
      <c r="U24" s="64">
        <f t="shared" si="8"/>
        <v>0</v>
      </c>
      <c r="V24" s="65">
        <v>0</v>
      </c>
      <c r="W24" s="66">
        <f t="shared" si="9"/>
        <v>5000</v>
      </c>
      <c r="X24" s="67">
        <f t="shared" si="10"/>
        <v>5</v>
      </c>
      <c r="Y24" s="57" t="str">
        <f t="shared" si="11"/>
        <v>STOCK</v>
      </c>
      <c r="Z24" s="68" t="s">
        <v>1538</v>
      </c>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row>
    <row r="25" spans="1:125" s="1" customFormat="1" ht="22.5" customHeight="1" x14ac:dyDescent="0.25">
      <c r="A25" s="59" t="s">
        <v>255</v>
      </c>
      <c r="B25" s="84">
        <v>23</v>
      </c>
      <c r="C25" s="85" t="s">
        <v>27</v>
      </c>
      <c r="D25" s="60">
        <v>0</v>
      </c>
      <c r="E25" s="61">
        <f t="shared" si="0"/>
        <v>0</v>
      </c>
      <c r="F25" s="60">
        <v>0</v>
      </c>
      <c r="G25" s="61">
        <f t="shared" si="1"/>
        <v>0</v>
      </c>
      <c r="H25" s="60">
        <v>0</v>
      </c>
      <c r="I25" s="61">
        <f t="shared" si="2"/>
        <v>0</v>
      </c>
      <c r="J25" s="60">
        <v>0</v>
      </c>
      <c r="K25" s="61">
        <f t="shared" si="3"/>
        <v>0</v>
      </c>
      <c r="L25" s="62"/>
      <c r="M25" s="61">
        <f t="shared" si="4"/>
        <v>0</v>
      </c>
      <c r="N25" s="63">
        <v>6</v>
      </c>
      <c r="O25" s="61">
        <f t="shared" si="5"/>
        <v>3000</v>
      </c>
      <c r="P25" s="60">
        <v>0</v>
      </c>
      <c r="Q25" s="61">
        <f t="shared" si="6"/>
        <v>0</v>
      </c>
      <c r="R25" s="60">
        <v>0</v>
      </c>
      <c r="S25" s="61">
        <f t="shared" si="7"/>
        <v>0</v>
      </c>
      <c r="T25" s="60">
        <v>0</v>
      </c>
      <c r="U25" s="64">
        <f t="shared" si="8"/>
        <v>0</v>
      </c>
      <c r="V25" s="65">
        <v>0</v>
      </c>
      <c r="W25" s="66">
        <f t="shared" si="9"/>
        <v>3000</v>
      </c>
      <c r="X25" s="67">
        <f t="shared" si="10"/>
        <v>3</v>
      </c>
      <c r="Y25" s="57" t="str">
        <f t="shared" si="11"/>
        <v>STOCK</v>
      </c>
      <c r="Z25" s="68" t="s">
        <v>1538</v>
      </c>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row>
    <row r="26" spans="1:125" s="1" customFormat="1" ht="22.5" customHeight="1" x14ac:dyDescent="0.25">
      <c r="A26" s="59" t="s">
        <v>256</v>
      </c>
      <c r="B26" s="84">
        <v>24</v>
      </c>
      <c r="C26" s="85" t="s">
        <v>28</v>
      </c>
      <c r="D26" s="60">
        <v>0</v>
      </c>
      <c r="E26" s="61">
        <f t="shared" si="0"/>
        <v>0</v>
      </c>
      <c r="F26" s="60">
        <v>0</v>
      </c>
      <c r="G26" s="61">
        <f t="shared" si="1"/>
        <v>0</v>
      </c>
      <c r="H26" s="60">
        <v>0</v>
      </c>
      <c r="I26" s="61">
        <f t="shared" si="2"/>
        <v>0</v>
      </c>
      <c r="J26" s="60">
        <v>0</v>
      </c>
      <c r="K26" s="61">
        <f t="shared" si="3"/>
        <v>0</v>
      </c>
      <c r="L26" s="62"/>
      <c r="M26" s="61">
        <f t="shared" si="4"/>
        <v>0</v>
      </c>
      <c r="N26" s="63">
        <v>0</v>
      </c>
      <c r="O26" s="61">
        <f t="shared" si="5"/>
        <v>0</v>
      </c>
      <c r="P26" s="60">
        <v>0</v>
      </c>
      <c r="Q26" s="61">
        <f t="shared" si="6"/>
        <v>0</v>
      </c>
      <c r="R26" s="60">
        <v>0</v>
      </c>
      <c r="S26" s="61">
        <f t="shared" si="7"/>
        <v>0</v>
      </c>
      <c r="T26" s="60">
        <v>0</v>
      </c>
      <c r="U26" s="64">
        <f t="shared" si="8"/>
        <v>0</v>
      </c>
      <c r="V26" s="65">
        <v>0</v>
      </c>
      <c r="W26" s="66">
        <f t="shared" si="9"/>
        <v>0</v>
      </c>
      <c r="X26" s="67">
        <f t="shared" si="10"/>
        <v>0</v>
      </c>
      <c r="Y26" s="57" t="str">
        <f t="shared" si="11"/>
        <v>NIL PLEASE PURCHASE</v>
      </c>
      <c r="Z26" s="68" t="s">
        <v>1538</v>
      </c>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row>
    <row r="27" spans="1:125" s="1" customFormat="1" ht="20.100000000000001" customHeight="1" x14ac:dyDescent="0.25">
      <c r="A27" s="59" t="s">
        <v>257</v>
      </c>
      <c r="B27" s="84">
        <v>25</v>
      </c>
      <c r="C27" s="85" t="s">
        <v>29</v>
      </c>
      <c r="D27" s="60">
        <v>0</v>
      </c>
      <c r="E27" s="61">
        <f t="shared" si="0"/>
        <v>0</v>
      </c>
      <c r="F27" s="60">
        <v>0</v>
      </c>
      <c r="G27" s="61">
        <f t="shared" si="1"/>
        <v>0</v>
      </c>
      <c r="H27" s="60">
        <v>0</v>
      </c>
      <c r="I27" s="61">
        <f t="shared" si="2"/>
        <v>0</v>
      </c>
      <c r="J27" s="60">
        <v>0</v>
      </c>
      <c r="K27" s="61">
        <f t="shared" si="3"/>
        <v>0</v>
      </c>
      <c r="L27" s="62"/>
      <c r="M27" s="61">
        <f t="shared" si="4"/>
        <v>0</v>
      </c>
      <c r="N27" s="63">
        <v>0</v>
      </c>
      <c r="O27" s="61">
        <f t="shared" si="5"/>
        <v>0</v>
      </c>
      <c r="P27" s="60">
        <v>0</v>
      </c>
      <c r="Q27" s="61">
        <f t="shared" si="6"/>
        <v>0</v>
      </c>
      <c r="R27" s="60">
        <v>0</v>
      </c>
      <c r="S27" s="61">
        <f t="shared" si="7"/>
        <v>0</v>
      </c>
      <c r="T27" s="60">
        <v>0</v>
      </c>
      <c r="U27" s="64">
        <f t="shared" si="8"/>
        <v>0</v>
      </c>
      <c r="V27" s="65">
        <v>0</v>
      </c>
      <c r="W27" s="66">
        <f t="shared" si="9"/>
        <v>0</v>
      </c>
      <c r="X27" s="67">
        <f t="shared" si="10"/>
        <v>0</v>
      </c>
      <c r="Y27" s="57" t="str">
        <f t="shared" si="11"/>
        <v>NIL PLEASE PURCHASE</v>
      </c>
      <c r="Z27" s="68" t="s">
        <v>1539</v>
      </c>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row>
    <row r="28" spans="1:125" s="1" customFormat="1" ht="20.100000000000001" customHeight="1" x14ac:dyDescent="0.25">
      <c r="A28" s="59" t="s">
        <v>258</v>
      </c>
      <c r="B28" s="84">
        <v>26</v>
      </c>
      <c r="C28" s="85" t="s">
        <v>30</v>
      </c>
      <c r="D28" s="60">
        <v>0</v>
      </c>
      <c r="E28" s="61">
        <f t="shared" si="0"/>
        <v>0</v>
      </c>
      <c r="F28" s="60">
        <v>0</v>
      </c>
      <c r="G28" s="61">
        <f t="shared" si="1"/>
        <v>0</v>
      </c>
      <c r="H28" s="60">
        <v>0</v>
      </c>
      <c r="I28" s="61">
        <f t="shared" si="2"/>
        <v>0</v>
      </c>
      <c r="J28" s="60">
        <v>0</v>
      </c>
      <c r="K28" s="61">
        <f t="shared" si="3"/>
        <v>0</v>
      </c>
      <c r="L28" s="62"/>
      <c r="M28" s="61">
        <f t="shared" si="4"/>
        <v>0</v>
      </c>
      <c r="N28" s="63">
        <v>0</v>
      </c>
      <c r="O28" s="61">
        <f t="shared" si="5"/>
        <v>0</v>
      </c>
      <c r="P28" s="60">
        <v>0</v>
      </c>
      <c r="Q28" s="61">
        <f t="shared" si="6"/>
        <v>0</v>
      </c>
      <c r="R28" s="60">
        <v>0</v>
      </c>
      <c r="S28" s="61">
        <f t="shared" si="7"/>
        <v>0</v>
      </c>
      <c r="T28" s="60">
        <v>0</v>
      </c>
      <c r="U28" s="64">
        <f t="shared" si="8"/>
        <v>0</v>
      </c>
      <c r="V28" s="65">
        <v>0</v>
      </c>
      <c r="W28" s="66">
        <f t="shared" si="9"/>
        <v>0</v>
      </c>
      <c r="X28" s="67">
        <f t="shared" si="10"/>
        <v>0</v>
      </c>
      <c r="Y28" s="57" t="str">
        <f t="shared" si="11"/>
        <v>NIL PLEASE PURCHASE</v>
      </c>
      <c r="Z28" s="68" t="s">
        <v>1539</v>
      </c>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row>
    <row r="29" spans="1:125" s="1" customFormat="1" ht="22.5" customHeight="1" x14ac:dyDescent="0.25">
      <c r="A29" s="59" t="s">
        <v>259</v>
      </c>
      <c r="B29" s="84">
        <v>27</v>
      </c>
      <c r="C29" s="85" t="s">
        <v>31</v>
      </c>
      <c r="D29" s="60">
        <v>0</v>
      </c>
      <c r="E29" s="61">
        <f t="shared" si="0"/>
        <v>0</v>
      </c>
      <c r="F29" s="60">
        <v>0</v>
      </c>
      <c r="G29" s="61">
        <f t="shared" si="1"/>
        <v>0</v>
      </c>
      <c r="H29" s="60">
        <v>0</v>
      </c>
      <c r="I29" s="61">
        <f t="shared" si="2"/>
        <v>0</v>
      </c>
      <c r="J29" s="60">
        <v>0</v>
      </c>
      <c r="K29" s="61">
        <f t="shared" si="3"/>
        <v>0</v>
      </c>
      <c r="L29" s="62"/>
      <c r="M29" s="61">
        <f t="shared" si="4"/>
        <v>0</v>
      </c>
      <c r="N29" s="63">
        <v>1</v>
      </c>
      <c r="O29" s="61">
        <f t="shared" si="5"/>
        <v>500</v>
      </c>
      <c r="P29" s="60">
        <v>0</v>
      </c>
      <c r="Q29" s="61">
        <f t="shared" si="6"/>
        <v>0</v>
      </c>
      <c r="R29" s="60">
        <v>0</v>
      </c>
      <c r="S29" s="61">
        <f t="shared" si="7"/>
        <v>0</v>
      </c>
      <c r="T29" s="60">
        <v>0</v>
      </c>
      <c r="U29" s="64">
        <f t="shared" si="8"/>
        <v>0</v>
      </c>
      <c r="V29" s="65">
        <v>0</v>
      </c>
      <c r="W29" s="66">
        <f t="shared" si="9"/>
        <v>500</v>
      </c>
      <c r="X29" s="67">
        <f t="shared" si="10"/>
        <v>0.5</v>
      </c>
      <c r="Y29" s="57" t="str">
        <f t="shared" si="11"/>
        <v>STOCK</v>
      </c>
      <c r="Z29" s="68" t="s">
        <v>1538</v>
      </c>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row>
    <row r="30" spans="1:125" s="1" customFormat="1" ht="22.5" customHeight="1" x14ac:dyDescent="0.25">
      <c r="A30" s="59" t="s">
        <v>260</v>
      </c>
      <c r="B30" s="84">
        <v>28</v>
      </c>
      <c r="C30" s="85" t="s">
        <v>32</v>
      </c>
      <c r="D30" s="60">
        <v>0</v>
      </c>
      <c r="E30" s="61">
        <f t="shared" si="0"/>
        <v>0</v>
      </c>
      <c r="F30" s="60">
        <v>0</v>
      </c>
      <c r="G30" s="61">
        <f t="shared" si="1"/>
        <v>0</v>
      </c>
      <c r="H30" s="60">
        <v>0</v>
      </c>
      <c r="I30" s="61">
        <f t="shared" si="2"/>
        <v>0</v>
      </c>
      <c r="J30" s="60">
        <v>0</v>
      </c>
      <c r="K30" s="61">
        <f t="shared" si="3"/>
        <v>0</v>
      </c>
      <c r="L30" s="62"/>
      <c r="M30" s="61">
        <f t="shared" si="4"/>
        <v>0</v>
      </c>
      <c r="N30" s="63">
        <v>2</v>
      </c>
      <c r="O30" s="61">
        <f t="shared" si="5"/>
        <v>1000</v>
      </c>
      <c r="P30" s="60">
        <v>0</v>
      </c>
      <c r="Q30" s="61">
        <f t="shared" si="6"/>
        <v>0</v>
      </c>
      <c r="R30" s="60">
        <v>0</v>
      </c>
      <c r="S30" s="61">
        <f t="shared" si="7"/>
        <v>0</v>
      </c>
      <c r="T30" s="60">
        <v>0</v>
      </c>
      <c r="U30" s="64">
        <f t="shared" si="8"/>
        <v>0</v>
      </c>
      <c r="V30" s="65">
        <v>0</v>
      </c>
      <c r="W30" s="66">
        <f t="shared" si="9"/>
        <v>1000</v>
      </c>
      <c r="X30" s="67">
        <f t="shared" si="10"/>
        <v>1</v>
      </c>
      <c r="Y30" s="57" t="str">
        <f t="shared" si="11"/>
        <v>STOCK</v>
      </c>
      <c r="Z30" s="68" t="s">
        <v>1538</v>
      </c>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row>
    <row r="31" spans="1:125" s="1" customFormat="1" ht="22.5" customHeight="1" x14ac:dyDescent="0.25">
      <c r="A31" s="59" t="s">
        <v>261</v>
      </c>
      <c r="B31" s="84">
        <v>29</v>
      </c>
      <c r="C31" s="85" t="s">
        <v>33</v>
      </c>
      <c r="D31" s="60">
        <v>0</v>
      </c>
      <c r="E31" s="61">
        <f t="shared" si="0"/>
        <v>0</v>
      </c>
      <c r="F31" s="60">
        <v>0</v>
      </c>
      <c r="G31" s="61">
        <f t="shared" si="1"/>
        <v>0</v>
      </c>
      <c r="H31" s="60">
        <v>0</v>
      </c>
      <c r="I31" s="61">
        <f t="shared" si="2"/>
        <v>0</v>
      </c>
      <c r="J31" s="60">
        <v>0</v>
      </c>
      <c r="K31" s="61">
        <f t="shared" si="3"/>
        <v>0</v>
      </c>
      <c r="L31" s="62">
        <v>1</v>
      </c>
      <c r="M31" s="61">
        <f t="shared" si="4"/>
        <v>250</v>
      </c>
      <c r="N31" s="63">
        <v>5</v>
      </c>
      <c r="O31" s="61">
        <f t="shared" si="5"/>
        <v>2500</v>
      </c>
      <c r="P31" s="60">
        <v>0</v>
      </c>
      <c r="Q31" s="61">
        <f t="shared" si="6"/>
        <v>0</v>
      </c>
      <c r="R31" s="60">
        <v>0</v>
      </c>
      <c r="S31" s="61">
        <f t="shared" si="7"/>
        <v>0</v>
      </c>
      <c r="T31" s="60">
        <v>0</v>
      </c>
      <c r="U31" s="64">
        <f t="shared" si="8"/>
        <v>0</v>
      </c>
      <c r="V31" s="65">
        <v>0</v>
      </c>
      <c r="W31" s="66">
        <f t="shared" si="9"/>
        <v>2750</v>
      </c>
      <c r="X31" s="67">
        <f t="shared" si="10"/>
        <v>2.75</v>
      </c>
      <c r="Y31" s="57" t="str">
        <f t="shared" si="11"/>
        <v>STOCK</v>
      </c>
      <c r="Z31" s="68" t="s">
        <v>1538</v>
      </c>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row>
    <row r="32" spans="1:125" s="1" customFormat="1" ht="20.100000000000001" customHeight="1" x14ac:dyDescent="0.25">
      <c r="A32" s="59" t="s">
        <v>262</v>
      </c>
      <c r="B32" s="84">
        <v>30</v>
      </c>
      <c r="C32" s="85" t="s">
        <v>34</v>
      </c>
      <c r="D32" s="60">
        <v>0</v>
      </c>
      <c r="E32" s="61">
        <f t="shared" si="0"/>
        <v>0</v>
      </c>
      <c r="F32" s="60">
        <v>0</v>
      </c>
      <c r="G32" s="61">
        <f t="shared" si="1"/>
        <v>0</v>
      </c>
      <c r="H32" s="60">
        <v>1</v>
      </c>
      <c r="I32" s="61">
        <f t="shared" si="2"/>
        <v>50</v>
      </c>
      <c r="J32" s="60">
        <v>0</v>
      </c>
      <c r="K32" s="61">
        <f t="shared" si="3"/>
        <v>0</v>
      </c>
      <c r="L32" s="62"/>
      <c r="M32" s="61">
        <f t="shared" si="4"/>
        <v>0</v>
      </c>
      <c r="N32" s="63">
        <v>0</v>
      </c>
      <c r="O32" s="61">
        <f t="shared" si="5"/>
        <v>0</v>
      </c>
      <c r="P32" s="60">
        <v>0</v>
      </c>
      <c r="Q32" s="61">
        <f t="shared" si="6"/>
        <v>0</v>
      </c>
      <c r="R32" s="60">
        <v>4</v>
      </c>
      <c r="S32" s="61">
        <f t="shared" si="7"/>
        <v>10000</v>
      </c>
      <c r="T32" s="60">
        <v>0</v>
      </c>
      <c r="U32" s="64">
        <f t="shared" si="8"/>
        <v>0</v>
      </c>
      <c r="V32" s="65">
        <v>0</v>
      </c>
      <c r="W32" s="66">
        <f t="shared" si="9"/>
        <v>10050</v>
      </c>
      <c r="X32" s="67">
        <f t="shared" si="10"/>
        <v>10.050000000000001</v>
      </c>
      <c r="Y32" s="57" t="str">
        <f t="shared" si="11"/>
        <v>STOCK</v>
      </c>
      <c r="Z32" s="68" t="s">
        <v>1538</v>
      </c>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row>
    <row r="33" spans="1:125" s="1" customFormat="1" ht="20.100000000000001" customHeight="1" x14ac:dyDescent="0.25">
      <c r="A33" s="59" t="s">
        <v>263</v>
      </c>
      <c r="B33" s="84">
        <v>31</v>
      </c>
      <c r="C33" s="85" t="s">
        <v>35</v>
      </c>
      <c r="D33" s="60">
        <v>0</v>
      </c>
      <c r="E33" s="61">
        <f t="shared" si="0"/>
        <v>0</v>
      </c>
      <c r="F33" s="60">
        <v>0</v>
      </c>
      <c r="G33" s="61">
        <f t="shared" si="1"/>
        <v>0</v>
      </c>
      <c r="H33" s="60">
        <v>1</v>
      </c>
      <c r="I33" s="61">
        <f t="shared" si="2"/>
        <v>50</v>
      </c>
      <c r="J33" s="60">
        <v>0</v>
      </c>
      <c r="K33" s="61">
        <f t="shared" si="3"/>
        <v>0</v>
      </c>
      <c r="L33" s="62"/>
      <c r="M33" s="61">
        <f t="shared" si="4"/>
        <v>0</v>
      </c>
      <c r="N33" s="63">
        <v>0</v>
      </c>
      <c r="O33" s="61">
        <f t="shared" si="5"/>
        <v>0</v>
      </c>
      <c r="P33" s="60">
        <v>0</v>
      </c>
      <c r="Q33" s="61">
        <f t="shared" si="6"/>
        <v>0</v>
      </c>
      <c r="R33" s="60">
        <v>0</v>
      </c>
      <c r="S33" s="61">
        <f t="shared" si="7"/>
        <v>0</v>
      </c>
      <c r="T33" s="60">
        <v>0</v>
      </c>
      <c r="U33" s="64">
        <f t="shared" si="8"/>
        <v>0</v>
      </c>
      <c r="V33" s="65">
        <v>0</v>
      </c>
      <c r="W33" s="66">
        <f t="shared" si="9"/>
        <v>50</v>
      </c>
      <c r="X33" s="67">
        <f t="shared" si="10"/>
        <v>0.05</v>
      </c>
      <c r="Y33" s="57" t="str">
        <f t="shared" si="11"/>
        <v>STOCK</v>
      </c>
      <c r="Z33" s="68" t="s">
        <v>1538</v>
      </c>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row>
    <row r="34" spans="1:125" s="1" customFormat="1" ht="22.5" customHeight="1" x14ac:dyDescent="0.25">
      <c r="A34" s="59" t="s">
        <v>264</v>
      </c>
      <c r="B34" s="84">
        <v>32</v>
      </c>
      <c r="C34" s="85" t="s">
        <v>36</v>
      </c>
      <c r="D34" s="60">
        <v>0</v>
      </c>
      <c r="E34" s="61">
        <f t="shared" si="0"/>
        <v>0</v>
      </c>
      <c r="F34" s="60">
        <v>0</v>
      </c>
      <c r="G34" s="61">
        <f t="shared" si="1"/>
        <v>0</v>
      </c>
      <c r="H34" s="60">
        <v>0</v>
      </c>
      <c r="I34" s="61">
        <f t="shared" si="2"/>
        <v>0</v>
      </c>
      <c r="J34" s="60">
        <v>5</v>
      </c>
      <c r="K34" s="61">
        <f t="shared" si="3"/>
        <v>500</v>
      </c>
      <c r="L34" s="62"/>
      <c r="M34" s="61">
        <f t="shared" si="4"/>
        <v>0</v>
      </c>
      <c r="N34" s="63">
        <v>2</v>
      </c>
      <c r="O34" s="61">
        <f t="shared" si="5"/>
        <v>1000</v>
      </c>
      <c r="P34" s="60">
        <v>0</v>
      </c>
      <c r="Q34" s="61">
        <f t="shared" si="6"/>
        <v>0</v>
      </c>
      <c r="R34" s="60">
        <v>0</v>
      </c>
      <c r="S34" s="61">
        <f t="shared" si="7"/>
        <v>0</v>
      </c>
      <c r="T34" s="60">
        <v>0</v>
      </c>
      <c r="U34" s="64">
        <f t="shared" si="8"/>
        <v>0</v>
      </c>
      <c r="V34" s="65">
        <v>0</v>
      </c>
      <c r="W34" s="66">
        <f t="shared" si="9"/>
        <v>1500</v>
      </c>
      <c r="X34" s="67">
        <f t="shared" si="10"/>
        <v>1.5</v>
      </c>
      <c r="Y34" s="57" t="str">
        <f t="shared" si="11"/>
        <v>STOCK</v>
      </c>
      <c r="Z34" s="68" t="s">
        <v>1538</v>
      </c>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row>
    <row r="35" spans="1:125" s="1" customFormat="1" ht="20.100000000000001" customHeight="1" x14ac:dyDescent="0.25">
      <c r="A35" s="59" t="s">
        <v>265</v>
      </c>
      <c r="B35" s="84">
        <v>33</v>
      </c>
      <c r="C35" s="85" t="s">
        <v>37</v>
      </c>
      <c r="D35" s="60">
        <v>0</v>
      </c>
      <c r="E35" s="61">
        <f t="shared" si="0"/>
        <v>0</v>
      </c>
      <c r="F35" s="60">
        <v>0</v>
      </c>
      <c r="G35" s="61">
        <f t="shared" si="1"/>
        <v>0</v>
      </c>
      <c r="H35" s="60">
        <v>0</v>
      </c>
      <c r="I35" s="61">
        <f t="shared" si="2"/>
        <v>0</v>
      </c>
      <c r="J35" s="60">
        <v>0</v>
      </c>
      <c r="K35" s="61">
        <f t="shared" si="3"/>
        <v>0</v>
      </c>
      <c r="L35" s="62"/>
      <c r="M35" s="61">
        <f t="shared" si="4"/>
        <v>0</v>
      </c>
      <c r="N35" s="63">
        <v>2</v>
      </c>
      <c r="O35" s="61">
        <f t="shared" si="5"/>
        <v>1000</v>
      </c>
      <c r="P35" s="60">
        <v>0</v>
      </c>
      <c r="Q35" s="61">
        <f t="shared" si="6"/>
        <v>0</v>
      </c>
      <c r="R35" s="60">
        <v>0</v>
      </c>
      <c r="S35" s="61">
        <f t="shared" si="7"/>
        <v>0</v>
      </c>
      <c r="T35" s="60">
        <v>0</v>
      </c>
      <c r="U35" s="64">
        <f t="shared" si="8"/>
        <v>0</v>
      </c>
      <c r="V35" s="65">
        <v>0</v>
      </c>
      <c r="W35" s="66">
        <f t="shared" si="9"/>
        <v>1000</v>
      </c>
      <c r="X35" s="67">
        <f t="shared" si="10"/>
        <v>1</v>
      </c>
      <c r="Y35" s="57" t="str">
        <f t="shared" si="11"/>
        <v>STOCK</v>
      </c>
      <c r="Z35" s="68" t="s">
        <v>1539</v>
      </c>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row>
    <row r="36" spans="1:125" s="1" customFormat="1" ht="20.100000000000001" customHeight="1" x14ac:dyDescent="0.25">
      <c r="A36" s="59" t="s">
        <v>266</v>
      </c>
      <c r="B36" s="84">
        <v>34</v>
      </c>
      <c r="C36" s="85" t="s">
        <v>38</v>
      </c>
      <c r="D36" s="60">
        <v>0</v>
      </c>
      <c r="E36" s="61">
        <f t="shared" si="0"/>
        <v>0</v>
      </c>
      <c r="F36" s="60">
        <v>0</v>
      </c>
      <c r="G36" s="61">
        <f t="shared" si="1"/>
        <v>0</v>
      </c>
      <c r="H36" s="60">
        <v>0</v>
      </c>
      <c r="I36" s="61">
        <f t="shared" si="2"/>
        <v>0</v>
      </c>
      <c r="J36" s="60">
        <v>0</v>
      </c>
      <c r="K36" s="61">
        <f t="shared" si="3"/>
        <v>0</v>
      </c>
      <c r="L36" s="62"/>
      <c r="M36" s="61">
        <f t="shared" si="4"/>
        <v>0</v>
      </c>
      <c r="N36" s="63">
        <v>0</v>
      </c>
      <c r="O36" s="61">
        <f t="shared" si="5"/>
        <v>0</v>
      </c>
      <c r="P36" s="60">
        <v>0</v>
      </c>
      <c r="Q36" s="61">
        <f t="shared" si="6"/>
        <v>0</v>
      </c>
      <c r="R36" s="60">
        <v>0</v>
      </c>
      <c r="S36" s="61">
        <f t="shared" si="7"/>
        <v>0</v>
      </c>
      <c r="T36" s="60">
        <v>0</v>
      </c>
      <c r="U36" s="64">
        <f t="shared" si="8"/>
        <v>0</v>
      </c>
      <c r="V36" s="65">
        <v>0</v>
      </c>
      <c r="W36" s="66">
        <f t="shared" si="9"/>
        <v>0</v>
      </c>
      <c r="X36" s="67">
        <f t="shared" si="10"/>
        <v>0</v>
      </c>
      <c r="Y36" s="57" t="str">
        <f t="shared" si="11"/>
        <v>NIL PLEASE PURCHASE</v>
      </c>
      <c r="Z36" s="68" t="s">
        <v>1539</v>
      </c>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c r="DC36" s="8"/>
      <c r="DD36" s="8"/>
      <c r="DE36" s="8"/>
      <c r="DF36" s="8"/>
      <c r="DG36" s="8"/>
      <c r="DH36" s="8"/>
      <c r="DI36" s="8"/>
      <c r="DJ36" s="8"/>
      <c r="DK36" s="8"/>
      <c r="DL36" s="8"/>
      <c r="DM36" s="8"/>
      <c r="DN36" s="8"/>
      <c r="DO36" s="8"/>
      <c r="DP36" s="8"/>
      <c r="DQ36" s="8"/>
      <c r="DR36" s="8"/>
      <c r="DS36" s="8"/>
      <c r="DT36" s="8"/>
      <c r="DU36" s="8"/>
    </row>
    <row r="37" spans="1:125" s="1" customFormat="1" ht="32.25" customHeight="1" x14ac:dyDescent="0.25">
      <c r="A37" s="59" t="s">
        <v>267</v>
      </c>
      <c r="B37" s="84">
        <v>35</v>
      </c>
      <c r="C37" s="85" t="s">
        <v>39</v>
      </c>
      <c r="D37" s="60">
        <v>0</v>
      </c>
      <c r="E37" s="61">
        <f t="shared" si="0"/>
        <v>0</v>
      </c>
      <c r="F37" s="60">
        <v>0</v>
      </c>
      <c r="G37" s="61">
        <f t="shared" si="1"/>
        <v>0</v>
      </c>
      <c r="H37" s="60">
        <v>0</v>
      </c>
      <c r="I37" s="61">
        <f t="shared" si="2"/>
        <v>0</v>
      </c>
      <c r="J37" s="60">
        <v>0</v>
      </c>
      <c r="K37" s="61">
        <f t="shared" si="3"/>
        <v>0</v>
      </c>
      <c r="L37" s="62"/>
      <c r="M37" s="61">
        <f t="shared" si="4"/>
        <v>0</v>
      </c>
      <c r="N37" s="63">
        <v>9</v>
      </c>
      <c r="O37" s="61">
        <f t="shared" si="5"/>
        <v>4500</v>
      </c>
      <c r="P37" s="60">
        <v>0</v>
      </c>
      <c r="Q37" s="61">
        <f t="shared" si="6"/>
        <v>0</v>
      </c>
      <c r="R37" s="60">
        <v>0</v>
      </c>
      <c r="S37" s="61">
        <f t="shared" si="7"/>
        <v>0</v>
      </c>
      <c r="T37" s="60">
        <v>0</v>
      </c>
      <c r="U37" s="64">
        <f t="shared" si="8"/>
        <v>0</v>
      </c>
      <c r="V37" s="65">
        <v>0</v>
      </c>
      <c r="W37" s="66">
        <f t="shared" si="9"/>
        <v>4500</v>
      </c>
      <c r="X37" s="67">
        <f t="shared" si="10"/>
        <v>4.5</v>
      </c>
      <c r="Y37" s="57" t="str">
        <f t="shared" si="11"/>
        <v>STOCK</v>
      </c>
      <c r="Z37" s="68" t="s">
        <v>1538</v>
      </c>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row>
    <row r="38" spans="1:125" s="1" customFormat="1" ht="32.25" customHeight="1" x14ac:dyDescent="0.25">
      <c r="A38" s="59" t="s">
        <v>268</v>
      </c>
      <c r="B38" s="84">
        <v>36</v>
      </c>
      <c r="C38" s="85" t="s">
        <v>40</v>
      </c>
      <c r="D38" s="60">
        <v>0</v>
      </c>
      <c r="E38" s="61">
        <f t="shared" si="0"/>
        <v>0</v>
      </c>
      <c r="F38" s="60">
        <v>0</v>
      </c>
      <c r="G38" s="61">
        <f t="shared" si="1"/>
        <v>0</v>
      </c>
      <c r="H38" s="60">
        <v>0</v>
      </c>
      <c r="I38" s="61">
        <f t="shared" si="2"/>
        <v>0</v>
      </c>
      <c r="J38" s="60">
        <v>0</v>
      </c>
      <c r="K38" s="61">
        <f t="shared" si="3"/>
        <v>0</v>
      </c>
      <c r="L38" s="62"/>
      <c r="M38" s="61">
        <f t="shared" si="4"/>
        <v>0</v>
      </c>
      <c r="N38" s="63">
        <v>9</v>
      </c>
      <c r="O38" s="61">
        <f t="shared" si="5"/>
        <v>4500</v>
      </c>
      <c r="P38" s="60">
        <v>0</v>
      </c>
      <c r="Q38" s="61">
        <f t="shared" si="6"/>
        <v>0</v>
      </c>
      <c r="R38" s="60">
        <v>0</v>
      </c>
      <c r="S38" s="61">
        <f t="shared" si="7"/>
        <v>0</v>
      </c>
      <c r="T38" s="60">
        <v>0</v>
      </c>
      <c r="U38" s="64">
        <f t="shared" si="8"/>
        <v>0</v>
      </c>
      <c r="V38" s="65">
        <v>0</v>
      </c>
      <c r="W38" s="66">
        <f t="shared" si="9"/>
        <v>4500</v>
      </c>
      <c r="X38" s="67">
        <f t="shared" si="10"/>
        <v>4.5</v>
      </c>
      <c r="Y38" s="57" t="str">
        <f t="shared" si="11"/>
        <v>STOCK</v>
      </c>
      <c r="Z38" s="68" t="s">
        <v>1538</v>
      </c>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row>
    <row r="39" spans="1:125" s="1" customFormat="1" ht="41.25" customHeight="1" x14ac:dyDescent="0.25">
      <c r="A39" s="59" t="s">
        <v>269</v>
      </c>
      <c r="B39" s="84">
        <v>37</v>
      </c>
      <c r="C39" s="85" t="s">
        <v>41</v>
      </c>
      <c r="D39" s="60">
        <v>0</v>
      </c>
      <c r="E39" s="61">
        <f t="shared" si="0"/>
        <v>0</v>
      </c>
      <c r="F39" s="60">
        <v>0</v>
      </c>
      <c r="G39" s="61">
        <f t="shared" si="1"/>
        <v>0</v>
      </c>
      <c r="H39" s="60">
        <v>0</v>
      </c>
      <c r="I39" s="61">
        <f t="shared" si="2"/>
        <v>0</v>
      </c>
      <c r="J39" s="60">
        <v>0</v>
      </c>
      <c r="K39" s="61">
        <f t="shared" si="3"/>
        <v>0</v>
      </c>
      <c r="L39" s="62"/>
      <c r="M39" s="61">
        <f t="shared" si="4"/>
        <v>0</v>
      </c>
      <c r="N39" s="63">
        <v>2</v>
      </c>
      <c r="O39" s="61">
        <f t="shared" si="5"/>
        <v>1000</v>
      </c>
      <c r="P39" s="60">
        <v>0</v>
      </c>
      <c r="Q39" s="61">
        <f t="shared" si="6"/>
        <v>0</v>
      </c>
      <c r="R39" s="60">
        <v>0</v>
      </c>
      <c r="S39" s="61">
        <f t="shared" si="7"/>
        <v>0</v>
      </c>
      <c r="T39" s="60">
        <v>0</v>
      </c>
      <c r="U39" s="64">
        <f t="shared" si="8"/>
        <v>0</v>
      </c>
      <c r="V39" s="65">
        <v>0</v>
      </c>
      <c r="W39" s="66">
        <f t="shared" si="9"/>
        <v>1000</v>
      </c>
      <c r="X39" s="67">
        <f t="shared" si="10"/>
        <v>1</v>
      </c>
      <c r="Y39" s="57" t="str">
        <f t="shared" si="11"/>
        <v>STOCK</v>
      </c>
      <c r="Z39" s="68" t="s">
        <v>1538</v>
      </c>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row>
    <row r="40" spans="1:125" s="1" customFormat="1" ht="22.5" customHeight="1" x14ac:dyDescent="0.25">
      <c r="A40" s="59" t="s">
        <v>270</v>
      </c>
      <c r="B40" s="84">
        <v>38</v>
      </c>
      <c r="C40" s="85" t="s">
        <v>42</v>
      </c>
      <c r="D40" s="60">
        <v>0</v>
      </c>
      <c r="E40" s="61">
        <f t="shared" si="0"/>
        <v>0</v>
      </c>
      <c r="F40" s="60">
        <v>0</v>
      </c>
      <c r="G40" s="61">
        <f t="shared" si="1"/>
        <v>0</v>
      </c>
      <c r="H40" s="60">
        <v>0</v>
      </c>
      <c r="I40" s="61">
        <f t="shared" si="2"/>
        <v>0</v>
      </c>
      <c r="J40" s="60">
        <v>0</v>
      </c>
      <c r="K40" s="61">
        <f t="shared" si="3"/>
        <v>0</v>
      </c>
      <c r="L40" s="62"/>
      <c r="M40" s="61">
        <f t="shared" si="4"/>
        <v>0</v>
      </c>
      <c r="N40" s="63">
        <v>1</v>
      </c>
      <c r="O40" s="61">
        <f t="shared" si="5"/>
        <v>500</v>
      </c>
      <c r="P40" s="60">
        <v>0</v>
      </c>
      <c r="Q40" s="61">
        <f t="shared" si="6"/>
        <v>0</v>
      </c>
      <c r="R40" s="60">
        <v>0</v>
      </c>
      <c r="S40" s="61">
        <f t="shared" si="7"/>
        <v>0</v>
      </c>
      <c r="T40" s="60">
        <v>0</v>
      </c>
      <c r="U40" s="64">
        <f t="shared" si="8"/>
        <v>0</v>
      </c>
      <c r="V40" s="65">
        <v>0</v>
      </c>
      <c r="W40" s="66">
        <f t="shared" si="9"/>
        <v>500</v>
      </c>
      <c r="X40" s="67">
        <f t="shared" si="10"/>
        <v>0.5</v>
      </c>
      <c r="Y40" s="57" t="str">
        <f t="shared" si="11"/>
        <v>STOCK</v>
      </c>
      <c r="Z40" s="68" t="s">
        <v>1538</v>
      </c>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row>
    <row r="41" spans="1:125" s="1" customFormat="1" ht="20.100000000000001" customHeight="1" x14ac:dyDescent="0.25">
      <c r="A41" s="59" t="s">
        <v>271</v>
      </c>
      <c r="B41" s="84">
        <v>39</v>
      </c>
      <c r="C41" s="85" t="s">
        <v>43</v>
      </c>
      <c r="D41" s="60">
        <v>0</v>
      </c>
      <c r="E41" s="61">
        <f t="shared" si="0"/>
        <v>0</v>
      </c>
      <c r="F41" s="60">
        <v>0</v>
      </c>
      <c r="G41" s="61">
        <f t="shared" si="1"/>
        <v>0</v>
      </c>
      <c r="H41" s="60">
        <v>0</v>
      </c>
      <c r="I41" s="61">
        <f t="shared" si="2"/>
        <v>0</v>
      </c>
      <c r="J41" s="60">
        <v>0</v>
      </c>
      <c r="K41" s="61">
        <f t="shared" si="3"/>
        <v>0</v>
      </c>
      <c r="L41" s="62"/>
      <c r="M41" s="61">
        <f t="shared" si="4"/>
        <v>0</v>
      </c>
      <c r="N41" s="63">
        <v>2</v>
      </c>
      <c r="O41" s="61">
        <f t="shared" si="5"/>
        <v>1000</v>
      </c>
      <c r="P41" s="60">
        <v>0</v>
      </c>
      <c r="Q41" s="61">
        <f t="shared" si="6"/>
        <v>0</v>
      </c>
      <c r="R41" s="60">
        <v>0</v>
      </c>
      <c r="S41" s="61">
        <f t="shared" si="7"/>
        <v>0</v>
      </c>
      <c r="T41" s="60">
        <v>0</v>
      </c>
      <c r="U41" s="64">
        <f t="shared" si="8"/>
        <v>0</v>
      </c>
      <c r="V41" s="65">
        <v>0</v>
      </c>
      <c r="W41" s="66">
        <f t="shared" si="9"/>
        <v>1000</v>
      </c>
      <c r="X41" s="67">
        <f t="shared" si="10"/>
        <v>1</v>
      </c>
      <c r="Y41" s="57" t="str">
        <f t="shared" si="11"/>
        <v>STOCK</v>
      </c>
      <c r="Z41" s="68" t="s">
        <v>1539</v>
      </c>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row>
    <row r="42" spans="1:125" s="1" customFormat="1" ht="20.100000000000001" customHeight="1" x14ac:dyDescent="0.25">
      <c r="A42" s="59" t="s">
        <v>272</v>
      </c>
      <c r="B42" s="84">
        <v>40</v>
      </c>
      <c r="C42" s="85" t="s">
        <v>44</v>
      </c>
      <c r="D42" s="60">
        <v>0</v>
      </c>
      <c r="E42" s="61">
        <f t="shared" si="0"/>
        <v>0</v>
      </c>
      <c r="F42" s="60">
        <v>0</v>
      </c>
      <c r="G42" s="61">
        <f t="shared" si="1"/>
        <v>0</v>
      </c>
      <c r="H42" s="60">
        <v>0</v>
      </c>
      <c r="I42" s="61">
        <f t="shared" si="2"/>
        <v>0</v>
      </c>
      <c r="J42" s="60">
        <v>0</v>
      </c>
      <c r="K42" s="61">
        <f t="shared" si="3"/>
        <v>0</v>
      </c>
      <c r="L42" s="62"/>
      <c r="M42" s="61">
        <f t="shared" si="4"/>
        <v>0</v>
      </c>
      <c r="N42" s="63">
        <v>0</v>
      </c>
      <c r="O42" s="61">
        <f t="shared" si="5"/>
        <v>0</v>
      </c>
      <c r="P42" s="60">
        <v>0</v>
      </c>
      <c r="Q42" s="61">
        <f t="shared" si="6"/>
        <v>0</v>
      </c>
      <c r="R42" s="60">
        <v>0</v>
      </c>
      <c r="S42" s="61">
        <f t="shared" si="7"/>
        <v>0</v>
      </c>
      <c r="T42" s="60">
        <v>0</v>
      </c>
      <c r="U42" s="64">
        <f t="shared" si="8"/>
        <v>0</v>
      </c>
      <c r="V42" s="65">
        <v>0</v>
      </c>
      <c r="W42" s="66">
        <f t="shared" si="9"/>
        <v>0</v>
      </c>
      <c r="X42" s="67">
        <f t="shared" si="10"/>
        <v>0</v>
      </c>
      <c r="Y42" s="57" t="str">
        <f t="shared" si="11"/>
        <v>NIL PLEASE PURCHASE</v>
      </c>
      <c r="Z42" s="68" t="s">
        <v>1539</v>
      </c>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row>
    <row r="43" spans="1:125" s="1" customFormat="1" ht="20.100000000000001" customHeight="1" x14ac:dyDescent="0.25">
      <c r="A43" s="59" t="s">
        <v>273</v>
      </c>
      <c r="B43" s="84">
        <v>41</v>
      </c>
      <c r="C43" s="85" t="s">
        <v>45</v>
      </c>
      <c r="D43" s="60">
        <v>0</v>
      </c>
      <c r="E43" s="61">
        <f t="shared" si="0"/>
        <v>0</v>
      </c>
      <c r="F43" s="60">
        <v>0</v>
      </c>
      <c r="G43" s="61">
        <f t="shared" si="1"/>
        <v>0</v>
      </c>
      <c r="H43" s="60">
        <v>0</v>
      </c>
      <c r="I43" s="61">
        <f t="shared" si="2"/>
        <v>0</v>
      </c>
      <c r="J43" s="60">
        <v>0</v>
      </c>
      <c r="K43" s="61">
        <f t="shared" si="3"/>
        <v>0</v>
      </c>
      <c r="L43" s="62"/>
      <c r="M43" s="61">
        <f t="shared" si="4"/>
        <v>0</v>
      </c>
      <c r="N43" s="63">
        <v>0</v>
      </c>
      <c r="O43" s="61">
        <f t="shared" si="5"/>
        <v>0</v>
      </c>
      <c r="P43" s="60">
        <v>0</v>
      </c>
      <c r="Q43" s="61">
        <f t="shared" si="6"/>
        <v>0</v>
      </c>
      <c r="R43" s="60">
        <v>0</v>
      </c>
      <c r="S43" s="61">
        <f t="shared" si="7"/>
        <v>0</v>
      </c>
      <c r="T43" s="60">
        <v>0</v>
      </c>
      <c r="U43" s="64">
        <f t="shared" si="8"/>
        <v>0</v>
      </c>
      <c r="V43" s="65">
        <v>0</v>
      </c>
      <c r="W43" s="66">
        <f t="shared" si="9"/>
        <v>0</v>
      </c>
      <c r="X43" s="67">
        <f t="shared" si="10"/>
        <v>0</v>
      </c>
      <c r="Y43" s="57" t="str">
        <f t="shared" si="11"/>
        <v>NIL PLEASE PURCHASE</v>
      </c>
      <c r="Z43" s="68" t="s">
        <v>1539</v>
      </c>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row>
    <row r="44" spans="1:125" s="1" customFormat="1" ht="22.5" customHeight="1" x14ac:dyDescent="0.25">
      <c r="A44" s="59" t="s">
        <v>274</v>
      </c>
      <c r="B44" s="84">
        <v>42</v>
      </c>
      <c r="C44" s="85" t="s">
        <v>46</v>
      </c>
      <c r="D44" s="60">
        <v>0</v>
      </c>
      <c r="E44" s="61">
        <f t="shared" si="0"/>
        <v>0</v>
      </c>
      <c r="F44" s="60">
        <v>0</v>
      </c>
      <c r="G44" s="61">
        <f t="shared" si="1"/>
        <v>0</v>
      </c>
      <c r="H44" s="60">
        <v>0</v>
      </c>
      <c r="I44" s="61">
        <f t="shared" si="2"/>
        <v>0</v>
      </c>
      <c r="J44" s="60">
        <v>0</v>
      </c>
      <c r="K44" s="61">
        <f t="shared" si="3"/>
        <v>0</v>
      </c>
      <c r="L44" s="62"/>
      <c r="M44" s="61">
        <f t="shared" si="4"/>
        <v>0</v>
      </c>
      <c r="N44" s="63">
        <v>10</v>
      </c>
      <c r="O44" s="61">
        <f t="shared" si="5"/>
        <v>5000</v>
      </c>
      <c r="P44" s="60">
        <v>0</v>
      </c>
      <c r="Q44" s="61">
        <f t="shared" si="6"/>
        <v>0</v>
      </c>
      <c r="R44" s="60">
        <v>0</v>
      </c>
      <c r="S44" s="61">
        <f t="shared" si="7"/>
        <v>0</v>
      </c>
      <c r="T44" s="60">
        <v>0</v>
      </c>
      <c r="U44" s="64">
        <f t="shared" si="8"/>
        <v>0</v>
      </c>
      <c r="V44" s="65">
        <v>0</v>
      </c>
      <c r="W44" s="66">
        <f t="shared" si="9"/>
        <v>5000</v>
      </c>
      <c r="X44" s="67">
        <f t="shared" si="10"/>
        <v>5</v>
      </c>
      <c r="Y44" s="57" t="str">
        <f t="shared" si="11"/>
        <v>STOCK</v>
      </c>
      <c r="Z44" s="68" t="s">
        <v>1538</v>
      </c>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row>
    <row r="45" spans="1:125" s="1" customFormat="1" ht="22.5" customHeight="1" x14ac:dyDescent="0.25">
      <c r="A45" s="59" t="s">
        <v>275</v>
      </c>
      <c r="B45" s="84">
        <v>43</v>
      </c>
      <c r="C45" s="85" t="s">
        <v>47</v>
      </c>
      <c r="D45" s="60">
        <v>0</v>
      </c>
      <c r="E45" s="61">
        <f t="shared" si="0"/>
        <v>0</v>
      </c>
      <c r="F45" s="60">
        <v>0</v>
      </c>
      <c r="G45" s="61">
        <f t="shared" si="1"/>
        <v>0</v>
      </c>
      <c r="H45" s="60">
        <v>0</v>
      </c>
      <c r="I45" s="61">
        <f t="shared" si="2"/>
        <v>0</v>
      </c>
      <c r="J45" s="60">
        <v>0</v>
      </c>
      <c r="K45" s="61">
        <f t="shared" si="3"/>
        <v>0</v>
      </c>
      <c r="L45" s="62"/>
      <c r="M45" s="61">
        <f t="shared" si="4"/>
        <v>0</v>
      </c>
      <c r="N45" s="63">
        <v>1</v>
      </c>
      <c r="O45" s="61">
        <f t="shared" si="5"/>
        <v>500</v>
      </c>
      <c r="P45" s="60">
        <v>0</v>
      </c>
      <c r="Q45" s="61">
        <f t="shared" si="6"/>
        <v>0</v>
      </c>
      <c r="R45" s="60">
        <v>0</v>
      </c>
      <c r="S45" s="61">
        <f t="shared" si="7"/>
        <v>0</v>
      </c>
      <c r="T45" s="60">
        <v>0</v>
      </c>
      <c r="U45" s="64">
        <f t="shared" si="8"/>
        <v>0</v>
      </c>
      <c r="V45" s="65">
        <v>0</v>
      </c>
      <c r="W45" s="66">
        <f t="shared" si="9"/>
        <v>500</v>
      </c>
      <c r="X45" s="67">
        <f t="shared" si="10"/>
        <v>0.5</v>
      </c>
      <c r="Y45" s="57" t="str">
        <f t="shared" si="11"/>
        <v>STOCK</v>
      </c>
      <c r="Z45" s="68" t="s">
        <v>1538</v>
      </c>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row>
    <row r="46" spans="1:125" s="1" customFormat="1" ht="22.5" customHeight="1" x14ac:dyDescent="0.25">
      <c r="A46" s="59" t="s">
        <v>276</v>
      </c>
      <c r="B46" s="84">
        <v>44</v>
      </c>
      <c r="C46" s="85" t="s">
        <v>48</v>
      </c>
      <c r="D46" s="60">
        <v>0</v>
      </c>
      <c r="E46" s="61">
        <f t="shared" si="0"/>
        <v>0</v>
      </c>
      <c r="F46" s="60">
        <v>0</v>
      </c>
      <c r="G46" s="61">
        <f t="shared" si="1"/>
        <v>0</v>
      </c>
      <c r="H46" s="60">
        <v>0</v>
      </c>
      <c r="I46" s="61">
        <f t="shared" si="2"/>
        <v>0</v>
      </c>
      <c r="J46" s="60">
        <v>0</v>
      </c>
      <c r="K46" s="61">
        <f t="shared" si="3"/>
        <v>0</v>
      </c>
      <c r="L46" s="62"/>
      <c r="M46" s="61">
        <f t="shared" si="4"/>
        <v>0</v>
      </c>
      <c r="N46" s="63">
        <v>1</v>
      </c>
      <c r="O46" s="61">
        <f t="shared" si="5"/>
        <v>500</v>
      </c>
      <c r="P46" s="60">
        <v>0</v>
      </c>
      <c r="Q46" s="61">
        <f t="shared" si="6"/>
        <v>0</v>
      </c>
      <c r="R46" s="60">
        <v>0</v>
      </c>
      <c r="S46" s="61">
        <f t="shared" si="7"/>
        <v>0</v>
      </c>
      <c r="T46" s="60">
        <v>0</v>
      </c>
      <c r="U46" s="64">
        <f t="shared" si="8"/>
        <v>0</v>
      </c>
      <c r="V46" s="65">
        <v>0</v>
      </c>
      <c r="W46" s="66">
        <f t="shared" si="9"/>
        <v>500</v>
      </c>
      <c r="X46" s="67">
        <f t="shared" si="10"/>
        <v>0.5</v>
      </c>
      <c r="Y46" s="57" t="str">
        <f t="shared" si="11"/>
        <v>STOCK</v>
      </c>
      <c r="Z46" s="68" t="s">
        <v>1538</v>
      </c>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row>
    <row r="47" spans="1:125" s="1" customFormat="1" ht="39.75" customHeight="1" x14ac:dyDescent="0.25">
      <c r="A47" s="59" t="s">
        <v>277</v>
      </c>
      <c r="B47" s="84">
        <v>45</v>
      </c>
      <c r="C47" s="85" t="s">
        <v>1922</v>
      </c>
      <c r="D47" s="60">
        <v>0</v>
      </c>
      <c r="E47" s="61">
        <f t="shared" si="0"/>
        <v>0</v>
      </c>
      <c r="F47" s="60">
        <v>0</v>
      </c>
      <c r="G47" s="61">
        <f t="shared" si="1"/>
        <v>0</v>
      </c>
      <c r="H47" s="60">
        <v>0</v>
      </c>
      <c r="I47" s="61">
        <f t="shared" si="2"/>
        <v>0</v>
      </c>
      <c r="J47" s="60">
        <v>0</v>
      </c>
      <c r="K47" s="61">
        <f t="shared" si="3"/>
        <v>0</v>
      </c>
      <c r="L47" s="62">
        <v>3</v>
      </c>
      <c r="M47" s="61">
        <f t="shared" si="4"/>
        <v>750</v>
      </c>
      <c r="N47" s="63">
        <v>2</v>
      </c>
      <c r="O47" s="61">
        <f t="shared" si="5"/>
        <v>1000</v>
      </c>
      <c r="P47" s="60">
        <v>0</v>
      </c>
      <c r="Q47" s="61">
        <f t="shared" si="6"/>
        <v>0</v>
      </c>
      <c r="R47" s="60">
        <v>0</v>
      </c>
      <c r="S47" s="61">
        <f t="shared" si="7"/>
        <v>0</v>
      </c>
      <c r="T47" s="60">
        <v>0</v>
      </c>
      <c r="U47" s="64">
        <f t="shared" si="8"/>
        <v>0</v>
      </c>
      <c r="V47" s="65">
        <v>0</v>
      </c>
      <c r="W47" s="66">
        <f t="shared" si="9"/>
        <v>1750</v>
      </c>
      <c r="X47" s="67">
        <f t="shared" si="10"/>
        <v>1.75</v>
      </c>
      <c r="Y47" s="57" t="str">
        <f t="shared" si="11"/>
        <v>STOCK</v>
      </c>
      <c r="Z47" s="68" t="s">
        <v>1538</v>
      </c>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row>
    <row r="48" spans="1:125" s="1" customFormat="1" ht="20.100000000000001" customHeight="1" x14ac:dyDescent="0.25">
      <c r="A48" s="59" t="s">
        <v>278</v>
      </c>
      <c r="B48" s="84">
        <v>46</v>
      </c>
      <c r="C48" s="85" t="s">
        <v>49</v>
      </c>
      <c r="D48" s="60">
        <v>0</v>
      </c>
      <c r="E48" s="61">
        <f t="shared" si="0"/>
        <v>0</v>
      </c>
      <c r="F48" s="60">
        <v>0</v>
      </c>
      <c r="G48" s="61">
        <f t="shared" si="1"/>
        <v>0</v>
      </c>
      <c r="H48" s="60">
        <v>0</v>
      </c>
      <c r="I48" s="61">
        <f t="shared" si="2"/>
        <v>0</v>
      </c>
      <c r="J48" s="60">
        <v>0</v>
      </c>
      <c r="K48" s="61">
        <f t="shared" si="3"/>
        <v>0</v>
      </c>
      <c r="L48" s="62"/>
      <c r="M48" s="61">
        <f t="shared" si="4"/>
        <v>0</v>
      </c>
      <c r="N48" s="63">
        <v>0</v>
      </c>
      <c r="O48" s="61">
        <f t="shared" si="5"/>
        <v>0</v>
      </c>
      <c r="P48" s="60">
        <v>0</v>
      </c>
      <c r="Q48" s="61">
        <f t="shared" si="6"/>
        <v>0</v>
      </c>
      <c r="R48" s="60">
        <v>0</v>
      </c>
      <c r="S48" s="61">
        <f t="shared" si="7"/>
        <v>0</v>
      </c>
      <c r="T48" s="60">
        <v>0</v>
      </c>
      <c r="U48" s="64">
        <f t="shared" si="8"/>
        <v>0</v>
      </c>
      <c r="V48" s="65">
        <v>0</v>
      </c>
      <c r="W48" s="66">
        <f t="shared" si="9"/>
        <v>0</v>
      </c>
      <c r="X48" s="67">
        <f t="shared" si="10"/>
        <v>0</v>
      </c>
      <c r="Y48" s="57" t="str">
        <f t="shared" si="11"/>
        <v>NIL PLEASE PURCHASE</v>
      </c>
      <c r="Z48" s="68" t="s">
        <v>1539</v>
      </c>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row>
    <row r="49" spans="1:125" s="1" customFormat="1" ht="20.100000000000001" customHeight="1" x14ac:dyDescent="0.25">
      <c r="A49" s="59" t="s">
        <v>279</v>
      </c>
      <c r="B49" s="84">
        <v>47</v>
      </c>
      <c r="C49" s="85" t="s">
        <v>50</v>
      </c>
      <c r="D49" s="60">
        <v>0</v>
      </c>
      <c r="E49" s="61">
        <f t="shared" si="0"/>
        <v>0</v>
      </c>
      <c r="F49" s="60">
        <v>0</v>
      </c>
      <c r="G49" s="61">
        <f t="shared" si="1"/>
        <v>0</v>
      </c>
      <c r="H49" s="60">
        <v>0</v>
      </c>
      <c r="I49" s="61">
        <f t="shared" si="2"/>
        <v>0</v>
      </c>
      <c r="J49" s="60">
        <v>0</v>
      </c>
      <c r="K49" s="61">
        <f t="shared" si="3"/>
        <v>0</v>
      </c>
      <c r="L49" s="62"/>
      <c r="M49" s="61">
        <f t="shared" si="4"/>
        <v>0</v>
      </c>
      <c r="N49" s="63">
        <v>0</v>
      </c>
      <c r="O49" s="61">
        <f t="shared" si="5"/>
        <v>0</v>
      </c>
      <c r="P49" s="60">
        <v>0</v>
      </c>
      <c r="Q49" s="61">
        <f t="shared" si="6"/>
        <v>0</v>
      </c>
      <c r="R49" s="60">
        <v>0</v>
      </c>
      <c r="S49" s="61">
        <f t="shared" si="7"/>
        <v>0</v>
      </c>
      <c r="T49" s="60">
        <v>0</v>
      </c>
      <c r="U49" s="64">
        <f t="shared" si="8"/>
        <v>0</v>
      </c>
      <c r="V49" s="65">
        <v>0</v>
      </c>
      <c r="W49" s="66">
        <f t="shared" si="9"/>
        <v>0</v>
      </c>
      <c r="X49" s="67">
        <f t="shared" si="10"/>
        <v>0</v>
      </c>
      <c r="Y49" s="57" t="str">
        <f t="shared" si="11"/>
        <v>NIL PLEASE PURCHASE</v>
      </c>
      <c r="Z49" s="68" t="s">
        <v>1539</v>
      </c>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row>
    <row r="50" spans="1:125" s="1" customFormat="1" ht="20.100000000000001" customHeight="1" x14ac:dyDescent="0.25">
      <c r="A50" s="59" t="s">
        <v>280</v>
      </c>
      <c r="B50" s="84">
        <v>48</v>
      </c>
      <c r="C50" s="85" t="s">
        <v>52</v>
      </c>
      <c r="D50" s="60">
        <v>0</v>
      </c>
      <c r="E50" s="61">
        <f t="shared" si="0"/>
        <v>0</v>
      </c>
      <c r="F50" s="60">
        <v>0</v>
      </c>
      <c r="G50" s="61">
        <f t="shared" si="1"/>
        <v>0</v>
      </c>
      <c r="H50" s="60">
        <v>0</v>
      </c>
      <c r="I50" s="61">
        <f t="shared" si="2"/>
        <v>0</v>
      </c>
      <c r="J50" s="60">
        <v>0</v>
      </c>
      <c r="K50" s="61">
        <f t="shared" si="3"/>
        <v>0</v>
      </c>
      <c r="L50" s="62"/>
      <c r="M50" s="61">
        <f t="shared" si="4"/>
        <v>0</v>
      </c>
      <c r="N50" s="63">
        <v>0</v>
      </c>
      <c r="O50" s="61">
        <f t="shared" si="5"/>
        <v>0</v>
      </c>
      <c r="P50" s="60">
        <v>0</v>
      </c>
      <c r="Q50" s="61">
        <f t="shared" si="6"/>
        <v>0</v>
      </c>
      <c r="R50" s="60">
        <v>0</v>
      </c>
      <c r="S50" s="61">
        <f t="shared" si="7"/>
        <v>0</v>
      </c>
      <c r="T50" s="60">
        <v>0</v>
      </c>
      <c r="U50" s="64">
        <f t="shared" si="8"/>
        <v>0</v>
      </c>
      <c r="V50" s="65">
        <v>0</v>
      </c>
      <c r="W50" s="66">
        <f t="shared" si="9"/>
        <v>0</v>
      </c>
      <c r="X50" s="67">
        <f t="shared" si="10"/>
        <v>0</v>
      </c>
      <c r="Y50" s="57" t="str">
        <f t="shared" si="11"/>
        <v>NIL PLEASE PURCHASE</v>
      </c>
      <c r="Z50" s="68" t="s">
        <v>1539</v>
      </c>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c r="CY50" s="8"/>
      <c r="CZ50" s="8"/>
      <c r="DA50" s="8"/>
      <c r="DB50" s="8"/>
      <c r="DC50" s="8"/>
      <c r="DD50" s="8"/>
      <c r="DE50" s="8"/>
      <c r="DF50" s="8"/>
      <c r="DG50" s="8"/>
      <c r="DH50" s="8"/>
      <c r="DI50" s="8"/>
      <c r="DJ50" s="8"/>
      <c r="DK50" s="8"/>
      <c r="DL50" s="8"/>
      <c r="DM50" s="8"/>
      <c r="DN50" s="8"/>
      <c r="DO50" s="8"/>
      <c r="DP50" s="8"/>
      <c r="DQ50" s="8"/>
      <c r="DR50" s="8"/>
      <c r="DS50" s="8"/>
      <c r="DT50" s="8"/>
      <c r="DU50" s="8"/>
    </row>
    <row r="51" spans="1:125" s="1" customFormat="1" ht="20.100000000000001" customHeight="1" x14ac:dyDescent="0.25">
      <c r="A51" s="59" t="s">
        <v>281</v>
      </c>
      <c r="B51" s="84">
        <v>49</v>
      </c>
      <c r="C51" s="85" t="s">
        <v>51</v>
      </c>
      <c r="D51" s="60">
        <v>0</v>
      </c>
      <c r="E51" s="61">
        <f t="shared" si="0"/>
        <v>0</v>
      </c>
      <c r="F51" s="60">
        <v>0</v>
      </c>
      <c r="G51" s="61">
        <f t="shared" si="1"/>
        <v>0</v>
      </c>
      <c r="H51" s="60">
        <v>0</v>
      </c>
      <c r="I51" s="61">
        <f t="shared" si="2"/>
        <v>0</v>
      </c>
      <c r="J51" s="60">
        <v>0</v>
      </c>
      <c r="K51" s="61">
        <f t="shared" si="3"/>
        <v>0</v>
      </c>
      <c r="L51" s="62"/>
      <c r="M51" s="61">
        <f t="shared" si="4"/>
        <v>0</v>
      </c>
      <c r="N51" s="63">
        <v>0</v>
      </c>
      <c r="O51" s="61">
        <f t="shared" si="5"/>
        <v>0</v>
      </c>
      <c r="P51" s="60">
        <v>0</v>
      </c>
      <c r="Q51" s="61">
        <f t="shared" si="6"/>
        <v>0</v>
      </c>
      <c r="R51" s="60">
        <v>0</v>
      </c>
      <c r="S51" s="61">
        <f t="shared" si="7"/>
        <v>0</v>
      </c>
      <c r="T51" s="60">
        <v>0</v>
      </c>
      <c r="U51" s="64">
        <f t="shared" si="8"/>
        <v>0</v>
      </c>
      <c r="V51" s="65">
        <v>0</v>
      </c>
      <c r="W51" s="66">
        <f t="shared" si="9"/>
        <v>0</v>
      </c>
      <c r="X51" s="67">
        <f t="shared" si="10"/>
        <v>0</v>
      </c>
      <c r="Y51" s="57" t="str">
        <f t="shared" si="11"/>
        <v>NIL PLEASE PURCHASE</v>
      </c>
      <c r="Z51" s="68" t="s">
        <v>1539</v>
      </c>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row>
    <row r="52" spans="1:125" s="1" customFormat="1" ht="20.100000000000001" customHeight="1" x14ac:dyDescent="0.25">
      <c r="A52" s="59" t="s">
        <v>282</v>
      </c>
      <c r="B52" s="84">
        <v>50</v>
      </c>
      <c r="C52" s="85" t="s">
        <v>53</v>
      </c>
      <c r="D52" s="60">
        <v>0</v>
      </c>
      <c r="E52" s="61">
        <f t="shared" si="0"/>
        <v>0</v>
      </c>
      <c r="F52" s="60">
        <v>0</v>
      </c>
      <c r="G52" s="61">
        <f t="shared" si="1"/>
        <v>0</v>
      </c>
      <c r="H52" s="60">
        <v>0</v>
      </c>
      <c r="I52" s="61">
        <f t="shared" si="2"/>
        <v>0</v>
      </c>
      <c r="J52" s="60">
        <v>0</v>
      </c>
      <c r="K52" s="61">
        <f t="shared" si="3"/>
        <v>0</v>
      </c>
      <c r="L52" s="62"/>
      <c r="M52" s="61">
        <f t="shared" si="4"/>
        <v>0</v>
      </c>
      <c r="N52" s="63">
        <v>0</v>
      </c>
      <c r="O52" s="61">
        <f t="shared" si="5"/>
        <v>0</v>
      </c>
      <c r="P52" s="60">
        <v>0</v>
      </c>
      <c r="Q52" s="61">
        <f t="shared" si="6"/>
        <v>0</v>
      </c>
      <c r="R52" s="60">
        <v>0</v>
      </c>
      <c r="S52" s="61">
        <f t="shared" si="7"/>
        <v>0</v>
      </c>
      <c r="T52" s="60">
        <v>0</v>
      </c>
      <c r="U52" s="64">
        <f t="shared" si="8"/>
        <v>0</v>
      </c>
      <c r="V52" s="65">
        <v>0</v>
      </c>
      <c r="W52" s="66">
        <f t="shared" si="9"/>
        <v>0</v>
      </c>
      <c r="X52" s="67">
        <f t="shared" si="10"/>
        <v>0</v>
      </c>
      <c r="Y52" s="57" t="str">
        <f t="shared" si="11"/>
        <v>NIL PLEASE PURCHASE</v>
      </c>
      <c r="Z52" s="68" t="s">
        <v>1539</v>
      </c>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row>
    <row r="53" spans="1:125" s="1" customFormat="1" ht="20.100000000000001" customHeight="1" x14ac:dyDescent="0.25">
      <c r="A53" s="59" t="s">
        <v>283</v>
      </c>
      <c r="B53" s="84">
        <v>51</v>
      </c>
      <c r="C53" s="85" t="s">
        <v>55</v>
      </c>
      <c r="D53" s="60">
        <v>0</v>
      </c>
      <c r="E53" s="61">
        <f t="shared" si="0"/>
        <v>0</v>
      </c>
      <c r="F53" s="60">
        <v>0</v>
      </c>
      <c r="G53" s="61">
        <f t="shared" si="1"/>
        <v>0</v>
      </c>
      <c r="H53" s="60">
        <v>0</v>
      </c>
      <c r="I53" s="61">
        <f t="shared" si="2"/>
        <v>0</v>
      </c>
      <c r="J53" s="60">
        <v>0</v>
      </c>
      <c r="K53" s="61">
        <f t="shared" si="3"/>
        <v>0</v>
      </c>
      <c r="L53" s="62"/>
      <c r="M53" s="61">
        <f t="shared" si="4"/>
        <v>0</v>
      </c>
      <c r="N53" s="63">
        <v>0</v>
      </c>
      <c r="O53" s="61">
        <f t="shared" si="5"/>
        <v>0</v>
      </c>
      <c r="P53" s="60">
        <v>0</v>
      </c>
      <c r="Q53" s="61">
        <f t="shared" si="6"/>
        <v>0</v>
      </c>
      <c r="R53" s="60">
        <v>0</v>
      </c>
      <c r="S53" s="61">
        <f t="shared" si="7"/>
        <v>0</v>
      </c>
      <c r="T53" s="60">
        <v>0</v>
      </c>
      <c r="U53" s="64">
        <f t="shared" si="8"/>
        <v>0</v>
      </c>
      <c r="V53" s="65">
        <v>0</v>
      </c>
      <c r="W53" s="66">
        <f t="shared" si="9"/>
        <v>0</v>
      </c>
      <c r="X53" s="67">
        <f t="shared" si="10"/>
        <v>0</v>
      </c>
      <c r="Y53" s="57" t="str">
        <f t="shared" si="11"/>
        <v>NIL PLEASE PURCHASE</v>
      </c>
      <c r="Z53" s="68" t="s">
        <v>1539</v>
      </c>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row>
    <row r="54" spans="1:125" s="1" customFormat="1" ht="20.100000000000001" customHeight="1" x14ac:dyDescent="0.25">
      <c r="A54" s="59" t="s">
        <v>284</v>
      </c>
      <c r="B54" s="84">
        <v>52</v>
      </c>
      <c r="C54" s="85" t="s">
        <v>56</v>
      </c>
      <c r="D54" s="60">
        <v>0</v>
      </c>
      <c r="E54" s="61">
        <f t="shared" si="0"/>
        <v>0</v>
      </c>
      <c r="F54" s="60">
        <v>0</v>
      </c>
      <c r="G54" s="61">
        <f t="shared" si="1"/>
        <v>0</v>
      </c>
      <c r="H54" s="60">
        <v>0</v>
      </c>
      <c r="I54" s="61">
        <f t="shared" si="2"/>
        <v>0</v>
      </c>
      <c r="J54" s="60">
        <v>0</v>
      </c>
      <c r="K54" s="61">
        <f t="shared" si="3"/>
        <v>0</v>
      </c>
      <c r="L54" s="62"/>
      <c r="M54" s="61">
        <f t="shared" si="4"/>
        <v>0</v>
      </c>
      <c r="N54" s="63">
        <v>0</v>
      </c>
      <c r="O54" s="61">
        <f t="shared" si="5"/>
        <v>0</v>
      </c>
      <c r="P54" s="60">
        <v>0</v>
      </c>
      <c r="Q54" s="61">
        <f t="shared" si="6"/>
        <v>0</v>
      </c>
      <c r="R54" s="60">
        <v>0</v>
      </c>
      <c r="S54" s="61">
        <f t="shared" si="7"/>
        <v>0</v>
      </c>
      <c r="T54" s="60">
        <v>0</v>
      </c>
      <c r="U54" s="64">
        <f t="shared" si="8"/>
        <v>0</v>
      </c>
      <c r="V54" s="65">
        <v>0</v>
      </c>
      <c r="W54" s="66">
        <f t="shared" si="9"/>
        <v>0</v>
      </c>
      <c r="X54" s="67">
        <f t="shared" si="10"/>
        <v>0</v>
      </c>
      <c r="Y54" s="57" t="str">
        <f t="shared" si="11"/>
        <v>NIL PLEASE PURCHASE</v>
      </c>
      <c r="Z54" s="68" t="s">
        <v>1539</v>
      </c>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row>
    <row r="55" spans="1:125" s="1" customFormat="1" ht="20.100000000000001" customHeight="1" x14ac:dyDescent="0.25">
      <c r="A55" s="59" t="s">
        <v>285</v>
      </c>
      <c r="B55" s="84">
        <v>53</v>
      </c>
      <c r="C55" s="85" t="s">
        <v>59</v>
      </c>
      <c r="D55" s="60">
        <v>0</v>
      </c>
      <c r="E55" s="61">
        <f t="shared" si="0"/>
        <v>0</v>
      </c>
      <c r="F55" s="60">
        <v>0</v>
      </c>
      <c r="G55" s="61">
        <f t="shared" si="1"/>
        <v>0</v>
      </c>
      <c r="H55" s="60">
        <v>0</v>
      </c>
      <c r="I55" s="61">
        <f t="shared" si="2"/>
        <v>0</v>
      </c>
      <c r="J55" s="60">
        <v>0</v>
      </c>
      <c r="K55" s="61">
        <f t="shared" si="3"/>
        <v>0</v>
      </c>
      <c r="L55" s="62"/>
      <c r="M55" s="61">
        <f t="shared" si="4"/>
        <v>0</v>
      </c>
      <c r="N55" s="63">
        <v>0</v>
      </c>
      <c r="O55" s="61">
        <f t="shared" si="5"/>
        <v>0</v>
      </c>
      <c r="P55" s="60">
        <v>0</v>
      </c>
      <c r="Q55" s="61">
        <f t="shared" si="6"/>
        <v>0</v>
      </c>
      <c r="R55" s="60">
        <v>0</v>
      </c>
      <c r="S55" s="61">
        <f t="shared" si="7"/>
        <v>0</v>
      </c>
      <c r="T55" s="60">
        <v>0</v>
      </c>
      <c r="U55" s="64">
        <f t="shared" si="8"/>
        <v>0</v>
      </c>
      <c r="V55" s="65">
        <v>0</v>
      </c>
      <c r="W55" s="66">
        <f t="shared" si="9"/>
        <v>0</v>
      </c>
      <c r="X55" s="67">
        <f t="shared" si="10"/>
        <v>0</v>
      </c>
      <c r="Y55" s="57" t="str">
        <f t="shared" si="11"/>
        <v>NIL PLEASE PURCHASE</v>
      </c>
      <c r="Z55" s="68" t="s">
        <v>1539</v>
      </c>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row>
    <row r="56" spans="1:125" s="1" customFormat="1" ht="20.100000000000001" customHeight="1" x14ac:dyDescent="0.25">
      <c r="A56" s="59" t="s">
        <v>286</v>
      </c>
      <c r="B56" s="84">
        <v>54</v>
      </c>
      <c r="C56" s="85" t="s">
        <v>59</v>
      </c>
      <c r="D56" s="60">
        <v>0</v>
      </c>
      <c r="E56" s="61">
        <f t="shared" si="0"/>
        <v>0</v>
      </c>
      <c r="F56" s="60">
        <v>0</v>
      </c>
      <c r="G56" s="61">
        <f t="shared" si="1"/>
        <v>0</v>
      </c>
      <c r="H56" s="60">
        <v>0</v>
      </c>
      <c r="I56" s="61">
        <f t="shared" si="2"/>
        <v>0</v>
      </c>
      <c r="J56" s="60">
        <v>0</v>
      </c>
      <c r="K56" s="61">
        <f t="shared" si="3"/>
        <v>0</v>
      </c>
      <c r="L56" s="62"/>
      <c r="M56" s="61">
        <f t="shared" si="4"/>
        <v>0</v>
      </c>
      <c r="N56" s="63">
        <v>0</v>
      </c>
      <c r="O56" s="61">
        <f t="shared" si="5"/>
        <v>0</v>
      </c>
      <c r="P56" s="60">
        <v>0</v>
      </c>
      <c r="Q56" s="61">
        <f t="shared" si="6"/>
        <v>0</v>
      </c>
      <c r="R56" s="60">
        <v>0</v>
      </c>
      <c r="S56" s="61">
        <f t="shared" si="7"/>
        <v>0</v>
      </c>
      <c r="T56" s="60">
        <v>0</v>
      </c>
      <c r="U56" s="64">
        <f t="shared" si="8"/>
        <v>0</v>
      </c>
      <c r="V56" s="65">
        <v>0</v>
      </c>
      <c r="W56" s="66">
        <f t="shared" si="9"/>
        <v>0</v>
      </c>
      <c r="X56" s="67">
        <f t="shared" si="10"/>
        <v>0</v>
      </c>
      <c r="Y56" s="57" t="str">
        <f t="shared" si="11"/>
        <v>NIL PLEASE PURCHASE</v>
      </c>
      <c r="Z56" s="68" t="s">
        <v>1539</v>
      </c>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row>
    <row r="57" spans="1:125" s="1" customFormat="1" ht="22.5" customHeight="1" x14ac:dyDescent="0.25">
      <c r="A57" s="59" t="s">
        <v>287</v>
      </c>
      <c r="B57" s="84">
        <v>55</v>
      </c>
      <c r="C57" s="85" t="s">
        <v>60</v>
      </c>
      <c r="D57" s="60">
        <v>0</v>
      </c>
      <c r="E57" s="61">
        <f t="shared" si="0"/>
        <v>0</v>
      </c>
      <c r="F57" s="60">
        <v>0</v>
      </c>
      <c r="G57" s="61">
        <f t="shared" si="1"/>
        <v>0</v>
      </c>
      <c r="H57" s="60">
        <v>0</v>
      </c>
      <c r="I57" s="61">
        <f t="shared" si="2"/>
        <v>0</v>
      </c>
      <c r="J57" s="60">
        <v>0</v>
      </c>
      <c r="K57" s="61">
        <f t="shared" si="3"/>
        <v>0</v>
      </c>
      <c r="L57" s="62"/>
      <c r="M57" s="61">
        <f t="shared" si="4"/>
        <v>0</v>
      </c>
      <c r="N57" s="63">
        <v>6</v>
      </c>
      <c r="O57" s="61">
        <f t="shared" si="5"/>
        <v>3000</v>
      </c>
      <c r="P57" s="60">
        <v>0</v>
      </c>
      <c r="Q57" s="61">
        <f t="shared" si="6"/>
        <v>0</v>
      </c>
      <c r="R57" s="60">
        <v>0</v>
      </c>
      <c r="S57" s="61">
        <f t="shared" si="7"/>
        <v>0</v>
      </c>
      <c r="T57" s="60">
        <v>0</v>
      </c>
      <c r="U57" s="64">
        <f t="shared" si="8"/>
        <v>0</v>
      </c>
      <c r="V57" s="65">
        <v>0</v>
      </c>
      <c r="W57" s="66">
        <f t="shared" si="9"/>
        <v>3000</v>
      </c>
      <c r="X57" s="67">
        <f t="shared" si="10"/>
        <v>3</v>
      </c>
      <c r="Y57" s="57" t="str">
        <f t="shared" si="11"/>
        <v>STOCK</v>
      </c>
      <c r="Z57" s="68" t="s">
        <v>1538</v>
      </c>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row>
    <row r="58" spans="1:125" s="1" customFormat="1" ht="22.5" customHeight="1" x14ac:dyDescent="0.25">
      <c r="A58" s="59" t="s">
        <v>288</v>
      </c>
      <c r="B58" s="84">
        <v>56</v>
      </c>
      <c r="C58" s="85" t="s">
        <v>61</v>
      </c>
      <c r="D58" s="60">
        <v>0</v>
      </c>
      <c r="E58" s="61">
        <f t="shared" si="0"/>
        <v>0</v>
      </c>
      <c r="F58" s="60">
        <v>0</v>
      </c>
      <c r="G58" s="61">
        <f t="shared" si="1"/>
        <v>0</v>
      </c>
      <c r="H58" s="60">
        <v>0</v>
      </c>
      <c r="I58" s="61">
        <f t="shared" si="2"/>
        <v>0</v>
      </c>
      <c r="J58" s="60">
        <v>0</v>
      </c>
      <c r="K58" s="61">
        <f t="shared" si="3"/>
        <v>0</v>
      </c>
      <c r="L58" s="62"/>
      <c r="M58" s="61">
        <f t="shared" si="4"/>
        <v>0</v>
      </c>
      <c r="N58" s="63">
        <v>3</v>
      </c>
      <c r="O58" s="61">
        <f t="shared" si="5"/>
        <v>1500</v>
      </c>
      <c r="P58" s="60">
        <v>0</v>
      </c>
      <c r="Q58" s="61">
        <f t="shared" si="6"/>
        <v>0</v>
      </c>
      <c r="R58" s="60">
        <v>0</v>
      </c>
      <c r="S58" s="61">
        <f t="shared" si="7"/>
        <v>0</v>
      </c>
      <c r="T58" s="60">
        <v>0</v>
      </c>
      <c r="U58" s="64">
        <f t="shared" si="8"/>
        <v>0</v>
      </c>
      <c r="V58" s="65">
        <v>0</v>
      </c>
      <c r="W58" s="66">
        <f t="shared" si="9"/>
        <v>1500</v>
      </c>
      <c r="X58" s="67">
        <f t="shared" si="10"/>
        <v>1.5</v>
      </c>
      <c r="Y58" s="57" t="str">
        <f t="shared" si="11"/>
        <v>STOCK</v>
      </c>
      <c r="Z58" s="68" t="s">
        <v>1538</v>
      </c>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row>
    <row r="59" spans="1:125" s="1" customFormat="1" ht="20.100000000000001" customHeight="1" x14ac:dyDescent="0.25">
      <c r="A59" s="59" t="s">
        <v>289</v>
      </c>
      <c r="B59" s="84">
        <v>57</v>
      </c>
      <c r="C59" s="85" t="s">
        <v>62</v>
      </c>
      <c r="D59" s="60">
        <v>0</v>
      </c>
      <c r="E59" s="61">
        <f t="shared" si="0"/>
        <v>0</v>
      </c>
      <c r="F59" s="60">
        <v>0</v>
      </c>
      <c r="G59" s="61">
        <f t="shared" si="1"/>
        <v>0</v>
      </c>
      <c r="H59" s="60">
        <v>0</v>
      </c>
      <c r="I59" s="61">
        <f t="shared" si="2"/>
        <v>0</v>
      </c>
      <c r="J59" s="60">
        <v>0</v>
      </c>
      <c r="K59" s="61">
        <f t="shared" si="3"/>
        <v>0</v>
      </c>
      <c r="L59" s="62"/>
      <c r="M59" s="61">
        <f t="shared" si="4"/>
        <v>0</v>
      </c>
      <c r="N59" s="63">
        <v>0</v>
      </c>
      <c r="O59" s="61">
        <f t="shared" si="5"/>
        <v>0</v>
      </c>
      <c r="P59" s="60">
        <v>0</v>
      </c>
      <c r="Q59" s="61">
        <f t="shared" si="6"/>
        <v>0</v>
      </c>
      <c r="R59" s="60">
        <v>0</v>
      </c>
      <c r="S59" s="61">
        <f t="shared" si="7"/>
        <v>0</v>
      </c>
      <c r="T59" s="60">
        <v>0</v>
      </c>
      <c r="U59" s="64">
        <f t="shared" si="8"/>
        <v>0</v>
      </c>
      <c r="V59" s="65">
        <v>0</v>
      </c>
      <c r="W59" s="66">
        <f t="shared" si="9"/>
        <v>0</v>
      </c>
      <c r="X59" s="67">
        <f t="shared" si="10"/>
        <v>0</v>
      </c>
      <c r="Y59" s="57" t="str">
        <f t="shared" si="11"/>
        <v>NIL PLEASE PURCHASE</v>
      </c>
      <c r="Z59" s="68" t="s">
        <v>1539</v>
      </c>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row>
    <row r="60" spans="1:125" s="1" customFormat="1" ht="20.100000000000001" customHeight="1" x14ac:dyDescent="0.25">
      <c r="A60" s="59" t="s">
        <v>290</v>
      </c>
      <c r="B60" s="84">
        <v>58</v>
      </c>
      <c r="C60" s="85" t="s">
        <v>63</v>
      </c>
      <c r="D60" s="60">
        <v>0</v>
      </c>
      <c r="E60" s="61">
        <f t="shared" si="0"/>
        <v>0</v>
      </c>
      <c r="F60" s="60">
        <v>0</v>
      </c>
      <c r="G60" s="61">
        <f t="shared" si="1"/>
        <v>0</v>
      </c>
      <c r="H60" s="60">
        <v>0</v>
      </c>
      <c r="I60" s="61">
        <f t="shared" si="2"/>
        <v>0</v>
      </c>
      <c r="J60" s="60">
        <v>0</v>
      </c>
      <c r="K60" s="61">
        <f t="shared" si="3"/>
        <v>0</v>
      </c>
      <c r="L60" s="62"/>
      <c r="M60" s="61">
        <f t="shared" si="4"/>
        <v>0</v>
      </c>
      <c r="N60" s="63">
        <v>0</v>
      </c>
      <c r="O60" s="61">
        <f t="shared" si="5"/>
        <v>0</v>
      </c>
      <c r="P60" s="60">
        <v>0</v>
      </c>
      <c r="Q60" s="61">
        <f t="shared" si="6"/>
        <v>0</v>
      </c>
      <c r="R60" s="60">
        <v>0</v>
      </c>
      <c r="S60" s="61">
        <f t="shared" si="7"/>
        <v>0</v>
      </c>
      <c r="T60" s="60">
        <v>0</v>
      </c>
      <c r="U60" s="64">
        <f t="shared" si="8"/>
        <v>0</v>
      </c>
      <c r="V60" s="65">
        <v>0</v>
      </c>
      <c r="W60" s="66">
        <f t="shared" si="9"/>
        <v>0</v>
      </c>
      <c r="X60" s="67">
        <f t="shared" si="10"/>
        <v>0</v>
      </c>
      <c r="Y60" s="57" t="str">
        <f t="shared" si="11"/>
        <v>NIL PLEASE PURCHASE</v>
      </c>
      <c r="Z60" s="68" t="s">
        <v>1539</v>
      </c>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row>
    <row r="61" spans="1:125" s="1" customFormat="1" ht="20.100000000000001" customHeight="1" x14ac:dyDescent="0.25">
      <c r="A61" s="59" t="s">
        <v>291</v>
      </c>
      <c r="B61" s="84">
        <v>59</v>
      </c>
      <c r="C61" s="85" t="s">
        <v>64</v>
      </c>
      <c r="D61" s="60">
        <v>0</v>
      </c>
      <c r="E61" s="61">
        <f t="shared" si="0"/>
        <v>0</v>
      </c>
      <c r="F61" s="60">
        <v>0</v>
      </c>
      <c r="G61" s="61">
        <f t="shared" si="1"/>
        <v>0</v>
      </c>
      <c r="H61" s="60">
        <v>0</v>
      </c>
      <c r="I61" s="61">
        <f t="shared" si="2"/>
        <v>0</v>
      </c>
      <c r="J61" s="60">
        <v>0</v>
      </c>
      <c r="K61" s="61">
        <f t="shared" si="3"/>
        <v>0</v>
      </c>
      <c r="L61" s="62"/>
      <c r="M61" s="61">
        <f t="shared" si="4"/>
        <v>0</v>
      </c>
      <c r="N61" s="63">
        <v>0</v>
      </c>
      <c r="O61" s="61">
        <f t="shared" si="5"/>
        <v>0</v>
      </c>
      <c r="P61" s="60">
        <v>0</v>
      </c>
      <c r="Q61" s="61">
        <f t="shared" si="6"/>
        <v>0</v>
      </c>
      <c r="R61" s="60">
        <v>0</v>
      </c>
      <c r="S61" s="61">
        <f t="shared" si="7"/>
        <v>0</v>
      </c>
      <c r="T61" s="60">
        <v>0</v>
      </c>
      <c r="U61" s="64">
        <f t="shared" si="8"/>
        <v>0</v>
      </c>
      <c r="V61" s="65">
        <v>0</v>
      </c>
      <c r="W61" s="66">
        <f t="shared" si="9"/>
        <v>0</v>
      </c>
      <c r="X61" s="67">
        <f t="shared" si="10"/>
        <v>0</v>
      </c>
      <c r="Y61" s="57" t="str">
        <f t="shared" si="11"/>
        <v>NIL PLEASE PURCHASE</v>
      </c>
      <c r="Z61" s="68" t="s">
        <v>1539</v>
      </c>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row>
    <row r="62" spans="1:125" s="1" customFormat="1" ht="22.5" customHeight="1" x14ac:dyDescent="0.25">
      <c r="A62" s="59" t="s">
        <v>292</v>
      </c>
      <c r="B62" s="84">
        <v>60</v>
      </c>
      <c r="C62" s="85" t="s">
        <v>65</v>
      </c>
      <c r="D62" s="60">
        <v>0</v>
      </c>
      <c r="E62" s="61">
        <f t="shared" si="0"/>
        <v>0</v>
      </c>
      <c r="F62" s="60">
        <v>0</v>
      </c>
      <c r="G62" s="61">
        <f t="shared" si="1"/>
        <v>0</v>
      </c>
      <c r="H62" s="60">
        <v>0</v>
      </c>
      <c r="I62" s="61">
        <f t="shared" si="2"/>
        <v>0</v>
      </c>
      <c r="J62" s="60">
        <v>0</v>
      </c>
      <c r="K62" s="61">
        <f t="shared" si="3"/>
        <v>0</v>
      </c>
      <c r="L62" s="62"/>
      <c r="M62" s="61">
        <f t="shared" si="4"/>
        <v>0</v>
      </c>
      <c r="N62" s="63">
        <v>3</v>
      </c>
      <c r="O62" s="61">
        <f t="shared" si="5"/>
        <v>1500</v>
      </c>
      <c r="P62" s="60">
        <v>0</v>
      </c>
      <c r="Q62" s="61">
        <f t="shared" si="6"/>
        <v>0</v>
      </c>
      <c r="R62" s="60">
        <v>0</v>
      </c>
      <c r="S62" s="61">
        <f t="shared" si="7"/>
        <v>0</v>
      </c>
      <c r="T62" s="60">
        <v>0</v>
      </c>
      <c r="U62" s="64">
        <f t="shared" si="8"/>
        <v>0</v>
      </c>
      <c r="V62" s="65">
        <v>0</v>
      </c>
      <c r="W62" s="66">
        <f t="shared" si="9"/>
        <v>1500</v>
      </c>
      <c r="X62" s="67">
        <f t="shared" si="10"/>
        <v>1.5</v>
      </c>
      <c r="Y62" s="57" t="str">
        <f t="shared" si="11"/>
        <v>STOCK</v>
      </c>
      <c r="Z62" s="68" t="s">
        <v>1538</v>
      </c>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row>
    <row r="63" spans="1:125" s="1" customFormat="1" ht="22.5" customHeight="1" x14ac:dyDescent="0.25">
      <c r="A63" s="59" t="s">
        <v>293</v>
      </c>
      <c r="B63" s="84">
        <v>61</v>
      </c>
      <c r="C63" s="85" t="s">
        <v>66</v>
      </c>
      <c r="D63" s="60">
        <v>0</v>
      </c>
      <c r="E63" s="61">
        <f t="shared" si="0"/>
        <v>0</v>
      </c>
      <c r="F63" s="60">
        <v>0</v>
      </c>
      <c r="G63" s="61">
        <f t="shared" si="1"/>
        <v>0</v>
      </c>
      <c r="H63" s="60">
        <v>0</v>
      </c>
      <c r="I63" s="61">
        <f t="shared" si="2"/>
        <v>0</v>
      </c>
      <c r="J63" s="60">
        <v>0</v>
      </c>
      <c r="K63" s="61">
        <f t="shared" si="3"/>
        <v>0</v>
      </c>
      <c r="L63" s="62"/>
      <c r="M63" s="61">
        <f t="shared" si="4"/>
        <v>0</v>
      </c>
      <c r="N63" s="63">
        <v>1</v>
      </c>
      <c r="O63" s="61">
        <f t="shared" si="5"/>
        <v>500</v>
      </c>
      <c r="P63" s="60">
        <v>0</v>
      </c>
      <c r="Q63" s="61">
        <f t="shared" si="6"/>
        <v>0</v>
      </c>
      <c r="R63" s="60">
        <v>0</v>
      </c>
      <c r="S63" s="61">
        <f t="shared" si="7"/>
        <v>0</v>
      </c>
      <c r="T63" s="60">
        <v>0</v>
      </c>
      <c r="U63" s="64">
        <f t="shared" si="8"/>
        <v>0</v>
      </c>
      <c r="V63" s="65">
        <v>0</v>
      </c>
      <c r="W63" s="66">
        <f t="shared" si="9"/>
        <v>500</v>
      </c>
      <c r="X63" s="67">
        <f t="shared" si="10"/>
        <v>0.5</v>
      </c>
      <c r="Y63" s="57" t="str">
        <f t="shared" si="11"/>
        <v>STOCK</v>
      </c>
      <c r="Z63" s="68" t="s">
        <v>1538</v>
      </c>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row>
    <row r="64" spans="1:125" s="1" customFormat="1" ht="20.100000000000001" customHeight="1" x14ac:dyDescent="0.25">
      <c r="A64" s="59" t="s">
        <v>294</v>
      </c>
      <c r="B64" s="84">
        <v>62</v>
      </c>
      <c r="C64" s="85" t="s">
        <v>67</v>
      </c>
      <c r="D64" s="60">
        <v>0</v>
      </c>
      <c r="E64" s="61">
        <f t="shared" si="0"/>
        <v>0</v>
      </c>
      <c r="F64" s="60">
        <v>0</v>
      </c>
      <c r="G64" s="61">
        <f t="shared" si="1"/>
        <v>0</v>
      </c>
      <c r="H64" s="60">
        <v>0</v>
      </c>
      <c r="I64" s="61">
        <f t="shared" si="2"/>
        <v>0</v>
      </c>
      <c r="J64" s="60">
        <v>0</v>
      </c>
      <c r="K64" s="61">
        <f t="shared" si="3"/>
        <v>0</v>
      </c>
      <c r="L64" s="62"/>
      <c r="M64" s="61">
        <f t="shared" si="4"/>
        <v>0</v>
      </c>
      <c r="N64" s="63">
        <v>0</v>
      </c>
      <c r="O64" s="61">
        <f t="shared" si="5"/>
        <v>0</v>
      </c>
      <c r="P64" s="60">
        <v>0</v>
      </c>
      <c r="Q64" s="61">
        <f t="shared" si="6"/>
        <v>0</v>
      </c>
      <c r="R64" s="60">
        <v>0</v>
      </c>
      <c r="S64" s="61">
        <f t="shared" si="7"/>
        <v>0</v>
      </c>
      <c r="T64" s="60">
        <v>0</v>
      </c>
      <c r="U64" s="64">
        <f t="shared" si="8"/>
        <v>0</v>
      </c>
      <c r="V64" s="65">
        <v>0</v>
      </c>
      <c r="W64" s="66">
        <f t="shared" si="9"/>
        <v>0</v>
      </c>
      <c r="X64" s="67">
        <f t="shared" si="10"/>
        <v>0</v>
      </c>
      <c r="Y64" s="57" t="str">
        <f t="shared" si="11"/>
        <v>NIL PLEASE PURCHASE</v>
      </c>
      <c r="Z64" s="68" t="s">
        <v>1539</v>
      </c>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c r="CQ64" s="8"/>
      <c r="CR64" s="8"/>
      <c r="CS64" s="8"/>
      <c r="CT64" s="8"/>
      <c r="CU64" s="8"/>
      <c r="CV64" s="8"/>
      <c r="CW64" s="8"/>
      <c r="CX64" s="8"/>
      <c r="CY64" s="8"/>
      <c r="CZ64" s="8"/>
      <c r="DA64" s="8"/>
      <c r="DB64" s="8"/>
      <c r="DC64" s="8"/>
      <c r="DD64" s="8"/>
      <c r="DE64" s="8"/>
      <c r="DF64" s="8"/>
      <c r="DG64" s="8"/>
      <c r="DH64" s="8"/>
      <c r="DI64" s="8"/>
      <c r="DJ64" s="8"/>
      <c r="DK64" s="8"/>
      <c r="DL64" s="8"/>
      <c r="DM64" s="8"/>
      <c r="DN64" s="8"/>
      <c r="DO64" s="8"/>
      <c r="DP64" s="8"/>
      <c r="DQ64" s="8"/>
      <c r="DR64" s="8"/>
      <c r="DS64" s="8"/>
      <c r="DT64" s="8"/>
      <c r="DU64" s="8"/>
    </row>
    <row r="65" spans="1:125" s="1" customFormat="1" ht="22.5" customHeight="1" x14ac:dyDescent="0.25">
      <c r="A65" s="59" t="s">
        <v>295</v>
      </c>
      <c r="B65" s="84">
        <v>63</v>
      </c>
      <c r="C65" s="85" t="s">
        <v>68</v>
      </c>
      <c r="D65" s="60">
        <v>0</v>
      </c>
      <c r="E65" s="61">
        <f t="shared" si="0"/>
        <v>0</v>
      </c>
      <c r="F65" s="60">
        <v>0</v>
      </c>
      <c r="G65" s="61">
        <f t="shared" si="1"/>
        <v>0</v>
      </c>
      <c r="H65" s="60">
        <v>0</v>
      </c>
      <c r="I65" s="61">
        <f t="shared" si="2"/>
        <v>0</v>
      </c>
      <c r="J65" s="60">
        <v>0</v>
      </c>
      <c r="K65" s="61">
        <f t="shared" si="3"/>
        <v>0</v>
      </c>
      <c r="L65" s="62">
        <v>1</v>
      </c>
      <c r="M65" s="61">
        <f t="shared" si="4"/>
        <v>250</v>
      </c>
      <c r="N65" s="63">
        <v>0</v>
      </c>
      <c r="O65" s="61">
        <f t="shared" si="5"/>
        <v>0</v>
      </c>
      <c r="P65" s="60">
        <v>0</v>
      </c>
      <c r="Q65" s="61">
        <f t="shared" si="6"/>
        <v>0</v>
      </c>
      <c r="R65" s="60">
        <v>0</v>
      </c>
      <c r="S65" s="61">
        <f t="shared" si="7"/>
        <v>0</v>
      </c>
      <c r="T65" s="60">
        <v>0</v>
      </c>
      <c r="U65" s="64">
        <f t="shared" si="8"/>
        <v>0</v>
      </c>
      <c r="V65" s="65">
        <v>0</v>
      </c>
      <c r="W65" s="66">
        <f t="shared" si="9"/>
        <v>250</v>
      </c>
      <c r="X65" s="67">
        <f t="shared" si="10"/>
        <v>0.25</v>
      </c>
      <c r="Y65" s="57" t="str">
        <f t="shared" si="11"/>
        <v>STOCK</v>
      </c>
      <c r="Z65" s="68" t="s">
        <v>1538</v>
      </c>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c r="CQ65" s="8"/>
      <c r="CR65" s="8"/>
      <c r="CS65" s="8"/>
      <c r="CT65" s="8"/>
      <c r="CU65" s="8"/>
      <c r="CV65" s="8"/>
      <c r="CW65" s="8"/>
      <c r="CX65" s="8"/>
      <c r="CY65" s="8"/>
      <c r="CZ65" s="8"/>
      <c r="DA65" s="8"/>
      <c r="DB65" s="8"/>
      <c r="DC65" s="8"/>
      <c r="DD65" s="8"/>
      <c r="DE65" s="8"/>
      <c r="DF65" s="8"/>
      <c r="DG65" s="8"/>
      <c r="DH65" s="8"/>
      <c r="DI65" s="8"/>
      <c r="DJ65" s="8"/>
      <c r="DK65" s="8"/>
      <c r="DL65" s="8"/>
      <c r="DM65" s="8"/>
      <c r="DN65" s="8"/>
      <c r="DO65" s="8"/>
      <c r="DP65" s="8"/>
      <c r="DQ65" s="8"/>
      <c r="DR65" s="8"/>
      <c r="DS65" s="8"/>
      <c r="DT65" s="8"/>
      <c r="DU65" s="8"/>
    </row>
    <row r="66" spans="1:125" s="1" customFormat="1" ht="22.5" customHeight="1" x14ac:dyDescent="0.25">
      <c r="A66" s="59" t="s">
        <v>296</v>
      </c>
      <c r="B66" s="84">
        <v>64</v>
      </c>
      <c r="C66" s="85" t="s">
        <v>69</v>
      </c>
      <c r="D66" s="60">
        <v>0</v>
      </c>
      <c r="E66" s="61">
        <f t="shared" si="0"/>
        <v>0</v>
      </c>
      <c r="F66" s="60">
        <v>0</v>
      </c>
      <c r="G66" s="61">
        <f t="shared" si="1"/>
        <v>0</v>
      </c>
      <c r="H66" s="60">
        <v>0</v>
      </c>
      <c r="I66" s="61">
        <f t="shared" si="2"/>
        <v>0</v>
      </c>
      <c r="J66" s="60">
        <v>0</v>
      </c>
      <c r="K66" s="61">
        <f t="shared" si="3"/>
        <v>0</v>
      </c>
      <c r="L66" s="62">
        <v>2</v>
      </c>
      <c r="M66" s="61">
        <f t="shared" si="4"/>
        <v>500</v>
      </c>
      <c r="N66" s="63">
        <v>0</v>
      </c>
      <c r="O66" s="61">
        <f t="shared" si="5"/>
        <v>0</v>
      </c>
      <c r="P66" s="60">
        <v>0</v>
      </c>
      <c r="Q66" s="61">
        <f t="shared" si="6"/>
        <v>0</v>
      </c>
      <c r="R66" s="60">
        <v>0</v>
      </c>
      <c r="S66" s="61">
        <f t="shared" si="7"/>
        <v>0</v>
      </c>
      <c r="T66" s="60">
        <v>0</v>
      </c>
      <c r="U66" s="64">
        <f t="shared" si="8"/>
        <v>0</v>
      </c>
      <c r="V66" s="65">
        <v>0</v>
      </c>
      <c r="W66" s="66">
        <f t="shared" si="9"/>
        <v>500</v>
      </c>
      <c r="X66" s="67">
        <f t="shared" si="10"/>
        <v>0.5</v>
      </c>
      <c r="Y66" s="57" t="str">
        <f t="shared" si="11"/>
        <v>STOCK</v>
      </c>
      <c r="Z66" s="68" t="s">
        <v>1538</v>
      </c>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c r="CR66" s="8"/>
      <c r="CS66" s="8"/>
      <c r="CT66" s="8"/>
      <c r="CU66" s="8"/>
      <c r="CV66" s="8"/>
      <c r="CW66" s="8"/>
      <c r="CX66" s="8"/>
      <c r="CY66" s="8"/>
      <c r="CZ66" s="8"/>
      <c r="DA66" s="8"/>
      <c r="DB66" s="8"/>
      <c r="DC66" s="8"/>
      <c r="DD66" s="8"/>
      <c r="DE66" s="8"/>
      <c r="DF66" s="8"/>
      <c r="DG66" s="8"/>
      <c r="DH66" s="8"/>
      <c r="DI66" s="8"/>
      <c r="DJ66" s="8"/>
      <c r="DK66" s="8"/>
      <c r="DL66" s="8"/>
      <c r="DM66" s="8"/>
      <c r="DN66" s="8"/>
      <c r="DO66" s="8"/>
      <c r="DP66" s="8"/>
      <c r="DQ66" s="8"/>
      <c r="DR66" s="8"/>
      <c r="DS66" s="8"/>
      <c r="DT66" s="8"/>
      <c r="DU66" s="8"/>
    </row>
    <row r="67" spans="1:125" s="1" customFormat="1" ht="22.5" customHeight="1" x14ac:dyDescent="0.25">
      <c r="A67" s="59" t="s">
        <v>297</v>
      </c>
      <c r="B67" s="84">
        <v>65</v>
      </c>
      <c r="C67" s="85" t="s">
        <v>70</v>
      </c>
      <c r="D67" s="60">
        <v>0</v>
      </c>
      <c r="E67" s="61">
        <f t="shared" si="0"/>
        <v>0</v>
      </c>
      <c r="F67" s="60">
        <v>0</v>
      </c>
      <c r="G67" s="61">
        <f t="shared" si="1"/>
        <v>0</v>
      </c>
      <c r="H67" s="60">
        <v>0</v>
      </c>
      <c r="I67" s="61">
        <f t="shared" si="2"/>
        <v>0</v>
      </c>
      <c r="J67" s="60">
        <v>0</v>
      </c>
      <c r="K67" s="61">
        <f t="shared" si="3"/>
        <v>0</v>
      </c>
      <c r="L67" s="62"/>
      <c r="M67" s="61">
        <f t="shared" si="4"/>
        <v>0</v>
      </c>
      <c r="N67" s="63">
        <v>9</v>
      </c>
      <c r="O67" s="61">
        <f t="shared" si="5"/>
        <v>4500</v>
      </c>
      <c r="P67" s="60">
        <v>0</v>
      </c>
      <c r="Q67" s="61">
        <f t="shared" si="6"/>
        <v>0</v>
      </c>
      <c r="R67" s="60">
        <v>0</v>
      </c>
      <c r="S67" s="61">
        <f t="shared" si="7"/>
        <v>0</v>
      </c>
      <c r="T67" s="60">
        <v>0</v>
      </c>
      <c r="U67" s="64">
        <f t="shared" si="8"/>
        <v>0</v>
      </c>
      <c r="V67" s="65">
        <v>0</v>
      </c>
      <c r="W67" s="66">
        <f t="shared" si="9"/>
        <v>4500</v>
      </c>
      <c r="X67" s="67">
        <f t="shared" si="10"/>
        <v>4.5</v>
      </c>
      <c r="Y67" s="57" t="str">
        <f t="shared" si="11"/>
        <v>STOCK</v>
      </c>
      <c r="Z67" s="68" t="s">
        <v>1538</v>
      </c>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c r="CQ67" s="8"/>
      <c r="CR67" s="8"/>
      <c r="CS67" s="8"/>
      <c r="CT67" s="8"/>
      <c r="CU67" s="8"/>
      <c r="CV67" s="8"/>
      <c r="CW67" s="8"/>
      <c r="CX67" s="8"/>
      <c r="CY67" s="8"/>
      <c r="CZ67" s="8"/>
      <c r="DA67" s="8"/>
      <c r="DB67" s="8"/>
      <c r="DC67" s="8"/>
      <c r="DD67" s="8"/>
      <c r="DE67" s="8"/>
      <c r="DF67" s="8"/>
      <c r="DG67" s="8"/>
      <c r="DH67" s="8"/>
      <c r="DI67" s="8"/>
      <c r="DJ67" s="8"/>
      <c r="DK67" s="8"/>
      <c r="DL67" s="8"/>
      <c r="DM67" s="8"/>
      <c r="DN67" s="8"/>
      <c r="DO67" s="8"/>
      <c r="DP67" s="8"/>
      <c r="DQ67" s="8"/>
      <c r="DR67" s="8"/>
      <c r="DS67" s="8"/>
      <c r="DT67" s="8"/>
      <c r="DU67" s="8"/>
    </row>
    <row r="68" spans="1:125" s="1" customFormat="1" ht="22.5" customHeight="1" x14ac:dyDescent="0.25">
      <c r="A68" s="59" t="s">
        <v>298</v>
      </c>
      <c r="B68" s="84">
        <v>66</v>
      </c>
      <c r="C68" s="85" t="s">
        <v>71</v>
      </c>
      <c r="D68" s="60">
        <v>0</v>
      </c>
      <c r="E68" s="61">
        <f t="shared" ref="E68:E131" si="12">D68*10</f>
        <v>0</v>
      </c>
      <c r="F68" s="60">
        <v>0</v>
      </c>
      <c r="G68" s="61">
        <f t="shared" ref="G68:G131" si="13">F68*25</f>
        <v>0</v>
      </c>
      <c r="H68" s="60">
        <v>0</v>
      </c>
      <c r="I68" s="61">
        <f t="shared" ref="I68:I131" si="14">H68*50</f>
        <v>0</v>
      </c>
      <c r="J68" s="60">
        <v>0</v>
      </c>
      <c r="K68" s="61">
        <f t="shared" ref="K68:K131" si="15">J68*100</f>
        <v>0</v>
      </c>
      <c r="L68" s="62"/>
      <c r="M68" s="61">
        <f t="shared" ref="M68:M131" si="16">L68*250</f>
        <v>0</v>
      </c>
      <c r="N68" s="63">
        <v>8</v>
      </c>
      <c r="O68" s="61">
        <f t="shared" ref="O68:O131" si="17">N68*500</f>
        <v>4000</v>
      </c>
      <c r="P68" s="60">
        <v>0</v>
      </c>
      <c r="Q68" s="61">
        <f t="shared" ref="Q68:Q131" si="18">P68*1000</f>
        <v>0</v>
      </c>
      <c r="R68" s="60">
        <v>0</v>
      </c>
      <c r="S68" s="61">
        <f t="shared" ref="S68:S131" si="19">R68*2500</f>
        <v>0</v>
      </c>
      <c r="T68" s="60">
        <v>0</v>
      </c>
      <c r="U68" s="64">
        <f t="shared" ref="U68:U131" si="20">T68*5000</f>
        <v>0</v>
      </c>
      <c r="V68" s="65">
        <v>0</v>
      </c>
      <c r="W68" s="66">
        <f t="shared" ref="W68:W131" si="21">E68+G68+I68+K68+M68+O68+Q68+S68+U68</f>
        <v>4000</v>
      </c>
      <c r="X68" s="67">
        <f t="shared" ref="X68:X131" si="22">SUM(W68:W68)/1000</f>
        <v>4</v>
      </c>
      <c r="Y68" s="57" t="str">
        <f t="shared" ref="Y68:Y131" si="23">IF(W68=0,("NIL PLEASE PURCHASE"),("STOCK"))</f>
        <v>STOCK</v>
      </c>
      <c r="Z68" s="68" t="s">
        <v>1538</v>
      </c>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c r="CQ68" s="8"/>
      <c r="CR68" s="8"/>
      <c r="CS68" s="8"/>
      <c r="CT68" s="8"/>
      <c r="CU68" s="8"/>
      <c r="CV68" s="8"/>
      <c r="CW68" s="8"/>
      <c r="CX68" s="8"/>
      <c r="CY68" s="8"/>
      <c r="CZ68" s="8"/>
      <c r="DA68" s="8"/>
      <c r="DB68" s="8"/>
      <c r="DC68" s="8"/>
      <c r="DD68" s="8"/>
      <c r="DE68" s="8"/>
      <c r="DF68" s="8"/>
      <c r="DG68" s="8"/>
      <c r="DH68" s="8"/>
      <c r="DI68" s="8"/>
      <c r="DJ68" s="8"/>
      <c r="DK68" s="8"/>
      <c r="DL68" s="8"/>
      <c r="DM68" s="8"/>
      <c r="DN68" s="8"/>
      <c r="DO68" s="8"/>
      <c r="DP68" s="8"/>
      <c r="DQ68" s="8"/>
      <c r="DR68" s="8"/>
      <c r="DS68" s="8"/>
      <c r="DT68" s="8"/>
      <c r="DU68" s="8"/>
    </row>
    <row r="69" spans="1:125" s="1" customFormat="1" ht="20.100000000000001" customHeight="1" x14ac:dyDescent="0.25">
      <c r="A69" s="59" t="s">
        <v>299</v>
      </c>
      <c r="B69" s="84">
        <v>67</v>
      </c>
      <c r="C69" s="85" t="s">
        <v>72</v>
      </c>
      <c r="D69" s="60">
        <v>0</v>
      </c>
      <c r="E69" s="61">
        <f t="shared" si="12"/>
        <v>0</v>
      </c>
      <c r="F69" s="60">
        <v>0</v>
      </c>
      <c r="G69" s="61">
        <f t="shared" si="13"/>
        <v>0</v>
      </c>
      <c r="H69" s="60">
        <v>0</v>
      </c>
      <c r="I69" s="61">
        <f t="shared" si="14"/>
        <v>0</v>
      </c>
      <c r="J69" s="60">
        <v>0</v>
      </c>
      <c r="K69" s="61">
        <f t="shared" si="15"/>
        <v>0</v>
      </c>
      <c r="L69" s="62"/>
      <c r="M69" s="61">
        <f t="shared" si="16"/>
        <v>0</v>
      </c>
      <c r="N69" s="63">
        <v>0</v>
      </c>
      <c r="O69" s="61">
        <f t="shared" si="17"/>
        <v>0</v>
      </c>
      <c r="P69" s="60">
        <v>0</v>
      </c>
      <c r="Q69" s="61">
        <f t="shared" si="18"/>
        <v>0</v>
      </c>
      <c r="R69" s="60">
        <v>0</v>
      </c>
      <c r="S69" s="61">
        <f t="shared" si="19"/>
        <v>0</v>
      </c>
      <c r="T69" s="60">
        <v>0</v>
      </c>
      <c r="U69" s="64">
        <f t="shared" si="20"/>
        <v>0</v>
      </c>
      <c r="V69" s="65">
        <v>0</v>
      </c>
      <c r="W69" s="66">
        <f t="shared" si="21"/>
        <v>0</v>
      </c>
      <c r="X69" s="67">
        <f t="shared" si="22"/>
        <v>0</v>
      </c>
      <c r="Y69" s="57" t="str">
        <f t="shared" si="23"/>
        <v>NIL PLEASE PURCHASE</v>
      </c>
      <c r="Z69" s="68" t="s">
        <v>1539</v>
      </c>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c r="CR69" s="8"/>
      <c r="CS69" s="8"/>
      <c r="CT69" s="8"/>
      <c r="CU69" s="8"/>
      <c r="CV69" s="8"/>
      <c r="CW69" s="8"/>
      <c r="CX69" s="8"/>
      <c r="CY69" s="8"/>
      <c r="CZ69" s="8"/>
      <c r="DA69" s="8"/>
      <c r="DB69" s="8"/>
      <c r="DC69" s="8"/>
      <c r="DD69" s="8"/>
      <c r="DE69" s="8"/>
      <c r="DF69" s="8"/>
      <c r="DG69" s="8"/>
      <c r="DH69" s="8"/>
      <c r="DI69" s="8"/>
      <c r="DJ69" s="8"/>
      <c r="DK69" s="8"/>
      <c r="DL69" s="8"/>
      <c r="DM69" s="8"/>
      <c r="DN69" s="8"/>
      <c r="DO69" s="8"/>
      <c r="DP69" s="8"/>
      <c r="DQ69" s="8"/>
      <c r="DR69" s="8"/>
      <c r="DS69" s="8"/>
      <c r="DT69" s="8"/>
      <c r="DU69" s="8"/>
    </row>
    <row r="70" spans="1:125" s="1" customFormat="1" ht="22.5" customHeight="1" x14ac:dyDescent="0.25">
      <c r="A70" s="59" t="s">
        <v>300</v>
      </c>
      <c r="B70" s="84">
        <v>68</v>
      </c>
      <c r="C70" s="85" t="s">
        <v>73</v>
      </c>
      <c r="D70" s="60">
        <v>0</v>
      </c>
      <c r="E70" s="61">
        <f t="shared" si="12"/>
        <v>0</v>
      </c>
      <c r="F70" s="60">
        <v>0</v>
      </c>
      <c r="G70" s="61">
        <f t="shared" si="13"/>
        <v>0</v>
      </c>
      <c r="H70" s="60">
        <v>0</v>
      </c>
      <c r="I70" s="61">
        <f t="shared" si="14"/>
        <v>0</v>
      </c>
      <c r="J70" s="60">
        <v>0</v>
      </c>
      <c r="K70" s="61">
        <f t="shared" si="15"/>
        <v>0</v>
      </c>
      <c r="L70" s="62"/>
      <c r="M70" s="61">
        <f t="shared" si="16"/>
        <v>0</v>
      </c>
      <c r="N70" s="63">
        <v>0</v>
      </c>
      <c r="O70" s="61">
        <f t="shared" si="17"/>
        <v>0</v>
      </c>
      <c r="P70" s="60">
        <v>0</v>
      </c>
      <c r="Q70" s="61">
        <f t="shared" si="18"/>
        <v>0</v>
      </c>
      <c r="R70" s="60">
        <v>0</v>
      </c>
      <c r="S70" s="61">
        <f t="shared" si="19"/>
        <v>0</v>
      </c>
      <c r="T70" s="60">
        <v>0</v>
      </c>
      <c r="U70" s="64">
        <f t="shared" si="20"/>
        <v>0</v>
      </c>
      <c r="V70" s="65">
        <v>0</v>
      </c>
      <c r="W70" s="66">
        <f t="shared" si="21"/>
        <v>0</v>
      </c>
      <c r="X70" s="67">
        <f t="shared" si="22"/>
        <v>0</v>
      </c>
      <c r="Y70" s="57" t="str">
        <f t="shared" si="23"/>
        <v>NIL PLEASE PURCHASE</v>
      </c>
      <c r="Z70" s="68" t="s">
        <v>1538</v>
      </c>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c r="CQ70" s="8"/>
      <c r="CR70" s="8"/>
      <c r="CS70" s="8"/>
      <c r="CT70" s="8"/>
      <c r="CU70" s="8"/>
      <c r="CV70" s="8"/>
      <c r="CW70" s="8"/>
      <c r="CX70" s="8"/>
      <c r="CY70" s="8"/>
      <c r="CZ70" s="8"/>
      <c r="DA70" s="8"/>
      <c r="DB70" s="8"/>
      <c r="DC70" s="8"/>
      <c r="DD70" s="8"/>
      <c r="DE70" s="8"/>
      <c r="DF70" s="8"/>
      <c r="DG70" s="8"/>
      <c r="DH70" s="8"/>
      <c r="DI70" s="8"/>
      <c r="DJ70" s="8"/>
      <c r="DK70" s="8"/>
      <c r="DL70" s="8"/>
      <c r="DM70" s="8"/>
      <c r="DN70" s="8"/>
      <c r="DO70" s="8"/>
      <c r="DP70" s="8"/>
      <c r="DQ70" s="8"/>
      <c r="DR70" s="8"/>
      <c r="DS70" s="8"/>
      <c r="DT70" s="8"/>
      <c r="DU70" s="8"/>
    </row>
    <row r="71" spans="1:125" s="1" customFormat="1" ht="20.100000000000001" customHeight="1" x14ac:dyDescent="0.25">
      <c r="A71" s="59" t="s">
        <v>301</v>
      </c>
      <c r="B71" s="84">
        <v>69</v>
      </c>
      <c r="C71" s="85" t="s">
        <v>74</v>
      </c>
      <c r="D71" s="60">
        <v>0</v>
      </c>
      <c r="E71" s="61">
        <f t="shared" si="12"/>
        <v>0</v>
      </c>
      <c r="F71" s="60">
        <v>0</v>
      </c>
      <c r="G71" s="61">
        <f t="shared" si="13"/>
        <v>0</v>
      </c>
      <c r="H71" s="60">
        <v>0</v>
      </c>
      <c r="I71" s="61">
        <f t="shared" si="14"/>
        <v>0</v>
      </c>
      <c r="J71" s="60">
        <v>0</v>
      </c>
      <c r="K71" s="61">
        <f t="shared" si="15"/>
        <v>0</v>
      </c>
      <c r="L71" s="62"/>
      <c r="M71" s="61">
        <f t="shared" si="16"/>
        <v>0</v>
      </c>
      <c r="N71" s="63">
        <v>0</v>
      </c>
      <c r="O71" s="61">
        <f t="shared" si="17"/>
        <v>0</v>
      </c>
      <c r="P71" s="60">
        <v>0</v>
      </c>
      <c r="Q71" s="61">
        <f t="shared" si="18"/>
        <v>0</v>
      </c>
      <c r="R71" s="60">
        <v>0</v>
      </c>
      <c r="S71" s="61">
        <f t="shared" si="19"/>
        <v>0</v>
      </c>
      <c r="T71" s="60">
        <v>0</v>
      </c>
      <c r="U71" s="64">
        <f t="shared" si="20"/>
        <v>0</v>
      </c>
      <c r="V71" s="65">
        <v>0</v>
      </c>
      <c r="W71" s="66">
        <f t="shared" si="21"/>
        <v>0</v>
      </c>
      <c r="X71" s="67">
        <f t="shared" si="22"/>
        <v>0</v>
      </c>
      <c r="Y71" s="57" t="str">
        <f t="shared" si="23"/>
        <v>NIL PLEASE PURCHASE</v>
      </c>
      <c r="Z71" s="68" t="s">
        <v>1539</v>
      </c>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c r="CQ71" s="8"/>
      <c r="CR71" s="8"/>
      <c r="CS71" s="8"/>
      <c r="CT71" s="8"/>
      <c r="CU71" s="8"/>
      <c r="CV71" s="8"/>
      <c r="CW71" s="8"/>
      <c r="CX71" s="8"/>
      <c r="CY71" s="8"/>
      <c r="CZ71" s="8"/>
      <c r="DA71" s="8"/>
      <c r="DB71" s="8"/>
      <c r="DC71" s="8"/>
      <c r="DD71" s="8"/>
      <c r="DE71" s="8"/>
      <c r="DF71" s="8"/>
      <c r="DG71" s="8"/>
      <c r="DH71" s="8"/>
      <c r="DI71" s="8"/>
      <c r="DJ71" s="8"/>
      <c r="DK71" s="8"/>
      <c r="DL71" s="8"/>
      <c r="DM71" s="8"/>
      <c r="DN71" s="8"/>
      <c r="DO71" s="8"/>
      <c r="DP71" s="8"/>
      <c r="DQ71" s="8"/>
      <c r="DR71" s="8"/>
      <c r="DS71" s="8"/>
      <c r="DT71" s="8"/>
      <c r="DU71" s="8"/>
    </row>
    <row r="72" spans="1:125" s="1" customFormat="1" ht="20.100000000000001" customHeight="1" x14ac:dyDescent="0.25">
      <c r="A72" s="59" t="s">
        <v>302</v>
      </c>
      <c r="B72" s="84">
        <v>70</v>
      </c>
      <c r="C72" s="85" t="s">
        <v>75</v>
      </c>
      <c r="D72" s="60">
        <v>0</v>
      </c>
      <c r="E72" s="61">
        <f t="shared" si="12"/>
        <v>0</v>
      </c>
      <c r="F72" s="60">
        <v>0</v>
      </c>
      <c r="G72" s="61">
        <f t="shared" si="13"/>
        <v>0</v>
      </c>
      <c r="H72" s="60">
        <v>0</v>
      </c>
      <c r="I72" s="61">
        <f t="shared" si="14"/>
        <v>0</v>
      </c>
      <c r="J72" s="60">
        <v>0</v>
      </c>
      <c r="K72" s="61">
        <f t="shared" si="15"/>
        <v>0</v>
      </c>
      <c r="L72" s="62"/>
      <c r="M72" s="61">
        <f t="shared" si="16"/>
        <v>0</v>
      </c>
      <c r="N72" s="63">
        <v>0</v>
      </c>
      <c r="O72" s="61">
        <f t="shared" si="17"/>
        <v>0</v>
      </c>
      <c r="P72" s="60">
        <v>0</v>
      </c>
      <c r="Q72" s="61">
        <f t="shared" si="18"/>
        <v>0</v>
      </c>
      <c r="R72" s="60">
        <v>0</v>
      </c>
      <c r="S72" s="61">
        <f t="shared" si="19"/>
        <v>0</v>
      </c>
      <c r="T72" s="60">
        <v>0</v>
      </c>
      <c r="U72" s="64">
        <f t="shared" si="20"/>
        <v>0</v>
      </c>
      <c r="V72" s="65">
        <v>0</v>
      </c>
      <c r="W72" s="66">
        <f t="shared" si="21"/>
        <v>0</v>
      </c>
      <c r="X72" s="67">
        <f t="shared" si="22"/>
        <v>0</v>
      </c>
      <c r="Y72" s="57" t="str">
        <f t="shared" si="23"/>
        <v>NIL PLEASE PURCHASE</v>
      </c>
      <c r="Z72" s="68" t="s">
        <v>1539</v>
      </c>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c r="CQ72" s="8"/>
      <c r="CR72" s="8"/>
      <c r="CS72" s="8"/>
      <c r="CT72" s="8"/>
      <c r="CU72" s="8"/>
      <c r="CV72" s="8"/>
      <c r="CW72" s="8"/>
      <c r="CX72" s="8"/>
      <c r="CY72" s="8"/>
      <c r="CZ72" s="8"/>
      <c r="DA72" s="8"/>
      <c r="DB72" s="8"/>
      <c r="DC72" s="8"/>
      <c r="DD72" s="8"/>
      <c r="DE72" s="8"/>
      <c r="DF72" s="8"/>
      <c r="DG72" s="8"/>
      <c r="DH72" s="8"/>
      <c r="DI72" s="8"/>
      <c r="DJ72" s="8"/>
      <c r="DK72" s="8"/>
      <c r="DL72" s="8"/>
      <c r="DM72" s="8"/>
      <c r="DN72" s="8"/>
      <c r="DO72" s="8"/>
      <c r="DP72" s="8"/>
      <c r="DQ72" s="8"/>
      <c r="DR72" s="8"/>
      <c r="DS72" s="8"/>
      <c r="DT72" s="8"/>
      <c r="DU72" s="8"/>
    </row>
    <row r="73" spans="1:125" s="1" customFormat="1" ht="20.100000000000001" customHeight="1" x14ac:dyDescent="0.25">
      <c r="A73" s="59" t="s">
        <v>303</v>
      </c>
      <c r="B73" s="84">
        <v>71</v>
      </c>
      <c r="C73" s="85" t="s">
        <v>76</v>
      </c>
      <c r="D73" s="60">
        <v>0</v>
      </c>
      <c r="E73" s="61">
        <f t="shared" si="12"/>
        <v>0</v>
      </c>
      <c r="F73" s="60">
        <v>0</v>
      </c>
      <c r="G73" s="61">
        <f t="shared" si="13"/>
        <v>0</v>
      </c>
      <c r="H73" s="60">
        <v>0</v>
      </c>
      <c r="I73" s="61">
        <f t="shared" si="14"/>
        <v>0</v>
      </c>
      <c r="J73" s="60">
        <v>0</v>
      </c>
      <c r="K73" s="61">
        <f t="shared" si="15"/>
        <v>0</v>
      </c>
      <c r="L73" s="62"/>
      <c r="M73" s="61">
        <f t="shared" si="16"/>
        <v>0</v>
      </c>
      <c r="N73" s="63">
        <v>0</v>
      </c>
      <c r="O73" s="61">
        <f t="shared" si="17"/>
        <v>0</v>
      </c>
      <c r="P73" s="60">
        <v>0</v>
      </c>
      <c r="Q73" s="61">
        <f t="shared" si="18"/>
        <v>0</v>
      </c>
      <c r="R73" s="60">
        <v>0</v>
      </c>
      <c r="S73" s="61">
        <f t="shared" si="19"/>
        <v>0</v>
      </c>
      <c r="T73" s="60">
        <v>0</v>
      </c>
      <c r="U73" s="64">
        <f t="shared" si="20"/>
        <v>0</v>
      </c>
      <c r="V73" s="65">
        <v>0</v>
      </c>
      <c r="W73" s="66">
        <f t="shared" si="21"/>
        <v>0</v>
      </c>
      <c r="X73" s="67">
        <f t="shared" si="22"/>
        <v>0</v>
      </c>
      <c r="Y73" s="57" t="str">
        <f t="shared" si="23"/>
        <v>NIL PLEASE PURCHASE</v>
      </c>
      <c r="Z73" s="68" t="s">
        <v>1539</v>
      </c>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c r="CQ73" s="8"/>
      <c r="CR73" s="8"/>
      <c r="CS73" s="8"/>
      <c r="CT73" s="8"/>
      <c r="CU73" s="8"/>
      <c r="CV73" s="8"/>
      <c r="CW73" s="8"/>
      <c r="CX73" s="8"/>
      <c r="CY73" s="8"/>
      <c r="CZ73" s="8"/>
      <c r="DA73" s="8"/>
      <c r="DB73" s="8"/>
      <c r="DC73" s="8"/>
      <c r="DD73" s="8"/>
      <c r="DE73" s="8"/>
      <c r="DF73" s="8"/>
      <c r="DG73" s="8"/>
      <c r="DH73" s="8"/>
      <c r="DI73" s="8"/>
      <c r="DJ73" s="8"/>
      <c r="DK73" s="8"/>
      <c r="DL73" s="8"/>
      <c r="DM73" s="8"/>
      <c r="DN73" s="8"/>
      <c r="DO73" s="8"/>
      <c r="DP73" s="8"/>
      <c r="DQ73" s="8"/>
      <c r="DR73" s="8"/>
      <c r="DS73" s="8"/>
      <c r="DT73" s="8"/>
      <c r="DU73" s="8"/>
    </row>
    <row r="74" spans="1:125" s="1" customFormat="1" ht="20.100000000000001" customHeight="1" x14ac:dyDescent="0.25">
      <c r="A74" s="59" t="s">
        <v>304</v>
      </c>
      <c r="B74" s="84">
        <v>72</v>
      </c>
      <c r="C74" s="85" t="s">
        <v>77</v>
      </c>
      <c r="D74" s="60">
        <v>0</v>
      </c>
      <c r="E74" s="61">
        <f t="shared" si="12"/>
        <v>0</v>
      </c>
      <c r="F74" s="60">
        <v>0</v>
      </c>
      <c r="G74" s="61">
        <f t="shared" si="13"/>
        <v>0</v>
      </c>
      <c r="H74" s="60">
        <v>0</v>
      </c>
      <c r="I74" s="61">
        <f t="shared" si="14"/>
        <v>0</v>
      </c>
      <c r="J74" s="60">
        <v>0</v>
      </c>
      <c r="K74" s="61">
        <f t="shared" si="15"/>
        <v>0</v>
      </c>
      <c r="L74" s="62"/>
      <c r="M74" s="61">
        <f t="shared" si="16"/>
        <v>0</v>
      </c>
      <c r="N74" s="63">
        <v>0</v>
      </c>
      <c r="O74" s="61">
        <f t="shared" si="17"/>
        <v>0</v>
      </c>
      <c r="P74" s="60">
        <v>0</v>
      </c>
      <c r="Q74" s="61">
        <f t="shared" si="18"/>
        <v>0</v>
      </c>
      <c r="R74" s="60">
        <v>0</v>
      </c>
      <c r="S74" s="61">
        <f t="shared" si="19"/>
        <v>0</v>
      </c>
      <c r="T74" s="60">
        <v>0</v>
      </c>
      <c r="U74" s="64">
        <f t="shared" si="20"/>
        <v>0</v>
      </c>
      <c r="V74" s="65">
        <v>0</v>
      </c>
      <c r="W74" s="66">
        <f t="shared" si="21"/>
        <v>0</v>
      </c>
      <c r="X74" s="67">
        <f t="shared" si="22"/>
        <v>0</v>
      </c>
      <c r="Y74" s="57" t="str">
        <f t="shared" si="23"/>
        <v>NIL PLEASE PURCHASE</v>
      </c>
      <c r="Z74" s="68" t="s">
        <v>1539</v>
      </c>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c r="CO74" s="8"/>
      <c r="CP74" s="8"/>
      <c r="CQ74" s="8"/>
      <c r="CR74" s="8"/>
      <c r="CS74" s="8"/>
      <c r="CT74" s="8"/>
      <c r="CU74" s="8"/>
      <c r="CV74" s="8"/>
      <c r="CW74" s="8"/>
      <c r="CX74" s="8"/>
      <c r="CY74" s="8"/>
      <c r="CZ74" s="8"/>
      <c r="DA74" s="8"/>
      <c r="DB74" s="8"/>
      <c r="DC74" s="8"/>
      <c r="DD74" s="8"/>
      <c r="DE74" s="8"/>
      <c r="DF74" s="8"/>
      <c r="DG74" s="8"/>
      <c r="DH74" s="8"/>
      <c r="DI74" s="8"/>
      <c r="DJ74" s="8"/>
      <c r="DK74" s="8"/>
      <c r="DL74" s="8"/>
      <c r="DM74" s="8"/>
      <c r="DN74" s="8"/>
      <c r="DO74" s="8"/>
      <c r="DP74" s="8"/>
      <c r="DQ74" s="8"/>
      <c r="DR74" s="8"/>
      <c r="DS74" s="8"/>
      <c r="DT74" s="8"/>
      <c r="DU74" s="8"/>
    </row>
    <row r="75" spans="1:125" s="1" customFormat="1" ht="20.100000000000001" customHeight="1" x14ac:dyDescent="0.25">
      <c r="A75" s="59" t="s">
        <v>305</v>
      </c>
      <c r="B75" s="84">
        <v>73</v>
      </c>
      <c r="C75" s="85" t="s">
        <v>78</v>
      </c>
      <c r="D75" s="60">
        <v>0</v>
      </c>
      <c r="E75" s="61">
        <f t="shared" si="12"/>
        <v>0</v>
      </c>
      <c r="F75" s="60">
        <v>0</v>
      </c>
      <c r="G75" s="61">
        <f t="shared" si="13"/>
        <v>0</v>
      </c>
      <c r="H75" s="60">
        <v>0</v>
      </c>
      <c r="I75" s="61">
        <f t="shared" si="14"/>
        <v>0</v>
      </c>
      <c r="J75" s="60">
        <v>0</v>
      </c>
      <c r="K75" s="61">
        <f t="shared" si="15"/>
        <v>0</v>
      </c>
      <c r="L75" s="62"/>
      <c r="M75" s="61">
        <f t="shared" si="16"/>
        <v>0</v>
      </c>
      <c r="N75" s="63">
        <v>0</v>
      </c>
      <c r="O75" s="61">
        <f t="shared" si="17"/>
        <v>0</v>
      </c>
      <c r="P75" s="60">
        <v>0</v>
      </c>
      <c r="Q75" s="61">
        <f t="shared" si="18"/>
        <v>0</v>
      </c>
      <c r="R75" s="60">
        <v>0</v>
      </c>
      <c r="S75" s="61">
        <f t="shared" si="19"/>
        <v>0</v>
      </c>
      <c r="T75" s="60">
        <v>0</v>
      </c>
      <c r="U75" s="64">
        <f t="shared" si="20"/>
        <v>0</v>
      </c>
      <c r="V75" s="65">
        <v>0</v>
      </c>
      <c r="W75" s="66">
        <f t="shared" si="21"/>
        <v>0</v>
      </c>
      <c r="X75" s="67">
        <f t="shared" si="22"/>
        <v>0</v>
      </c>
      <c r="Y75" s="57" t="str">
        <f t="shared" si="23"/>
        <v>NIL PLEASE PURCHASE</v>
      </c>
      <c r="Z75" s="68" t="s">
        <v>1539</v>
      </c>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8"/>
      <c r="CM75" s="8"/>
      <c r="CN75" s="8"/>
      <c r="CO75" s="8"/>
      <c r="CP75" s="8"/>
      <c r="CQ75" s="8"/>
      <c r="CR75" s="8"/>
      <c r="CS75" s="8"/>
      <c r="CT75" s="8"/>
      <c r="CU75" s="8"/>
      <c r="CV75" s="8"/>
      <c r="CW75" s="8"/>
      <c r="CX75" s="8"/>
      <c r="CY75" s="8"/>
      <c r="CZ75" s="8"/>
      <c r="DA75" s="8"/>
      <c r="DB75" s="8"/>
      <c r="DC75" s="8"/>
      <c r="DD75" s="8"/>
      <c r="DE75" s="8"/>
      <c r="DF75" s="8"/>
      <c r="DG75" s="8"/>
      <c r="DH75" s="8"/>
      <c r="DI75" s="8"/>
      <c r="DJ75" s="8"/>
      <c r="DK75" s="8"/>
      <c r="DL75" s="8"/>
      <c r="DM75" s="8"/>
      <c r="DN75" s="8"/>
      <c r="DO75" s="8"/>
      <c r="DP75" s="8"/>
      <c r="DQ75" s="8"/>
      <c r="DR75" s="8"/>
      <c r="DS75" s="8"/>
      <c r="DT75" s="8"/>
      <c r="DU75" s="8"/>
    </row>
    <row r="76" spans="1:125" s="1" customFormat="1" ht="22.5" customHeight="1" x14ac:dyDescent="0.25">
      <c r="A76" s="59" t="s">
        <v>306</v>
      </c>
      <c r="B76" s="84">
        <v>74</v>
      </c>
      <c r="C76" s="85" t="s">
        <v>79</v>
      </c>
      <c r="D76" s="60">
        <v>0</v>
      </c>
      <c r="E76" s="61">
        <f t="shared" si="12"/>
        <v>0</v>
      </c>
      <c r="F76" s="60">
        <v>0</v>
      </c>
      <c r="G76" s="61">
        <f t="shared" si="13"/>
        <v>0</v>
      </c>
      <c r="H76" s="60">
        <v>0</v>
      </c>
      <c r="I76" s="61">
        <f t="shared" si="14"/>
        <v>0</v>
      </c>
      <c r="J76" s="60">
        <v>0</v>
      </c>
      <c r="K76" s="61">
        <f t="shared" si="15"/>
        <v>0</v>
      </c>
      <c r="L76" s="62"/>
      <c r="M76" s="61">
        <f t="shared" si="16"/>
        <v>0</v>
      </c>
      <c r="N76" s="63">
        <v>4</v>
      </c>
      <c r="O76" s="61">
        <f t="shared" si="17"/>
        <v>2000</v>
      </c>
      <c r="P76" s="60">
        <v>0</v>
      </c>
      <c r="Q76" s="61">
        <f t="shared" si="18"/>
        <v>0</v>
      </c>
      <c r="R76" s="60">
        <v>0</v>
      </c>
      <c r="S76" s="61">
        <f t="shared" si="19"/>
        <v>0</v>
      </c>
      <c r="T76" s="60">
        <v>0</v>
      </c>
      <c r="U76" s="64">
        <f t="shared" si="20"/>
        <v>0</v>
      </c>
      <c r="V76" s="65">
        <v>0</v>
      </c>
      <c r="W76" s="66">
        <f t="shared" si="21"/>
        <v>2000</v>
      </c>
      <c r="X76" s="67">
        <f t="shared" si="22"/>
        <v>2</v>
      </c>
      <c r="Y76" s="57" t="str">
        <f t="shared" si="23"/>
        <v>STOCK</v>
      </c>
      <c r="Z76" s="68" t="s">
        <v>1538</v>
      </c>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c r="CL76" s="8"/>
      <c r="CM76" s="8"/>
      <c r="CN76" s="8"/>
      <c r="CO76" s="8"/>
      <c r="CP76" s="8"/>
      <c r="CQ76" s="8"/>
      <c r="CR76" s="8"/>
      <c r="CS76" s="8"/>
      <c r="CT76" s="8"/>
      <c r="CU76" s="8"/>
      <c r="CV76" s="8"/>
      <c r="CW76" s="8"/>
      <c r="CX76" s="8"/>
      <c r="CY76" s="8"/>
      <c r="CZ76" s="8"/>
      <c r="DA76" s="8"/>
      <c r="DB76" s="8"/>
      <c r="DC76" s="8"/>
      <c r="DD76" s="8"/>
      <c r="DE76" s="8"/>
      <c r="DF76" s="8"/>
      <c r="DG76" s="8"/>
      <c r="DH76" s="8"/>
      <c r="DI76" s="8"/>
      <c r="DJ76" s="8"/>
      <c r="DK76" s="8"/>
      <c r="DL76" s="8"/>
      <c r="DM76" s="8"/>
      <c r="DN76" s="8"/>
      <c r="DO76" s="8"/>
      <c r="DP76" s="8"/>
      <c r="DQ76" s="8"/>
      <c r="DR76" s="8"/>
      <c r="DS76" s="8"/>
      <c r="DT76" s="8"/>
      <c r="DU76" s="8"/>
    </row>
    <row r="77" spans="1:125" s="1" customFormat="1" ht="22.5" customHeight="1" x14ac:dyDescent="0.25">
      <c r="A77" s="59" t="s">
        <v>307</v>
      </c>
      <c r="B77" s="84">
        <v>75</v>
      </c>
      <c r="C77" s="85" t="s">
        <v>80</v>
      </c>
      <c r="D77" s="60">
        <v>0</v>
      </c>
      <c r="E77" s="61">
        <f t="shared" si="12"/>
        <v>0</v>
      </c>
      <c r="F77" s="60">
        <v>0</v>
      </c>
      <c r="G77" s="61">
        <f t="shared" si="13"/>
        <v>0</v>
      </c>
      <c r="H77" s="60">
        <v>0</v>
      </c>
      <c r="I77" s="61">
        <f t="shared" si="14"/>
        <v>0</v>
      </c>
      <c r="J77" s="60">
        <v>0</v>
      </c>
      <c r="K77" s="61">
        <f t="shared" si="15"/>
        <v>0</v>
      </c>
      <c r="L77" s="62">
        <v>4</v>
      </c>
      <c r="M77" s="61">
        <f t="shared" si="16"/>
        <v>1000</v>
      </c>
      <c r="N77" s="63">
        <v>0</v>
      </c>
      <c r="O77" s="61">
        <f t="shared" si="17"/>
        <v>0</v>
      </c>
      <c r="P77" s="60">
        <v>0</v>
      </c>
      <c r="Q77" s="61">
        <f t="shared" si="18"/>
        <v>0</v>
      </c>
      <c r="R77" s="60">
        <v>0</v>
      </c>
      <c r="S77" s="61">
        <f t="shared" si="19"/>
        <v>0</v>
      </c>
      <c r="T77" s="60">
        <v>0</v>
      </c>
      <c r="U77" s="64">
        <f t="shared" si="20"/>
        <v>0</v>
      </c>
      <c r="V77" s="65">
        <v>0</v>
      </c>
      <c r="W77" s="66">
        <f t="shared" si="21"/>
        <v>1000</v>
      </c>
      <c r="X77" s="67">
        <f t="shared" si="22"/>
        <v>1</v>
      </c>
      <c r="Y77" s="57" t="str">
        <f t="shared" si="23"/>
        <v>STOCK</v>
      </c>
      <c r="Z77" s="68" t="s">
        <v>1538</v>
      </c>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c r="CL77" s="8"/>
      <c r="CM77" s="8"/>
      <c r="CN77" s="8"/>
      <c r="CO77" s="8"/>
      <c r="CP77" s="8"/>
      <c r="CQ77" s="8"/>
      <c r="CR77" s="8"/>
      <c r="CS77" s="8"/>
      <c r="CT77" s="8"/>
      <c r="CU77" s="8"/>
      <c r="CV77" s="8"/>
      <c r="CW77" s="8"/>
      <c r="CX77" s="8"/>
      <c r="CY77" s="8"/>
      <c r="CZ77" s="8"/>
      <c r="DA77" s="8"/>
      <c r="DB77" s="8"/>
      <c r="DC77" s="8"/>
      <c r="DD77" s="8"/>
      <c r="DE77" s="8"/>
      <c r="DF77" s="8"/>
      <c r="DG77" s="8"/>
      <c r="DH77" s="8"/>
      <c r="DI77" s="8"/>
      <c r="DJ77" s="8"/>
      <c r="DK77" s="8"/>
      <c r="DL77" s="8"/>
      <c r="DM77" s="8"/>
      <c r="DN77" s="8"/>
      <c r="DO77" s="8"/>
      <c r="DP77" s="8"/>
      <c r="DQ77" s="8"/>
      <c r="DR77" s="8"/>
      <c r="DS77" s="8"/>
      <c r="DT77" s="8"/>
      <c r="DU77" s="8"/>
    </row>
    <row r="78" spans="1:125" s="1" customFormat="1" ht="20.100000000000001" customHeight="1" x14ac:dyDescent="0.25">
      <c r="A78" s="59" t="s">
        <v>308</v>
      </c>
      <c r="B78" s="84">
        <v>76</v>
      </c>
      <c r="C78" s="85" t="s">
        <v>81</v>
      </c>
      <c r="D78" s="60">
        <v>0</v>
      </c>
      <c r="E78" s="61">
        <f t="shared" si="12"/>
        <v>0</v>
      </c>
      <c r="F78" s="60">
        <v>0</v>
      </c>
      <c r="G78" s="61">
        <f t="shared" si="13"/>
        <v>0</v>
      </c>
      <c r="H78" s="60">
        <v>0</v>
      </c>
      <c r="I78" s="61">
        <f t="shared" si="14"/>
        <v>0</v>
      </c>
      <c r="J78" s="60">
        <v>0</v>
      </c>
      <c r="K78" s="61">
        <f t="shared" si="15"/>
        <v>0</v>
      </c>
      <c r="L78" s="62"/>
      <c r="M78" s="61">
        <f t="shared" si="16"/>
        <v>0</v>
      </c>
      <c r="N78" s="63">
        <v>0</v>
      </c>
      <c r="O78" s="61">
        <f t="shared" si="17"/>
        <v>0</v>
      </c>
      <c r="P78" s="60">
        <v>0</v>
      </c>
      <c r="Q78" s="61">
        <f t="shared" si="18"/>
        <v>0</v>
      </c>
      <c r="R78" s="60">
        <v>0</v>
      </c>
      <c r="S78" s="61">
        <f t="shared" si="19"/>
        <v>0</v>
      </c>
      <c r="T78" s="60">
        <v>0</v>
      </c>
      <c r="U78" s="64">
        <f t="shared" si="20"/>
        <v>0</v>
      </c>
      <c r="V78" s="65">
        <v>0</v>
      </c>
      <c r="W78" s="66">
        <f t="shared" si="21"/>
        <v>0</v>
      </c>
      <c r="X78" s="67">
        <f t="shared" si="22"/>
        <v>0</v>
      </c>
      <c r="Y78" s="57" t="str">
        <f t="shared" si="23"/>
        <v>NIL PLEASE PURCHASE</v>
      </c>
      <c r="Z78" s="68" t="s">
        <v>1539</v>
      </c>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c r="CF78" s="8"/>
      <c r="CG78" s="8"/>
      <c r="CH78" s="8"/>
      <c r="CI78" s="8"/>
      <c r="CJ78" s="8"/>
      <c r="CK78" s="8"/>
      <c r="CL78" s="8"/>
      <c r="CM78" s="8"/>
      <c r="CN78" s="8"/>
      <c r="CO78" s="8"/>
      <c r="CP78" s="8"/>
      <c r="CQ78" s="8"/>
      <c r="CR78" s="8"/>
      <c r="CS78" s="8"/>
      <c r="CT78" s="8"/>
      <c r="CU78" s="8"/>
      <c r="CV78" s="8"/>
      <c r="CW78" s="8"/>
      <c r="CX78" s="8"/>
      <c r="CY78" s="8"/>
      <c r="CZ78" s="8"/>
      <c r="DA78" s="8"/>
      <c r="DB78" s="8"/>
      <c r="DC78" s="8"/>
      <c r="DD78" s="8"/>
      <c r="DE78" s="8"/>
      <c r="DF78" s="8"/>
      <c r="DG78" s="8"/>
      <c r="DH78" s="8"/>
      <c r="DI78" s="8"/>
      <c r="DJ78" s="8"/>
      <c r="DK78" s="8"/>
      <c r="DL78" s="8"/>
      <c r="DM78" s="8"/>
      <c r="DN78" s="8"/>
      <c r="DO78" s="8"/>
      <c r="DP78" s="8"/>
      <c r="DQ78" s="8"/>
      <c r="DR78" s="8"/>
      <c r="DS78" s="8"/>
      <c r="DT78" s="8"/>
      <c r="DU78" s="8"/>
    </row>
    <row r="79" spans="1:125" s="1" customFormat="1" ht="20.100000000000001" customHeight="1" x14ac:dyDescent="0.25">
      <c r="A79" s="59" t="s">
        <v>309</v>
      </c>
      <c r="B79" s="84">
        <v>77</v>
      </c>
      <c r="C79" s="85" t="s">
        <v>82</v>
      </c>
      <c r="D79" s="60">
        <v>0</v>
      </c>
      <c r="E79" s="61">
        <f t="shared" si="12"/>
        <v>0</v>
      </c>
      <c r="F79" s="60">
        <v>0</v>
      </c>
      <c r="G79" s="61">
        <f t="shared" si="13"/>
        <v>0</v>
      </c>
      <c r="H79" s="60">
        <v>0</v>
      </c>
      <c r="I79" s="61">
        <f t="shared" si="14"/>
        <v>0</v>
      </c>
      <c r="J79" s="60">
        <v>0</v>
      </c>
      <c r="K79" s="61">
        <f t="shared" si="15"/>
        <v>0</v>
      </c>
      <c r="L79" s="62"/>
      <c r="M79" s="61">
        <f t="shared" si="16"/>
        <v>0</v>
      </c>
      <c r="N79" s="63">
        <v>0</v>
      </c>
      <c r="O79" s="61">
        <f t="shared" si="17"/>
        <v>0</v>
      </c>
      <c r="P79" s="60">
        <v>0</v>
      </c>
      <c r="Q79" s="61">
        <f t="shared" si="18"/>
        <v>0</v>
      </c>
      <c r="R79" s="60">
        <v>0</v>
      </c>
      <c r="S79" s="61">
        <f t="shared" si="19"/>
        <v>0</v>
      </c>
      <c r="T79" s="60">
        <v>0</v>
      </c>
      <c r="U79" s="64">
        <f t="shared" si="20"/>
        <v>0</v>
      </c>
      <c r="V79" s="65">
        <v>0</v>
      </c>
      <c r="W79" s="66">
        <f t="shared" si="21"/>
        <v>0</v>
      </c>
      <c r="X79" s="67">
        <f t="shared" si="22"/>
        <v>0</v>
      </c>
      <c r="Y79" s="57" t="str">
        <f t="shared" si="23"/>
        <v>NIL PLEASE PURCHASE</v>
      </c>
      <c r="Z79" s="68" t="s">
        <v>1539</v>
      </c>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c r="CD79" s="8"/>
      <c r="CE79" s="8"/>
      <c r="CF79" s="8"/>
      <c r="CG79" s="8"/>
      <c r="CH79" s="8"/>
      <c r="CI79" s="8"/>
      <c r="CJ79" s="8"/>
      <c r="CK79" s="8"/>
      <c r="CL79" s="8"/>
      <c r="CM79" s="8"/>
      <c r="CN79" s="8"/>
      <c r="CO79" s="8"/>
      <c r="CP79" s="8"/>
      <c r="CQ79" s="8"/>
      <c r="CR79" s="8"/>
      <c r="CS79" s="8"/>
      <c r="CT79" s="8"/>
      <c r="CU79" s="8"/>
      <c r="CV79" s="8"/>
      <c r="CW79" s="8"/>
      <c r="CX79" s="8"/>
      <c r="CY79" s="8"/>
      <c r="CZ79" s="8"/>
      <c r="DA79" s="8"/>
      <c r="DB79" s="8"/>
      <c r="DC79" s="8"/>
      <c r="DD79" s="8"/>
      <c r="DE79" s="8"/>
      <c r="DF79" s="8"/>
      <c r="DG79" s="8"/>
      <c r="DH79" s="8"/>
      <c r="DI79" s="8"/>
      <c r="DJ79" s="8"/>
      <c r="DK79" s="8"/>
      <c r="DL79" s="8"/>
      <c r="DM79" s="8"/>
      <c r="DN79" s="8"/>
      <c r="DO79" s="8"/>
      <c r="DP79" s="8"/>
      <c r="DQ79" s="8"/>
      <c r="DR79" s="8"/>
      <c r="DS79" s="8"/>
      <c r="DT79" s="8"/>
      <c r="DU79" s="8"/>
    </row>
    <row r="80" spans="1:125" s="1" customFormat="1" ht="22.5" customHeight="1" x14ac:dyDescent="0.25">
      <c r="A80" s="59" t="s">
        <v>310</v>
      </c>
      <c r="B80" s="84">
        <v>78</v>
      </c>
      <c r="C80" s="85" t="s">
        <v>83</v>
      </c>
      <c r="D80" s="60">
        <v>0</v>
      </c>
      <c r="E80" s="61">
        <f t="shared" si="12"/>
        <v>0</v>
      </c>
      <c r="F80" s="60">
        <v>0</v>
      </c>
      <c r="G80" s="61">
        <f t="shared" si="13"/>
        <v>0</v>
      </c>
      <c r="H80" s="60">
        <v>0</v>
      </c>
      <c r="I80" s="61">
        <f t="shared" si="14"/>
        <v>0</v>
      </c>
      <c r="J80" s="60">
        <v>0</v>
      </c>
      <c r="K80" s="61">
        <f t="shared" si="15"/>
        <v>0</v>
      </c>
      <c r="L80" s="62">
        <v>2</v>
      </c>
      <c r="M80" s="61">
        <f t="shared" si="16"/>
        <v>500</v>
      </c>
      <c r="N80" s="63">
        <v>0</v>
      </c>
      <c r="O80" s="61">
        <f t="shared" si="17"/>
        <v>0</v>
      </c>
      <c r="P80" s="60">
        <v>0</v>
      </c>
      <c r="Q80" s="61">
        <f t="shared" si="18"/>
        <v>0</v>
      </c>
      <c r="R80" s="60">
        <v>0</v>
      </c>
      <c r="S80" s="61">
        <f t="shared" si="19"/>
        <v>0</v>
      </c>
      <c r="T80" s="60">
        <v>0</v>
      </c>
      <c r="U80" s="64">
        <f t="shared" si="20"/>
        <v>0</v>
      </c>
      <c r="V80" s="65">
        <v>0</v>
      </c>
      <c r="W80" s="66">
        <f t="shared" si="21"/>
        <v>500</v>
      </c>
      <c r="X80" s="67">
        <f t="shared" si="22"/>
        <v>0.5</v>
      </c>
      <c r="Y80" s="57" t="str">
        <f t="shared" si="23"/>
        <v>STOCK</v>
      </c>
      <c r="Z80" s="68" t="s">
        <v>1538</v>
      </c>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c r="CB80" s="8"/>
      <c r="CC80" s="8"/>
      <c r="CD80" s="8"/>
      <c r="CE80" s="8"/>
      <c r="CF80" s="8"/>
      <c r="CG80" s="8"/>
      <c r="CH80" s="8"/>
      <c r="CI80" s="8"/>
      <c r="CJ80" s="8"/>
      <c r="CK80" s="8"/>
      <c r="CL80" s="8"/>
      <c r="CM80" s="8"/>
      <c r="CN80" s="8"/>
      <c r="CO80" s="8"/>
      <c r="CP80" s="8"/>
      <c r="CQ80" s="8"/>
      <c r="CR80" s="8"/>
      <c r="CS80" s="8"/>
      <c r="CT80" s="8"/>
      <c r="CU80" s="8"/>
      <c r="CV80" s="8"/>
      <c r="CW80" s="8"/>
      <c r="CX80" s="8"/>
      <c r="CY80" s="8"/>
      <c r="CZ80" s="8"/>
      <c r="DA80" s="8"/>
      <c r="DB80" s="8"/>
      <c r="DC80" s="8"/>
      <c r="DD80" s="8"/>
      <c r="DE80" s="8"/>
      <c r="DF80" s="8"/>
      <c r="DG80" s="8"/>
      <c r="DH80" s="8"/>
      <c r="DI80" s="8"/>
      <c r="DJ80" s="8"/>
      <c r="DK80" s="8"/>
      <c r="DL80" s="8"/>
      <c r="DM80" s="8"/>
      <c r="DN80" s="8"/>
      <c r="DO80" s="8"/>
      <c r="DP80" s="8"/>
      <c r="DQ80" s="8"/>
      <c r="DR80" s="8"/>
      <c r="DS80" s="8"/>
      <c r="DT80" s="8"/>
      <c r="DU80" s="8"/>
    </row>
    <row r="81" spans="1:125" s="1" customFormat="1" ht="20.100000000000001" customHeight="1" x14ac:dyDescent="0.25">
      <c r="A81" s="59" t="s">
        <v>311</v>
      </c>
      <c r="B81" s="84">
        <v>79</v>
      </c>
      <c r="C81" s="85" t="s">
        <v>84</v>
      </c>
      <c r="D81" s="60">
        <v>0</v>
      </c>
      <c r="E81" s="61">
        <f t="shared" si="12"/>
        <v>0</v>
      </c>
      <c r="F81" s="60">
        <v>0</v>
      </c>
      <c r="G81" s="61">
        <f t="shared" si="13"/>
        <v>0</v>
      </c>
      <c r="H81" s="60">
        <v>0</v>
      </c>
      <c r="I81" s="61">
        <f t="shared" si="14"/>
        <v>0</v>
      </c>
      <c r="J81" s="60">
        <v>0</v>
      </c>
      <c r="K81" s="61">
        <f t="shared" si="15"/>
        <v>0</v>
      </c>
      <c r="L81" s="62"/>
      <c r="M81" s="61">
        <f t="shared" si="16"/>
        <v>0</v>
      </c>
      <c r="N81" s="63">
        <v>0</v>
      </c>
      <c r="O81" s="61">
        <f t="shared" si="17"/>
        <v>0</v>
      </c>
      <c r="P81" s="60">
        <v>0</v>
      </c>
      <c r="Q81" s="61">
        <f t="shared" si="18"/>
        <v>0</v>
      </c>
      <c r="R81" s="60">
        <v>0</v>
      </c>
      <c r="S81" s="61">
        <f t="shared" si="19"/>
        <v>0</v>
      </c>
      <c r="T81" s="60">
        <v>0</v>
      </c>
      <c r="U81" s="64">
        <f t="shared" si="20"/>
        <v>0</v>
      </c>
      <c r="V81" s="65">
        <v>0</v>
      </c>
      <c r="W81" s="66">
        <f t="shared" si="21"/>
        <v>0</v>
      </c>
      <c r="X81" s="67">
        <f t="shared" si="22"/>
        <v>0</v>
      </c>
      <c r="Y81" s="57" t="str">
        <f t="shared" si="23"/>
        <v>NIL PLEASE PURCHASE</v>
      </c>
      <c r="Z81" s="68" t="s">
        <v>1539</v>
      </c>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c r="BU81" s="8"/>
      <c r="BV81" s="8"/>
      <c r="BW81" s="8"/>
      <c r="BX81" s="8"/>
      <c r="BY81" s="8"/>
      <c r="BZ81" s="8"/>
      <c r="CA81" s="8"/>
      <c r="CB81" s="8"/>
      <c r="CC81" s="8"/>
      <c r="CD81" s="8"/>
      <c r="CE81" s="8"/>
      <c r="CF81" s="8"/>
      <c r="CG81" s="8"/>
      <c r="CH81" s="8"/>
      <c r="CI81" s="8"/>
      <c r="CJ81" s="8"/>
      <c r="CK81" s="8"/>
      <c r="CL81" s="8"/>
      <c r="CM81" s="8"/>
      <c r="CN81" s="8"/>
      <c r="CO81" s="8"/>
      <c r="CP81" s="8"/>
      <c r="CQ81" s="8"/>
      <c r="CR81" s="8"/>
      <c r="CS81" s="8"/>
      <c r="CT81" s="8"/>
      <c r="CU81" s="8"/>
      <c r="CV81" s="8"/>
      <c r="CW81" s="8"/>
      <c r="CX81" s="8"/>
      <c r="CY81" s="8"/>
      <c r="CZ81" s="8"/>
      <c r="DA81" s="8"/>
      <c r="DB81" s="8"/>
      <c r="DC81" s="8"/>
      <c r="DD81" s="8"/>
      <c r="DE81" s="8"/>
      <c r="DF81" s="8"/>
      <c r="DG81" s="8"/>
      <c r="DH81" s="8"/>
      <c r="DI81" s="8"/>
      <c r="DJ81" s="8"/>
      <c r="DK81" s="8"/>
      <c r="DL81" s="8"/>
      <c r="DM81" s="8"/>
      <c r="DN81" s="8"/>
      <c r="DO81" s="8"/>
      <c r="DP81" s="8"/>
      <c r="DQ81" s="8"/>
      <c r="DR81" s="8"/>
      <c r="DS81" s="8"/>
      <c r="DT81" s="8"/>
      <c r="DU81" s="8"/>
    </row>
    <row r="82" spans="1:125" s="1" customFormat="1" ht="20.100000000000001" customHeight="1" x14ac:dyDescent="0.25">
      <c r="A82" s="59" t="s">
        <v>312</v>
      </c>
      <c r="B82" s="84">
        <v>80</v>
      </c>
      <c r="C82" s="85" t="s">
        <v>85</v>
      </c>
      <c r="D82" s="60">
        <v>0</v>
      </c>
      <c r="E82" s="61">
        <f t="shared" si="12"/>
        <v>0</v>
      </c>
      <c r="F82" s="60">
        <v>0</v>
      </c>
      <c r="G82" s="61">
        <f t="shared" si="13"/>
        <v>0</v>
      </c>
      <c r="H82" s="60">
        <v>0</v>
      </c>
      <c r="I82" s="61">
        <f t="shared" si="14"/>
        <v>0</v>
      </c>
      <c r="J82" s="60">
        <v>0</v>
      </c>
      <c r="K82" s="61">
        <f t="shared" si="15"/>
        <v>0</v>
      </c>
      <c r="L82" s="62"/>
      <c r="M82" s="61">
        <f t="shared" si="16"/>
        <v>0</v>
      </c>
      <c r="N82" s="63">
        <v>0</v>
      </c>
      <c r="O82" s="61">
        <f t="shared" si="17"/>
        <v>0</v>
      </c>
      <c r="P82" s="60">
        <v>0</v>
      </c>
      <c r="Q82" s="61">
        <f t="shared" si="18"/>
        <v>0</v>
      </c>
      <c r="R82" s="60">
        <v>0</v>
      </c>
      <c r="S82" s="61">
        <f t="shared" si="19"/>
        <v>0</v>
      </c>
      <c r="T82" s="60">
        <v>0</v>
      </c>
      <c r="U82" s="64">
        <f t="shared" si="20"/>
        <v>0</v>
      </c>
      <c r="V82" s="65">
        <v>0</v>
      </c>
      <c r="W82" s="66">
        <f t="shared" si="21"/>
        <v>0</v>
      </c>
      <c r="X82" s="67">
        <f t="shared" si="22"/>
        <v>0</v>
      </c>
      <c r="Y82" s="57" t="str">
        <f t="shared" si="23"/>
        <v>NIL PLEASE PURCHASE</v>
      </c>
      <c r="Z82" s="68" t="s">
        <v>1539</v>
      </c>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c r="BU82" s="8"/>
      <c r="BV82" s="8"/>
      <c r="BW82" s="8"/>
      <c r="BX82" s="8"/>
      <c r="BY82" s="8"/>
      <c r="BZ82" s="8"/>
      <c r="CA82" s="8"/>
      <c r="CB82" s="8"/>
      <c r="CC82" s="8"/>
      <c r="CD82" s="8"/>
      <c r="CE82" s="8"/>
      <c r="CF82" s="8"/>
      <c r="CG82" s="8"/>
      <c r="CH82" s="8"/>
      <c r="CI82" s="8"/>
      <c r="CJ82" s="8"/>
      <c r="CK82" s="8"/>
      <c r="CL82" s="8"/>
      <c r="CM82" s="8"/>
      <c r="CN82" s="8"/>
      <c r="CO82" s="8"/>
      <c r="CP82" s="8"/>
      <c r="CQ82" s="8"/>
      <c r="CR82" s="8"/>
      <c r="CS82" s="8"/>
      <c r="CT82" s="8"/>
      <c r="CU82" s="8"/>
      <c r="CV82" s="8"/>
      <c r="CW82" s="8"/>
      <c r="CX82" s="8"/>
      <c r="CY82" s="8"/>
      <c r="CZ82" s="8"/>
      <c r="DA82" s="8"/>
      <c r="DB82" s="8"/>
      <c r="DC82" s="8"/>
      <c r="DD82" s="8"/>
      <c r="DE82" s="8"/>
      <c r="DF82" s="8"/>
      <c r="DG82" s="8"/>
      <c r="DH82" s="8"/>
      <c r="DI82" s="8"/>
      <c r="DJ82" s="8"/>
      <c r="DK82" s="8"/>
      <c r="DL82" s="8"/>
      <c r="DM82" s="8"/>
      <c r="DN82" s="8"/>
      <c r="DO82" s="8"/>
      <c r="DP82" s="8"/>
      <c r="DQ82" s="8"/>
      <c r="DR82" s="8"/>
      <c r="DS82" s="8"/>
      <c r="DT82" s="8"/>
      <c r="DU82" s="8"/>
    </row>
    <row r="83" spans="1:125" s="1" customFormat="1" ht="20.100000000000001" customHeight="1" x14ac:dyDescent="0.25">
      <c r="A83" s="59" t="s">
        <v>313</v>
      </c>
      <c r="B83" s="84">
        <v>81</v>
      </c>
      <c r="C83" s="85" t="s">
        <v>86</v>
      </c>
      <c r="D83" s="60">
        <v>0</v>
      </c>
      <c r="E83" s="61">
        <f t="shared" si="12"/>
        <v>0</v>
      </c>
      <c r="F83" s="60">
        <v>0</v>
      </c>
      <c r="G83" s="61">
        <f t="shared" si="13"/>
        <v>0</v>
      </c>
      <c r="H83" s="60">
        <v>0</v>
      </c>
      <c r="I83" s="61">
        <f t="shared" si="14"/>
        <v>0</v>
      </c>
      <c r="J83" s="60">
        <v>0</v>
      </c>
      <c r="K83" s="61">
        <f t="shared" si="15"/>
        <v>0</v>
      </c>
      <c r="L83" s="62"/>
      <c r="M83" s="61">
        <f t="shared" si="16"/>
        <v>0</v>
      </c>
      <c r="N83" s="63">
        <v>0</v>
      </c>
      <c r="O83" s="61">
        <f t="shared" si="17"/>
        <v>0</v>
      </c>
      <c r="P83" s="60">
        <v>0</v>
      </c>
      <c r="Q83" s="61">
        <f t="shared" si="18"/>
        <v>0</v>
      </c>
      <c r="R83" s="60">
        <v>0</v>
      </c>
      <c r="S83" s="61">
        <f t="shared" si="19"/>
        <v>0</v>
      </c>
      <c r="T83" s="60">
        <v>0</v>
      </c>
      <c r="U83" s="64">
        <f t="shared" si="20"/>
        <v>0</v>
      </c>
      <c r="V83" s="65">
        <v>0</v>
      </c>
      <c r="W83" s="66">
        <f t="shared" si="21"/>
        <v>0</v>
      </c>
      <c r="X83" s="67">
        <f t="shared" si="22"/>
        <v>0</v>
      </c>
      <c r="Y83" s="57" t="str">
        <f t="shared" si="23"/>
        <v>NIL PLEASE PURCHASE</v>
      </c>
      <c r="Z83" s="68" t="s">
        <v>1539</v>
      </c>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c r="BY83" s="8"/>
      <c r="BZ83" s="8"/>
      <c r="CA83" s="8"/>
      <c r="CB83" s="8"/>
      <c r="CC83" s="8"/>
      <c r="CD83" s="8"/>
      <c r="CE83" s="8"/>
      <c r="CF83" s="8"/>
      <c r="CG83" s="8"/>
      <c r="CH83" s="8"/>
      <c r="CI83" s="8"/>
      <c r="CJ83" s="8"/>
      <c r="CK83" s="8"/>
      <c r="CL83" s="8"/>
      <c r="CM83" s="8"/>
      <c r="CN83" s="8"/>
      <c r="CO83" s="8"/>
      <c r="CP83" s="8"/>
      <c r="CQ83" s="8"/>
      <c r="CR83" s="8"/>
      <c r="CS83" s="8"/>
      <c r="CT83" s="8"/>
      <c r="CU83" s="8"/>
      <c r="CV83" s="8"/>
      <c r="CW83" s="8"/>
      <c r="CX83" s="8"/>
      <c r="CY83" s="8"/>
      <c r="CZ83" s="8"/>
      <c r="DA83" s="8"/>
      <c r="DB83" s="8"/>
      <c r="DC83" s="8"/>
      <c r="DD83" s="8"/>
      <c r="DE83" s="8"/>
      <c r="DF83" s="8"/>
      <c r="DG83" s="8"/>
      <c r="DH83" s="8"/>
      <c r="DI83" s="8"/>
      <c r="DJ83" s="8"/>
      <c r="DK83" s="8"/>
      <c r="DL83" s="8"/>
      <c r="DM83" s="8"/>
      <c r="DN83" s="8"/>
      <c r="DO83" s="8"/>
      <c r="DP83" s="8"/>
      <c r="DQ83" s="8"/>
      <c r="DR83" s="8"/>
      <c r="DS83" s="8"/>
      <c r="DT83" s="8"/>
      <c r="DU83" s="8"/>
    </row>
    <row r="84" spans="1:125" s="1" customFormat="1" ht="20.100000000000001" customHeight="1" x14ac:dyDescent="0.25">
      <c r="A84" s="59" t="s">
        <v>314</v>
      </c>
      <c r="B84" s="84">
        <v>82</v>
      </c>
      <c r="C84" s="85" t="s">
        <v>87</v>
      </c>
      <c r="D84" s="60">
        <v>0</v>
      </c>
      <c r="E84" s="61">
        <f t="shared" si="12"/>
        <v>0</v>
      </c>
      <c r="F84" s="60">
        <v>0</v>
      </c>
      <c r="G84" s="61">
        <f t="shared" si="13"/>
        <v>0</v>
      </c>
      <c r="H84" s="60">
        <v>0</v>
      </c>
      <c r="I84" s="61">
        <f t="shared" si="14"/>
        <v>0</v>
      </c>
      <c r="J84" s="60">
        <v>0</v>
      </c>
      <c r="K84" s="61">
        <f t="shared" si="15"/>
        <v>0</v>
      </c>
      <c r="L84" s="62"/>
      <c r="M84" s="61">
        <f t="shared" si="16"/>
        <v>0</v>
      </c>
      <c r="N84" s="63">
        <v>0</v>
      </c>
      <c r="O84" s="61">
        <f t="shared" si="17"/>
        <v>0</v>
      </c>
      <c r="P84" s="60">
        <v>0</v>
      </c>
      <c r="Q84" s="61">
        <f t="shared" si="18"/>
        <v>0</v>
      </c>
      <c r="R84" s="60">
        <v>0</v>
      </c>
      <c r="S84" s="61">
        <f t="shared" si="19"/>
        <v>0</v>
      </c>
      <c r="T84" s="60">
        <v>0</v>
      </c>
      <c r="U84" s="64">
        <f t="shared" si="20"/>
        <v>0</v>
      </c>
      <c r="V84" s="65">
        <v>0</v>
      </c>
      <c r="W84" s="66">
        <f t="shared" si="21"/>
        <v>0</v>
      </c>
      <c r="X84" s="67">
        <f t="shared" si="22"/>
        <v>0</v>
      </c>
      <c r="Y84" s="57" t="str">
        <f t="shared" si="23"/>
        <v>NIL PLEASE PURCHASE</v>
      </c>
      <c r="Z84" s="68" t="s">
        <v>1539</v>
      </c>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8"/>
      <c r="BY84" s="8"/>
      <c r="BZ84" s="8"/>
      <c r="CA84" s="8"/>
      <c r="CB84" s="8"/>
      <c r="CC84" s="8"/>
      <c r="CD84" s="8"/>
      <c r="CE84" s="8"/>
      <c r="CF84" s="8"/>
      <c r="CG84" s="8"/>
      <c r="CH84" s="8"/>
      <c r="CI84" s="8"/>
      <c r="CJ84" s="8"/>
      <c r="CK84" s="8"/>
      <c r="CL84" s="8"/>
      <c r="CM84" s="8"/>
      <c r="CN84" s="8"/>
      <c r="CO84" s="8"/>
      <c r="CP84" s="8"/>
      <c r="CQ84" s="8"/>
      <c r="CR84" s="8"/>
      <c r="CS84" s="8"/>
      <c r="CT84" s="8"/>
      <c r="CU84" s="8"/>
      <c r="CV84" s="8"/>
      <c r="CW84" s="8"/>
      <c r="CX84" s="8"/>
      <c r="CY84" s="8"/>
      <c r="CZ84" s="8"/>
      <c r="DA84" s="8"/>
      <c r="DB84" s="8"/>
      <c r="DC84" s="8"/>
      <c r="DD84" s="8"/>
      <c r="DE84" s="8"/>
      <c r="DF84" s="8"/>
      <c r="DG84" s="8"/>
      <c r="DH84" s="8"/>
      <c r="DI84" s="8"/>
      <c r="DJ84" s="8"/>
      <c r="DK84" s="8"/>
      <c r="DL84" s="8"/>
      <c r="DM84" s="8"/>
      <c r="DN84" s="8"/>
      <c r="DO84" s="8"/>
      <c r="DP84" s="8"/>
      <c r="DQ84" s="8"/>
      <c r="DR84" s="8"/>
      <c r="DS84" s="8"/>
      <c r="DT84" s="8"/>
      <c r="DU84" s="8"/>
    </row>
    <row r="85" spans="1:125" s="1" customFormat="1" ht="20.100000000000001" customHeight="1" x14ac:dyDescent="0.25">
      <c r="A85" s="59" t="s">
        <v>315</v>
      </c>
      <c r="B85" s="84">
        <v>83</v>
      </c>
      <c r="C85" s="85" t="s">
        <v>88</v>
      </c>
      <c r="D85" s="60">
        <v>0</v>
      </c>
      <c r="E85" s="61">
        <f t="shared" si="12"/>
        <v>0</v>
      </c>
      <c r="F85" s="60">
        <v>0</v>
      </c>
      <c r="G85" s="61">
        <f t="shared" si="13"/>
        <v>0</v>
      </c>
      <c r="H85" s="60">
        <v>0</v>
      </c>
      <c r="I85" s="61">
        <f t="shared" si="14"/>
        <v>0</v>
      </c>
      <c r="J85" s="60">
        <v>0</v>
      </c>
      <c r="K85" s="61">
        <f t="shared" si="15"/>
        <v>0</v>
      </c>
      <c r="L85" s="62"/>
      <c r="M85" s="61">
        <f t="shared" si="16"/>
        <v>0</v>
      </c>
      <c r="N85" s="63">
        <v>0</v>
      </c>
      <c r="O85" s="61">
        <f t="shared" si="17"/>
        <v>0</v>
      </c>
      <c r="P85" s="60">
        <v>0</v>
      </c>
      <c r="Q85" s="61">
        <f t="shared" si="18"/>
        <v>0</v>
      </c>
      <c r="R85" s="60">
        <v>0</v>
      </c>
      <c r="S85" s="61">
        <f t="shared" si="19"/>
        <v>0</v>
      </c>
      <c r="T85" s="60">
        <v>0</v>
      </c>
      <c r="U85" s="64">
        <f t="shared" si="20"/>
        <v>0</v>
      </c>
      <c r="V85" s="65">
        <v>0</v>
      </c>
      <c r="W85" s="66">
        <f t="shared" si="21"/>
        <v>0</v>
      </c>
      <c r="X85" s="67">
        <f t="shared" si="22"/>
        <v>0</v>
      </c>
      <c r="Y85" s="57" t="str">
        <f t="shared" si="23"/>
        <v>NIL PLEASE PURCHASE</v>
      </c>
      <c r="Z85" s="68" t="s">
        <v>1539</v>
      </c>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c r="BU85" s="8"/>
      <c r="BV85" s="8"/>
      <c r="BW85" s="8"/>
      <c r="BX85" s="8"/>
      <c r="BY85" s="8"/>
      <c r="BZ85" s="8"/>
      <c r="CA85" s="8"/>
      <c r="CB85" s="8"/>
      <c r="CC85" s="8"/>
      <c r="CD85" s="8"/>
      <c r="CE85" s="8"/>
      <c r="CF85" s="8"/>
      <c r="CG85" s="8"/>
      <c r="CH85" s="8"/>
      <c r="CI85" s="8"/>
      <c r="CJ85" s="8"/>
      <c r="CK85" s="8"/>
      <c r="CL85" s="8"/>
      <c r="CM85" s="8"/>
      <c r="CN85" s="8"/>
      <c r="CO85" s="8"/>
      <c r="CP85" s="8"/>
      <c r="CQ85" s="8"/>
      <c r="CR85" s="8"/>
      <c r="CS85" s="8"/>
      <c r="CT85" s="8"/>
      <c r="CU85" s="8"/>
      <c r="CV85" s="8"/>
      <c r="CW85" s="8"/>
      <c r="CX85" s="8"/>
      <c r="CY85" s="8"/>
      <c r="CZ85" s="8"/>
      <c r="DA85" s="8"/>
      <c r="DB85" s="8"/>
      <c r="DC85" s="8"/>
      <c r="DD85" s="8"/>
      <c r="DE85" s="8"/>
      <c r="DF85" s="8"/>
      <c r="DG85" s="8"/>
      <c r="DH85" s="8"/>
      <c r="DI85" s="8"/>
      <c r="DJ85" s="8"/>
      <c r="DK85" s="8"/>
      <c r="DL85" s="8"/>
      <c r="DM85" s="8"/>
      <c r="DN85" s="8"/>
      <c r="DO85" s="8"/>
      <c r="DP85" s="8"/>
      <c r="DQ85" s="8"/>
      <c r="DR85" s="8"/>
      <c r="DS85" s="8"/>
      <c r="DT85" s="8"/>
      <c r="DU85" s="8"/>
    </row>
    <row r="86" spans="1:125" s="1" customFormat="1" ht="20.100000000000001" customHeight="1" x14ac:dyDescent="0.25">
      <c r="A86" s="59" t="s">
        <v>316</v>
      </c>
      <c r="B86" s="84">
        <v>84</v>
      </c>
      <c r="C86" s="85" t="s">
        <v>89</v>
      </c>
      <c r="D86" s="60">
        <v>0</v>
      </c>
      <c r="E86" s="61">
        <f t="shared" si="12"/>
        <v>0</v>
      </c>
      <c r="F86" s="60">
        <v>0</v>
      </c>
      <c r="G86" s="61">
        <f t="shared" si="13"/>
        <v>0</v>
      </c>
      <c r="H86" s="60">
        <v>0</v>
      </c>
      <c r="I86" s="61">
        <f t="shared" si="14"/>
        <v>0</v>
      </c>
      <c r="J86" s="60">
        <v>0</v>
      </c>
      <c r="K86" s="61">
        <f t="shared" si="15"/>
        <v>0</v>
      </c>
      <c r="L86" s="62"/>
      <c r="M86" s="61">
        <f t="shared" si="16"/>
        <v>0</v>
      </c>
      <c r="N86" s="63">
        <v>0</v>
      </c>
      <c r="O86" s="61">
        <f t="shared" si="17"/>
        <v>0</v>
      </c>
      <c r="P86" s="60">
        <v>0</v>
      </c>
      <c r="Q86" s="61">
        <f t="shared" si="18"/>
        <v>0</v>
      </c>
      <c r="R86" s="60">
        <v>0</v>
      </c>
      <c r="S86" s="61">
        <f t="shared" si="19"/>
        <v>0</v>
      </c>
      <c r="T86" s="60">
        <v>0</v>
      </c>
      <c r="U86" s="64">
        <f t="shared" si="20"/>
        <v>0</v>
      </c>
      <c r="V86" s="65">
        <v>0</v>
      </c>
      <c r="W86" s="66">
        <f t="shared" si="21"/>
        <v>0</v>
      </c>
      <c r="X86" s="67">
        <f t="shared" si="22"/>
        <v>0</v>
      </c>
      <c r="Y86" s="57" t="str">
        <f t="shared" si="23"/>
        <v>NIL PLEASE PURCHASE</v>
      </c>
      <c r="Z86" s="68" t="s">
        <v>1539</v>
      </c>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8"/>
      <c r="BY86" s="8"/>
      <c r="BZ86" s="8"/>
      <c r="CA86" s="8"/>
      <c r="CB86" s="8"/>
      <c r="CC86" s="8"/>
      <c r="CD86" s="8"/>
      <c r="CE86" s="8"/>
      <c r="CF86" s="8"/>
      <c r="CG86" s="8"/>
      <c r="CH86" s="8"/>
      <c r="CI86" s="8"/>
      <c r="CJ86" s="8"/>
      <c r="CK86" s="8"/>
      <c r="CL86" s="8"/>
      <c r="CM86" s="8"/>
      <c r="CN86" s="8"/>
      <c r="CO86" s="8"/>
      <c r="CP86" s="8"/>
      <c r="CQ86" s="8"/>
      <c r="CR86" s="8"/>
      <c r="CS86" s="8"/>
      <c r="CT86" s="8"/>
      <c r="CU86" s="8"/>
      <c r="CV86" s="8"/>
      <c r="CW86" s="8"/>
      <c r="CX86" s="8"/>
      <c r="CY86" s="8"/>
      <c r="CZ86" s="8"/>
      <c r="DA86" s="8"/>
      <c r="DB86" s="8"/>
      <c r="DC86" s="8"/>
      <c r="DD86" s="8"/>
      <c r="DE86" s="8"/>
      <c r="DF86" s="8"/>
      <c r="DG86" s="8"/>
      <c r="DH86" s="8"/>
      <c r="DI86" s="8"/>
      <c r="DJ86" s="8"/>
      <c r="DK86" s="8"/>
      <c r="DL86" s="8"/>
      <c r="DM86" s="8"/>
      <c r="DN86" s="8"/>
      <c r="DO86" s="8"/>
      <c r="DP86" s="8"/>
      <c r="DQ86" s="8"/>
      <c r="DR86" s="8"/>
      <c r="DS86" s="8"/>
      <c r="DT86" s="8"/>
      <c r="DU86" s="8"/>
    </row>
    <row r="87" spans="1:125" s="1" customFormat="1" ht="22.5" customHeight="1" x14ac:dyDescent="0.25">
      <c r="A87" s="59" t="s">
        <v>317</v>
      </c>
      <c r="B87" s="84">
        <v>85</v>
      </c>
      <c r="C87" s="85" t="s">
        <v>90</v>
      </c>
      <c r="D87" s="60">
        <v>0</v>
      </c>
      <c r="E87" s="61">
        <f t="shared" si="12"/>
        <v>0</v>
      </c>
      <c r="F87" s="60">
        <v>0</v>
      </c>
      <c r="G87" s="61">
        <f t="shared" si="13"/>
        <v>0</v>
      </c>
      <c r="H87" s="60">
        <v>0</v>
      </c>
      <c r="I87" s="61">
        <f t="shared" si="14"/>
        <v>0</v>
      </c>
      <c r="J87" s="60">
        <v>0</v>
      </c>
      <c r="K87" s="61">
        <f t="shared" si="15"/>
        <v>0</v>
      </c>
      <c r="L87" s="62"/>
      <c r="M87" s="61">
        <f t="shared" si="16"/>
        <v>0</v>
      </c>
      <c r="N87" s="63">
        <v>1</v>
      </c>
      <c r="O87" s="61">
        <f t="shared" si="17"/>
        <v>500</v>
      </c>
      <c r="P87" s="60">
        <v>0</v>
      </c>
      <c r="Q87" s="61">
        <f t="shared" si="18"/>
        <v>0</v>
      </c>
      <c r="R87" s="60">
        <v>0</v>
      </c>
      <c r="S87" s="61">
        <f t="shared" si="19"/>
        <v>0</v>
      </c>
      <c r="T87" s="60">
        <v>0</v>
      </c>
      <c r="U87" s="64">
        <f t="shared" si="20"/>
        <v>0</v>
      </c>
      <c r="V87" s="65">
        <v>0</v>
      </c>
      <c r="W87" s="66">
        <f t="shared" si="21"/>
        <v>500</v>
      </c>
      <c r="X87" s="67">
        <f t="shared" si="22"/>
        <v>0.5</v>
      </c>
      <c r="Y87" s="57" t="str">
        <f t="shared" si="23"/>
        <v>STOCK</v>
      </c>
      <c r="Z87" s="68" t="s">
        <v>1538</v>
      </c>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c r="CJ87" s="8"/>
      <c r="CK87" s="8"/>
      <c r="CL87" s="8"/>
      <c r="CM87" s="8"/>
      <c r="CN87" s="8"/>
      <c r="CO87" s="8"/>
      <c r="CP87" s="8"/>
      <c r="CQ87" s="8"/>
      <c r="CR87" s="8"/>
      <c r="CS87" s="8"/>
      <c r="CT87" s="8"/>
      <c r="CU87" s="8"/>
      <c r="CV87" s="8"/>
      <c r="CW87" s="8"/>
      <c r="CX87" s="8"/>
      <c r="CY87" s="8"/>
      <c r="CZ87" s="8"/>
      <c r="DA87" s="8"/>
      <c r="DB87" s="8"/>
      <c r="DC87" s="8"/>
      <c r="DD87" s="8"/>
      <c r="DE87" s="8"/>
      <c r="DF87" s="8"/>
      <c r="DG87" s="8"/>
      <c r="DH87" s="8"/>
      <c r="DI87" s="8"/>
      <c r="DJ87" s="8"/>
      <c r="DK87" s="8"/>
      <c r="DL87" s="8"/>
      <c r="DM87" s="8"/>
      <c r="DN87" s="8"/>
      <c r="DO87" s="8"/>
      <c r="DP87" s="8"/>
      <c r="DQ87" s="8"/>
      <c r="DR87" s="8"/>
      <c r="DS87" s="8"/>
      <c r="DT87" s="8"/>
      <c r="DU87" s="8"/>
    </row>
    <row r="88" spans="1:125" s="1" customFormat="1" ht="20.100000000000001" customHeight="1" x14ac:dyDescent="0.25">
      <c r="A88" s="59" t="s">
        <v>318</v>
      </c>
      <c r="B88" s="84">
        <v>86</v>
      </c>
      <c r="C88" s="85" t="s">
        <v>91</v>
      </c>
      <c r="D88" s="60">
        <v>0</v>
      </c>
      <c r="E88" s="61">
        <f t="shared" si="12"/>
        <v>0</v>
      </c>
      <c r="F88" s="60">
        <v>0</v>
      </c>
      <c r="G88" s="61">
        <f t="shared" si="13"/>
        <v>0</v>
      </c>
      <c r="H88" s="60">
        <v>0</v>
      </c>
      <c r="I88" s="61">
        <f t="shared" si="14"/>
        <v>0</v>
      </c>
      <c r="J88" s="60">
        <v>0</v>
      </c>
      <c r="K88" s="61">
        <f t="shared" si="15"/>
        <v>0</v>
      </c>
      <c r="L88" s="62"/>
      <c r="M88" s="61">
        <f t="shared" si="16"/>
        <v>0</v>
      </c>
      <c r="N88" s="63">
        <v>0</v>
      </c>
      <c r="O88" s="61">
        <f t="shared" si="17"/>
        <v>0</v>
      </c>
      <c r="P88" s="60">
        <v>0</v>
      </c>
      <c r="Q88" s="61">
        <f t="shared" si="18"/>
        <v>0</v>
      </c>
      <c r="R88" s="60">
        <v>0</v>
      </c>
      <c r="S88" s="61">
        <f t="shared" si="19"/>
        <v>0</v>
      </c>
      <c r="T88" s="60">
        <v>0</v>
      </c>
      <c r="U88" s="64">
        <f t="shared" si="20"/>
        <v>0</v>
      </c>
      <c r="V88" s="65">
        <v>0</v>
      </c>
      <c r="W88" s="66">
        <f t="shared" si="21"/>
        <v>0</v>
      </c>
      <c r="X88" s="67">
        <f t="shared" si="22"/>
        <v>0</v>
      </c>
      <c r="Y88" s="57" t="str">
        <f t="shared" si="23"/>
        <v>NIL PLEASE PURCHASE</v>
      </c>
      <c r="Z88" s="68" t="s">
        <v>1539</v>
      </c>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c r="CJ88" s="8"/>
      <c r="CK88" s="8"/>
      <c r="CL88" s="8"/>
      <c r="CM88" s="8"/>
      <c r="CN88" s="8"/>
      <c r="CO88" s="8"/>
      <c r="CP88" s="8"/>
      <c r="CQ88" s="8"/>
      <c r="CR88" s="8"/>
      <c r="CS88" s="8"/>
      <c r="CT88" s="8"/>
      <c r="CU88" s="8"/>
      <c r="CV88" s="8"/>
      <c r="CW88" s="8"/>
      <c r="CX88" s="8"/>
      <c r="CY88" s="8"/>
      <c r="CZ88" s="8"/>
      <c r="DA88" s="8"/>
      <c r="DB88" s="8"/>
      <c r="DC88" s="8"/>
      <c r="DD88" s="8"/>
      <c r="DE88" s="8"/>
      <c r="DF88" s="8"/>
      <c r="DG88" s="8"/>
      <c r="DH88" s="8"/>
      <c r="DI88" s="8"/>
      <c r="DJ88" s="8"/>
      <c r="DK88" s="8"/>
      <c r="DL88" s="8"/>
      <c r="DM88" s="8"/>
      <c r="DN88" s="8"/>
      <c r="DO88" s="8"/>
      <c r="DP88" s="8"/>
      <c r="DQ88" s="8"/>
      <c r="DR88" s="8"/>
      <c r="DS88" s="8"/>
      <c r="DT88" s="8"/>
      <c r="DU88" s="8"/>
    </row>
    <row r="89" spans="1:125" s="1" customFormat="1" ht="20.100000000000001" customHeight="1" x14ac:dyDescent="0.25">
      <c r="A89" s="59" t="s">
        <v>319</v>
      </c>
      <c r="B89" s="84">
        <v>87</v>
      </c>
      <c r="C89" s="85" t="s">
        <v>93</v>
      </c>
      <c r="D89" s="60">
        <v>0</v>
      </c>
      <c r="E89" s="61">
        <f t="shared" si="12"/>
        <v>0</v>
      </c>
      <c r="F89" s="60">
        <v>0</v>
      </c>
      <c r="G89" s="61">
        <f t="shared" si="13"/>
        <v>0</v>
      </c>
      <c r="H89" s="60">
        <v>0</v>
      </c>
      <c r="I89" s="61">
        <f t="shared" si="14"/>
        <v>0</v>
      </c>
      <c r="J89" s="60">
        <v>0</v>
      </c>
      <c r="K89" s="61">
        <f t="shared" si="15"/>
        <v>0</v>
      </c>
      <c r="L89" s="62"/>
      <c r="M89" s="61">
        <f t="shared" si="16"/>
        <v>0</v>
      </c>
      <c r="N89" s="63">
        <v>0</v>
      </c>
      <c r="O89" s="61">
        <f t="shared" si="17"/>
        <v>0</v>
      </c>
      <c r="P89" s="60">
        <v>0</v>
      </c>
      <c r="Q89" s="61">
        <f t="shared" si="18"/>
        <v>0</v>
      </c>
      <c r="R89" s="60">
        <v>0</v>
      </c>
      <c r="S89" s="61">
        <f t="shared" si="19"/>
        <v>0</v>
      </c>
      <c r="T89" s="60">
        <v>0</v>
      </c>
      <c r="U89" s="64">
        <f t="shared" si="20"/>
        <v>0</v>
      </c>
      <c r="V89" s="65">
        <v>0</v>
      </c>
      <c r="W89" s="66">
        <f t="shared" si="21"/>
        <v>0</v>
      </c>
      <c r="X89" s="67">
        <f t="shared" si="22"/>
        <v>0</v>
      </c>
      <c r="Y89" s="57" t="str">
        <f t="shared" si="23"/>
        <v>NIL PLEASE PURCHASE</v>
      </c>
      <c r="Z89" s="68" t="s">
        <v>1539</v>
      </c>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c r="CJ89" s="8"/>
      <c r="CK89" s="8"/>
      <c r="CL89" s="8"/>
      <c r="CM89" s="8"/>
      <c r="CN89" s="8"/>
      <c r="CO89" s="8"/>
      <c r="CP89" s="8"/>
      <c r="CQ89" s="8"/>
      <c r="CR89" s="8"/>
      <c r="CS89" s="8"/>
      <c r="CT89" s="8"/>
      <c r="CU89" s="8"/>
      <c r="CV89" s="8"/>
      <c r="CW89" s="8"/>
      <c r="CX89" s="8"/>
      <c r="CY89" s="8"/>
      <c r="CZ89" s="8"/>
      <c r="DA89" s="8"/>
      <c r="DB89" s="8"/>
      <c r="DC89" s="8"/>
      <c r="DD89" s="8"/>
      <c r="DE89" s="8"/>
      <c r="DF89" s="8"/>
      <c r="DG89" s="8"/>
      <c r="DH89" s="8"/>
      <c r="DI89" s="8"/>
      <c r="DJ89" s="8"/>
      <c r="DK89" s="8"/>
      <c r="DL89" s="8"/>
      <c r="DM89" s="8"/>
      <c r="DN89" s="8"/>
      <c r="DO89" s="8"/>
      <c r="DP89" s="8"/>
      <c r="DQ89" s="8"/>
      <c r="DR89" s="8"/>
      <c r="DS89" s="8"/>
      <c r="DT89" s="8"/>
      <c r="DU89" s="8"/>
    </row>
    <row r="90" spans="1:125" s="1" customFormat="1" ht="20.100000000000001" customHeight="1" x14ac:dyDescent="0.25">
      <c r="A90" s="59" t="s">
        <v>320</v>
      </c>
      <c r="B90" s="84">
        <v>88</v>
      </c>
      <c r="C90" s="85" t="s">
        <v>92</v>
      </c>
      <c r="D90" s="60">
        <v>0</v>
      </c>
      <c r="E90" s="61">
        <f t="shared" si="12"/>
        <v>0</v>
      </c>
      <c r="F90" s="60">
        <v>0</v>
      </c>
      <c r="G90" s="61">
        <f t="shared" si="13"/>
        <v>0</v>
      </c>
      <c r="H90" s="60">
        <v>0</v>
      </c>
      <c r="I90" s="61">
        <f t="shared" si="14"/>
        <v>0</v>
      </c>
      <c r="J90" s="60">
        <v>0</v>
      </c>
      <c r="K90" s="61">
        <f t="shared" si="15"/>
        <v>0</v>
      </c>
      <c r="L90" s="62"/>
      <c r="M90" s="61">
        <f t="shared" si="16"/>
        <v>0</v>
      </c>
      <c r="N90" s="63">
        <v>0</v>
      </c>
      <c r="O90" s="61">
        <f t="shared" si="17"/>
        <v>0</v>
      </c>
      <c r="P90" s="60">
        <v>0</v>
      </c>
      <c r="Q90" s="61">
        <f t="shared" si="18"/>
        <v>0</v>
      </c>
      <c r="R90" s="60">
        <v>0</v>
      </c>
      <c r="S90" s="61">
        <f t="shared" si="19"/>
        <v>0</v>
      </c>
      <c r="T90" s="60">
        <v>0</v>
      </c>
      <c r="U90" s="64">
        <f t="shared" si="20"/>
        <v>0</v>
      </c>
      <c r="V90" s="65">
        <v>0</v>
      </c>
      <c r="W90" s="66">
        <f t="shared" si="21"/>
        <v>0</v>
      </c>
      <c r="X90" s="67">
        <f t="shared" si="22"/>
        <v>0</v>
      </c>
      <c r="Y90" s="57" t="str">
        <f t="shared" si="23"/>
        <v>NIL PLEASE PURCHASE</v>
      </c>
      <c r="Z90" s="68" t="s">
        <v>1539</v>
      </c>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c r="CJ90" s="8"/>
      <c r="CK90" s="8"/>
      <c r="CL90" s="8"/>
      <c r="CM90" s="8"/>
      <c r="CN90" s="8"/>
      <c r="CO90" s="8"/>
      <c r="CP90" s="8"/>
      <c r="CQ90" s="8"/>
      <c r="CR90" s="8"/>
      <c r="CS90" s="8"/>
      <c r="CT90" s="8"/>
      <c r="CU90" s="8"/>
      <c r="CV90" s="8"/>
      <c r="CW90" s="8"/>
      <c r="CX90" s="8"/>
      <c r="CY90" s="8"/>
      <c r="CZ90" s="8"/>
      <c r="DA90" s="8"/>
      <c r="DB90" s="8"/>
      <c r="DC90" s="8"/>
      <c r="DD90" s="8"/>
      <c r="DE90" s="8"/>
      <c r="DF90" s="8"/>
      <c r="DG90" s="8"/>
      <c r="DH90" s="8"/>
      <c r="DI90" s="8"/>
      <c r="DJ90" s="8"/>
      <c r="DK90" s="8"/>
      <c r="DL90" s="8"/>
      <c r="DM90" s="8"/>
      <c r="DN90" s="8"/>
      <c r="DO90" s="8"/>
      <c r="DP90" s="8"/>
      <c r="DQ90" s="8"/>
      <c r="DR90" s="8"/>
      <c r="DS90" s="8"/>
      <c r="DT90" s="8"/>
      <c r="DU90" s="8"/>
    </row>
    <row r="91" spans="1:125" s="1" customFormat="1" ht="22.5" customHeight="1" x14ac:dyDescent="0.25">
      <c r="A91" s="59" t="s">
        <v>321</v>
      </c>
      <c r="B91" s="84">
        <v>89</v>
      </c>
      <c r="C91" s="85" t="s">
        <v>94</v>
      </c>
      <c r="D91" s="60">
        <v>0</v>
      </c>
      <c r="E91" s="61">
        <f t="shared" si="12"/>
        <v>0</v>
      </c>
      <c r="F91" s="60">
        <v>0</v>
      </c>
      <c r="G91" s="61">
        <f t="shared" si="13"/>
        <v>0</v>
      </c>
      <c r="H91" s="60">
        <v>0</v>
      </c>
      <c r="I91" s="61">
        <f t="shared" si="14"/>
        <v>0</v>
      </c>
      <c r="J91" s="60">
        <v>6</v>
      </c>
      <c r="K91" s="61">
        <f t="shared" si="15"/>
        <v>600</v>
      </c>
      <c r="L91" s="62"/>
      <c r="M91" s="61">
        <f t="shared" si="16"/>
        <v>0</v>
      </c>
      <c r="N91" s="63">
        <v>1</v>
      </c>
      <c r="O91" s="61">
        <f t="shared" si="17"/>
        <v>500</v>
      </c>
      <c r="P91" s="60">
        <v>0</v>
      </c>
      <c r="Q91" s="61">
        <f t="shared" si="18"/>
        <v>0</v>
      </c>
      <c r="R91" s="60">
        <v>0</v>
      </c>
      <c r="S91" s="61">
        <f t="shared" si="19"/>
        <v>0</v>
      </c>
      <c r="T91" s="60">
        <v>0</v>
      </c>
      <c r="U91" s="64">
        <f t="shared" si="20"/>
        <v>0</v>
      </c>
      <c r="V91" s="65">
        <v>0</v>
      </c>
      <c r="W91" s="66">
        <f t="shared" si="21"/>
        <v>1100</v>
      </c>
      <c r="X91" s="67">
        <f t="shared" si="22"/>
        <v>1.1000000000000001</v>
      </c>
      <c r="Y91" s="57" t="str">
        <f t="shared" si="23"/>
        <v>STOCK</v>
      </c>
      <c r="Z91" s="68" t="s">
        <v>1538</v>
      </c>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8"/>
      <c r="CN91" s="8"/>
      <c r="CO91" s="8"/>
      <c r="CP91" s="8"/>
      <c r="CQ91" s="8"/>
      <c r="CR91" s="8"/>
      <c r="CS91" s="8"/>
      <c r="CT91" s="8"/>
      <c r="CU91" s="8"/>
      <c r="CV91" s="8"/>
      <c r="CW91" s="8"/>
      <c r="CX91" s="8"/>
      <c r="CY91" s="8"/>
      <c r="CZ91" s="8"/>
      <c r="DA91" s="8"/>
      <c r="DB91" s="8"/>
      <c r="DC91" s="8"/>
      <c r="DD91" s="8"/>
      <c r="DE91" s="8"/>
      <c r="DF91" s="8"/>
      <c r="DG91" s="8"/>
      <c r="DH91" s="8"/>
      <c r="DI91" s="8"/>
      <c r="DJ91" s="8"/>
      <c r="DK91" s="8"/>
      <c r="DL91" s="8"/>
      <c r="DM91" s="8"/>
      <c r="DN91" s="8"/>
      <c r="DO91" s="8"/>
      <c r="DP91" s="8"/>
      <c r="DQ91" s="8"/>
      <c r="DR91" s="8"/>
      <c r="DS91" s="8"/>
      <c r="DT91" s="8"/>
      <c r="DU91" s="8"/>
    </row>
    <row r="92" spans="1:125" s="1" customFormat="1" ht="20.100000000000001" customHeight="1" x14ac:dyDescent="0.25">
      <c r="A92" s="59" t="s">
        <v>322</v>
      </c>
      <c r="B92" s="84">
        <v>90</v>
      </c>
      <c r="C92" s="85" t="s">
        <v>95</v>
      </c>
      <c r="D92" s="60">
        <v>0</v>
      </c>
      <c r="E92" s="61">
        <f t="shared" si="12"/>
        <v>0</v>
      </c>
      <c r="F92" s="60">
        <v>0</v>
      </c>
      <c r="G92" s="61">
        <f t="shared" si="13"/>
        <v>0</v>
      </c>
      <c r="H92" s="60">
        <v>0</v>
      </c>
      <c r="I92" s="61">
        <f t="shared" si="14"/>
        <v>0</v>
      </c>
      <c r="J92" s="60">
        <v>0</v>
      </c>
      <c r="K92" s="61">
        <f t="shared" si="15"/>
        <v>0</v>
      </c>
      <c r="L92" s="62"/>
      <c r="M92" s="61">
        <f t="shared" si="16"/>
        <v>0</v>
      </c>
      <c r="N92" s="63">
        <v>0</v>
      </c>
      <c r="O92" s="61">
        <f t="shared" si="17"/>
        <v>0</v>
      </c>
      <c r="P92" s="60">
        <v>0</v>
      </c>
      <c r="Q92" s="61">
        <f t="shared" si="18"/>
        <v>0</v>
      </c>
      <c r="R92" s="60">
        <v>0</v>
      </c>
      <c r="S92" s="61">
        <f t="shared" si="19"/>
        <v>0</v>
      </c>
      <c r="T92" s="60">
        <v>0</v>
      </c>
      <c r="U92" s="64">
        <f t="shared" si="20"/>
        <v>0</v>
      </c>
      <c r="V92" s="65">
        <v>0</v>
      </c>
      <c r="W92" s="66">
        <f t="shared" si="21"/>
        <v>0</v>
      </c>
      <c r="X92" s="67">
        <f t="shared" si="22"/>
        <v>0</v>
      </c>
      <c r="Y92" s="57" t="str">
        <f t="shared" si="23"/>
        <v>NIL PLEASE PURCHASE</v>
      </c>
      <c r="Z92" s="68" t="s">
        <v>1539</v>
      </c>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c r="CL92" s="8"/>
      <c r="CM92" s="8"/>
      <c r="CN92" s="8"/>
      <c r="CO92" s="8"/>
      <c r="CP92" s="8"/>
      <c r="CQ92" s="8"/>
      <c r="CR92" s="8"/>
      <c r="CS92" s="8"/>
      <c r="CT92" s="8"/>
      <c r="CU92" s="8"/>
      <c r="CV92" s="8"/>
      <c r="CW92" s="8"/>
      <c r="CX92" s="8"/>
      <c r="CY92" s="8"/>
      <c r="CZ92" s="8"/>
      <c r="DA92" s="8"/>
      <c r="DB92" s="8"/>
      <c r="DC92" s="8"/>
      <c r="DD92" s="8"/>
      <c r="DE92" s="8"/>
      <c r="DF92" s="8"/>
      <c r="DG92" s="8"/>
      <c r="DH92" s="8"/>
      <c r="DI92" s="8"/>
      <c r="DJ92" s="8"/>
      <c r="DK92" s="8"/>
      <c r="DL92" s="8"/>
      <c r="DM92" s="8"/>
      <c r="DN92" s="8"/>
      <c r="DO92" s="8"/>
      <c r="DP92" s="8"/>
      <c r="DQ92" s="8"/>
      <c r="DR92" s="8"/>
      <c r="DS92" s="8"/>
      <c r="DT92" s="8"/>
      <c r="DU92" s="8"/>
    </row>
    <row r="93" spans="1:125" s="1" customFormat="1" ht="20.100000000000001" customHeight="1" x14ac:dyDescent="0.25">
      <c r="A93" s="59" t="s">
        <v>323</v>
      </c>
      <c r="B93" s="84">
        <v>91</v>
      </c>
      <c r="C93" s="85" t="s">
        <v>96</v>
      </c>
      <c r="D93" s="60">
        <v>0</v>
      </c>
      <c r="E93" s="61">
        <f t="shared" si="12"/>
        <v>0</v>
      </c>
      <c r="F93" s="60">
        <v>0</v>
      </c>
      <c r="G93" s="61">
        <f t="shared" si="13"/>
        <v>0</v>
      </c>
      <c r="H93" s="60">
        <v>0</v>
      </c>
      <c r="I93" s="61">
        <f t="shared" si="14"/>
        <v>0</v>
      </c>
      <c r="J93" s="60">
        <v>0</v>
      </c>
      <c r="K93" s="61">
        <f t="shared" si="15"/>
        <v>0</v>
      </c>
      <c r="L93" s="62"/>
      <c r="M93" s="61">
        <f t="shared" si="16"/>
        <v>0</v>
      </c>
      <c r="N93" s="63">
        <v>0</v>
      </c>
      <c r="O93" s="61">
        <f t="shared" si="17"/>
        <v>0</v>
      </c>
      <c r="P93" s="60">
        <v>0</v>
      </c>
      <c r="Q93" s="61">
        <f t="shared" si="18"/>
        <v>0</v>
      </c>
      <c r="R93" s="60">
        <v>0</v>
      </c>
      <c r="S93" s="61">
        <f t="shared" si="19"/>
        <v>0</v>
      </c>
      <c r="T93" s="60">
        <v>0</v>
      </c>
      <c r="U93" s="64">
        <f t="shared" si="20"/>
        <v>0</v>
      </c>
      <c r="V93" s="65">
        <v>0</v>
      </c>
      <c r="W93" s="66">
        <f t="shared" si="21"/>
        <v>0</v>
      </c>
      <c r="X93" s="67">
        <f t="shared" si="22"/>
        <v>0</v>
      </c>
      <c r="Y93" s="57" t="str">
        <f t="shared" si="23"/>
        <v>NIL PLEASE PURCHASE</v>
      </c>
      <c r="Z93" s="68" t="s">
        <v>1539</v>
      </c>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c r="CM93" s="8"/>
      <c r="CN93" s="8"/>
      <c r="CO93" s="8"/>
      <c r="CP93" s="8"/>
      <c r="CQ93" s="8"/>
      <c r="CR93" s="8"/>
      <c r="CS93" s="8"/>
      <c r="CT93" s="8"/>
      <c r="CU93" s="8"/>
      <c r="CV93" s="8"/>
      <c r="CW93" s="8"/>
      <c r="CX93" s="8"/>
      <c r="CY93" s="8"/>
      <c r="CZ93" s="8"/>
      <c r="DA93" s="8"/>
      <c r="DB93" s="8"/>
      <c r="DC93" s="8"/>
      <c r="DD93" s="8"/>
      <c r="DE93" s="8"/>
      <c r="DF93" s="8"/>
      <c r="DG93" s="8"/>
      <c r="DH93" s="8"/>
      <c r="DI93" s="8"/>
      <c r="DJ93" s="8"/>
      <c r="DK93" s="8"/>
      <c r="DL93" s="8"/>
      <c r="DM93" s="8"/>
      <c r="DN93" s="8"/>
      <c r="DO93" s="8"/>
      <c r="DP93" s="8"/>
      <c r="DQ93" s="8"/>
      <c r="DR93" s="8"/>
      <c r="DS93" s="8"/>
      <c r="DT93" s="8"/>
      <c r="DU93" s="8"/>
    </row>
    <row r="94" spans="1:125" s="1" customFormat="1" ht="20.100000000000001" customHeight="1" x14ac:dyDescent="0.25">
      <c r="A94" s="59" t="s">
        <v>324</v>
      </c>
      <c r="B94" s="84">
        <v>92</v>
      </c>
      <c r="C94" s="85" t="s">
        <v>97</v>
      </c>
      <c r="D94" s="60">
        <v>0</v>
      </c>
      <c r="E94" s="61">
        <f t="shared" si="12"/>
        <v>0</v>
      </c>
      <c r="F94" s="60">
        <v>0</v>
      </c>
      <c r="G94" s="61">
        <f t="shared" si="13"/>
        <v>0</v>
      </c>
      <c r="H94" s="60">
        <v>0</v>
      </c>
      <c r="I94" s="61">
        <f t="shared" si="14"/>
        <v>0</v>
      </c>
      <c r="J94" s="60">
        <v>0</v>
      </c>
      <c r="K94" s="61">
        <f t="shared" si="15"/>
        <v>0</v>
      </c>
      <c r="L94" s="62"/>
      <c r="M94" s="61">
        <f t="shared" si="16"/>
        <v>0</v>
      </c>
      <c r="N94" s="63">
        <v>0</v>
      </c>
      <c r="O94" s="61">
        <f t="shared" si="17"/>
        <v>0</v>
      </c>
      <c r="P94" s="60">
        <v>0</v>
      </c>
      <c r="Q94" s="61">
        <f t="shared" si="18"/>
        <v>0</v>
      </c>
      <c r="R94" s="60">
        <v>0</v>
      </c>
      <c r="S94" s="61">
        <f t="shared" si="19"/>
        <v>0</v>
      </c>
      <c r="T94" s="60">
        <v>0</v>
      </c>
      <c r="U94" s="64">
        <f t="shared" si="20"/>
        <v>0</v>
      </c>
      <c r="V94" s="65">
        <v>0</v>
      </c>
      <c r="W94" s="66">
        <f t="shared" si="21"/>
        <v>0</v>
      </c>
      <c r="X94" s="67">
        <f t="shared" si="22"/>
        <v>0</v>
      </c>
      <c r="Y94" s="57" t="str">
        <f t="shared" si="23"/>
        <v>NIL PLEASE PURCHASE</v>
      </c>
      <c r="Z94" s="68" t="s">
        <v>1539</v>
      </c>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c r="CJ94" s="8"/>
      <c r="CK94" s="8"/>
      <c r="CL94" s="8"/>
      <c r="CM94" s="8"/>
      <c r="CN94" s="8"/>
      <c r="CO94" s="8"/>
      <c r="CP94" s="8"/>
      <c r="CQ94" s="8"/>
      <c r="CR94" s="8"/>
      <c r="CS94" s="8"/>
      <c r="CT94" s="8"/>
      <c r="CU94" s="8"/>
      <c r="CV94" s="8"/>
      <c r="CW94" s="8"/>
      <c r="CX94" s="8"/>
      <c r="CY94" s="8"/>
      <c r="CZ94" s="8"/>
      <c r="DA94" s="8"/>
      <c r="DB94" s="8"/>
      <c r="DC94" s="8"/>
      <c r="DD94" s="8"/>
      <c r="DE94" s="8"/>
      <c r="DF94" s="8"/>
      <c r="DG94" s="8"/>
      <c r="DH94" s="8"/>
      <c r="DI94" s="8"/>
      <c r="DJ94" s="8"/>
      <c r="DK94" s="8"/>
      <c r="DL94" s="8"/>
      <c r="DM94" s="8"/>
      <c r="DN94" s="8"/>
      <c r="DO94" s="8"/>
      <c r="DP94" s="8"/>
      <c r="DQ94" s="8"/>
      <c r="DR94" s="8"/>
      <c r="DS94" s="8"/>
      <c r="DT94" s="8"/>
      <c r="DU94" s="8"/>
    </row>
    <row r="95" spans="1:125" s="1" customFormat="1" ht="20.100000000000001" customHeight="1" x14ac:dyDescent="0.25">
      <c r="A95" s="59" t="s">
        <v>325</v>
      </c>
      <c r="B95" s="84">
        <v>93</v>
      </c>
      <c r="C95" s="85" t="s">
        <v>98</v>
      </c>
      <c r="D95" s="60">
        <v>0</v>
      </c>
      <c r="E95" s="61">
        <f t="shared" si="12"/>
        <v>0</v>
      </c>
      <c r="F95" s="60">
        <v>0</v>
      </c>
      <c r="G95" s="61">
        <f t="shared" si="13"/>
        <v>0</v>
      </c>
      <c r="H95" s="60">
        <v>0</v>
      </c>
      <c r="I95" s="61">
        <f t="shared" si="14"/>
        <v>0</v>
      </c>
      <c r="J95" s="60">
        <v>0</v>
      </c>
      <c r="K95" s="61">
        <f t="shared" si="15"/>
        <v>0</v>
      </c>
      <c r="L95" s="62"/>
      <c r="M95" s="61">
        <f t="shared" si="16"/>
        <v>0</v>
      </c>
      <c r="N95" s="63">
        <v>0</v>
      </c>
      <c r="O95" s="61">
        <f t="shared" si="17"/>
        <v>0</v>
      </c>
      <c r="P95" s="60">
        <v>0</v>
      </c>
      <c r="Q95" s="61">
        <f t="shared" si="18"/>
        <v>0</v>
      </c>
      <c r="R95" s="60">
        <v>0</v>
      </c>
      <c r="S95" s="61">
        <f t="shared" si="19"/>
        <v>0</v>
      </c>
      <c r="T95" s="60">
        <v>0</v>
      </c>
      <c r="U95" s="64">
        <f t="shared" si="20"/>
        <v>0</v>
      </c>
      <c r="V95" s="65">
        <v>0</v>
      </c>
      <c r="W95" s="66">
        <f t="shared" si="21"/>
        <v>0</v>
      </c>
      <c r="X95" s="67">
        <f t="shared" si="22"/>
        <v>0</v>
      </c>
      <c r="Y95" s="57" t="str">
        <f t="shared" si="23"/>
        <v>NIL PLEASE PURCHASE</v>
      </c>
      <c r="Z95" s="68" t="s">
        <v>1539</v>
      </c>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c r="CL95" s="8"/>
      <c r="CM95" s="8"/>
      <c r="CN95" s="8"/>
      <c r="CO95" s="8"/>
      <c r="CP95" s="8"/>
      <c r="CQ95" s="8"/>
      <c r="CR95" s="8"/>
      <c r="CS95" s="8"/>
      <c r="CT95" s="8"/>
      <c r="CU95" s="8"/>
      <c r="CV95" s="8"/>
      <c r="CW95" s="8"/>
      <c r="CX95" s="8"/>
      <c r="CY95" s="8"/>
      <c r="CZ95" s="8"/>
      <c r="DA95" s="8"/>
      <c r="DB95" s="8"/>
      <c r="DC95" s="8"/>
      <c r="DD95" s="8"/>
      <c r="DE95" s="8"/>
      <c r="DF95" s="8"/>
      <c r="DG95" s="8"/>
      <c r="DH95" s="8"/>
      <c r="DI95" s="8"/>
      <c r="DJ95" s="8"/>
      <c r="DK95" s="8"/>
      <c r="DL95" s="8"/>
      <c r="DM95" s="8"/>
      <c r="DN95" s="8"/>
      <c r="DO95" s="8"/>
      <c r="DP95" s="8"/>
      <c r="DQ95" s="8"/>
      <c r="DR95" s="8"/>
      <c r="DS95" s="8"/>
      <c r="DT95" s="8"/>
      <c r="DU95" s="8"/>
    </row>
    <row r="96" spans="1:125" s="1" customFormat="1" ht="22.5" customHeight="1" x14ac:dyDescent="0.25">
      <c r="A96" s="59" t="s">
        <v>326</v>
      </c>
      <c r="B96" s="84">
        <v>94</v>
      </c>
      <c r="C96" s="85" t="s">
        <v>99</v>
      </c>
      <c r="D96" s="60">
        <v>0</v>
      </c>
      <c r="E96" s="61">
        <f t="shared" si="12"/>
        <v>0</v>
      </c>
      <c r="F96" s="60">
        <v>0</v>
      </c>
      <c r="G96" s="61">
        <f t="shared" si="13"/>
        <v>0</v>
      </c>
      <c r="H96" s="60">
        <v>0</v>
      </c>
      <c r="I96" s="61">
        <f t="shared" si="14"/>
        <v>0</v>
      </c>
      <c r="J96" s="60">
        <v>1</v>
      </c>
      <c r="K96" s="61">
        <f t="shared" si="15"/>
        <v>100</v>
      </c>
      <c r="L96" s="62"/>
      <c r="M96" s="61">
        <f t="shared" si="16"/>
        <v>0</v>
      </c>
      <c r="N96" s="63">
        <v>0</v>
      </c>
      <c r="O96" s="61">
        <f t="shared" si="17"/>
        <v>0</v>
      </c>
      <c r="P96" s="60">
        <v>0</v>
      </c>
      <c r="Q96" s="61">
        <f t="shared" si="18"/>
        <v>0</v>
      </c>
      <c r="R96" s="60">
        <v>0</v>
      </c>
      <c r="S96" s="61">
        <f t="shared" si="19"/>
        <v>0</v>
      </c>
      <c r="T96" s="60">
        <v>0</v>
      </c>
      <c r="U96" s="64">
        <f t="shared" si="20"/>
        <v>0</v>
      </c>
      <c r="V96" s="65">
        <v>0</v>
      </c>
      <c r="W96" s="66">
        <f t="shared" si="21"/>
        <v>100</v>
      </c>
      <c r="X96" s="67">
        <f t="shared" si="22"/>
        <v>0.1</v>
      </c>
      <c r="Y96" s="57" t="str">
        <f t="shared" si="23"/>
        <v>STOCK</v>
      </c>
      <c r="Z96" s="68" t="s">
        <v>1538</v>
      </c>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c r="CM96" s="8"/>
      <c r="CN96" s="8"/>
      <c r="CO96" s="8"/>
      <c r="CP96" s="8"/>
      <c r="CQ96" s="8"/>
      <c r="CR96" s="8"/>
      <c r="CS96" s="8"/>
      <c r="CT96" s="8"/>
      <c r="CU96" s="8"/>
      <c r="CV96" s="8"/>
      <c r="CW96" s="8"/>
      <c r="CX96" s="8"/>
      <c r="CY96" s="8"/>
      <c r="CZ96" s="8"/>
      <c r="DA96" s="8"/>
      <c r="DB96" s="8"/>
      <c r="DC96" s="8"/>
      <c r="DD96" s="8"/>
      <c r="DE96" s="8"/>
      <c r="DF96" s="8"/>
      <c r="DG96" s="8"/>
      <c r="DH96" s="8"/>
      <c r="DI96" s="8"/>
      <c r="DJ96" s="8"/>
      <c r="DK96" s="8"/>
      <c r="DL96" s="8"/>
      <c r="DM96" s="8"/>
      <c r="DN96" s="8"/>
      <c r="DO96" s="8"/>
      <c r="DP96" s="8"/>
      <c r="DQ96" s="8"/>
      <c r="DR96" s="8"/>
      <c r="DS96" s="8"/>
      <c r="DT96" s="8"/>
      <c r="DU96" s="8"/>
    </row>
    <row r="97" spans="1:125" s="1" customFormat="1" ht="20.100000000000001" customHeight="1" x14ac:dyDescent="0.25">
      <c r="A97" s="59" t="s">
        <v>327</v>
      </c>
      <c r="B97" s="84">
        <v>95</v>
      </c>
      <c r="C97" s="85" t="s">
        <v>100</v>
      </c>
      <c r="D97" s="60">
        <v>0</v>
      </c>
      <c r="E97" s="61">
        <f t="shared" si="12"/>
        <v>0</v>
      </c>
      <c r="F97" s="60">
        <v>0</v>
      </c>
      <c r="G97" s="61">
        <f t="shared" si="13"/>
        <v>0</v>
      </c>
      <c r="H97" s="60">
        <v>0</v>
      </c>
      <c r="I97" s="61">
        <f t="shared" si="14"/>
        <v>0</v>
      </c>
      <c r="J97" s="60">
        <v>0</v>
      </c>
      <c r="K97" s="61">
        <f t="shared" si="15"/>
        <v>0</v>
      </c>
      <c r="L97" s="62"/>
      <c r="M97" s="61">
        <f t="shared" si="16"/>
        <v>0</v>
      </c>
      <c r="N97" s="63">
        <v>0</v>
      </c>
      <c r="O97" s="61">
        <f t="shared" si="17"/>
        <v>0</v>
      </c>
      <c r="P97" s="60">
        <v>0</v>
      </c>
      <c r="Q97" s="61">
        <f t="shared" si="18"/>
        <v>0</v>
      </c>
      <c r="R97" s="60">
        <v>0</v>
      </c>
      <c r="S97" s="61">
        <f t="shared" si="19"/>
        <v>0</v>
      </c>
      <c r="T97" s="60">
        <v>0</v>
      </c>
      <c r="U97" s="64">
        <f t="shared" si="20"/>
        <v>0</v>
      </c>
      <c r="V97" s="65">
        <v>0</v>
      </c>
      <c r="W97" s="66">
        <f t="shared" si="21"/>
        <v>0</v>
      </c>
      <c r="X97" s="67">
        <f t="shared" si="22"/>
        <v>0</v>
      </c>
      <c r="Y97" s="57" t="str">
        <f t="shared" si="23"/>
        <v>NIL PLEASE PURCHASE</v>
      </c>
      <c r="Z97" s="68" t="s">
        <v>1539</v>
      </c>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c r="CJ97" s="8"/>
      <c r="CK97" s="8"/>
      <c r="CL97" s="8"/>
      <c r="CM97" s="8"/>
      <c r="CN97" s="8"/>
      <c r="CO97" s="8"/>
      <c r="CP97" s="8"/>
      <c r="CQ97" s="8"/>
      <c r="CR97" s="8"/>
      <c r="CS97" s="8"/>
      <c r="CT97" s="8"/>
      <c r="CU97" s="8"/>
      <c r="CV97" s="8"/>
      <c r="CW97" s="8"/>
      <c r="CX97" s="8"/>
      <c r="CY97" s="8"/>
      <c r="CZ97" s="8"/>
      <c r="DA97" s="8"/>
      <c r="DB97" s="8"/>
      <c r="DC97" s="8"/>
      <c r="DD97" s="8"/>
      <c r="DE97" s="8"/>
      <c r="DF97" s="8"/>
      <c r="DG97" s="8"/>
      <c r="DH97" s="8"/>
      <c r="DI97" s="8"/>
      <c r="DJ97" s="8"/>
      <c r="DK97" s="8"/>
      <c r="DL97" s="8"/>
      <c r="DM97" s="8"/>
      <c r="DN97" s="8"/>
      <c r="DO97" s="8"/>
      <c r="DP97" s="8"/>
      <c r="DQ97" s="8"/>
      <c r="DR97" s="8"/>
      <c r="DS97" s="8"/>
      <c r="DT97" s="8"/>
      <c r="DU97" s="8"/>
    </row>
    <row r="98" spans="1:125" s="1" customFormat="1" ht="20.100000000000001" customHeight="1" x14ac:dyDescent="0.25">
      <c r="A98" s="59" t="s">
        <v>328</v>
      </c>
      <c r="B98" s="84">
        <v>96</v>
      </c>
      <c r="C98" s="85" t="s">
        <v>101</v>
      </c>
      <c r="D98" s="60">
        <v>0</v>
      </c>
      <c r="E98" s="61">
        <f t="shared" si="12"/>
        <v>0</v>
      </c>
      <c r="F98" s="60">
        <v>0</v>
      </c>
      <c r="G98" s="61">
        <f t="shared" si="13"/>
        <v>0</v>
      </c>
      <c r="H98" s="60">
        <v>0</v>
      </c>
      <c r="I98" s="61">
        <f t="shared" si="14"/>
        <v>0</v>
      </c>
      <c r="J98" s="60">
        <v>0</v>
      </c>
      <c r="K98" s="61">
        <f t="shared" si="15"/>
        <v>0</v>
      </c>
      <c r="L98" s="62"/>
      <c r="M98" s="61">
        <f t="shared" si="16"/>
        <v>0</v>
      </c>
      <c r="N98" s="63">
        <v>0</v>
      </c>
      <c r="O98" s="61">
        <f t="shared" si="17"/>
        <v>0</v>
      </c>
      <c r="P98" s="60">
        <v>0</v>
      </c>
      <c r="Q98" s="61">
        <f t="shared" si="18"/>
        <v>0</v>
      </c>
      <c r="R98" s="60">
        <v>0</v>
      </c>
      <c r="S98" s="61">
        <f t="shared" si="19"/>
        <v>0</v>
      </c>
      <c r="T98" s="60">
        <v>0</v>
      </c>
      <c r="U98" s="64">
        <f t="shared" si="20"/>
        <v>0</v>
      </c>
      <c r="V98" s="65">
        <v>0</v>
      </c>
      <c r="W98" s="66">
        <f t="shared" si="21"/>
        <v>0</v>
      </c>
      <c r="X98" s="67">
        <f t="shared" si="22"/>
        <v>0</v>
      </c>
      <c r="Y98" s="57" t="str">
        <f t="shared" si="23"/>
        <v>NIL PLEASE PURCHASE</v>
      </c>
      <c r="Z98" s="68" t="s">
        <v>1539</v>
      </c>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c r="CM98" s="8"/>
      <c r="CN98" s="8"/>
      <c r="CO98" s="8"/>
      <c r="CP98" s="8"/>
      <c r="CQ98" s="8"/>
      <c r="CR98" s="8"/>
      <c r="CS98" s="8"/>
      <c r="CT98" s="8"/>
      <c r="CU98" s="8"/>
      <c r="CV98" s="8"/>
      <c r="CW98" s="8"/>
      <c r="CX98" s="8"/>
      <c r="CY98" s="8"/>
      <c r="CZ98" s="8"/>
      <c r="DA98" s="8"/>
      <c r="DB98" s="8"/>
      <c r="DC98" s="8"/>
      <c r="DD98" s="8"/>
      <c r="DE98" s="8"/>
      <c r="DF98" s="8"/>
      <c r="DG98" s="8"/>
      <c r="DH98" s="8"/>
      <c r="DI98" s="8"/>
      <c r="DJ98" s="8"/>
      <c r="DK98" s="8"/>
      <c r="DL98" s="8"/>
      <c r="DM98" s="8"/>
      <c r="DN98" s="8"/>
      <c r="DO98" s="8"/>
      <c r="DP98" s="8"/>
      <c r="DQ98" s="8"/>
      <c r="DR98" s="8"/>
      <c r="DS98" s="8"/>
      <c r="DT98" s="8"/>
      <c r="DU98" s="8"/>
    </row>
    <row r="99" spans="1:125" s="1" customFormat="1" ht="20.100000000000001" customHeight="1" x14ac:dyDescent="0.25">
      <c r="A99" s="59" t="s">
        <v>329</v>
      </c>
      <c r="B99" s="84">
        <v>97</v>
      </c>
      <c r="C99" s="85" t="s">
        <v>102</v>
      </c>
      <c r="D99" s="60">
        <v>0</v>
      </c>
      <c r="E99" s="61">
        <f t="shared" si="12"/>
        <v>0</v>
      </c>
      <c r="F99" s="60">
        <v>0</v>
      </c>
      <c r="G99" s="61">
        <f t="shared" si="13"/>
        <v>0</v>
      </c>
      <c r="H99" s="60">
        <v>0</v>
      </c>
      <c r="I99" s="61">
        <f t="shared" si="14"/>
        <v>0</v>
      </c>
      <c r="J99" s="60">
        <v>0</v>
      </c>
      <c r="K99" s="61">
        <f t="shared" si="15"/>
        <v>0</v>
      </c>
      <c r="L99" s="62"/>
      <c r="M99" s="61">
        <f t="shared" si="16"/>
        <v>0</v>
      </c>
      <c r="N99" s="63">
        <v>0</v>
      </c>
      <c r="O99" s="61">
        <f t="shared" si="17"/>
        <v>0</v>
      </c>
      <c r="P99" s="60">
        <v>0</v>
      </c>
      <c r="Q99" s="61">
        <f t="shared" si="18"/>
        <v>0</v>
      </c>
      <c r="R99" s="60">
        <v>0</v>
      </c>
      <c r="S99" s="61">
        <f t="shared" si="19"/>
        <v>0</v>
      </c>
      <c r="T99" s="60">
        <v>0</v>
      </c>
      <c r="U99" s="64">
        <f t="shared" si="20"/>
        <v>0</v>
      </c>
      <c r="V99" s="65">
        <v>0</v>
      </c>
      <c r="W99" s="66">
        <f t="shared" si="21"/>
        <v>0</v>
      </c>
      <c r="X99" s="67">
        <f t="shared" si="22"/>
        <v>0</v>
      </c>
      <c r="Y99" s="57" t="str">
        <f t="shared" si="23"/>
        <v>NIL PLEASE PURCHASE</v>
      </c>
      <c r="Z99" s="68" t="s">
        <v>1539</v>
      </c>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c r="CM99" s="8"/>
      <c r="CN99" s="8"/>
      <c r="CO99" s="8"/>
      <c r="CP99" s="8"/>
      <c r="CQ99" s="8"/>
      <c r="CR99" s="8"/>
      <c r="CS99" s="8"/>
      <c r="CT99" s="8"/>
      <c r="CU99" s="8"/>
      <c r="CV99" s="8"/>
      <c r="CW99" s="8"/>
      <c r="CX99" s="8"/>
      <c r="CY99" s="8"/>
      <c r="CZ99" s="8"/>
      <c r="DA99" s="8"/>
      <c r="DB99" s="8"/>
      <c r="DC99" s="8"/>
      <c r="DD99" s="8"/>
      <c r="DE99" s="8"/>
      <c r="DF99" s="8"/>
      <c r="DG99" s="8"/>
      <c r="DH99" s="8"/>
      <c r="DI99" s="8"/>
      <c r="DJ99" s="8"/>
      <c r="DK99" s="8"/>
      <c r="DL99" s="8"/>
      <c r="DM99" s="8"/>
      <c r="DN99" s="8"/>
      <c r="DO99" s="8"/>
      <c r="DP99" s="8"/>
      <c r="DQ99" s="8"/>
      <c r="DR99" s="8"/>
      <c r="DS99" s="8"/>
      <c r="DT99" s="8"/>
      <c r="DU99" s="8"/>
    </row>
    <row r="100" spans="1:125" s="1" customFormat="1" ht="20.100000000000001" customHeight="1" x14ac:dyDescent="0.25">
      <c r="A100" s="59" t="s">
        <v>330</v>
      </c>
      <c r="B100" s="84">
        <v>98</v>
      </c>
      <c r="C100" s="85" t="s">
        <v>103</v>
      </c>
      <c r="D100" s="60">
        <v>0</v>
      </c>
      <c r="E100" s="61">
        <f t="shared" si="12"/>
        <v>0</v>
      </c>
      <c r="F100" s="60">
        <v>0</v>
      </c>
      <c r="G100" s="61">
        <f t="shared" si="13"/>
        <v>0</v>
      </c>
      <c r="H100" s="60">
        <v>0</v>
      </c>
      <c r="I100" s="61">
        <f t="shared" si="14"/>
        <v>0</v>
      </c>
      <c r="J100" s="60">
        <v>0</v>
      </c>
      <c r="K100" s="61">
        <f t="shared" si="15"/>
        <v>0</v>
      </c>
      <c r="L100" s="62"/>
      <c r="M100" s="61">
        <f t="shared" si="16"/>
        <v>0</v>
      </c>
      <c r="N100" s="63">
        <v>0</v>
      </c>
      <c r="O100" s="61">
        <f t="shared" si="17"/>
        <v>0</v>
      </c>
      <c r="P100" s="60">
        <v>0</v>
      </c>
      <c r="Q100" s="61">
        <f t="shared" si="18"/>
        <v>0</v>
      </c>
      <c r="R100" s="60">
        <v>0</v>
      </c>
      <c r="S100" s="61">
        <f t="shared" si="19"/>
        <v>0</v>
      </c>
      <c r="T100" s="60">
        <v>0</v>
      </c>
      <c r="U100" s="64">
        <f t="shared" si="20"/>
        <v>0</v>
      </c>
      <c r="V100" s="65">
        <v>0</v>
      </c>
      <c r="W100" s="66">
        <f t="shared" si="21"/>
        <v>0</v>
      </c>
      <c r="X100" s="67">
        <f t="shared" si="22"/>
        <v>0</v>
      </c>
      <c r="Y100" s="57" t="str">
        <f t="shared" si="23"/>
        <v>NIL PLEASE PURCHASE</v>
      </c>
      <c r="Z100" s="68" t="s">
        <v>1539</v>
      </c>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c r="CJ100" s="8"/>
      <c r="CK100" s="8"/>
      <c r="CL100" s="8"/>
      <c r="CM100" s="8"/>
      <c r="CN100" s="8"/>
      <c r="CO100" s="8"/>
      <c r="CP100" s="8"/>
      <c r="CQ100" s="8"/>
      <c r="CR100" s="8"/>
      <c r="CS100" s="8"/>
      <c r="CT100" s="8"/>
      <c r="CU100" s="8"/>
      <c r="CV100" s="8"/>
      <c r="CW100" s="8"/>
      <c r="CX100" s="8"/>
      <c r="CY100" s="8"/>
      <c r="CZ100" s="8"/>
      <c r="DA100" s="8"/>
      <c r="DB100" s="8"/>
      <c r="DC100" s="8"/>
      <c r="DD100" s="8"/>
      <c r="DE100" s="8"/>
      <c r="DF100" s="8"/>
      <c r="DG100" s="8"/>
      <c r="DH100" s="8"/>
      <c r="DI100" s="8"/>
      <c r="DJ100" s="8"/>
      <c r="DK100" s="8"/>
      <c r="DL100" s="8"/>
      <c r="DM100" s="8"/>
      <c r="DN100" s="8"/>
      <c r="DO100" s="8"/>
      <c r="DP100" s="8"/>
      <c r="DQ100" s="8"/>
      <c r="DR100" s="8"/>
      <c r="DS100" s="8"/>
      <c r="DT100" s="8"/>
      <c r="DU100" s="8"/>
    </row>
    <row r="101" spans="1:125" s="1" customFormat="1" ht="20.100000000000001" customHeight="1" x14ac:dyDescent="0.25">
      <c r="A101" s="59" t="s">
        <v>331</v>
      </c>
      <c r="B101" s="84">
        <v>99</v>
      </c>
      <c r="C101" s="85" t="s">
        <v>104</v>
      </c>
      <c r="D101" s="60">
        <v>0</v>
      </c>
      <c r="E101" s="61">
        <f t="shared" si="12"/>
        <v>0</v>
      </c>
      <c r="F101" s="60">
        <v>0</v>
      </c>
      <c r="G101" s="61">
        <f t="shared" si="13"/>
        <v>0</v>
      </c>
      <c r="H101" s="60">
        <v>0</v>
      </c>
      <c r="I101" s="61">
        <f t="shared" si="14"/>
        <v>0</v>
      </c>
      <c r="J101" s="60">
        <v>0</v>
      </c>
      <c r="K101" s="61">
        <f t="shared" si="15"/>
        <v>0</v>
      </c>
      <c r="L101" s="62"/>
      <c r="M101" s="61">
        <f t="shared" si="16"/>
        <v>0</v>
      </c>
      <c r="N101" s="63">
        <v>0</v>
      </c>
      <c r="O101" s="61">
        <f t="shared" si="17"/>
        <v>0</v>
      </c>
      <c r="P101" s="60">
        <v>0</v>
      </c>
      <c r="Q101" s="61">
        <f t="shared" si="18"/>
        <v>0</v>
      </c>
      <c r="R101" s="60">
        <v>0</v>
      </c>
      <c r="S101" s="61">
        <f t="shared" si="19"/>
        <v>0</v>
      </c>
      <c r="T101" s="60">
        <v>0</v>
      </c>
      <c r="U101" s="64">
        <f t="shared" si="20"/>
        <v>0</v>
      </c>
      <c r="V101" s="65">
        <v>0</v>
      </c>
      <c r="W101" s="66">
        <f t="shared" si="21"/>
        <v>0</v>
      </c>
      <c r="X101" s="67">
        <f t="shared" si="22"/>
        <v>0</v>
      </c>
      <c r="Y101" s="57" t="str">
        <f t="shared" si="23"/>
        <v>NIL PLEASE PURCHASE</v>
      </c>
      <c r="Z101" s="68" t="s">
        <v>1539</v>
      </c>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c r="CJ101" s="8"/>
      <c r="CK101" s="8"/>
      <c r="CL101" s="8"/>
      <c r="CM101" s="8"/>
      <c r="CN101" s="8"/>
      <c r="CO101" s="8"/>
      <c r="CP101" s="8"/>
      <c r="CQ101" s="8"/>
      <c r="CR101" s="8"/>
      <c r="CS101" s="8"/>
      <c r="CT101" s="8"/>
      <c r="CU101" s="8"/>
      <c r="CV101" s="8"/>
      <c r="CW101" s="8"/>
      <c r="CX101" s="8"/>
      <c r="CY101" s="8"/>
      <c r="CZ101" s="8"/>
      <c r="DA101" s="8"/>
      <c r="DB101" s="8"/>
      <c r="DC101" s="8"/>
      <c r="DD101" s="8"/>
      <c r="DE101" s="8"/>
      <c r="DF101" s="8"/>
      <c r="DG101" s="8"/>
      <c r="DH101" s="8"/>
      <c r="DI101" s="8"/>
      <c r="DJ101" s="8"/>
      <c r="DK101" s="8"/>
      <c r="DL101" s="8"/>
      <c r="DM101" s="8"/>
      <c r="DN101" s="8"/>
      <c r="DO101" s="8"/>
      <c r="DP101" s="8"/>
      <c r="DQ101" s="8"/>
      <c r="DR101" s="8"/>
      <c r="DS101" s="8"/>
      <c r="DT101" s="8"/>
      <c r="DU101" s="8"/>
    </row>
    <row r="102" spans="1:125" s="1" customFormat="1" ht="22.5" customHeight="1" x14ac:dyDescent="0.25">
      <c r="A102" s="59" t="s">
        <v>332</v>
      </c>
      <c r="B102" s="84">
        <v>100</v>
      </c>
      <c r="C102" s="85" t="s">
        <v>105</v>
      </c>
      <c r="D102" s="60">
        <v>0</v>
      </c>
      <c r="E102" s="61">
        <f t="shared" si="12"/>
        <v>0</v>
      </c>
      <c r="F102" s="60">
        <v>0</v>
      </c>
      <c r="G102" s="61">
        <f t="shared" si="13"/>
        <v>0</v>
      </c>
      <c r="H102" s="60">
        <v>0</v>
      </c>
      <c r="I102" s="61">
        <f t="shared" si="14"/>
        <v>0</v>
      </c>
      <c r="J102" s="60">
        <v>0</v>
      </c>
      <c r="K102" s="61">
        <f t="shared" si="15"/>
        <v>0</v>
      </c>
      <c r="L102" s="62"/>
      <c r="M102" s="61">
        <f t="shared" si="16"/>
        <v>0</v>
      </c>
      <c r="N102" s="63">
        <v>3</v>
      </c>
      <c r="O102" s="61">
        <f t="shared" si="17"/>
        <v>1500</v>
      </c>
      <c r="P102" s="60">
        <v>0</v>
      </c>
      <c r="Q102" s="61">
        <f t="shared" si="18"/>
        <v>0</v>
      </c>
      <c r="R102" s="60">
        <v>0</v>
      </c>
      <c r="S102" s="61">
        <f t="shared" si="19"/>
        <v>0</v>
      </c>
      <c r="T102" s="60">
        <v>0</v>
      </c>
      <c r="U102" s="64">
        <f t="shared" si="20"/>
        <v>0</v>
      </c>
      <c r="V102" s="65">
        <v>0</v>
      </c>
      <c r="W102" s="66">
        <f t="shared" si="21"/>
        <v>1500</v>
      </c>
      <c r="X102" s="67">
        <f t="shared" si="22"/>
        <v>1.5</v>
      </c>
      <c r="Y102" s="57" t="str">
        <f t="shared" si="23"/>
        <v>STOCK</v>
      </c>
      <c r="Z102" s="68" t="s">
        <v>1538</v>
      </c>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c r="CJ102" s="8"/>
      <c r="CK102" s="8"/>
      <c r="CL102" s="8"/>
      <c r="CM102" s="8"/>
      <c r="CN102" s="8"/>
      <c r="CO102" s="8"/>
      <c r="CP102" s="8"/>
      <c r="CQ102" s="8"/>
      <c r="CR102" s="8"/>
      <c r="CS102" s="8"/>
      <c r="CT102" s="8"/>
      <c r="CU102" s="8"/>
      <c r="CV102" s="8"/>
      <c r="CW102" s="8"/>
      <c r="CX102" s="8"/>
      <c r="CY102" s="8"/>
      <c r="CZ102" s="8"/>
      <c r="DA102" s="8"/>
      <c r="DB102" s="8"/>
      <c r="DC102" s="8"/>
      <c r="DD102" s="8"/>
      <c r="DE102" s="8"/>
      <c r="DF102" s="8"/>
      <c r="DG102" s="8"/>
      <c r="DH102" s="8"/>
      <c r="DI102" s="8"/>
      <c r="DJ102" s="8"/>
      <c r="DK102" s="8"/>
      <c r="DL102" s="8"/>
      <c r="DM102" s="8"/>
      <c r="DN102" s="8"/>
      <c r="DO102" s="8"/>
      <c r="DP102" s="8"/>
      <c r="DQ102" s="8"/>
      <c r="DR102" s="8"/>
      <c r="DS102" s="8"/>
      <c r="DT102" s="8"/>
      <c r="DU102" s="8"/>
    </row>
    <row r="103" spans="1:125" s="1" customFormat="1" ht="20.100000000000001" customHeight="1" x14ac:dyDescent="0.25">
      <c r="A103" s="59" t="s">
        <v>333</v>
      </c>
      <c r="B103" s="84">
        <v>101</v>
      </c>
      <c r="C103" s="85" t="s">
        <v>106</v>
      </c>
      <c r="D103" s="60">
        <v>0</v>
      </c>
      <c r="E103" s="61">
        <f t="shared" si="12"/>
        <v>0</v>
      </c>
      <c r="F103" s="60">
        <v>0</v>
      </c>
      <c r="G103" s="61">
        <f t="shared" si="13"/>
        <v>0</v>
      </c>
      <c r="H103" s="60">
        <v>0</v>
      </c>
      <c r="I103" s="61">
        <f t="shared" si="14"/>
        <v>0</v>
      </c>
      <c r="J103" s="60">
        <v>0</v>
      </c>
      <c r="K103" s="61">
        <f t="shared" si="15"/>
        <v>0</v>
      </c>
      <c r="L103" s="62"/>
      <c r="M103" s="61">
        <f t="shared" si="16"/>
        <v>0</v>
      </c>
      <c r="N103" s="63">
        <v>0</v>
      </c>
      <c r="O103" s="61">
        <f t="shared" si="17"/>
        <v>0</v>
      </c>
      <c r="P103" s="60">
        <v>0</v>
      </c>
      <c r="Q103" s="61">
        <f t="shared" si="18"/>
        <v>0</v>
      </c>
      <c r="R103" s="60">
        <v>0</v>
      </c>
      <c r="S103" s="61">
        <f t="shared" si="19"/>
        <v>0</v>
      </c>
      <c r="T103" s="60">
        <v>0</v>
      </c>
      <c r="U103" s="64">
        <f t="shared" si="20"/>
        <v>0</v>
      </c>
      <c r="V103" s="65">
        <v>0</v>
      </c>
      <c r="W103" s="66">
        <f t="shared" si="21"/>
        <v>0</v>
      </c>
      <c r="X103" s="67">
        <f t="shared" si="22"/>
        <v>0</v>
      </c>
      <c r="Y103" s="57" t="str">
        <f t="shared" si="23"/>
        <v>NIL PLEASE PURCHASE</v>
      </c>
      <c r="Z103" s="68" t="s">
        <v>1539</v>
      </c>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c r="CJ103" s="8"/>
      <c r="CK103" s="8"/>
      <c r="CL103" s="8"/>
      <c r="CM103" s="8"/>
      <c r="CN103" s="8"/>
      <c r="CO103" s="8"/>
      <c r="CP103" s="8"/>
      <c r="CQ103" s="8"/>
      <c r="CR103" s="8"/>
      <c r="CS103" s="8"/>
      <c r="CT103" s="8"/>
      <c r="CU103" s="8"/>
      <c r="CV103" s="8"/>
      <c r="CW103" s="8"/>
      <c r="CX103" s="8"/>
      <c r="CY103" s="8"/>
      <c r="CZ103" s="8"/>
      <c r="DA103" s="8"/>
      <c r="DB103" s="8"/>
      <c r="DC103" s="8"/>
      <c r="DD103" s="8"/>
      <c r="DE103" s="8"/>
      <c r="DF103" s="8"/>
      <c r="DG103" s="8"/>
      <c r="DH103" s="8"/>
      <c r="DI103" s="8"/>
      <c r="DJ103" s="8"/>
      <c r="DK103" s="8"/>
      <c r="DL103" s="8"/>
      <c r="DM103" s="8"/>
      <c r="DN103" s="8"/>
      <c r="DO103" s="8"/>
      <c r="DP103" s="8"/>
      <c r="DQ103" s="8"/>
      <c r="DR103" s="8"/>
      <c r="DS103" s="8"/>
      <c r="DT103" s="8"/>
      <c r="DU103" s="8"/>
    </row>
    <row r="104" spans="1:125" s="1" customFormat="1" ht="22.5" customHeight="1" x14ac:dyDescent="0.25">
      <c r="A104" s="59" t="s">
        <v>334</v>
      </c>
      <c r="B104" s="84">
        <v>102</v>
      </c>
      <c r="C104" s="85" t="s">
        <v>107</v>
      </c>
      <c r="D104" s="60">
        <v>0</v>
      </c>
      <c r="E104" s="61">
        <f t="shared" si="12"/>
        <v>0</v>
      </c>
      <c r="F104" s="60">
        <v>0</v>
      </c>
      <c r="G104" s="61">
        <f t="shared" si="13"/>
        <v>0</v>
      </c>
      <c r="H104" s="60">
        <v>0</v>
      </c>
      <c r="I104" s="61">
        <f t="shared" si="14"/>
        <v>0</v>
      </c>
      <c r="J104" s="60">
        <v>0</v>
      </c>
      <c r="K104" s="61">
        <f t="shared" si="15"/>
        <v>0</v>
      </c>
      <c r="L104" s="62"/>
      <c r="M104" s="61">
        <f t="shared" si="16"/>
        <v>0</v>
      </c>
      <c r="N104" s="63">
        <v>21</v>
      </c>
      <c r="O104" s="61">
        <f t="shared" si="17"/>
        <v>10500</v>
      </c>
      <c r="P104" s="60">
        <v>0</v>
      </c>
      <c r="Q104" s="61">
        <f t="shared" si="18"/>
        <v>0</v>
      </c>
      <c r="R104" s="60">
        <v>0</v>
      </c>
      <c r="S104" s="61">
        <f t="shared" si="19"/>
        <v>0</v>
      </c>
      <c r="T104" s="60">
        <v>0</v>
      </c>
      <c r="U104" s="64">
        <f t="shared" si="20"/>
        <v>0</v>
      </c>
      <c r="V104" s="65">
        <v>0</v>
      </c>
      <c r="W104" s="66">
        <f t="shared" si="21"/>
        <v>10500</v>
      </c>
      <c r="X104" s="67">
        <f t="shared" si="22"/>
        <v>10.5</v>
      </c>
      <c r="Y104" s="57" t="str">
        <f t="shared" si="23"/>
        <v>STOCK</v>
      </c>
      <c r="Z104" s="68" t="s">
        <v>1538</v>
      </c>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c r="CJ104" s="8"/>
      <c r="CK104" s="8"/>
      <c r="CL104" s="8"/>
      <c r="CM104" s="8"/>
      <c r="CN104" s="8"/>
      <c r="CO104" s="8"/>
      <c r="CP104" s="8"/>
      <c r="CQ104" s="8"/>
      <c r="CR104" s="8"/>
      <c r="CS104" s="8"/>
      <c r="CT104" s="8"/>
      <c r="CU104" s="8"/>
      <c r="CV104" s="8"/>
      <c r="CW104" s="8"/>
      <c r="CX104" s="8"/>
      <c r="CY104" s="8"/>
      <c r="CZ104" s="8"/>
      <c r="DA104" s="8"/>
      <c r="DB104" s="8"/>
      <c r="DC104" s="8"/>
      <c r="DD104" s="8"/>
      <c r="DE104" s="8"/>
      <c r="DF104" s="8"/>
      <c r="DG104" s="8"/>
      <c r="DH104" s="8"/>
      <c r="DI104" s="8"/>
      <c r="DJ104" s="8"/>
      <c r="DK104" s="8"/>
      <c r="DL104" s="8"/>
      <c r="DM104" s="8"/>
      <c r="DN104" s="8"/>
      <c r="DO104" s="8"/>
      <c r="DP104" s="8"/>
      <c r="DQ104" s="8"/>
      <c r="DR104" s="8"/>
      <c r="DS104" s="8"/>
      <c r="DT104" s="8"/>
      <c r="DU104" s="8"/>
    </row>
    <row r="105" spans="1:125" s="1" customFormat="1" ht="20.100000000000001" customHeight="1" x14ac:dyDescent="0.25">
      <c r="A105" s="59" t="s">
        <v>335</v>
      </c>
      <c r="B105" s="84">
        <v>103</v>
      </c>
      <c r="C105" s="85" t="s">
        <v>108</v>
      </c>
      <c r="D105" s="60">
        <v>0</v>
      </c>
      <c r="E105" s="61">
        <f t="shared" si="12"/>
        <v>0</v>
      </c>
      <c r="F105" s="60">
        <v>0</v>
      </c>
      <c r="G105" s="61">
        <f t="shared" si="13"/>
        <v>0</v>
      </c>
      <c r="H105" s="60">
        <v>0</v>
      </c>
      <c r="I105" s="61">
        <f t="shared" si="14"/>
        <v>0</v>
      </c>
      <c r="J105" s="60">
        <v>0</v>
      </c>
      <c r="K105" s="61">
        <f t="shared" si="15"/>
        <v>0</v>
      </c>
      <c r="L105" s="62"/>
      <c r="M105" s="61">
        <f t="shared" si="16"/>
        <v>0</v>
      </c>
      <c r="N105" s="63">
        <v>0</v>
      </c>
      <c r="O105" s="61">
        <f t="shared" si="17"/>
        <v>0</v>
      </c>
      <c r="P105" s="60">
        <v>0</v>
      </c>
      <c r="Q105" s="61">
        <f t="shared" si="18"/>
        <v>0</v>
      </c>
      <c r="R105" s="60">
        <v>0</v>
      </c>
      <c r="S105" s="61">
        <f t="shared" si="19"/>
        <v>0</v>
      </c>
      <c r="T105" s="60">
        <v>0</v>
      </c>
      <c r="U105" s="64">
        <f t="shared" si="20"/>
        <v>0</v>
      </c>
      <c r="V105" s="65">
        <v>0</v>
      </c>
      <c r="W105" s="66">
        <f t="shared" si="21"/>
        <v>0</v>
      </c>
      <c r="X105" s="67">
        <f t="shared" si="22"/>
        <v>0</v>
      </c>
      <c r="Y105" s="57" t="str">
        <f t="shared" si="23"/>
        <v>NIL PLEASE PURCHASE</v>
      </c>
      <c r="Z105" s="68" t="s">
        <v>1539</v>
      </c>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c r="CL105" s="8"/>
      <c r="CM105" s="8"/>
      <c r="CN105" s="8"/>
      <c r="CO105" s="8"/>
      <c r="CP105" s="8"/>
      <c r="CQ105" s="8"/>
      <c r="CR105" s="8"/>
      <c r="CS105" s="8"/>
      <c r="CT105" s="8"/>
      <c r="CU105" s="8"/>
      <c r="CV105" s="8"/>
      <c r="CW105" s="8"/>
      <c r="CX105" s="8"/>
      <c r="CY105" s="8"/>
      <c r="CZ105" s="8"/>
      <c r="DA105" s="8"/>
      <c r="DB105" s="8"/>
      <c r="DC105" s="8"/>
      <c r="DD105" s="8"/>
      <c r="DE105" s="8"/>
      <c r="DF105" s="8"/>
      <c r="DG105" s="8"/>
      <c r="DH105" s="8"/>
      <c r="DI105" s="8"/>
      <c r="DJ105" s="8"/>
      <c r="DK105" s="8"/>
      <c r="DL105" s="8"/>
      <c r="DM105" s="8"/>
      <c r="DN105" s="8"/>
      <c r="DO105" s="8"/>
      <c r="DP105" s="8"/>
      <c r="DQ105" s="8"/>
      <c r="DR105" s="8"/>
      <c r="DS105" s="8"/>
      <c r="DT105" s="8"/>
      <c r="DU105" s="8"/>
    </row>
    <row r="106" spans="1:125" s="1" customFormat="1" ht="20.100000000000001" customHeight="1" x14ac:dyDescent="0.25">
      <c r="A106" s="59" t="s">
        <v>336</v>
      </c>
      <c r="B106" s="84">
        <v>104</v>
      </c>
      <c r="C106" s="85" t="s">
        <v>109</v>
      </c>
      <c r="D106" s="60">
        <v>0</v>
      </c>
      <c r="E106" s="61">
        <f t="shared" si="12"/>
        <v>0</v>
      </c>
      <c r="F106" s="60">
        <v>0</v>
      </c>
      <c r="G106" s="61">
        <f t="shared" si="13"/>
        <v>0</v>
      </c>
      <c r="H106" s="60">
        <v>0</v>
      </c>
      <c r="I106" s="61">
        <f t="shared" si="14"/>
        <v>0</v>
      </c>
      <c r="J106" s="60">
        <v>0</v>
      </c>
      <c r="K106" s="61">
        <f t="shared" si="15"/>
        <v>0</v>
      </c>
      <c r="L106" s="62"/>
      <c r="M106" s="61">
        <f t="shared" si="16"/>
        <v>0</v>
      </c>
      <c r="N106" s="63">
        <v>0</v>
      </c>
      <c r="O106" s="61">
        <f t="shared" si="17"/>
        <v>0</v>
      </c>
      <c r="P106" s="60">
        <v>0</v>
      </c>
      <c r="Q106" s="61">
        <f t="shared" si="18"/>
        <v>0</v>
      </c>
      <c r="R106" s="60">
        <v>0</v>
      </c>
      <c r="S106" s="61">
        <f t="shared" si="19"/>
        <v>0</v>
      </c>
      <c r="T106" s="60">
        <v>0</v>
      </c>
      <c r="U106" s="64">
        <f t="shared" si="20"/>
        <v>0</v>
      </c>
      <c r="V106" s="65">
        <v>0</v>
      </c>
      <c r="W106" s="66">
        <f t="shared" si="21"/>
        <v>0</v>
      </c>
      <c r="X106" s="67">
        <f t="shared" si="22"/>
        <v>0</v>
      </c>
      <c r="Y106" s="57" t="str">
        <f t="shared" si="23"/>
        <v>NIL PLEASE PURCHASE</v>
      </c>
      <c r="Z106" s="68" t="s">
        <v>1539</v>
      </c>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c r="CJ106" s="8"/>
      <c r="CK106" s="8"/>
      <c r="CL106" s="8"/>
      <c r="CM106" s="8"/>
      <c r="CN106" s="8"/>
      <c r="CO106" s="8"/>
      <c r="CP106" s="8"/>
      <c r="CQ106" s="8"/>
      <c r="CR106" s="8"/>
      <c r="CS106" s="8"/>
      <c r="CT106" s="8"/>
      <c r="CU106" s="8"/>
      <c r="CV106" s="8"/>
      <c r="CW106" s="8"/>
      <c r="CX106" s="8"/>
      <c r="CY106" s="8"/>
      <c r="CZ106" s="8"/>
      <c r="DA106" s="8"/>
      <c r="DB106" s="8"/>
      <c r="DC106" s="8"/>
      <c r="DD106" s="8"/>
      <c r="DE106" s="8"/>
      <c r="DF106" s="8"/>
      <c r="DG106" s="8"/>
      <c r="DH106" s="8"/>
      <c r="DI106" s="8"/>
      <c r="DJ106" s="8"/>
      <c r="DK106" s="8"/>
      <c r="DL106" s="8"/>
      <c r="DM106" s="8"/>
      <c r="DN106" s="8"/>
      <c r="DO106" s="8"/>
      <c r="DP106" s="8"/>
      <c r="DQ106" s="8"/>
      <c r="DR106" s="8"/>
      <c r="DS106" s="8"/>
      <c r="DT106" s="8"/>
      <c r="DU106" s="8"/>
    </row>
    <row r="107" spans="1:125" s="1" customFormat="1" ht="22.5" customHeight="1" x14ac:dyDescent="0.25">
      <c r="A107" s="59" t="s">
        <v>337</v>
      </c>
      <c r="B107" s="84">
        <v>105</v>
      </c>
      <c r="C107" s="85" t="s">
        <v>110</v>
      </c>
      <c r="D107" s="60">
        <v>0</v>
      </c>
      <c r="E107" s="61">
        <f t="shared" si="12"/>
        <v>0</v>
      </c>
      <c r="F107" s="60">
        <v>0</v>
      </c>
      <c r="G107" s="61">
        <f t="shared" si="13"/>
        <v>0</v>
      </c>
      <c r="H107" s="60">
        <v>0</v>
      </c>
      <c r="I107" s="61">
        <f t="shared" si="14"/>
        <v>0</v>
      </c>
      <c r="J107" s="60">
        <v>0</v>
      </c>
      <c r="K107" s="61">
        <f t="shared" si="15"/>
        <v>0</v>
      </c>
      <c r="L107" s="62"/>
      <c r="M107" s="61">
        <f t="shared" si="16"/>
        <v>0</v>
      </c>
      <c r="N107" s="63">
        <v>1</v>
      </c>
      <c r="O107" s="61">
        <f t="shared" si="17"/>
        <v>500</v>
      </c>
      <c r="P107" s="60">
        <v>0</v>
      </c>
      <c r="Q107" s="61">
        <f t="shared" si="18"/>
        <v>0</v>
      </c>
      <c r="R107" s="60">
        <v>0</v>
      </c>
      <c r="S107" s="61">
        <f t="shared" si="19"/>
        <v>0</v>
      </c>
      <c r="T107" s="60">
        <v>0</v>
      </c>
      <c r="U107" s="64">
        <f t="shared" si="20"/>
        <v>0</v>
      </c>
      <c r="V107" s="65">
        <v>0</v>
      </c>
      <c r="W107" s="66">
        <f t="shared" si="21"/>
        <v>500</v>
      </c>
      <c r="X107" s="67">
        <f t="shared" si="22"/>
        <v>0.5</v>
      </c>
      <c r="Y107" s="57" t="str">
        <f t="shared" si="23"/>
        <v>STOCK</v>
      </c>
      <c r="Z107" s="68" t="s">
        <v>1538</v>
      </c>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c r="CJ107" s="8"/>
      <c r="CK107" s="8"/>
      <c r="CL107" s="8"/>
      <c r="CM107" s="8"/>
      <c r="CN107" s="8"/>
      <c r="CO107" s="8"/>
      <c r="CP107" s="8"/>
      <c r="CQ107" s="8"/>
      <c r="CR107" s="8"/>
      <c r="CS107" s="8"/>
      <c r="CT107" s="8"/>
      <c r="CU107" s="8"/>
      <c r="CV107" s="8"/>
      <c r="CW107" s="8"/>
      <c r="CX107" s="8"/>
      <c r="CY107" s="8"/>
      <c r="CZ107" s="8"/>
      <c r="DA107" s="8"/>
      <c r="DB107" s="8"/>
      <c r="DC107" s="8"/>
      <c r="DD107" s="8"/>
      <c r="DE107" s="8"/>
      <c r="DF107" s="8"/>
      <c r="DG107" s="8"/>
      <c r="DH107" s="8"/>
      <c r="DI107" s="8"/>
      <c r="DJ107" s="8"/>
      <c r="DK107" s="8"/>
      <c r="DL107" s="8"/>
      <c r="DM107" s="8"/>
      <c r="DN107" s="8"/>
      <c r="DO107" s="8"/>
      <c r="DP107" s="8"/>
      <c r="DQ107" s="8"/>
      <c r="DR107" s="8"/>
      <c r="DS107" s="8"/>
      <c r="DT107" s="8"/>
      <c r="DU107" s="8"/>
    </row>
    <row r="108" spans="1:125" s="1" customFormat="1" ht="20.100000000000001" customHeight="1" x14ac:dyDescent="0.25">
      <c r="A108" s="59" t="s">
        <v>338</v>
      </c>
      <c r="B108" s="84">
        <v>106</v>
      </c>
      <c r="C108" s="85" t="s">
        <v>111</v>
      </c>
      <c r="D108" s="60">
        <v>0</v>
      </c>
      <c r="E108" s="61">
        <f t="shared" si="12"/>
        <v>0</v>
      </c>
      <c r="F108" s="60">
        <v>0</v>
      </c>
      <c r="G108" s="61">
        <f t="shared" si="13"/>
        <v>0</v>
      </c>
      <c r="H108" s="60">
        <v>0</v>
      </c>
      <c r="I108" s="61">
        <f t="shared" si="14"/>
        <v>0</v>
      </c>
      <c r="J108" s="60">
        <v>0</v>
      </c>
      <c r="K108" s="61">
        <f t="shared" si="15"/>
        <v>0</v>
      </c>
      <c r="L108" s="62"/>
      <c r="M108" s="61">
        <f t="shared" si="16"/>
        <v>0</v>
      </c>
      <c r="N108" s="63">
        <v>0</v>
      </c>
      <c r="O108" s="61">
        <f t="shared" si="17"/>
        <v>0</v>
      </c>
      <c r="P108" s="60">
        <v>0</v>
      </c>
      <c r="Q108" s="61">
        <f t="shared" si="18"/>
        <v>0</v>
      </c>
      <c r="R108" s="60">
        <v>0</v>
      </c>
      <c r="S108" s="61">
        <f t="shared" si="19"/>
        <v>0</v>
      </c>
      <c r="T108" s="60">
        <v>0</v>
      </c>
      <c r="U108" s="64">
        <f t="shared" si="20"/>
        <v>0</v>
      </c>
      <c r="V108" s="65">
        <v>0</v>
      </c>
      <c r="W108" s="66">
        <f t="shared" si="21"/>
        <v>0</v>
      </c>
      <c r="X108" s="67">
        <f t="shared" si="22"/>
        <v>0</v>
      </c>
      <c r="Y108" s="57" t="str">
        <f t="shared" si="23"/>
        <v>NIL PLEASE PURCHASE</v>
      </c>
      <c r="Z108" s="68" t="s">
        <v>1539</v>
      </c>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c r="CJ108" s="8"/>
      <c r="CK108" s="8"/>
      <c r="CL108" s="8"/>
      <c r="CM108" s="8"/>
      <c r="CN108" s="8"/>
      <c r="CO108" s="8"/>
      <c r="CP108" s="8"/>
      <c r="CQ108" s="8"/>
      <c r="CR108" s="8"/>
      <c r="CS108" s="8"/>
      <c r="CT108" s="8"/>
      <c r="CU108" s="8"/>
      <c r="CV108" s="8"/>
      <c r="CW108" s="8"/>
      <c r="CX108" s="8"/>
      <c r="CY108" s="8"/>
      <c r="CZ108" s="8"/>
      <c r="DA108" s="8"/>
      <c r="DB108" s="8"/>
      <c r="DC108" s="8"/>
      <c r="DD108" s="8"/>
      <c r="DE108" s="8"/>
      <c r="DF108" s="8"/>
      <c r="DG108" s="8"/>
      <c r="DH108" s="8"/>
      <c r="DI108" s="8"/>
      <c r="DJ108" s="8"/>
      <c r="DK108" s="8"/>
      <c r="DL108" s="8"/>
      <c r="DM108" s="8"/>
      <c r="DN108" s="8"/>
      <c r="DO108" s="8"/>
      <c r="DP108" s="8"/>
      <c r="DQ108" s="8"/>
      <c r="DR108" s="8"/>
      <c r="DS108" s="8"/>
      <c r="DT108" s="8"/>
      <c r="DU108" s="8"/>
    </row>
    <row r="109" spans="1:125" s="1" customFormat="1" ht="20.100000000000001" customHeight="1" x14ac:dyDescent="0.25">
      <c r="A109" s="59" t="s">
        <v>339</v>
      </c>
      <c r="B109" s="84">
        <v>107</v>
      </c>
      <c r="C109" s="85" t="s">
        <v>112</v>
      </c>
      <c r="D109" s="60">
        <v>0</v>
      </c>
      <c r="E109" s="61">
        <f t="shared" si="12"/>
        <v>0</v>
      </c>
      <c r="F109" s="60">
        <v>0</v>
      </c>
      <c r="G109" s="61">
        <f t="shared" si="13"/>
        <v>0</v>
      </c>
      <c r="H109" s="60">
        <v>0</v>
      </c>
      <c r="I109" s="61">
        <f t="shared" si="14"/>
        <v>0</v>
      </c>
      <c r="J109" s="60">
        <v>0</v>
      </c>
      <c r="K109" s="61">
        <f t="shared" si="15"/>
        <v>0</v>
      </c>
      <c r="L109" s="62"/>
      <c r="M109" s="61">
        <f t="shared" si="16"/>
        <v>0</v>
      </c>
      <c r="N109" s="63">
        <v>0</v>
      </c>
      <c r="O109" s="61">
        <f t="shared" si="17"/>
        <v>0</v>
      </c>
      <c r="P109" s="60">
        <v>0</v>
      </c>
      <c r="Q109" s="61">
        <f t="shared" si="18"/>
        <v>0</v>
      </c>
      <c r="R109" s="60">
        <v>0</v>
      </c>
      <c r="S109" s="61">
        <f t="shared" si="19"/>
        <v>0</v>
      </c>
      <c r="T109" s="60">
        <v>0</v>
      </c>
      <c r="U109" s="64">
        <f t="shared" si="20"/>
        <v>0</v>
      </c>
      <c r="V109" s="65">
        <v>0</v>
      </c>
      <c r="W109" s="66">
        <f t="shared" si="21"/>
        <v>0</v>
      </c>
      <c r="X109" s="67">
        <f t="shared" si="22"/>
        <v>0</v>
      </c>
      <c r="Y109" s="57" t="str">
        <f t="shared" si="23"/>
        <v>NIL PLEASE PURCHASE</v>
      </c>
      <c r="Z109" s="68" t="s">
        <v>1539</v>
      </c>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c r="CJ109" s="8"/>
      <c r="CK109" s="8"/>
      <c r="CL109" s="8"/>
      <c r="CM109" s="8"/>
      <c r="CN109" s="8"/>
      <c r="CO109" s="8"/>
      <c r="CP109" s="8"/>
      <c r="CQ109" s="8"/>
      <c r="CR109" s="8"/>
      <c r="CS109" s="8"/>
      <c r="CT109" s="8"/>
      <c r="CU109" s="8"/>
      <c r="CV109" s="8"/>
      <c r="CW109" s="8"/>
      <c r="CX109" s="8"/>
      <c r="CY109" s="8"/>
      <c r="CZ109" s="8"/>
      <c r="DA109" s="8"/>
      <c r="DB109" s="8"/>
      <c r="DC109" s="8"/>
      <c r="DD109" s="8"/>
      <c r="DE109" s="8"/>
      <c r="DF109" s="8"/>
      <c r="DG109" s="8"/>
      <c r="DH109" s="8"/>
      <c r="DI109" s="8"/>
      <c r="DJ109" s="8"/>
      <c r="DK109" s="8"/>
      <c r="DL109" s="8"/>
      <c r="DM109" s="8"/>
      <c r="DN109" s="8"/>
      <c r="DO109" s="8"/>
      <c r="DP109" s="8"/>
      <c r="DQ109" s="8"/>
      <c r="DR109" s="8"/>
      <c r="DS109" s="8"/>
      <c r="DT109" s="8"/>
      <c r="DU109" s="8"/>
    </row>
    <row r="110" spans="1:125" s="1" customFormat="1" ht="20.100000000000001" customHeight="1" x14ac:dyDescent="0.25">
      <c r="A110" s="59" t="s">
        <v>340</v>
      </c>
      <c r="B110" s="84">
        <v>108</v>
      </c>
      <c r="C110" s="85" t="s">
        <v>113</v>
      </c>
      <c r="D110" s="60">
        <v>0</v>
      </c>
      <c r="E110" s="61">
        <f t="shared" si="12"/>
        <v>0</v>
      </c>
      <c r="F110" s="60">
        <v>0</v>
      </c>
      <c r="G110" s="61">
        <f t="shared" si="13"/>
        <v>0</v>
      </c>
      <c r="H110" s="60">
        <v>0</v>
      </c>
      <c r="I110" s="61">
        <f t="shared" si="14"/>
        <v>0</v>
      </c>
      <c r="J110" s="60">
        <v>0</v>
      </c>
      <c r="K110" s="61">
        <f t="shared" si="15"/>
        <v>0</v>
      </c>
      <c r="L110" s="62"/>
      <c r="M110" s="61">
        <f t="shared" si="16"/>
        <v>0</v>
      </c>
      <c r="N110" s="63">
        <v>0</v>
      </c>
      <c r="O110" s="61">
        <f t="shared" si="17"/>
        <v>0</v>
      </c>
      <c r="P110" s="60">
        <v>0</v>
      </c>
      <c r="Q110" s="61">
        <f t="shared" si="18"/>
        <v>0</v>
      </c>
      <c r="R110" s="60">
        <v>0</v>
      </c>
      <c r="S110" s="61">
        <f t="shared" si="19"/>
        <v>0</v>
      </c>
      <c r="T110" s="60">
        <v>0</v>
      </c>
      <c r="U110" s="64">
        <f t="shared" si="20"/>
        <v>0</v>
      </c>
      <c r="V110" s="65">
        <v>0</v>
      </c>
      <c r="W110" s="66">
        <f t="shared" si="21"/>
        <v>0</v>
      </c>
      <c r="X110" s="67">
        <f t="shared" si="22"/>
        <v>0</v>
      </c>
      <c r="Y110" s="57" t="str">
        <f t="shared" si="23"/>
        <v>NIL PLEASE PURCHASE</v>
      </c>
      <c r="Z110" s="68" t="s">
        <v>1539</v>
      </c>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c r="CJ110" s="8"/>
      <c r="CK110" s="8"/>
      <c r="CL110" s="8"/>
      <c r="CM110" s="8"/>
      <c r="CN110" s="8"/>
      <c r="CO110" s="8"/>
      <c r="CP110" s="8"/>
      <c r="CQ110" s="8"/>
      <c r="CR110" s="8"/>
      <c r="CS110" s="8"/>
      <c r="CT110" s="8"/>
      <c r="CU110" s="8"/>
      <c r="CV110" s="8"/>
      <c r="CW110" s="8"/>
      <c r="CX110" s="8"/>
      <c r="CY110" s="8"/>
      <c r="CZ110" s="8"/>
      <c r="DA110" s="8"/>
      <c r="DB110" s="8"/>
      <c r="DC110" s="8"/>
      <c r="DD110" s="8"/>
      <c r="DE110" s="8"/>
      <c r="DF110" s="8"/>
      <c r="DG110" s="8"/>
      <c r="DH110" s="8"/>
      <c r="DI110" s="8"/>
      <c r="DJ110" s="8"/>
      <c r="DK110" s="8"/>
      <c r="DL110" s="8"/>
      <c r="DM110" s="8"/>
      <c r="DN110" s="8"/>
      <c r="DO110" s="8"/>
      <c r="DP110" s="8"/>
      <c r="DQ110" s="8"/>
      <c r="DR110" s="8"/>
      <c r="DS110" s="8"/>
      <c r="DT110" s="8"/>
      <c r="DU110" s="8"/>
    </row>
    <row r="111" spans="1:125" s="1" customFormat="1" ht="20.100000000000001" customHeight="1" x14ac:dyDescent="0.25">
      <c r="A111" s="59" t="s">
        <v>341</v>
      </c>
      <c r="B111" s="84">
        <v>109</v>
      </c>
      <c r="C111" s="85" t="s">
        <v>114</v>
      </c>
      <c r="D111" s="60">
        <v>0</v>
      </c>
      <c r="E111" s="61">
        <f t="shared" si="12"/>
        <v>0</v>
      </c>
      <c r="F111" s="60">
        <v>0</v>
      </c>
      <c r="G111" s="61">
        <f t="shared" si="13"/>
        <v>0</v>
      </c>
      <c r="H111" s="60">
        <v>0</v>
      </c>
      <c r="I111" s="61">
        <f t="shared" si="14"/>
        <v>0</v>
      </c>
      <c r="J111" s="60">
        <v>0</v>
      </c>
      <c r="K111" s="61">
        <f t="shared" si="15"/>
        <v>0</v>
      </c>
      <c r="L111" s="62"/>
      <c r="M111" s="61">
        <f t="shared" si="16"/>
        <v>0</v>
      </c>
      <c r="N111" s="63">
        <v>0</v>
      </c>
      <c r="O111" s="61">
        <f t="shared" si="17"/>
        <v>0</v>
      </c>
      <c r="P111" s="60">
        <v>0</v>
      </c>
      <c r="Q111" s="61">
        <f t="shared" si="18"/>
        <v>0</v>
      </c>
      <c r="R111" s="60">
        <v>0</v>
      </c>
      <c r="S111" s="61">
        <f t="shared" si="19"/>
        <v>0</v>
      </c>
      <c r="T111" s="60">
        <v>0</v>
      </c>
      <c r="U111" s="64">
        <f t="shared" si="20"/>
        <v>0</v>
      </c>
      <c r="V111" s="65">
        <v>0</v>
      </c>
      <c r="W111" s="66">
        <f t="shared" si="21"/>
        <v>0</v>
      </c>
      <c r="X111" s="67">
        <f t="shared" si="22"/>
        <v>0</v>
      </c>
      <c r="Y111" s="57" t="str">
        <f t="shared" si="23"/>
        <v>NIL PLEASE PURCHASE</v>
      </c>
      <c r="Z111" s="68" t="s">
        <v>1539</v>
      </c>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c r="CJ111" s="8"/>
      <c r="CK111" s="8"/>
      <c r="CL111" s="8"/>
      <c r="CM111" s="8"/>
      <c r="CN111" s="8"/>
      <c r="CO111" s="8"/>
      <c r="CP111" s="8"/>
      <c r="CQ111" s="8"/>
      <c r="CR111" s="8"/>
      <c r="CS111" s="8"/>
      <c r="CT111" s="8"/>
      <c r="CU111" s="8"/>
      <c r="CV111" s="8"/>
      <c r="CW111" s="8"/>
      <c r="CX111" s="8"/>
      <c r="CY111" s="8"/>
      <c r="CZ111" s="8"/>
      <c r="DA111" s="8"/>
      <c r="DB111" s="8"/>
      <c r="DC111" s="8"/>
      <c r="DD111" s="8"/>
      <c r="DE111" s="8"/>
      <c r="DF111" s="8"/>
      <c r="DG111" s="8"/>
      <c r="DH111" s="8"/>
      <c r="DI111" s="8"/>
      <c r="DJ111" s="8"/>
      <c r="DK111" s="8"/>
      <c r="DL111" s="8"/>
      <c r="DM111" s="8"/>
      <c r="DN111" s="8"/>
      <c r="DO111" s="8"/>
      <c r="DP111" s="8"/>
      <c r="DQ111" s="8"/>
      <c r="DR111" s="8"/>
      <c r="DS111" s="8"/>
      <c r="DT111" s="8"/>
      <c r="DU111" s="8"/>
    </row>
    <row r="112" spans="1:125" s="1" customFormat="1" ht="20.100000000000001" customHeight="1" x14ac:dyDescent="0.25">
      <c r="A112" s="59" t="s">
        <v>342</v>
      </c>
      <c r="B112" s="84">
        <v>110</v>
      </c>
      <c r="C112" s="85" t="s">
        <v>115</v>
      </c>
      <c r="D112" s="60">
        <v>0</v>
      </c>
      <c r="E112" s="61">
        <f t="shared" si="12"/>
        <v>0</v>
      </c>
      <c r="F112" s="60">
        <v>0</v>
      </c>
      <c r="G112" s="61">
        <f t="shared" si="13"/>
        <v>0</v>
      </c>
      <c r="H112" s="60">
        <v>0</v>
      </c>
      <c r="I112" s="61">
        <f t="shared" si="14"/>
        <v>0</v>
      </c>
      <c r="J112" s="60">
        <v>0</v>
      </c>
      <c r="K112" s="61">
        <f t="shared" si="15"/>
        <v>0</v>
      </c>
      <c r="L112" s="62"/>
      <c r="M112" s="61">
        <f t="shared" si="16"/>
        <v>0</v>
      </c>
      <c r="N112" s="63">
        <v>0</v>
      </c>
      <c r="O112" s="61">
        <f t="shared" si="17"/>
        <v>0</v>
      </c>
      <c r="P112" s="60">
        <v>0</v>
      </c>
      <c r="Q112" s="61">
        <f t="shared" si="18"/>
        <v>0</v>
      </c>
      <c r="R112" s="60">
        <v>0</v>
      </c>
      <c r="S112" s="61">
        <f t="shared" si="19"/>
        <v>0</v>
      </c>
      <c r="T112" s="60">
        <v>0</v>
      </c>
      <c r="U112" s="64">
        <f t="shared" si="20"/>
        <v>0</v>
      </c>
      <c r="V112" s="65">
        <v>0</v>
      </c>
      <c r="W112" s="66">
        <f t="shared" si="21"/>
        <v>0</v>
      </c>
      <c r="X112" s="67">
        <f t="shared" si="22"/>
        <v>0</v>
      </c>
      <c r="Y112" s="57" t="str">
        <f t="shared" si="23"/>
        <v>NIL PLEASE PURCHASE</v>
      </c>
      <c r="Z112" s="68" t="s">
        <v>1539</v>
      </c>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c r="CJ112" s="8"/>
      <c r="CK112" s="8"/>
      <c r="CL112" s="8"/>
      <c r="CM112" s="8"/>
      <c r="CN112" s="8"/>
      <c r="CO112" s="8"/>
      <c r="CP112" s="8"/>
      <c r="CQ112" s="8"/>
      <c r="CR112" s="8"/>
      <c r="CS112" s="8"/>
      <c r="CT112" s="8"/>
      <c r="CU112" s="8"/>
      <c r="CV112" s="8"/>
      <c r="CW112" s="8"/>
      <c r="CX112" s="8"/>
      <c r="CY112" s="8"/>
      <c r="CZ112" s="8"/>
      <c r="DA112" s="8"/>
      <c r="DB112" s="8"/>
      <c r="DC112" s="8"/>
      <c r="DD112" s="8"/>
      <c r="DE112" s="8"/>
      <c r="DF112" s="8"/>
      <c r="DG112" s="8"/>
      <c r="DH112" s="8"/>
      <c r="DI112" s="8"/>
      <c r="DJ112" s="8"/>
      <c r="DK112" s="8"/>
      <c r="DL112" s="8"/>
      <c r="DM112" s="8"/>
      <c r="DN112" s="8"/>
      <c r="DO112" s="8"/>
      <c r="DP112" s="8"/>
      <c r="DQ112" s="8"/>
      <c r="DR112" s="8"/>
      <c r="DS112" s="8"/>
      <c r="DT112" s="8"/>
      <c r="DU112" s="8"/>
    </row>
    <row r="113" spans="1:125" s="1" customFormat="1" ht="20.100000000000001" customHeight="1" x14ac:dyDescent="0.25">
      <c r="A113" s="59" t="s">
        <v>343</v>
      </c>
      <c r="B113" s="84">
        <v>111</v>
      </c>
      <c r="C113" s="85" t="s">
        <v>116</v>
      </c>
      <c r="D113" s="60">
        <v>0</v>
      </c>
      <c r="E113" s="61">
        <f t="shared" si="12"/>
        <v>0</v>
      </c>
      <c r="F113" s="60">
        <v>0</v>
      </c>
      <c r="G113" s="61">
        <f t="shared" si="13"/>
        <v>0</v>
      </c>
      <c r="H113" s="60">
        <v>0</v>
      </c>
      <c r="I113" s="61">
        <f t="shared" si="14"/>
        <v>0</v>
      </c>
      <c r="J113" s="60">
        <v>0</v>
      </c>
      <c r="K113" s="61">
        <f t="shared" si="15"/>
        <v>0</v>
      </c>
      <c r="L113" s="62"/>
      <c r="M113" s="61">
        <f t="shared" si="16"/>
        <v>0</v>
      </c>
      <c r="N113" s="63">
        <v>0</v>
      </c>
      <c r="O113" s="61">
        <f t="shared" si="17"/>
        <v>0</v>
      </c>
      <c r="P113" s="60">
        <v>0</v>
      </c>
      <c r="Q113" s="61">
        <f t="shared" si="18"/>
        <v>0</v>
      </c>
      <c r="R113" s="60">
        <v>0</v>
      </c>
      <c r="S113" s="61">
        <f t="shared" si="19"/>
        <v>0</v>
      </c>
      <c r="T113" s="60">
        <v>0</v>
      </c>
      <c r="U113" s="64">
        <f t="shared" si="20"/>
        <v>0</v>
      </c>
      <c r="V113" s="65">
        <v>0</v>
      </c>
      <c r="W113" s="66">
        <f t="shared" si="21"/>
        <v>0</v>
      </c>
      <c r="X113" s="67">
        <f t="shared" si="22"/>
        <v>0</v>
      </c>
      <c r="Y113" s="57" t="str">
        <f t="shared" si="23"/>
        <v>NIL PLEASE PURCHASE</v>
      </c>
      <c r="Z113" s="68" t="s">
        <v>1539</v>
      </c>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c r="CJ113" s="8"/>
      <c r="CK113" s="8"/>
      <c r="CL113" s="8"/>
      <c r="CM113" s="8"/>
      <c r="CN113" s="8"/>
      <c r="CO113" s="8"/>
      <c r="CP113" s="8"/>
      <c r="CQ113" s="8"/>
      <c r="CR113" s="8"/>
      <c r="CS113" s="8"/>
      <c r="CT113" s="8"/>
      <c r="CU113" s="8"/>
      <c r="CV113" s="8"/>
      <c r="CW113" s="8"/>
      <c r="CX113" s="8"/>
      <c r="CY113" s="8"/>
      <c r="CZ113" s="8"/>
      <c r="DA113" s="8"/>
      <c r="DB113" s="8"/>
      <c r="DC113" s="8"/>
      <c r="DD113" s="8"/>
      <c r="DE113" s="8"/>
      <c r="DF113" s="8"/>
      <c r="DG113" s="8"/>
      <c r="DH113" s="8"/>
      <c r="DI113" s="8"/>
      <c r="DJ113" s="8"/>
      <c r="DK113" s="8"/>
      <c r="DL113" s="8"/>
      <c r="DM113" s="8"/>
      <c r="DN113" s="8"/>
      <c r="DO113" s="8"/>
      <c r="DP113" s="8"/>
      <c r="DQ113" s="8"/>
      <c r="DR113" s="8"/>
      <c r="DS113" s="8"/>
      <c r="DT113" s="8"/>
      <c r="DU113" s="8"/>
    </row>
    <row r="114" spans="1:125" s="1" customFormat="1" ht="20.100000000000001" customHeight="1" x14ac:dyDescent="0.25">
      <c r="A114" s="59" t="s">
        <v>344</v>
      </c>
      <c r="B114" s="84">
        <v>112</v>
      </c>
      <c r="C114" s="85" t="s">
        <v>117</v>
      </c>
      <c r="D114" s="60">
        <v>0</v>
      </c>
      <c r="E114" s="61">
        <f t="shared" si="12"/>
        <v>0</v>
      </c>
      <c r="F114" s="60">
        <v>0</v>
      </c>
      <c r="G114" s="61">
        <f t="shared" si="13"/>
        <v>0</v>
      </c>
      <c r="H114" s="60">
        <v>0</v>
      </c>
      <c r="I114" s="61">
        <f t="shared" si="14"/>
        <v>0</v>
      </c>
      <c r="J114" s="60">
        <v>8</v>
      </c>
      <c r="K114" s="61">
        <f t="shared" si="15"/>
        <v>800</v>
      </c>
      <c r="L114" s="62"/>
      <c r="M114" s="61">
        <f t="shared" si="16"/>
        <v>0</v>
      </c>
      <c r="N114" s="63">
        <v>0</v>
      </c>
      <c r="O114" s="61">
        <f t="shared" si="17"/>
        <v>0</v>
      </c>
      <c r="P114" s="60">
        <v>0</v>
      </c>
      <c r="Q114" s="61">
        <f t="shared" si="18"/>
        <v>0</v>
      </c>
      <c r="R114" s="60">
        <v>0</v>
      </c>
      <c r="S114" s="61">
        <f t="shared" si="19"/>
        <v>0</v>
      </c>
      <c r="T114" s="60">
        <v>0</v>
      </c>
      <c r="U114" s="64">
        <f t="shared" si="20"/>
        <v>0</v>
      </c>
      <c r="V114" s="65">
        <v>0</v>
      </c>
      <c r="W114" s="66">
        <f t="shared" si="21"/>
        <v>800</v>
      </c>
      <c r="X114" s="67">
        <f t="shared" si="22"/>
        <v>0.8</v>
      </c>
      <c r="Y114" s="57" t="str">
        <f t="shared" si="23"/>
        <v>STOCK</v>
      </c>
      <c r="Z114" s="68" t="s">
        <v>1538</v>
      </c>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c r="CJ114" s="8"/>
      <c r="CK114" s="8"/>
      <c r="CL114" s="8"/>
      <c r="CM114" s="8"/>
      <c r="CN114" s="8"/>
      <c r="CO114" s="8"/>
      <c r="CP114" s="8"/>
      <c r="CQ114" s="8"/>
      <c r="CR114" s="8"/>
      <c r="CS114" s="8"/>
      <c r="CT114" s="8"/>
      <c r="CU114" s="8"/>
      <c r="CV114" s="8"/>
      <c r="CW114" s="8"/>
      <c r="CX114" s="8"/>
      <c r="CY114" s="8"/>
      <c r="CZ114" s="8"/>
      <c r="DA114" s="8"/>
      <c r="DB114" s="8"/>
      <c r="DC114" s="8"/>
      <c r="DD114" s="8"/>
      <c r="DE114" s="8"/>
      <c r="DF114" s="8"/>
      <c r="DG114" s="8"/>
      <c r="DH114" s="8"/>
      <c r="DI114" s="8"/>
      <c r="DJ114" s="8"/>
      <c r="DK114" s="8"/>
      <c r="DL114" s="8"/>
      <c r="DM114" s="8"/>
      <c r="DN114" s="8"/>
      <c r="DO114" s="8"/>
      <c r="DP114" s="8"/>
      <c r="DQ114" s="8"/>
      <c r="DR114" s="8"/>
      <c r="DS114" s="8"/>
      <c r="DT114" s="8"/>
      <c r="DU114" s="8"/>
    </row>
    <row r="115" spans="1:125" s="1" customFormat="1" ht="20.100000000000001" customHeight="1" x14ac:dyDescent="0.25">
      <c r="A115" s="59" t="s">
        <v>345</v>
      </c>
      <c r="B115" s="84">
        <v>113</v>
      </c>
      <c r="C115" s="85" t="s">
        <v>118</v>
      </c>
      <c r="D115" s="60">
        <v>0</v>
      </c>
      <c r="E115" s="61">
        <f t="shared" si="12"/>
        <v>0</v>
      </c>
      <c r="F115" s="60">
        <v>0</v>
      </c>
      <c r="G115" s="61">
        <f t="shared" si="13"/>
        <v>0</v>
      </c>
      <c r="H115" s="60">
        <v>0</v>
      </c>
      <c r="I115" s="61">
        <f t="shared" si="14"/>
        <v>0</v>
      </c>
      <c r="J115" s="60">
        <v>0</v>
      </c>
      <c r="K115" s="61">
        <f t="shared" si="15"/>
        <v>0</v>
      </c>
      <c r="L115" s="62"/>
      <c r="M115" s="61">
        <f t="shared" si="16"/>
        <v>0</v>
      </c>
      <c r="N115" s="63">
        <v>0</v>
      </c>
      <c r="O115" s="61">
        <f t="shared" si="17"/>
        <v>0</v>
      </c>
      <c r="P115" s="60">
        <v>0</v>
      </c>
      <c r="Q115" s="61">
        <f t="shared" si="18"/>
        <v>0</v>
      </c>
      <c r="R115" s="60">
        <v>0</v>
      </c>
      <c r="S115" s="61">
        <f t="shared" si="19"/>
        <v>0</v>
      </c>
      <c r="T115" s="60">
        <v>0</v>
      </c>
      <c r="U115" s="64">
        <f t="shared" si="20"/>
        <v>0</v>
      </c>
      <c r="V115" s="65">
        <v>0</v>
      </c>
      <c r="W115" s="66">
        <f t="shared" si="21"/>
        <v>0</v>
      </c>
      <c r="X115" s="67">
        <f t="shared" si="22"/>
        <v>0</v>
      </c>
      <c r="Y115" s="57" t="str">
        <f t="shared" si="23"/>
        <v>NIL PLEASE PURCHASE</v>
      </c>
      <c r="Z115" s="68" t="s">
        <v>1539</v>
      </c>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c r="CJ115" s="8"/>
      <c r="CK115" s="8"/>
      <c r="CL115" s="8"/>
      <c r="CM115" s="8"/>
      <c r="CN115" s="8"/>
      <c r="CO115" s="8"/>
      <c r="CP115" s="8"/>
      <c r="CQ115" s="8"/>
      <c r="CR115" s="8"/>
      <c r="CS115" s="8"/>
      <c r="CT115" s="8"/>
      <c r="CU115" s="8"/>
      <c r="CV115" s="8"/>
      <c r="CW115" s="8"/>
      <c r="CX115" s="8"/>
      <c r="CY115" s="8"/>
      <c r="CZ115" s="8"/>
      <c r="DA115" s="8"/>
      <c r="DB115" s="8"/>
      <c r="DC115" s="8"/>
      <c r="DD115" s="8"/>
      <c r="DE115" s="8"/>
      <c r="DF115" s="8"/>
      <c r="DG115" s="8"/>
      <c r="DH115" s="8"/>
      <c r="DI115" s="8"/>
      <c r="DJ115" s="8"/>
      <c r="DK115" s="8"/>
      <c r="DL115" s="8"/>
      <c r="DM115" s="8"/>
      <c r="DN115" s="8"/>
      <c r="DO115" s="8"/>
      <c r="DP115" s="8"/>
      <c r="DQ115" s="8"/>
      <c r="DR115" s="8"/>
      <c r="DS115" s="8"/>
      <c r="DT115" s="8"/>
      <c r="DU115" s="8"/>
    </row>
    <row r="116" spans="1:125" s="1" customFormat="1" ht="20.100000000000001" customHeight="1" x14ac:dyDescent="0.25">
      <c r="A116" s="59" t="s">
        <v>346</v>
      </c>
      <c r="B116" s="84">
        <v>114</v>
      </c>
      <c r="C116" s="85" t="s">
        <v>119</v>
      </c>
      <c r="D116" s="60">
        <v>0</v>
      </c>
      <c r="E116" s="61">
        <f t="shared" si="12"/>
        <v>0</v>
      </c>
      <c r="F116" s="60">
        <v>0</v>
      </c>
      <c r="G116" s="61">
        <f t="shared" si="13"/>
        <v>0</v>
      </c>
      <c r="H116" s="60">
        <v>0</v>
      </c>
      <c r="I116" s="61">
        <f t="shared" si="14"/>
        <v>0</v>
      </c>
      <c r="J116" s="60">
        <v>0</v>
      </c>
      <c r="K116" s="61">
        <f t="shared" si="15"/>
        <v>0</v>
      </c>
      <c r="L116" s="62"/>
      <c r="M116" s="61">
        <f t="shared" si="16"/>
        <v>0</v>
      </c>
      <c r="N116" s="63">
        <v>0</v>
      </c>
      <c r="O116" s="61">
        <f t="shared" si="17"/>
        <v>0</v>
      </c>
      <c r="P116" s="60">
        <v>0</v>
      </c>
      <c r="Q116" s="61">
        <f t="shared" si="18"/>
        <v>0</v>
      </c>
      <c r="R116" s="60">
        <v>0</v>
      </c>
      <c r="S116" s="61">
        <f t="shared" si="19"/>
        <v>0</v>
      </c>
      <c r="T116" s="60">
        <v>0</v>
      </c>
      <c r="U116" s="64">
        <f t="shared" si="20"/>
        <v>0</v>
      </c>
      <c r="V116" s="65">
        <v>0</v>
      </c>
      <c r="W116" s="66">
        <f t="shared" si="21"/>
        <v>0</v>
      </c>
      <c r="X116" s="67">
        <f t="shared" si="22"/>
        <v>0</v>
      </c>
      <c r="Y116" s="57" t="str">
        <f t="shared" si="23"/>
        <v>NIL PLEASE PURCHASE</v>
      </c>
      <c r="Z116" s="68" t="s">
        <v>1539</v>
      </c>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c r="CJ116" s="8"/>
      <c r="CK116" s="8"/>
      <c r="CL116" s="8"/>
      <c r="CM116" s="8"/>
      <c r="CN116" s="8"/>
      <c r="CO116" s="8"/>
      <c r="CP116" s="8"/>
      <c r="CQ116" s="8"/>
      <c r="CR116" s="8"/>
      <c r="CS116" s="8"/>
      <c r="CT116" s="8"/>
      <c r="CU116" s="8"/>
      <c r="CV116" s="8"/>
      <c r="CW116" s="8"/>
      <c r="CX116" s="8"/>
      <c r="CY116" s="8"/>
      <c r="CZ116" s="8"/>
      <c r="DA116" s="8"/>
      <c r="DB116" s="8"/>
      <c r="DC116" s="8"/>
      <c r="DD116" s="8"/>
      <c r="DE116" s="8"/>
      <c r="DF116" s="8"/>
      <c r="DG116" s="8"/>
      <c r="DH116" s="8"/>
      <c r="DI116" s="8"/>
      <c r="DJ116" s="8"/>
      <c r="DK116" s="8"/>
      <c r="DL116" s="8"/>
      <c r="DM116" s="8"/>
      <c r="DN116" s="8"/>
      <c r="DO116" s="8"/>
      <c r="DP116" s="8"/>
      <c r="DQ116" s="8"/>
      <c r="DR116" s="8"/>
      <c r="DS116" s="8"/>
      <c r="DT116" s="8"/>
      <c r="DU116" s="8"/>
    </row>
    <row r="117" spans="1:125" s="1" customFormat="1" ht="20.100000000000001" customHeight="1" x14ac:dyDescent="0.25">
      <c r="A117" s="59" t="s">
        <v>347</v>
      </c>
      <c r="B117" s="84">
        <v>115</v>
      </c>
      <c r="C117" s="85" t="s">
        <v>120</v>
      </c>
      <c r="D117" s="60">
        <v>0</v>
      </c>
      <c r="E117" s="61">
        <f t="shared" si="12"/>
        <v>0</v>
      </c>
      <c r="F117" s="60">
        <v>0</v>
      </c>
      <c r="G117" s="61">
        <f t="shared" si="13"/>
        <v>0</v>
      </c>
      <c r="H117" s="60">
        <v>0</v>
      </c>
      <c r="I117" s="61">
        <f t="shared" si="14"/>
        <v>0</v>
      </c>
      <c r="J117" s="60">
        <v>0</v>
      </c>
      <c r="K117" s="61">
        <f t="shared" si="15"/>
        <v>0</v>
      </c>
      <c r="L117" s="62"/>
      <c r="M117" s="61">
        <f t="shared" si="16"/>
        <v>0</v>
      </c>
      <c r="N117" s="63">
        <v>0</v>
      </c>
      <c r="O117" s="61">
        <f t="shared" si="17"/>
        <v>0</v>
      </c>
      <c r="P117" s="60">
        <v>0</v>
      </c>
      <c r="Q117" s="61">
        <f t="shared" si="18"/>
        <v>0</v>
      </c>
      <c r="R117" s="60">
        <v>0</v>
      </c>
      <c r="S117" s="61">
        <f t="shared" si="19"/>
        <v>0</v>
      </c>
      <c r="T117" s="60">
        <v>0</v>
      </c>
      <c r="U117" s="64">
        <f t="shared" si="20"/>
        <v>0</v>
      </c>
      <c r="V117" s="65">
        <v>0</v>
      </c>
      <c r="W117" s="66">
        <f t="shared" si="21"/>
        <v>0</v>
      </c>
      <c r="X117" s="67">
        <f t="shared" si="22"/>
        <v>0</v>
      </c>
      <c r="Y117" s="57" t="str">
        <f t="shared" si="23"/>
        <v>NIL PLEASE PURCHASE</v>
      </c>
      <c r="Z117" s="68" t="s">
        <v>1539</v>
      </c>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c r="CJ117" s="8"/>
      <c r="CK117" s="8"/>
      <c r="CL117" s="8"/>
      <c r="CM117" s="8"/>
      <c r="CN117" s="8"/>
      <c r="CO117" s="8"/>
      <c r="CP117" s="8"/>
      <c r="CQ117" s="8"/>
      <c r="CR117" s="8"/>
      <c r="CS117" s="8"/>
      <c r="CT117" s="8"/>
      <c r="CU117" s="8"/>
      <c r="CV117" s="8"/>
      <c r="CW117" s="8"/>
      <c r="CX117" s="8"/>
      <c r="CY117" s="8"/>
      <c r="CZ117" s="8"/>
      <c r="DA117" s="8"/>
      <c r="DB117" s="8"/>
      <c r="DC117" s="8"/>
      <c r="DD117" s="8"/>
      <c r="DE117" s="8"/>
      <c r="DF117" s="8"/>
      <c r="DG117" s="8"/>
      <c r="DH117" s="8"/>
      <c r="DI117" s="8"/>
      <c r="DJ117" s="8"/>
      <c r="DK117" s="8"/>
      <c r="DL117" s="8"/>
      <c r="DM117" s="8"/>
      <c r="DN117" s="8"/>
      <c r="DO117" s="8"/>
      <c r="DP117" s="8"/>
      <c r="DQ117" s="8"/>
      <c r="DR117" s="8"/>
      <c r="DS117" s="8"/>
      <c r="DT117" s="8"/>
      <c r="DU117" s="8"/>
    </row>
    <row r="118" spans="1:125" s="1" customFormat="1" ht="20.100000000000001" customHeight="1" x14ac:dyDescent="0.25">
      <c r="A118" s="59" t="s">
        <v>348</v>
      </c>
      <c r="B118" s="84">
        <v>116</v>
      </c>
      <c r="C118" s="85" t="s">
        <v>121</v>
      </c>
      <c r="D118" s="60">
        <v>0</v>
      </c>
      <c r="E118" s="61">
        <f t="shared" si="12"/>
        <v>0</v>
      </c>
      <c r="F118" s="60">
        <v>0</v>
      </c>
      <c r="G118" s="61">
        <f t="shared" si="13"/>
        <v>0</v>
      </c>
      <c r="H118" s="60">
        <v>0</v>
      </c>
      <c r="I118" s="61">
        <f t="shared" si="14"/>
        <v>0</v>
      </c>
      <c r="J118" s="60">
        <v>0</v>
      </c>
      <c r="K118" s="61">
        <f t="shared" si="15"/>
        <v>0</v>
      </c>
      <c r="L118" s="62"/>
      <c r="M118" s="61">
        <f t="shared" si="16"/>
        <v>0</v>
      </c>
      <c r="N118" s="63">
        <v>1</v>
      </c>
      <c r="O118" s="61">
        <f t="shared" si="17"/>
        <v>500</v>
      </c>
      <c r="P118" s="60">
        <v>0</v>
      </c>
      <c r="Q118" s="61">
        <f t="shared" si="18"/>
        <v>0</v>
      </c>
      <c r="R118" s="60">
        <v>0</v>
      </c>
      <c r="S118" s="61">
        <f t="shared" si="19"/>
        <v>0</v>
      </c>
      <c r="T118" s="60">
        <v>0</v>
      </c>
      <c r="U118" s="64">
        <f t="shared" si="20"/>
        <v>0</v>
      </c>
      <c r="V118" s="65">
        <v>0</v>
      </c>
      <c r="W118" s="66">
        <f t="shared" si="21"/>
        <v>500</v>
      </c>
      <c r="X118" s="67">
        <f t="shared" si="22"/>
        <v>0.5</v>
      </c>
      <c r="Y118" s="57" t="str">
        <f t="shared" si="23"/>
        <v>STOCK</v>
      </c>
      <c r="Z118" s="68" t="s">
        <v>1538</v>
      </c>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c r="CJ118" s="8"/>
      <c r="CK118" s="8"/>
      <c r="CL118" s="8"/>
      <c r="CM118" s="8"/>
      <c r="CN118" s="8"/>
      <c r="CO118" s="8"/>
      <c r="CP118" s="8"/>
      <c r="CQ118" s="8"/>
      <c r="CR118" s="8"/>
      <c r="CS118" s="8"/>
      <c r="CT118" s="8"/>
      <c r="CU118" s="8"/>
      <c r="CV118" s="8"/>
      <c r="CW118" s="8"/>
      <c r="CX118" s="8"/>
      <c r="CY118" s="8"/>
      <c r="CZ118" s="8"/>
      <c r="DA118" s="8"/>
      <c r="DB118" s="8"/>
      <c r="DC118" s="8"/>
      <c r="DD118" s="8"/>
      <c r="DE118" s="8"/>
      <c r="DF118" s="8"/>
      <c r="DG118" s="8"/>
      <c r="DH118" s="8"/>
      <c r="DI118" s="8"/>
      <c r="DJ118" s="8"/>
      <c r="DK118" s="8"/>
      <c r="DL118" s="8"/>
      <c r="DM118" s="8"/>
      <c r="DN118" s="8"/>
      <c r="DO118" s="8"/>
      <c r="DP118" s="8"/>
      <c r="DQ118" s="8"/>
      <c r="DR118" s="8"/>
      <c r="DS118" s="8"/>
      <c r="DT118" s="8"/>
      <c r="DU118" s="8"/>
    </row>
    <row r="119" spans="1:125" s="1" customFormat="1" ht="20.100000000000001" customHeight="1" x14ac:dyDescent="0.25">
      <c r="A119" s="59" t="s">
        <v>349</v>
      </c>
      <c r="B119" s="84">
        <v>117</v>
      </c>
      <c r="C119" s="85" t="s">
        <v>122</v>
      </c>
      <c r="D119" s="60">
        <v>0</v>
      </c>
      <c r="E119" s="61">
        <f t="shared" si="12"/>
        <v>0</v>
      </c>
      <c r="F119" s="60">
        <v>0</v>
      </c>
      <c r="G119" s="61">
        <f t="shared" si="13"/>
        <v>0</v>
      </c>
      <c r="H119" s="60">
        <v>0</v>
      </c>
      <c r="I119" s="61">
        <f t="shared" si="14"/>
        <v>0</v>
      </c>
      <c r="J119" s="60">
        <v>0</v>
      </c>
      <c r="K119" s="61">
        <f t="shared" si="15"/>
        <v>0</v>
      </c>
      <c r="L119" s="62"/>
      <c r="M119" s="61">
        <f t="shared" si="16"/>
        <v>0</v>
      </c>
      <c r="N119" s="63">
        <v>1</v>
      </c>
      <c r="O119" s="61">
        <f t="shared" si="17"/>
        <v>500</v>
      </c>
      <c r="P119" s="60">
        <v>0</v>
      </c>
      <c r="Q119" s="61">
        <f t="shared" si="18"/>
        <v>0</v>
      </c>
      <c r="R119" s="60">
        <v>0</v>
      </c>
      <c r="S119" s="61">
        <f t="shared" si="19"/>
        <v>0</v>
      </c>
      <c r="T119" s="60">
        <v>0</v>
      </c>
      <c r="U119" s="64">
        <f t="shared" si="20"/>
        <v>0</v>
      </c>
      <c r="V119" s="65">
        <v>0</v>
      </c>
      <c r="W119" s="66">
        <f t="shared" si="21"/>
        <v>500</v>
      </c>
      <c r="X119" s="67">
        <f t="shared" si="22"/>
        <v>0.5</v>
      </c>
      <c r="Y119" s="57" t="str">
        <f t="shared" si="23"/>
        <v>STOCK</v>
      </c>
      <c r="Z119" s="68" t="s">
        <v>1538</v>
      </c>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c r="CJ119" s="8"/>
      <c r="CK119" s="8"/>
      <c r="CL119" s="8"/>
      <c r="CM119" s="8"/>
      <c r="CN119" s="8"/>
      <c r="CO119" s="8"/>
      <c r="CP119" s="8"/>
      <c r="CQ119" s="8"/>
      <c r="CR119" s="8"/>
      <c r="CS119" s="8"/>
      <c r="CT119" s="8"/>
      <c r="CU119" s="8"/>
      <c r="CV119" s="8"/>
      <c r="CW119" s="8"/>
      <c r="CX119" s="8"/>
      <c r="CY119" s="8"/>
      <c r="CZ119" s="8"/>
      <c r="DA119" s="8"/>
      <c r="DB119" s="8"/>
      <c r="DC119" s="8"/>
      <c r="DD119" s="8"/>
      <c r="DE119" s="8"/>
      <c r="DF119" s="8"/>
      <c r="DG119" s="8"/>
      <c r="DH119" s="8"/>
      <c r="DI119" s="8"/>
      <c r="DJ119" s="8"/>
      <c r="DK119" s="8"/>
      <c r="DL119" s="8"/>
      <c r="DM119" s="8"/>
      <c r="DN119" s="8"/>
      <c r="DO119" s="8"/>
      <c r="DP119" s="8"/>
      <c r="DQ119" s="8"/>
      <c r="DR119" s="8"/>
      <c r="DS119" s="8"/>
      <c r="DT119" s="8"/>
      <c r="DU119" s="8"/>
    </row>
    <row r="120" spans="1:125" s="1" customFormat="1" ht="20.100000000000001" customHeight="1" x14ac:dyDescent="0.25">
      <c r="A120" s="59" t="s">
        <v>350</v>
      </c>
      <c r="B120" s="84">
        <v>118</v>
      </c>
      <c r="C120" s="85" t="s">
        <v>123</v>
      </c>
      <c r="D120" s="60">
        <v>0</v>
      </c>
      <c r="E120" s="61">
        <f t="shared" si="12"/>
        <v>0</v>
      </c>
      <c r="F120" s="60">
        <v>0</v>
      </c>
      <c r="G120" s="61">
        <f t="shared" si="13"/>
        <v>0</v>
      </c>
      <c r="H120" s="60">
        <v>0</v>
      </c>
      <c r="I120" s="61">
        <f t="shared" si="14"/>
        <v>0</v>
      </c>
      <c r="J120" s="60">
        <v>0</v>
      </c>
      <c r="K120" s="61">
        <f t="shared" si="15"/>
        <v>0</v>
      </c>
      <c r="L120" s="62"/>
      <c r="M120" s="61">
        <f t="shared" si="16"/>
        <v>0</v>
      </c>
      <c r="N120" s="63">
        <v>0</v>
      </c>
      <c r="O120" s="61">
        <f t="shared" si="17"/>
        <v>0</v>
      </c>
      <c r="P120" s="60">
        <v>0</v>
      </c>
      <c r="Q120" s="61">
        <f t="shared" si="18"/>
        <v>0</v>
      </c>
      <c r="R120" s="60">
        <v>0</v>
      </c>
      <c r="S120" s="61">
        <f t="shared" si="19"/>
        <v>0</v>
      </c>
      <c r="T120" s="60">
        <v>0</v>
      </c>
      <c r="U120" s="64">
        <f t="shared" si="20"/>
        <v>0</v>
      </c>
      <c r="V120" s="65">
        <v>0</v>
      </c>
      <c r="W120" s="66">
        <f t="shared" si="21"/>
        <v>0</v>
      </c>
      <c r="X120" s="67">
        <f t="shared" si="22"/>
        <v>0</v>
      </c>
      <c r="Y120" s="57" t="str">
        <f t="shared" si="23"/>
        <v>NIL PLEASE PURCHASE</v>
      </c>
      <c r="Z120" s="68" t="s">
        <v>1539</v>
      </c>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c r="CJ120" s="8"/>
      <c r="CK120" s="8"/>
      <c r="CL120" s="8"/>
      <c r="CM120" s="8"/>
      <c r="CN120" s="8"/>
      <c r="CO120" s="8"/>
      <c r="CP120" s="8"/>
      <c r="CQ120" s="8"/>
      <c r="CR120" s="8"/>
      <c r="CS120" s="8"/>
      <c r="CT120" s="8"/>
      <c r="CU120" s="8"/>
      <c r="CV120" s="8"/>
      <c r="CW120" s="8"/>
      <c r="CX120" s="8"/>
      <c r="CY120" s="8"/>
      <c r="CZ120" s="8"/>
      <c r="DA120" s="8"/>
      <c r="DB120" s="8"/>
      <c r="DC120" s="8"/>
      <c r="DD120" s="8"/>
      <c r="DE120" s="8"/>
      <c r="DF120" s="8"/>
      <c r="DG120" s="8"/>
      <c r="DH120" s="8"/>
      <c r="DI120" s="8"/>
      <c r="DJ120" s="8"/>
      <c r="DK120" s="8"/>
      <c r="DL120" s="8"/>
      <c r="DM120" s="8"/>
      <c r="DN120" s="8"/>
      <c r="DO120" s="8"/>
      <c r="DP120" s="8"/>
      <c r="DQ120" s="8"/>
      <c r="DR120" s="8"/>
      <c r="DS120" s="8"/>
      <c r="DT120" s="8"/>
      <c r="DU120" s="8"/>
    </row>
    <row r="121" spans="1:125" s="1" customFormat="1" ht="20.100000000000001" customHeight="1" x14ac:dyDescent="0.25">
      <c r="A121" s="59" t="s">
        <v>351</v>
      </c>
      <c r="B121" s="84">
        <v>119</v>
      </c>
      <c r="C121" s="85" t="s">
        <v>124</v>
      </c>
      <c r="D121" s="60">
        <v>0</v>
      </c>
      <c r="E121" s="61">
        <f t="shared" si="12"/>
        <v>0</v>
      </c>
      <c r="F121" s="60">
        <v>0</v>
      </c>
      <c r="G121" s="61">
        <f t="shared" si="13"/>
        <v>0</v>
      </c>
      <c r="H121" s="60">
        <v>0</v>
      </c>
      <c r="I121" s="61">
        <f t="shared" si="14"/>
        <v>0</v>
      </c>
      <c r="J121" s="60">
        <v>0</v>
      </c>
      <c r="K121" s="61">
        <f t="shared" si="15"/>
        <v>0</v>
      </c>
      <c r="L121" s="62">
        <v>2</v>
      </c>
      <c r="M121" s="61">
        <f t="shared" si="16"/>
        <v>500</v>
      </c>
      <c r="N121" s="63">
        <v>0</v>
      </c>
      <c r="O121" s="61">
        <f t="shared" si="17"/>
        <v>0</v>
      </c>
      <c r="P121" s="60">
        <v>0</v>
      </c>
      <c r="Q121" s="61">
        <f t="shared" si="18"/>
        <v>0</v>
      </c>
      <c r="R121" s="60">
        <v>0</v>
      </c>
      <c r="S121" s="61">
        <f t="shared" si="19"/>
        <v>0</v>
      </c>
      <c r="T121" s="60">
        <v>0</v>
      </c>
      <c r="U121" s="64">
        <f t="shared" si="20"/>
        <v>0</v>
      </c>
      <c r="V121" s="65">
        <v>0</v>
      </c>
      <c r="W121" s="66">
        <f t="shared" si="21"/>
        <v>500</v>
      </c>
      <c r="X121" s="67">
        <f t="shared" si="22"/>
        <v>0.5</v>
      </c>
      <c r="Y121" s="57" t="str">
        <f t="shared" si="23"/>
        <v>STOCK</v>
      </c>
      <c r="Z121" s="68" t="s">
        <v>1538</v>
      </c>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c r="CJ121" s="8"/>
      <c r="CK121" s="8"/>
      <c r="CL121" s="8"/>
      <c r="CM121" s="8"/>
      <c r="CN121" s="8"/>
      <c r="CO121" s="8"/>
      <c r="CP121" s="8"/>
      <c r="CQ121" s="8"/>
      <c r="CR121" s="8"/>
      <c r="CS121" s="8"/>
      <c r="CT121" s="8"/>
      <c r="CU121" s="8"/>
      <c r="CV121" s="8"/>
      <c r="CW121" s="8"/>
      <c r="CX121" s="8"/>
      <c r="CY121" s="8"/>
      <c r="CZ121" s="8"/>
      <c r="DA121" s="8"/>
      <c r="DB121" s="8"/>
      <c r="DC121" s="8"/>
      <c r="DD121" s="8"/>
      <c r="DE121" s="8"/>
      <c r="DF121" s="8"/>
      <c r="DG121" s="8"/>
      <c r="DH121" s="8"/>
      <c r="DI121" s="8"/>
      <c r="DJ121" s="8"/>
      <c r="DK121" s="8"/>
      <c r="DL121" s="8"/>
      <c r="DM121" s="8"/>
      <c r="DN121" s="8"/>
      <c r="DO121" s="8"/>
      <c r="DP121" s="8"/>
      <c r="DQ121" s="8"/>
      <c r="DR121" s="8"/>
      <c r="DS121" s="8"/>
      <c r="DT121" s="8"/>
      <c r="DU121" s="8"/>
    </row>
    <row r="122" spans="1:125" s="1" customFormat="1" ht="20.100000000000001" customHeight="1" x14ac:dyDescent="0.25">
      <c r="A122" s="59" t="s">
        <v>352</v>
      </c>
      <c r="B122" s="84">
        <v>120</v>
      </c>
      <c r="C122" s="85" t="s">
        <v>125</v>
      </c>
      <c r="D122" s="60">
        <v>0</v>
      </c>
      <c r="E122" s="61">
        <f t="shared" si="12"/>
        <v>0</v>
      </c>
      <c r="F122" s="60">
        <v>0</v>
      </c>
      <c r="G122" s="61">
        <f t="shared" si="13"/>
        <v>0</v>
      </c>
      <c r="H122" s="60">
        <v>0</v>
      </c>
      <c r="I122" s="61">
        <f t="shared" si="14"/>
        <v>0</v>
      </c>
      <c r="J122" s="60">
        <v>0</v>
      </c>
      <c r="K122" s="61">
        <f t="shared" si="15"/>
        <v>0</v>
      </c>
      <c r="L122" s="62"/>
      <c r="M122" s="61">
        <f t="shared" si="16"/>
        <v>0</v>
      </c>
      <c r="N122" s="63">
        <v>0</v>
      </c>
      <c r="O122" s="61">
        <f t="shared" si="17"/>
        <v>0</v>
      </c>
      <c r="P122" s="60">
        <v>0</v>
      </c>
      <c r="Q122" s="61">
        <f t="shared" si="18"/>
        <v>0</v>
      </c>
      <c r="R122" s="60">
        <v>0</v>
      </c>
      <c r="S122" s="61">
        <f t="shared" si="19"/>
        <v>0</v>
      </c>
      <c r="T122" s="60">
        <v>0</v>
      </c>
      <c r="U122" s="64">
        <f t="shared" si="20"/>
        <v>0</v>
      </c>
      <c r="V122" s="65">
        <v>0</v>
      </c>
      <c r="W122" s="66">
        <f t="shared" si="21"/>
        <v>0</v>
      </c>
      <c r="X122" s="67">
        <f t="shared" si="22"/>
        <v>0</v>
      </c>
      <c r="Y122" s="57" t="str">
        <f t="shared" si="23"/>
        <v>NIL PLEASE PURCHASE</v>
      </c>
      <c r="Z122" s="68" t="s">
        <v>1539</v>
      </c>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c r="CJ122" s="8"/>
      <c r="CK122" s="8"/>
      <c r="CL122" s="8"/>
      <c r="CM122" s="8"/>
      <c r="CN122" s="8"/>
      <c r="CO122" s="8"/>
      <c r="CP122" s="8"/>
      <c r="CQ122" s="8"/>
      <c r="CR122" s="8"/>
      <c r="CS122" s="8"/>
      <c r="CT122" s="8"/>
      <c r="CU122" s="8"/>
      <c r="CV122" s="8"/>
      <c r="CW122" s="8"/>
      <c r="CX122" s="8"/>
      <c r="CY122" s="8"/>
      <c r="CZ122" s="8"/>
      <c r="DA122" s="8"/>
      <c r="DB122" s="8"/>
      <c r="DC122" s="8"/>
      <c r="DD122" s="8"/>
      <c r="DE122" s="8"/>
      <c r="DF122" s="8"/>
      <c r="DG122" s="8"/>
      <c r="DH122" s="8"/>
      <c r="DI122" s="8"/>
      <c r="DJ122" s="8"/>
      <c r="DK122" s="8"/>
      <c r="DL122" s="8"/>
      <c r="DM122" s="8"/>
      <c r="DN122" s="8"/>
      <c r="DO122" s="8"/>
      <c r="DP122" s="8"/>
      <c r="DQ122" s="8"/>
      <c r="DR122" s="8"/>
      <c r="DS122" s="8"/>
      <c r="DT122" s="8"/>
      <c r="DU122" s="8"/>
    </row>
    <row r="123" spans="1:125" s="1" customFormat="1" ht="20.100000000000001" customHeight="1" x14ac:dyDescent="0.25">
      <c r="A123" s="59" t="s">
        <v>353</v>
      </c>
      <c r="B123" s="84">
        <v>121</v>
      </c>
      <c r="C123" s="85" t="s">
        <v>126</v>
      </c>
      <c r="D123" s="60">
        <v>0</v>
      </c>
      <c r="E123" s="61">
        <f t="shared" si="12"/>
        <v>0</v>
      </c>
      <c r="F123" s="60">
        <v>0</v>
      </c>
      <c r="G123" s="61">
        <f t="shared" si="13"/>
        <v>0</v>
      </c>
      <c r="H123" s="60">
        <v>0</v>
      </c>
      <c r="I123" s="61">
        <f t="shared" si="14"/>
        <v>0</v>
      </c>
      <c r="J123" s="60">
        <v>0</v>
      </c>
      <c r="K123" s="61">
        <f t="shared" si="15"/>
        <v>0</v>
      </c>
      <c r="L123" s="62"/>
      <c r="M123" s="61">
        <f t="shared" si="16"/>
        <v>0</v>
      </c>
      <c r="N123" s="63">
        <v>0</v>
      </c>
      <c r="O123" s="61">
        <f t="shared" si="17"/>
        <v>0</v>
      </c>
      <c r="P123" s="60">
        <v>0</v>
      </c>
      <c r="Q123" s="61">
        <f t="shared" si="18"/>
        <v>0</v>
      </c>
      <c r="R123" s="60">
        <v>0</v>
      </c>
      <c r="S123" s="61">
        <f t="shared" si="19"/>
        <v>0</v>
      </c>
      <c r="T123" s="60">
        <v>0</v>
      </c>
      <c r="U123" s="64">
        <f t="shared" si="20"/>
        <v>0</v>
      </c>
      <c r="V123" s="65">
        <v>0</v>
      </c>
      <c r="W123" s="66">
        <f t="shared" si="21"/>
        <v>0</v>
      </c>
      <c r="X123" s="67">
        <f t="shared" si="22"/>
        <v>0</v>
      </c>
      <c r="Y123" s="57" t="str">
        <f t="shared" si="23"/>
        <v>NIL PLEASE PURCHASE</v>
      </c>
      <c r="Z123" s="68" t="s">
        <v>1539</v>
      </c>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c r="CJ123" s="8"/>
      <c r="CK123" s="8"/>
      <c r="CL123" s="8"/>
      <c r="CM123" s="8"/>
      <c r="CN123" s="8"/>
      <c r="CO123" s="8"/>
      <c r="CP123" s="8"/>
      <c r="CQ123" s="8"/>
      <c r="CR123" s="8"/>
      <c r="CS123" s="8"/>
      <c r="CT123" s="8"/>
      <c r="CU123" s="8"/>
      <c r="CV123" s="8"/>
      <c r="CW123" s="8"/>
      <c r="CX123" s="8"/>
      <c r="CY123" s="8"/>
      <c r="CZ123" s="8"/>
      <c r="DA123" s="8"/>
      <c r="DB123" s="8"/>
      <c r="DC123" s="8"/>
      <c r="DD123" s="8"/>
      <c r="DE123" s="8"/>
      <c r="DF123" s="8"/>
      <c r="DG123" s="8"/>
      <c r="DH123" s="8"/>
      <c r="DI123" s="8"/>
      <c r="DJ123" s="8"/>
      <c r="DK123" s="8"/>
      <c r="DL123" s="8"/>
      <c r="DM123" s="8"/>
      <c r="DN123" s="8"/>
      <c r="DO123" s="8"/>
      <c r="DP123" s="8"/>
      <c r="DQ123" s="8"/>
      <c r="DR123" s="8"/>
      <c r="DS123" s="8"/>
      <c r="DT123" s="8"/>
      <c r="DU123" s="8"/>
    </row>
    <row r="124" spans="1:125" s="1" customFormat="1" ht="20.100000000000001" customHeight="1" x14ac:dyDescent="0.25">
      <c r="A124" s="59" t="s">
        <v>354</v>
      </c>
      <c r="B124" s="84">
        <v>122</v>
      </c>
      <c r="C124" s="85" t="s">
        <v>127</v>
      </c>
      <c r="D124" s="60">
        <v>0</v>
      </c>
      <c r="E124" s="61">
        <f t="shared" si="12"/>
        <v>0</v>
      </c>
      <c r="F124" s="60">
        <v>0</v>
      </c>
      <c r="G124" s="61">
        <f t="shared" si="13"/>
        <v>0</v>
      </c>
      <c r="H124" s="60">
        <v>0</v>
      </c>
      <c r="I124" s="61">
        <f t="shared" si="14"/>
        <v>0</v>
      </c>
      <c r="J124" s="60">
        <v>0</v>
      </c>
      <c r="K124" s="61">
        <f t="shared" si="15"/>
        <v>0</v>
      </c>
      <c r="L124" s="62">
        <v>2</v>
      </c>
      <c r="M124" s="61">
        <f t="shared" si="16"/>
        <v>500</v>
      </c>
      <c r="N124" s="63">
        <v>0</v>
      </c>
      <c r="O124" s="61">
        <f t="shared" si="17"/>
        <v>0</v>
      </c>
      <c r="P124" s="60">
        <v>0</v>
      </c>
      <c r="Q124" s="61">
        <f t="shared" si="18"/>
        <v>0</v>
      </c>
      <c r="R124" s="60">
        <v>0</v>
      </c>
      <c r="S124" s="61">
        <f t="shared" si="19"/>
        <v>0</v>
      </c>
      <c r="T124" s="60">
        <v>0</v>
      </c>
      <c r="U124" s="64">
        <f t="shared" si="20"/>
        <v>0</v>
      </c>
      <c r="V124" s="65">
        <v>0</v>
      </c>
      <c r="W124" s="66">
        <f t="shared" si="21"/>
        <v>500</v>
      </c>
      <c r="X124" s="67">
        <f t="shared" si="22"/>
        <v>0.5</v>
      </c>
      <c r="Y124" s="57" t="str">
        <f t="shared" si="23"/>
        <v>STOCK</v>
      </c>
      <c r="Z124" s="68" t="s">
        <v>1538</v>
      </c>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c r="CJ124" s="8"/>
      <c r="CK124" s="8"/>
      <c r="CL124" s="8"/>
      <c r="CM124" s="8"/>
      <c r="CN124" s="8"/>
      <c r="CO124" s="8"/>
      <c r="CP124" s="8"/>
      <c r="CQ124" s="8"/>
      <c r="CR124" s="8"/>
      <c r="CS124" s="8"/>
      <c r="CT124" s="8"/>
      <c r="CU124" s="8"/>
      <c r="CV124" s="8"/>
      <c r="CW124" s="8"/>
      <c r="CX124" s="8"/>
      <c r="CY124" s="8"/>
      <c r="CZ124" s="8"/>
      <c r="DA124" s="8"/>
      <c r="DB124" s="8"/>
      <c r="DC124" s="8"/>
      <c r="DD124" s="8"/>
      <c r="DE124" s="8"/>
      <c r="DF124" s="8"/>
      <c r="DG124" s="8"/>
      <c r="DH124" s="8"/>
      <c r="DI124" s="8"/>
      <c r="DJ124" s="8"/>
      <c r="DK124" s="8"/>
      <c r="DL124" s="8"/>
      <c r="DM124" s="8"/>
      <c r="DN124" s="8"/>
      <c r="DO124" s="8"/>
      <c r="DP124" s="8"/>
      <c r="DQ124" s="8"/>
      <c r="DR124" s="8"/>
      <c r="DS124" s="8"/>
      <c r="DT124" s="8"/>
      <c r="DU124" s="8"/>
    </row>
    <row r="125" spans="1:125" s="1" customFormat="1" ht="20.100000000000001" customHeight="1" x14ac:dyDescent="0.25">
      <c r="A125" s="59" t="s">
        <v>355</v>
      </c>
      <c r="B125" s="84">
        <v>123</v>
      </c>
      <c r="C125" s="85" t="s">
        <v>128</v>
      </c>
      <c r="D125" s="60">
        <v>0</v>
      </c>
      <c r="E125" s="61">
        <f t="shared" si="12"/>
        <v>0</v>
      </c>
      <c r="F125" s="60">
        <v>0</v>
      </c>
      <c r="G125" s="61">
        <f t="shared" si="13"/>
        <v>0</v>
      </c>
      <c r="H125" s="60">
        <v>0</v>
      </c>
      <c r="I125" s="61">
        <f t="shared" si="14"/>
        <v>0</v>
      </c>
      <c r="J125" s="60">
        <v>0</v>
      </c>
      <c r="K125" s="61">
        <f t="shared" si="15"/>
        <v>0</v>
      </c>
      <c r="L125" s="62">
        <v>1</v>
      </c>
      <c r="M125" s="61">
        <f t="shared" si="16"/>
        <v>250</v>
      </c>
      <c r="N125" s="63">
        <v>0</v>
      </c>
      <c r="O125" s="61">
        <f t="shared" si="17"/>
        <v>0</v>
      </c>
      <c r="P125" s="60">
        <v>0</v>
      </c>
      <c r="Q125" s="61">
        <f t="shared" si="18"/>
        <v>0</v>
      </c>
      <c r="R125" s="60">
        <v>0</v>
      </c>
      <c r="S125" s="61">
        <f t="shared" si="19"/>
        <v>0</v>
      </c>
      <c r="T125" s="60">
        <v>0</v>
      </c>
      <c r="U125" s="64">
        <f t="shared" si="20"/>
        <v>0</v>
      </c>
      <c r="V125" s="65">
        <v>0</v>
      </c>
      <c r="W125" s="66">
        <f t="shared" si="21"/>
        <v>250</v>
      </c>
      <c r="X125" s="67">
        <f t="shared" si="22"/>
        <v>0.25</v>
      </c>
      <c r="Y125" s="57" t="str">
        <f t="shared" si="23"/>
        <v>STOCK</v>
      </c>
      <c r="Z125" s="68" t="s">
        <v>1538</v>
      </c>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c r="CJ125" s="8"/>
      <c r="CK125" s="8"/>
      <c r="CL125" s="8"/>
      <c r="CM125" s="8"/>
      <c r="CN125" s="8"/>
      <c r="CO125" s="8"/>
      <c r="CP125" s="8"/>
      <c r="CQ125" s="8"/>
      <c r="CR125" s="8"/>
      <c r="CS125" s="8"/>
      <c r="CT125" s="8"/>
      <c r="CU125" s="8"/>
      <c r="CV125" s="8"/>
      <c r="CW125" s="8"/>
      <c r="CX125" s="8"/>
      <c r="CY125" s="8"/>
      <c r="CZ125" s="8"/>
      <c r="DA125" s="8"/>
      <c r="DB125" s="8"/>
      <c r="DC125" s="8"/>
      <c r="DD125" s="8"/>
      <c r="DE125" s="8"/>
      <c r="DF125" s="8"/>
      <c r="DG125" s="8"/>
      <c r="DH125" s="8"/>
      <c r="DI125" s="8"/>
      <c r="DJ125" s="8"/>
      <c r="DK125" s="8"/>
      <c r="DL125" s="8"/>
      <c r="DM125" s="8"/>
      <c r="DN125" s="8"/>
      <c r="DO125" s="8"/>
      <c r="DP125" s="8"/>
      <c r="DQ125" s="8"/>
      <c r="DR125" s="8"/>
      <c r="DS125" s="8"/>
      <c r="DT125" s="8"/>
      <c r="DU125" s="8"/>
    </row>
    <row r="126" spans="1:125" s="1" customFormat="1" ht="20.100000000000001" customHeight="1" x14ac:dyDescent="0.25">
      <c r="A126" s="59" t="s">
        <v>356</v>
      </c>
      <c r="B126" s="84">
        <v>124</v>
      </c>
      <c r="C126" s="85" t="s">
        <v>129</v>
      </c>
      <c r="D126" s="60">
        <v>0</v>
      </c>
      <c r="E126" s="61">
        <f t="shared" si="12"/>
        <v>0</v>
      </c>
      <c r="F126" s="60">
        <v>0</v>
      </c>
      <c r="G126" s="61">
        <f t="shared" si="13"/>
        <v>0</v>
      </c>
      <c r="H126" s="60">
        <v>0</v>
      </c>
      <c r="I126" s="61">
        <f t="shared" si="14"/>
        <v>0</v>
      </c>
      <c r="J126" s="60">
        <v>0</v>
      </c>
      <c r="K126" s="61">
        <f t="shared" si="15"/>
        <v>0</v>
      </c>
      <c r="L126" s="62">
        <v>2</v>
      </c>
      <c r="M126" s="61">
        <f t="shared" si="16"/>
        <v>500</v>
      </c>
      <c r="N126" s="63">
        <v>19</v>
      </c>
      <c r="O126" s="61">
        <f t="shared" si="17"/>
        <v>9500</v>
      </c>
      <c r="P126" s="60">
        <v>0</v>
      </c>
      <c r="Q126" s="61">
        <f t="shared" si="18"/>
        <v>0</v>
      </c>
      <c r="R126" s="60">
        <v>0</v>
      </c>
      <c r="S126" s="61">
        <f t="shared" si="19"/>
        <v>0</v>
      </c>
      <c r="T126" s="60">
        <v>0</v>
      </c>
      <c r="U126" s="64">
        <f t="shared" si="20"/>
        <v>0</v>
      </c>
      <c r="V126" s="65">
        <v>0</v>
      </c>
      <c r="W126" s="66">
        <f t="shared" si="21"/>
        <v>10000</v>
      </c>
      <c r="X126" s="67">
        <f t="shared" si="22"/>
        <v>10</v>
      </c>
      <c r="Y126" s="57" t="str">
        <f t="shared" si="23"/>
        <v>STOCK</v>
      </c>
      <c r="Z126" s="68" t="s">
        <v>1538</v>
      </c>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c r="CJ126" s="8"/>
      <c r="CK126" s="8"/>
      <c r="CL126" s="8"/>
      <c r="CM126" s="8"/>
      <c r="CN126" s="8"/>
      <c r="CO126" s="8"/>
      <c r="CP126" s="8"/>
      <c r="CQ126" s="8"/>
      <c r="CR126" s="8"/>
      <c r="CS126" s="8"/>
      <c r="CT126" s="8"/>
      <c r="CU126" s="8"/>
      <c r="CV126" s="8"/>
      <c r="CW126" s="8"/>
      <c r="CX126" s="8"/>
      <c r="CY126" s="8"/>
      <c r="CZ126" s="8"/>
      <c r="DA126" s="8"/>
      <c r="DB126" s="8"/>
      <c r="DC126" s="8"/>
      <c r="DD126" s="8"/>
      <c r="DE126" s="8"/>
      <c r="DF126" s="8"/>
      <c r="DG126" s="8"/>
      <c r="DH126" s="8"/>
      <c r="DI126" s="8"/>
      <c r="DJ126" s="8"/>
      <c r="DK126" s="8"/>
      <c r="DL126" s="8"/>
      <c r="DM126" s="8"/>
      <c r="DN126" s="8"/>
      <c r="DO126" s="8"/>
      <c r="DP126" s="8"/>
      <c r="DQ126" s="8"/>
      <c r="DR126" s="8"/>
      <c r="DS126" s="8"/>
      <c r="DT126" s="8"/>
      <c r="DU126" s="8"/>
    </row>
    <row r="127" spans="1:125" s="1" customFormat="1" ht="20.100000000000001" customHeight="1" x14ac:dyDescent="0.25">
      <c r="A127" s="59" t="s">
        <v>357</v>
      </c>
      <c r="B127" s="84">
        <v>125</v>
      </c>
      <c r="C127" s="85" t="s">
        <v>130</v>
      </c>
      <c r="D127" s="60">
        <v>0</v>
      </c>
      <c r="E127" s="61">
        <f t="shared" si="12"/>
        <v>0</v>
      </c>
      <c r="F127" s="60">
        <v>0</v>
      </c>
      <c r="G127" s="61">
        <f t="shared" si="13"/>
        <v>0</v>
      </c>
      <c r="H127" s="60">
        <v>0</v>
      </c>
      <c r="I127" s="61">
        <f t="shared" si="14"/>
        <v>0</v>
      </c>
      <c r="J127" s="60">
        <v>0</v>
      </c>
      <c r="K127" s="61">
        <f t="shared" si="15"/>
        <v>0</v>
      </c>
      <c r="L127" s="62">
        <v>2</v>
      </c>
      <c r="M127" s="61">
        <f t="shared" si="16"/>
        <v>500</v>
      </c>
      <c r="N127" s="63">
        <v>2</v>
      </c>
      <c r="O127" s="61">
        <f t="shared" si="17"/>
        <v>1000</v>
      </c>
      <c r="P127" s="60">
        <v>0</v>
      </c>
      <c r="Q127" s="61">
        <f t="shared" si="18"/>
        <v>0</v>
      </c>
      <c r="R127" s="60">
        <v>0</v>
      </c>
      <c r="S127" s="61">
        <f t="shared" si="19"/>
        <v>0</v>
      </c>
      <c r="T127" s="60">
        <v>0</v>
      </c>
      <c r="U127" s="64">
        <f t="shared" si="20"/>
        <v>0</v>
      </c>
      <c r="V127" s="65">
        <v>0</v>
      </c>
      <c r="W127" s="66">
        <f t="shared" si="21"/>
        <v>1500</v>
      </c>
      <c r="X127" s="67">
        <f t="shared" si="22"/>
        <v>1.5</v>
      </c>
      <c r="Y127" s="57" t="str">
        <f t="shared" si="23"/>
        <v>STOCK</v>
      </c>
      <c r="Z127" s="68" t="s">
        <v>1538</v>
      </c>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c r="CJ127" s="8"/>
      <c r="CK127" s="8"/>
      <c r="CL127" s="8"/>
      <c r="CM127" s="8"/>
      <c r="CN127" s="8"/>
      <c r="CO127" s="8"/>
      <c r="CP127" s="8"/>
      <c r="CQ127" s="8"/>
      <c r="CR127" s="8"/>
      <c r="CS127" s="8"/>
      <c r="CT127" s="8"/>
      <c r="CU127" s="8"/>
      <c r="CV127" s="8"/>
      <c r="CW127" s="8"/>
      <c r="CX127" s="8"/>
      <c r="CY127" s="8"/>
      <c r="CZ127" s="8"/>
      <c r="DA127" s="8"/>
      <c r="DB127" s="8"/>
      <c r="DC127" s="8"/>
      <c r="DD127" s="8"/>
      <c r="DE127" s="8"/>
      <c r="DF127" s="8"/>
      <c r="DG127" s="8"/>
      <c r="DH127" s="8"/>
      <c r="DI127" s="8"/>
      <c r="DJ127" s="8"/>
      <c r="DK127" s="8"/>
      <c r="DL127" s="8"/>
      <c r="DM127" s="8"/>
      <c r="DN127" s="8"/>
      <c r="DO127" s="8"/>
      <c r="DP127" s="8"/>
      <c r="DQ127" s="8"/>
      <c r="DR127" s="8"/>
      <c r="DS127" s="8"/>
      <c r="DT127" s="8"/>
      <c r="DU127" s="8"/>
    </row>
    <row r="128" spans="1:125" s="1" customFormat="1" ht="20.100000000000001" customHeight="1" x14ac:dyDescent="0.25">
      <c r="A128" s="59" t="s">
        <v>358</v>
      </c>
      <c r="B128" s="84">
        <v>126</v>
      </c>
      <c r="C128" s="85" t="s">
        <v>131</v>
      </c>
      <c r="D128" s="60">
        <v>0</v>
      </c>
      <c r="E128" s="61">
        <f t="shared" si="12"/>
        <v>0</v>
      </c>
      <c r="F128" s="60">
        <v>0</v>
      </c>
      <c r="G128" s="61">
        <f t="shared" si="13"/>
        <v>0</v>
      </c>
      <c r="H128" s="60">
        <v>0</v>
      </c>
      <c r="I128" s="61">
        <f t="shared" si="14"/>
        <v>0</v>
      </c>
      <c r="J128" s="60">
        <v>0</v>
      </c>
      <c r="K128" s="61">
        <f t="shared" si="15"/>
        <v>0</v>
      </c>
      <c r="L128" s="62"/>
      <c r="M128" s="61">
        <f t="shared" si="16"/>
        <v>0</v>
      </c>
      <c r="N128" s="63">
        <v>10</v>
      </c>
      <c r="O128" s="61">
        <f t="shared" si="17"/>
        <v>5000</v>
      </c>
      <c r="P128" s="60">
        <v>0</v>
      </c>
      <c r="Q128" s="61">
        <f t="shared" si="18"/>
        <v>0</v>
      </c>
      <c r="R128" s="60">
        <v>0</v>
      </c>
      <c r="S128" s="61">
        <f t="shared" si="19"/>
        <v>0</v>
      </c>
      <c r="T128" s="60">
        <v>0</v>
      </c>
      <c r="U128" s="64">
        <f t="shared" si="20"/>
        <v>0</v>
      </c>
      <c r="V128" s="65">
        <v>0</v>
      </c>
      <c r="W128" s="66">
        <f t="shared" si="21"/>
        <v>5000</v>
      </c>
      <c r="X128" s="67">
        <f t="shared" si="22"/>
        <v>5</v>
      </c>
      <c r="Y128" s="57" t="str">
        <f t="shared" si="23"/>
        <v>STOCK</v>
      </c>
      <c r="Z128" s="68" t="s">
        <v>1538</v>
      </c>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c r="CJ128" s="8"/>
      <c r="CK128" s="8"/>
      <c r="CL128" s="8"/>
      <c r="CM128" s="8"/>
      <c r="CN128" s="8"/>
      <c r="CO128" s="8"/>
      <c r="CP128" s="8"/>
      <c r="CQ128" s="8"/>
      <c r="CR128" s="8"/>
      <c r="CS128" s="8"/>
      <c r="CT128" s="8"/>
      <c r="CU128" s="8"/>
      <c r="CV128" s="8"/>
      <c r="CW128" s="8"/>
      <c r="CX128" s="8"/>
      <c r="CY128" s="8"/>
      <c r="CZ128" s="8"/>
      <c r="DA128" s="8"/>
      <c r="DB128" s="8"/>
      <c r="DC128" s="8"/>
      <c r="DD128" s="8"/>
      <c r="DE128" s="8"/>
      <c r="DF128" s="8"/>
      <c r="DG128" s="8"/>
      <c r="DH128" s="8"/>
      <c r="DI128" s="8"/>
      <c r="DJ128" s="8"/>
      <c r="DK128" s="8"/>
      <c r="DL128" s="8"/>
      <c r="DM128" s="8"/>
      <c r="DN128" s="8"/>
      <c r="DO128" s="8"/>
      <c r="DP128" s="8"/>
      <c r="DQ128" s="8"/>
      <c r="DR128" s="8"/>
      <c r="DS128" s="8"/>
      <c r="DT128" s="8"/>
      <c r="DU128" s="8"/>
    </row>
    <row r="129" spans="1:125" s="1" customFormat="1" ht="20.100000000000001" customHeight="1" x14ac:dyDescent="0.25">
      <c r="A129" s="59" t="s">
        <v>359</v>
      </c>
      <c r="B129" s="84">
        <v>127</v>
      </c>
      <c r="C129" s="85" t="s">
        <v>132</v>
      </c>
      <c r="D129" s="60">
        <v>0</v>
      </c>
      <c r="E129" s="61">
        <f t="shared" si="12"/>
        <v>0</v>
      </c>
      <c r="F129" s="60">
        <v>0</v>
      </c>
      <c r="G129" s="61">
        <f t="shared" si="13"/>
        <v>0</v>
      </c>
      <c r="H129" s="60">
        <v>0</v>
      </c>
      <c r="I129" s="61">
        <f t="shared" si="14"/>
        <v>0</v>
      </c>
      <c r="J129" s="60">
        <v>0</v>
      </c>
      <c r="K129" s="61">
        <f t="shared" si="15"/>
        <v>0</v>
      </c>
      <c r="L129" s="62"/>
      <c r="M129" s="61">
        <f t="shared" si="16"/>
        <v>0</v>
      </c>
      <c r="N129" s="63">
        <v>5</v>
      </c>
      <c r="O129" s="61">
        <f t="shared" si="17"/>
        <v>2500</v>
      </c>
      <c r="P129" s="60">
        <v>0</v>
      </c>
      <c r="Q129" s="61">
        <f t="shared" si="18"/>
        <v>0</v>
      </c>
      <c r="R129" s="60">
        <v>0</v>
      </c>
      <c r="S129" s="61">
        <f t="shared" si="19"/>
        <v>0</v>
      </c>
      <c r="T129" s="60">
        <v>0</v>
      </c>
      <c r="U129" s="64">
        <f t="shared" si="20"/>
        <v>0</v>
      </c>
      <c r="V129" s="65">
        <v>0</v>
      </c>
      <c r="W129" s="66">
        <f t="shared" si="21"/>
        <v>2500</v>
      </c>
      <c r="X129" s="67">
        <f t="shared" si="22"/>
        <v>2.5</v>
      </c>
      <c r="Y129" s="57" t="str">
        <f t="shared" si="23"/>
        <v>STOCK</v>
      </c>
      <c r="Z129" s="68" t="s">
        <v>1538</v>
      </c>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c r="CJ129" s="8"/>
      <c r="CK129" s="8"/>
      <c r="CL129" s="8"/>
      <c r="CM129" s="8"/>
      <c r="CN129" s="8"/>
      <c r="CO129" s="8"/>
      <c r="CP129" s="8"/>
      <c r="CQ129" s="8"/>
      <c r="CR129" s="8"/>
      <c r="CS129" s="8"/>
      <c r="CT129" s="8"/>
      <c r="CU129" s="8"/>
      <c r="CV129" s="8"/>
      <c r="CW129" s="8"/>
      <c r="CX129" s="8"/>
      <c r="CY129" s="8"/>
      <c r="CZ129" s="8"/>
      <c r="DA129" s="8"/>
      <c r="DB129" s="8"/>
      <c r="DC129" s="8"/>
      <c r="DD129" s="8"/>
      <c r="DE129" s="8"/>
      <c r="DF129" s="8"/>
      <c r="DG129" s="8"/>
      <c r="DH129" s="8"/>
      <c r="DI129" s="8"/>
      <c r="DJ129" s="8"/>
      <c r="DK129" s="8"/>
      <c r="DL129" s="8"/>
      <c r="DM129" s="8"/>
      <c r="DN129" s="8"/>
      <c r="DO129" s="8"/>
      <c r="DP129" s="8"/>
      <c r="DQ129" s="8"/>
      <c r="DR129" s="8"/>
      <c r="DS129" s="8"/>
      <c r="DT129" s="8"/>
      <c r="DU129" s="8"/>
    </row>
    <row r="130" spans="1:125" s="1" customFormat="1" ht="20.100000000000001" customHeight="1" x14ac:dyDescent="0.25">
      <c r="A130" s="59" t="s">
        <v>360</v>
      </c>
      <c r="B130" s="84">
        <v>128</v>
      </c>
      <c r="C130" s="85" t="s">
        <v>133</v>
      </c>
      <c r="D130" s="60">
        <v>0</v>
      </c>
      <c r="E130" s="61">
        <f t="shared" si="12"/>
        <v>0</v>
      </c>
      <c r="F130" s="60">
        <v>0</v>
      </c>
      <c r="G130" s="61">
        <f t="shared" si="13"/>
        <v>0</v>
      </c>
      <c r="H130" s="60">
        <v>0</v>
      </c>
      <c r="I130" s="61">
        <f t="shared" si="14"/>
        <v>0</v>
      </c>
      <c r="J130" s="60">
        <v>0</v>
      </c>
      <c r="K130" s="61">
        <f t="shared" si="15"/>
        <v>0</v>
      </c>
      <c r="L130" s="62"/>
      <c r="M130" s="61">
        <f t="shared" si="16"/>
        <v>0</v>
      </c>
      <c r="N130" s="63">
        <v>0</v>
      </c>
      <c r="O130" s="61">
        <f t="shared" si="17"/>
        <v>0</v>
      </c>
      <c r="P130" s="60">
        <v>0</v>
      </c>
      <c r="Q130" s="61">
        <f t="shared" si="18"/>
        <v>0</v>
      </c>
      <c r="R130" s="60">
        <v>0</v>
      </c>
      <c r="S130" s="61">
        <f t="shared" si="19"/>
        <v>0</v>
      </c>
      <c r="T130" s="60">
        <v>0</v>
      </c>
      <c r="U130" s="64">
        <f t="shared" si="20"/>
        <v>0</v>
      </c>
      <c r="V130" s="65">
        <v>0</v>
      </c>
      <c r="W130" s="66">
        <f t="shared" si="21"/>
        <v>0</v>
      </c>
      <c r="X130" s="67">
        <f t="shared" si="22"/>
        <v>0</v>
      </c>
      <c r="Y130" s="57" t="str">
        <f t="shared" si="23"/>
        <v>NIL PLEASE PURCHASE</v>
      </c>
      <c r="Z130" s="68" t="s">
        <v>1539</v>
      </c>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c r="CJ130" s="8"/>
      <c r="CK130" s="8"/>
      <c r="CL130" s="8"/>
      <c r="CM130" s="8"/>
      <c r="CN130" s="8"/>
      <c r="CO130" s="8"/>
      <c r="CP130" s="8"/>
      <c r="CQ130" s="8"/>
      <c r="CR130" s="8"/>
      <c r="CS130" s="8"/>
      <c r="CT130" s="8"/>
      <c r="CU130" s="8"/>
      <c r="CV130" s="8"/>
      <c r="CW130" s="8"/>
      <c r="CX130" s="8"/>
      <c r="CY130" s="8"/>
      <c r="CZ130" s="8"/>
      <c r="DA130" s="8"/>
      <c r="DB130" s="8"/>
      <c r="DC130" s="8"/>
      <c r="DD130" s="8"/>
      <c r="DE130" s="8"/>
      <c r="DF130" s="8"/>
      <c r="DG130" s="8"/>
      <c r="DH130" s="8"/>
      <c r="DI130" s="8"/>
      <c r="DJ130" s="8"/>
      <c r="DK130" s="8"/>
      <c r="DL130" s="8"/>
      <c r="DM130" s="8"/>
      <c r="DN130" s="8"/>
      <c r="DO130" s="8"/>
      <c r="DP130" s="8"/>
      <c r="DQ130" s="8"/>
      <c r="DR130" s="8"/>
      <c r="DS130" s="8"/>
      <c r="DT130" s="8"/>
      <c r="DU130" s="8"/>
    </row>
    <row r="131" spans="1:125" s="1" customFormat="1" ht="20.100000000000001" customHeight="1" x14ac:dyDescent="0.25">
      <c r="A131" s="59" t="s">
        <v>361</v>
      </c>
      <c r="B131" s="84">
        <v>129</v>
      </c>
      <c r="C131" s="85" t="s">
        <v>134</v>
      </c>
      <c r="D131" s="60">
        <v>0</v>
      </c>
      <c r="E131" s="61">
        <f t="shared" si="12"/>
        <v>0</v>
      </c>
      <c r="F131" s="60">
        <v>0</v>
      </c>
      <c r="G131" s="61">
        <f t="shared" si="13"/>
        <v>0</v>
      </c>
      <c r="H131" s="60">
        <v>0</v>
      </c>
      <c r="I131" s="61">
        <f t="shared" si="14"/>
        <v>0</v>
      </c>
      <c r="J131" s="60">
        <v>0</v>
      </c>
      <c r="K131" s="61">
        <f t="shared" si="15"/>
        <v>0</v>
      </c>
      <c r="L131" s="62"/>
      <c r="M131" s="61">
        <f t="shared" si="16"/>
        <v>0</v>
      </c>
      <c r="N131" s="63">
        <v>6</v>
      </c>
      <c r="O131" s="61">
        <f t="shared" si="17"/>
        <v>3000</v>
      </c>
      <c r="P131" s="60">
        <v>0</v>
      </c>
      <c r="Q131" s="61">
        <f t="shared" si="18"/>
        <v>0</v>
      </c>
      <c r="R131" s="60">
        <v>0</v>
      </c>
      <c r="S131" s="61">
        <f t="shared" si="19"/>
        <v>0</v>
      </c>
      <c r="T131" s="60">
        <v>0</v>
      </c>
      <c r="U131" s="64">
        <f t="shared" si="20"/>
        <v>0</v>
      </c>
      <c r="V131" s="65">
        <v>0</v>
      </c>
      <c r="W131" s="66">
        <f t="shared" si="21"/>
        <v>3000</v>
      </c>
      <c r="X131" s="67">
        <f t="shared" si="22"/>
        <v>3</v>
      </c>
      <c r="Y131" s="57" t="str">
        <f t="shared" si="23"/>
        <v>STOCK</v>
      </c>
      <c r="Z131" s="68" t="s">
        <v>1538</v>
      </c>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c r="CJ131" s="8"/>
      <c r="CK131" s="8"/>
      <c r="CL131" s="8"/>
      <c r="CM131" s="8"/>
      <c r="CN131" s="8"/>
      <c r="CO131" s="8"/>
      <c r="CP131" s="8"/>
      <c r="CQ131" s="8"/>
      <c r="CR131" s="8"/>
      <c r="CS131" s="8"/>
      <c r="CT131" s="8"/>
      <c r="CU131" s="8"/>
      <c r="CV131" s="8"/>
      <c r="CW131" s="8"/>
      <c r="CX131" s="8"/>
      <c r="CY131" s="8"/>
      <c r="CZ131" s="8"/>
      <c r="DA131" s="8"/>
      <c r="DB131" s="8"/>
      <c r="DC131" s="8"/>
      <c r="DD131" s="8"/>
      <c r="DE131" s="8"/>
      <c r="DF131" s="8"/>
      <c r="DG131" s="8"/>
      <c r="DH131" s="8"/>
      <c r="DI131" s="8"/>
      <c r="DJ131" s="8"/>
      <c r="DK131" s="8"/>
      <c r="DL131" s="8"/>
      <c r="DM131" s="8"/>
      <c r="DN131" s="8"/>
      <c r="DO131" s="8"/>
      <c r="DP131" s="8"/>
      <c r="DQ131" s="8"/>
      <c r="DR131" s="8"/>
      <c r="DS131" s="8"/>
      <c r="DT131" s="8"/>
      <c r="DU131" s="8"/>
    </row>
    <row r="132" spans="1:125" s="1" customFormat="1" ht="20.100000000000001" customHeight="1" x14ac:dyDescent="0.25">
      <c r="A132" s="59" t="s">
        <v>362</v>
      </c>
      <c r="B132" s="84">
        <v>130</v>
      </c>
      <c r="C132" s="85" t="s">
        <v>135</v>
      </c>
      <c r="D132" s="60">
        <v>0</v>
      </c>
      <c r="E132" s="61">
        <f t="shared" ref="E132:E195" si="24">D132*10</f>
        <v>0</v>
      </c>
      <c r="F132" s="60">
        <v>0</v>
      </c>
      <c r="G132" s="61">
        <f t="shared" ref="G132:G195" si="25">F132*25</f>
        <v>0</v>
      </c>
      <c r="H132" s="60">
        <v>0</v>
      </c>
      <c r="I132" s="61">
        <f t="shared" ref="I132:I195" si="26">H132*50</f>
        <v>0</v>
      </c>
      <c r="J132" s="60">
        <v>0</v>
      </c>
      <c r="K132" s="61">
        <f t="shared" ref="K132:K195" si="27">J132*100</f>
        <v>0</v>
      </c>
      <c r="L132" s="62"/>
      <c r="M132" s="61">
        <f t="shared" ref="M132:M195" si="28">L132*250</f>
        <v>0</v>
      </c>
      <c r="N132" s="63">
        <v>0</v>
      </c>
      <c r="O132" s="61">
        <f t="shared" ref="O132:O195" si="29">N132*500</f>
        <v>0</v>
      </c>
      <c r="P132" s="60">
        <v>0</v>
      </c>
      <c r="Q132" s="61">
        <f t="shared" ref="Q132:Q195" si="30">P132*1000</f>
        <v>0</v>
      </c>
      <c r="R132" s="60">
        <v>0</v>
      </c>
      <c r="S132" s="61">
        <f t="shared" ref="S132:S195" si="31">R132*2500</f>
        <v>0</v>
      </c>
      <c r="T132" s="60">
        <v>0</v>
      </c>
      <c r="U132" s="64">
        <f t="shared" ref="U132:U195" si="32">T132*5000</f>
        <v>0</v>
      </c>
      <c r="V132" s="65">
        <v>0</v>
      </c>
      <c r="W132" s="66">
        <f t="shared" ref="W132:W195" si="33">E132+G132+I132+K132+M132+O132+Q132+S132+U132</f>
        <v>0</v>
      </c>
      <c r="X132" s="67">
        <f t="shared" ref="X132:X195" si="34">SUM(W132:W132)/1000</f>
        <v>0</v>
      </c>
      <c r="Y132" s="57" t="str">
        <f t="shared" ref="Y132:Y195" si="35">IF(W132=0,("NIL PLEASE PURCHASE"),("STOCK"))</f>
        <v>NIL PLEASE PURCHASE</v>
      </c>
      <c r="Z132" s="68" t="s">
        <v>1539</v>
      </c>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c r="CJ132" s="8"/>
      <c r="CK132" s="8"/>
      <c r="CL132" s="8"/>
      <c r="CM132" s="8"/>
      <c r="CN132" s="8"/>
      <c r="CO132" s="8"/>
      <c r="CP132" s="8"/>
      <c r="CQ132" s="8"/>
      <c r="CR132" s="8"/>
      <c r="CS132" s="8"/>
      <c r="CT132" s="8"/>
      <c r="CU132" s="8"/>
      <c r="CV132" s="8"/>
      <c r="CW132" s="8"/>
      <c r="CX132" s="8"/>
      <c r="CY132" s="8"/>
      <c r="CZ132" s="8"/>
      <c r="DA132" s="8"/>
      <c r="DB132" s="8"/>
      <c r="DC132" s="8"/>
      <c r="DD132" s="8"/>
      <c r="DE132" s="8"/>
      <c r="DF132" s="8"/>
      <c r="DG132" s="8"/>
      <c r="DH132" s="8"/>
      <c r="DI132" s="8"/>
      <c r="DJ132" s="8"/>
      <c r="DK132" s="8"/>
      <c r="DL132" s="8"/>
      <c r="DM132" s="8"/>
      <c r="DN132" s="8"/>
      <c r="DO132" s="8"/>
      <c r="DP132" s="8"/>
      <c r="DQ132" s="8"/>
      <c r="DR132" s="8"/>
      <c r="DS132" s="8"/>
      <c r="DT132" s="8"/>
      <c r="DU132" s="8"/>
    </row>
    <row r="133" spans="1:125" s="1" customFormat="1" ht="20.100000000000001" customHeight="1" x14ac:dyDescent="0.25">
      <c r="A133" s="59" t="s">
        <v>363</v>
      </c>
      <c r="B133" s="84">
        <v>131</v>
      </c>
      <c r="C133" s="85" t="s">
        <v>136</v>
      </c>
      <c r="D133" s="60">
        <v>0</v>
      </c>
      <c r="E133" s="61">
        <f t="shared" si="24"/>
        <v>0</v>
      </c>
      <c r="F133" s="60">
        <v>0</v>
      </c>
      <c r="G133" s="61">
        <f t="shared" si="25"/>
        <v>0</v>
      </c>
      <c r="H133" s="60">
        <v>4</v>
      </c>
      <c r="I133" s="61">
        <f t="shared" si="26"/>
        <v>200</v>
      </c>
      <c r="J133" s="60">
        <v>0</v>
      </c>
      <c r="K133" s="61">
        <f t="shared" si="27"/>
        <v>0</v>
      </c>
      <c r="L133" s="62"/>
      <c r="M133" s="61">
        <f t="shared" si="28"/>
        <v>0</v>
      </c>
      <c r="N133" s="63">
        <v>2</v>
      </c>
      <c r="O133" s="61">
        <f t="shared" si="29"/>
        <v>1000</v>
      </c>
      <c r="P133" s="60">
        <v>0</v>
      </c>
      <c r="Q133" s="61">
        <f t="shared" si="30"/>
        <v>0</v>
      </c>
      <c r="R133" s="60">
        <v>0</v>
      </c>
      <c r="S133" s="61">
        <f t="shared" si="31"/>
        <v>0</v>
      </c>
      <c r="T133" s="60">
        <v>0</v>
      </c>
      <c r="U133" s="64">
        <f t="shared" si="32"/>
        <v>0</v>
      </c>
      <c r="V133" s="65">
        <v>0</v>
      </c>
      <c r="W133" s="66">
        <f t="shared" si="33"/>
        <v>1200</v>
      </c>
      <c r="X133" s="67">
        <f t="shared" si="34"/>
        <v>1.2</v>
      </c>
      <c r="Y133" s="57" t="str">
        <f t="shared" si="35"/>
        <v>STOCK</v>
      </c>
      <c r="Z133" s="68" t="s">
        <v>1538</v>
      </c>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c r="CJ133" s="8"/>
      <c r="CK133" s="8"/>
      <c r="CL133" s="8"/>
      <c r="CM133" s="8"/>
      <c r="CN133" s="8"/>
      <c r="CO133" s="8"/>
      <c r="CP133" s="8"/>
      <c r="CQ133" s="8"/>
      <c r="CR133" s="8"/>
      <c r="CS133" s="8"/>
      <c r="CT133" s="8"/>
      <c r="CU133" s="8"/>
      <c r="CV133" s="8"/>
      <c r="CW133" s="8"/>
      <c r="CX133" s="8"/>
      <c r="CY133" s="8"/>
      <c r="CZ133" s="8"/>
      <c r="DA133" s="8"/>
      <c r="DB133" s="8"/>
      <c r="DC133" s="8"/>
      <c r="DD133" s="8"/>
      <c r="DE133" s="8"/>
      <c r="DF133" s="8"/>
      <c r="DG133" s="8"/>
      <c r="DH133" s="8"/>
      <c r="DI133" s="8"/>
      <c r="DJ133" s="8"/>
      <c r="DK133" s="8"/>
      <c r="DL133" s="8"/>
      <c r="DM133" s="8"/>
      <c r="DN133" s="8"/>
      <c r="DO133" s="8"/>
      <c r="DP133" s="8"/>
      <c r="DQ133" s="8"/>
      <c r="DR133" s="8"/>
      <c r="DS133" s="8"/>
      <c r="DT133" s="8"/>
      <c r="DU133" s="8"/>
    </row>
    <row r="134" spans="1:125" s="1" customFormat="1" ht="20.100000000000001" customHeight="1" x14ac:dyDescent="0.25">
      <c r="A134" s="59" t="s">
        <v>364</v>
      </c>
      <c r="B134" s="84">
        <v>132</v>
      </c>
      <c r="C134" s="85" t="s">
        <v>137</v>
      </c>
      <c r="D134" s="60">
        <v>0</v>
      </c>
      <c r="E134" s="61">
        <f t="shared" si="24"/>
        <v>0</v>
      </c>
      <c r="F134" s="60">
        <v>0</v>
      </c>
      <c r="G134" s="61">
        <f t="shared" si="25"/>
        <v>0</v>
      </c>
      <c r="H134" s="60">
        <v>0</v>
      </c>
      <c r="I134" s="61">
        <f t="shared" si="26"/>
        <v>0</v>
      </c>
      <c r="J134" s="60">
        <v>0</v>
      </c>
      <c r="K134" s="61">
        <f t="shared" si="27"/>
        <v>0</v>
      </c>
      <c r="L134" s="62"/>
      <c r="M134" s="61">
        <f t="shared" si="28"/>
        <v>0</v>
      </c>
      <c r="N134" s="63">
        <v>3</v>
      </c>
      <c r="O134" s="61">
        <f t="shared" si="29"/>
        <v>1500</v>
      </c>
      <c r="P134" s="60">
        <v>0</v>
      </c>
      <c r="Q134" s="61">
        <f t="shared" si="30"/>
        <v>0</v>
      </c>
      <c r="R134" s="60">
        <v>0</v>
      </c>
      <c r="S134" s="61">
        <f t="shared" si="31"/>
        <v>0</v>
      </c>
      <c r="T134" s="60">
        <v>0</v>
      </c>
      <c r="U134" s="64">
        <f t="shared" si="32"/>
        <v>0</v>
      </c>
      <c r="V134" s="65">
        <v>0</v>
      </c>
      <c r="W134" s="66">
        <f t="shared" si="33"/>
        <v>1500</v>
      </c>
      <c r="X134" s="67">
        <f t="shared" si="34"/>
        <v>1.5</v>
      </c>
      <c r="Y134" s="57" t="str">
        <f t="shared" si="35"/>
        <v>STOCK</v>
      </c>
      <c r="Z134" s="68" t="s">
        <v>1538</v>
      </c>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c r="CJ134" s="8"/>
      <c r="CK134" s="8"/>
      <c r="CL134" s="8"/>
      <c r="CM134" s="8"/>
      <c r="CN134" s="8"/>
      <c r="CO134" s="8"/>
      <c r="CP134" s="8"/>
      <c r="CQ134" s="8"/>
      <c r="CR134" s="8"/>
      <c r="CS134" s="8"/>
      <c r="CT134" s="8"/>
      <c r="CU134" s="8"/>
      <c r="CV134" s="8"/>
      <c r="CW134" s="8"/>
      <c r="CX134" s="8"/>
      <c r="CY134" s="8"/>
      <c r="CZ134" s="8"/>
      <c r="DA134" s="8"/>
      <c r="DB134" s="8"/>
      <c r="DC134" s="8"/>
      <c r="DD134" s="8"/>
      <c r="DE134" s="8"/>
      <c r="DF134" s="8"/>
      <c r="DG134" s="8"/>
      <c r="DH134" s="8"/>
      <c r="DI134" s="8"/>
      <c r="DJ134" s="8"/>
      <c r="DK134" s="8"/>
      <c r="DL134" s="8"/>
      <c r="DM134" s="8"/>
      <c r="DN134" s="8"/>
      <c r="DO134" s="8"/>
      <c r="DP134" s="8"/>
      <c r="DQ134" s="8"/>
      <c r="DR134" s="8"/>
      <c r="DS134" s="8"/>
      <c r="DT134" s="8"/>
      <c r="DU134" s="8"/>
    </row>
    <row r="135" spans="1:125" s="1" customFormat="1" ht="20.100000000000001" customHeight="1" x14ac:dyDescent="0.25">
      <c r="A135" s="59" t="s">
        <v>365</v>
      </c>
      <c r="B135" s="84">
        <v>133</v>
      </c>
      <c r="C135" s="85" t="s">
        <v>138</v>
      </c>
      <c r="D135" s="60">
        <v>0</v>
      </c>
      <c r="E135" s="61">
        <f t="shared" si="24"/>
        <v>0</v>
      </c>
      <c r="F135" s="60">
        <v>0</v>
      </c>
      <c r="G135" s="61">
        <f t="shared" si="25"/>
        <v>0</v>
      </c>
      <c r="H135" s="60">
        <v>0</v>
      </c>
      <c r="I135" s="61">
        <f t="shared" si="26"/>
        <v>0</v>
      </c>
      <c r="J135" s="60">
        <v>0</v>
      </c>
      <c r="K135" s="61">
        <f t="shared" si="27"/>
        <v>0</v>
      </c>
      <c r="L135" s="62">
        <v>5</v>
      </c>
      <c r="M135" s="61">
        <f t="shared" si="28"/>
        <v>1250</v>
      </c>
      <c r="N135" s="63">
        <v>0</v>
      </c>
      <c r="O135" s="61">
        <f t="shared" si="29"/>
        <v>0</v>
      </c>
      <c r="P135" s="60">
        <v>0</v>
      </c>
      <c r="Q135" s="61">
        <f t="shared" si="30"/>
        <v>0</v>
      </c>
      <c r="R135" s="60">
        <v>0</v>
      </c>
      <c r="S135" s="61">
        <f t="shared" si="31"/>
        <v>0</v>
      </c>
      <c r="T135" s="60">
        <v>0</v>
      </c>
      <c r="U135" s="64">
        <f t="shared" si="32"/>
        <v>0</v>
      </c>
      <c r="V135" s="65">
        <v>0</v>
      </c>
      <c r="W135" s="66">
        <f t="shared" si="33"/>
        <v>1250</v>
      </c>
      <c r="X135" s="67">
        <f t="shared" si="34"/>
        <v>1.25</v>
      </c>
      <c r="Y135" s="57" t="str">
        <f t="shared" si="35"/>
        <v>STOCK</v>
      </c>
      <c r="Z135" s="68" t="s">
        <v>1538</v>
      </c>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c r="CJ135" s="8"/>
      <c r="CK135" s="8"/>
      <c r="CL135" s="8"/>
      <c r="CM135" s="8"/>
      <c r="CN135" s="8"/>
      <c r="CO135" s="8"/>
      <c r="CP135" s="8"/>
      <c r="CQ135" s="8"/>
      <c r="CR135" s="8"/>
      <c r="CS135" s="8"/>
      <c r="CT135" s="8"/>
      <c r="CU135" s="8"/>
      <c r="CV135" s="8"/>
      <c r="CW135" s="8"/>
      <c r="CX135" s="8"/>
      <c r="CY135" s="8"/>
      <c r="CZ135" s="8"/>
      <c r="DA135" s="8"/>
      <c r="DB135" s="8"/>
      <c r="DC135" s="8"/>
      <c r="DD135" s="8"/>
      <c r="DE135" s="8"/>
      <c r="DF135" s="8"/>
      <c r="DG135" s="8"/>
      <c r="DH135" s="8"/>
      <c r="DI135" s="8"/>
      <c r="DJ135" s="8"/>
      <c r="DK135" s="8"/>
      <c r="DL135" s="8"/>
      <c r="DM135" s="8"/>
      <c r="DN135" s="8"/>
      <c r="DO135" s="8"/>
      <c r="DP135" s="8"/>
      <c r="DQ135" s="8"/>
      <c r="DR135" s="8"/>
      <c r="DS135" s="8"/>
      <c r="DT135" s="8"/>
      <c r="DU135" s="8"/>
    </row>
    <row r="136" spans="1:125" s="1" customFormat="1" ht="20.100000000000001" customHeight="1" x14ac:dyDescent="0.25">
      <c r="A136" s="59" t="s">
        <v>366</v>
      </c>
      <c r="B136" s="84">
        <v>134</v>
      </c>
      <c r="C136" s="85" t="s">
        <v>139</v>
      </c>
      <c r="D136" s="60">
        <v>0</v>
      </c>
      <c r="E136" s="61">
        <f t="shared" si="24"/>
        <v>0</v>
      </c>
      <c r="F136" s="60">
        <v>0</v>
      </c>
      <c r="G136" s="61">
        <f t="shared" si="25"/>
        <v>0</v>
      </c>
      <c r="H136" s="60">
        <v>0</v>
      </c>
      <c r="I136" s="61">
        <f t="shared" si="26"/>
        <v>0</v>
      </c>
      <c r="J136" s="60">
        <v>0</v>
      </c>
      <c r="K136" s="61">
        <f t="shared" si="27"/>
        <v>0</v>
      </c>
      <c r="L136" s="62"/>
      <c r="M136" s="61">
        <f t="shared" si="28"/>
        <v>0</v>
      </c>
      <c r="N136" s="63">
        <v>0</v>
      </c>
      <c r="O136" s="61">
        <f t="shared" si="29"/>
        <v>0</v>
      </c>
      <c r="P136" s="60">
        <v>0</v>
      </c>
      <c r="Q136" s="61">
        <f t="shared" si="30"/>
        <v>0</v>
      </c>
      <c r="R136" s="60">
        <v>0</v>
      </c>
      <c r="S136" s="61">
        <f t="shared" si="31"/>
        <v>0</v>
      </c>
      <c r="T136" s="60">
        <v>0</v>
      </c>
      <c r="U136" s="64">
        <f t="shared" si="32"/>
        <v>0</v>
      </c>
      <c r="V136" s="65">
        <v>0</v>
      </c>
      <c r="W136" s="66">
        <f t="shared" si="33"/>
        <v>0</v>
      </c>
      <c r="X136" s="67">
        <f t="shared" si="34"/>
        <v>0</v>
      </c>
      <c r="Y136" s="57" t="str">
        <f t="shared" si="35"/>
        <v>NIL PLEASE PURCHASE</v>
      </c>
      <c r="Z136" s="68" t="s">
        <v>1539</v>
      </c>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c r="CJ136" s="8"/>
      <c r="CK136" s="8"/>
      <c r="CL136" s="8"/>
      <c r="CM136" s="8"/>
      <c r="CN136" s="8"/>
      <c r="CO136" s="8"/>
      <c r="CP136" s="8"/>
      <c r="CQ136" s="8"/>
      <c r="CR136" s="8"/>
      <c r="CS136" s="8"/>
      <c r="CT136" s="8"/>
      <c r="CU136" s="8"/>
      <c r="CV136" s="8"/>
      <c r="CW136" s="8"/>
      <c r="CX136" s="8"/>
      <c r="CY136" s="8"/>
      <c r="CZ136" s="8"/>
      <c r="DA136" s="8"/>
      <c r="DB136" s="8"/>
      <c r="DC136" s="8"/>
      <c r="DD136" s="8"/>
      <c r="DE136" s="8"/>
      <c r="DF136" s="8"/>
      <c r="DG136" s="8"/>
      <c r="DH136" s="8"/>
      <c r="DI136" s="8"/>
      <c r="DJ136" s="8"/>
      <c r="DK136" s="8"/>
      <c r="DL136" s="8"/>
      <c r="DM136" s="8"/>
      <c r="DN136" s="8"/>
      <c r="DO136" s="8"/>
      <c r="DP136" s="8"/>
      <c r="DQ136" s="8"/>
      <c r="DR136" s="8"/>
      <c r="DS136" s="8"/>
      <c r="DT136" s="8"/>
      <c r="DU136" s="8"/>
    </row>
    <row r="137" spans="1:125" s="1" customFormat="1" ht="20.100000000000001" customHeight="1" x14ac:dyDescent="0.25">
      <c r="A137" s="59" t="s">
        <v>367</v>
      </c>
      <c r="B137" s="84">
        <v>135</v>
      </c>
      <c r="C137" s="85" t="s">
        <v>140</v>
      </c>
      <c r="D137" s="60">
        <v>0</v>
      </c>
      <c r="E137" s="61">
        <f t="shared" si="24"/>
        <v>0</v>
      </c>
      <c r="F137" s="60">
        <v>0</v>
      </c>
      <c r="G137" s="61">
        <f t="shared" si="25"/>
        <v>0</v>
      </c>
      <c r="H137" s="60">
        <v>0</v>
      </c>
      <c r="I137" s="61">
        <f t="shared" si="26"/>
        <v>0</v>
      </c>
      <c r="J137" s="60">
        <v>0</v>
      </c>
      <c r="K137" s="61">
        <f t="shared" si="27"/>
        <v>0</v>
      </c>
      <c r="L137" s="62"/>
      <c r="M137" s="61">
        <f t="shared" si="28"/>
        <v>0</v>
      </c>
      <c r="N137" s="63">
        <v>0</v>
      </c>
      <c r="O137" s="61">
        <f t="shared" si="29"/>
        <v>0</v>
      </c>
      <c r="P137" s="60">
        <v>0</v>
      </c>
      <c r="Q137" s="61">
        <f t="shared" si="30"/>
        <v>0</v>
      </c>
      <c r="R137" s="60">
        <v>0</v>
      </c>
      <c r="S137" s="61">
        <f t="shared" si="31"/>
        <v>0</v>
      </c>
      <c r="T137" s="60">
        <v>0</v>
      </c>
      <c r="U137" s="64">
        <f t="shared" si="32"/>
        <v>0</v>
      </c>
      <c r="V137" s="65">
        <v>0</v>
      </c>
      <c r="W137" s="66">
        <f t="shared" si="33"/>
        <v>0</v>
      </c>
      <c r="X137" s="67">
        <f t="shared" si="34"/>
        <v>0</v>
      </c>
      <c r="Y137" s="57" t="str">
        <f t="shared" si="35"/>
        <v>NIL PLEASE PURCHASE</v>
      </c>
      <c r="Z137" s="68" t="s">
        <v>1539</v>
      </c>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c r="CJ137" s="8"/>
      <c r="CK137" s="8"/>
      <c r="CL137" s="8"/>
      <c r="CM137" s="8"/>
      <c r="CN137" s="8"/>
      <c r="CO137" s="8"/>
      <c r="CP137" s="8"/>
      <c r="CQ137" s="8"/>
      <c r="CR137" s="8"/>
      <c r="CS137" s="8"/>
      <c r="CT137" s="8"/>
      <c r="CU137" s="8"/>
      <c r="CV137" s="8"/>
      <c r="CW137" s="8"/>
      <c r="CX137" s="8"/>
      <c r="CY137" s="8"/>
      <c r="CZ137" s="8"/>
      <c r="DA137" s="8"/>
      <c r="DB137" s="8"/>
      <c r="DC137" s="8"/>
      <c r="DD137" s="8"/>
      <c r="DE137" s="8"/>
      <c r="DF137" s="8"/>
      <c r="DG137" s="8"/>
      <c r="DH137" s="8"/>
      <c r="DI137" s="8"/>
      <c r="DJ137" s="8"/>
      <c r="DK137" s="8"/>
      <c r="DL137" s="8"/>
      <c r="DM137" s="8"/>
      <c r="DN137" s="8"/>
      <c r="DO137" s="8"/>
      <c r="DP137" s="8"/>
      <c r="DQ137" s="8"/>
      <c r="DR137" s="8"/>
      <c r="DS137" s="8"/>
      <c r="DT137" s="8"/>
      <c r="DU137" s="8"/>
    </row>
    <row r="138" spans="1:125" s="1" customFormat="1" ht="20.100000000000001" customHeight="1" x14ac:dyDescent="0.25">
      <c r="A138" s="59" t="s">
        <v>368</v>
      </c>
      <c r="B138" s="84">
        <v>136</v>
      </c>
      <c r="C138" s="85" t="s">
        <v>141</v>
      </c>
      <c r="D138" s="60">
        <v>0</v>
      </c>
      <c r="E138" s="61">
        <f t="shared" si="24"/>
        <v>0</v>
      </c>
      <c r="F138" s="60">
        <v>0</v>
      </c>
      <c r="G138" s="61">
        <f t="shared" si="25"/>
        <v>0</v>
      </c>
      <c r="H138" s="60">
        <v>0</v>
      </c>
      <c r="I138" s="61">
        <f t="shared" si="26"/>
        <v>0</v>
      </c>
      <c r="J138" s="60">
        <v>0</v>
      </c>
      <c r="K138" s="61">
        <f t="shared" si="27"/>
        <v>0</v>
      </c>
      <c r="L138" s="62"/>
      <c r="M138" s="61">
        <f t="shared" si="28"/>
        <v>0</v>
      </c>
      <c r="N138" s="63">
        <v>0</v>
      </c>
      <c r="O138" s="61">
        <f t="shared" si="29"/>
        <v>0</v>
      </c>
      <c r="P138" s="60">
        <v>0</v>
      </c>
      <c r="Q138" s="61">
        <f t="shared" si="30"/>
        <v>0</v>
      </c>
      <c r="R138" s="60">
        <v>0</v>
      </c>
      <c r="S138" s="61">
        <f t="shared" si="31"/>
        <v>0</v>
      </c>
      <c r="T138" s="60">
        <v>0</v>
      </c>
      <c r="U138" s="64">
        <f t="shared" si="32"/>
        <v>0</v>
      </c>
      <c r="V138" s="65">
        <v>0</v>
      </c>
      <c r="W138" s="66">
        <f t="shared" si="33"/>
        <v>0</v>
      </c>
      <c r="X138" s="67">
        <f t="shared" si="34"/>
        <v>0</v>
      </c>
      <c r="Y138" s="57" t="str">
        <f t="shared" si="35"/>
        <v>NIL PLEASE PURCHASE</v>
      </c>
      <c r="Z138" s="68" t="s">
        <v>1539</v>
      </c>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c r="CJ138" s="8"/>
      <c r="CK138" s="8"/>
      <c r="CL138" s="8"/>
      <c r="CM138" s="8"/>
      <c r="CN138" s="8"/>
      <c r="CO138" s="8"/>
      <c r="CP138" s="8"/>
      <c r="CQ138" s="8"/>
      <c r="CR138" s="8"/>
      <c r="CS138" s="8"/>
      <c r="CT138" s="8"/>
      <c r="CU138" s="8"/>
      <c r="CV138" s="8"/>
      <c r="CW138" s="8"/>
      <c r="CX138" s="8"/>
      <c r="CY138" s="8"/>
      <c r="CZ138" s="8"/>
      <c r="DA138" s="8"/>
      <c r="DB138" s="8"/>
      <c r="DC138" s="8"/>
      <c r="DD138" s="8"/>
      <c r="DE138" s="8"/>
      <c r="DF138" s="8"/>
      <c r="DG138" s="8"/>
      <c r="DH138" s="8"/>
      <c r="DI138" s="8"/>
      <c r="DJ138" s="8"/>
      <c r="DK138" s="8"/>
      <c r="DL138" s="8"/>
      <c r="DM138" s="8"/>
      <c r="DN138" s="8"/>
      <c r="DO138" s="8"/>
      <c r="DP138" s="8"/>
      <c r="DQ138" s="8"/>
      <c r="DR138" s="8"/>
      <c r="DS138" s="8"/>
      <c r="DT138" s="8"/>
      <c r="DU138" s="8"/>
    </row>
    <row r="139" spans="1:125" s="1" customFormat="1" ht="20.100000000000001" customHeight="1" x14ac:dyDescent="0.25">
      <c r="A139" s="59" t="s">
        <v>369</v>
      </c>
      <c r="B139" s="84">
        <v>137</v>
      </c>
      <c r="C139" s="85" t="s">
        <v>142</v>
      </c>
      <c r="D139" s="60">
        <v>0</v>
      </c>
      <c r="E139" s="61">
        <f t="shared" si="24"/>
        <v>0</v>
      </c>
      <c r="F139" s="60">
        <v>0</v>
      </c>
      <c r="G139" s="61">
        <f t="shared" si="25"/>
        <v>0</v>
      </c>
      <c r="H139" s="60">
        <v>0</v>
      </c>
      <c r="I139" s="61">
        <f t="shared" si="26"/>
        <v>0</v>
      </c>
      <c r="J139" s="60">
        <v>0</v>
      </c>
      <c r="K139" s="61">
        <f t="shared" si="27"/>
        <v>0</v>
      </c>
      <c r="L139" s="62"/>
      <c r="M139" s="61">
        <f t="shared" si="28"/>
        <v>0</v>
      </c>
      <c r="N139" s="63">
        <v>0</v>
      </c>
      <c r="O139" s="61">
        <f t="shared" si="29"/>
        <v>0</v>
      </c>
      <c r="P139" s="60">
        <v>0</v>
      </c>
      <c r="Q139" s="61">
        <f t="shared" si="30"/>
        <v>0</v>
      </c>
      <c r="R139" s="60">
        <v>0</v>
      </c>
      <c r="S139" s="61">
        <f t="shared" si="31"/>
        <v>0</v>
      </c>
      <c r="T139" s="60">
        <v>0</v>
      </c>
      <c r="U139" s="64">
        <f t="shared" si="32"/>
        <v>0</v>
      </c>
      <c r="V139" s="65">
        <v>0</v>
      </c>
      <c r="W139" s="66">
        <f t="shared" si="33"/>
        <v>0</v>
      </c>
      <c r="X139" s="67">
        <f t="shared" si="34"/>
        <v>0</v>
      </c>
      <c r="Y139" s="57" t="str">
        <f t="shared" si="35"/>
        <v>NIL PLEASE PURCHASE</v>
      </c>
      <c r="Z139" s="68" t="s">
        <v>1539</v>
      </c>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c r="CJ139" s="8"/>
      <c r="CK139" s="8"/>
      <c r="CL139" s="8"/>
      <c r="CM139" s="8"/>
      <c r="CN139" s="8"/>
      <c r="CO139" s="8"/>
      <c r="CP139" s="8"/>
      <c r="CQ139" s="8"/>
      <c r="CR139" s="8"/>
      <c r="CS139" s="8"/>
      <c r="CT139" s="8"/>
      <c r="CU139" s="8"/>
      <c r="CV139" s="8"/>
      <c r="CW139" s="8"/>
      <c r="CX139" s="8"/>
      <c r="CY139" s="8"/>
      <c r="CZ139" s="8"/>
      <c r="DA139" s="8"/>
      <c r="DB139" s="8"/>
      <c r="DC139" s="8"/>
      <c r="DD139" s="8"/>
      <c r="DE139" s="8"/>
      <c r="DF139" s="8"/>
      <c r="DG139" s="8"/>
      <c r="DH139" s="8"/>
      <c r="DI139" s="8"/>
      <c r="DJ139" s="8"/>
      <c r="DK139" s="8"/>
      <c r="DL139" s="8"/>
      <c r="DM139" s="8"/>
      <c r="DN139" s="8"/>
      <c r="DO139" s="8"/>
      <c r="DP139" s="8"/>
      <c r="DQ139" s="8"/>
      <c r="DR139" s="8"/>
      <c r="DS139" s="8"/>
      <c r="DT139" s="8"/>
      <c r="DU139" s="8"/>
    </row>
    <row r="140" spans="1:125" s="1" customFormat="1" ht="20.100000000000001" customHeight="1" x14ac:dyDescent="0.25">
      <c r="A140" s="59" t="s">
        <v>370</v>
      </c>
      <c r="B140" s="84">
        <v>138</v>
      </c>
      <c r="C140" s="85" t="s">
        <v>143</v>
      </c>
      <c r="D140" s="60">
        <v>0</v>
      </c>
      <c r="E140" s="61">
        <f t="shared" si="24"/>
        <v>0</v>
      </c>
      <c r="F140" s="60">
        <v>0</v>
      </c>
      <c r="G140" s="61">
        <f t="shared" si="25"/>
        <v>0</v>
      </c>
      <c r="H140" s="60">
        <v>0</v>
      </c>
      <c r="I140" s="61">
        <f t="shared" si="26"/>
        <v>0</v>
      </c>
      <c r="J140" s="60">
        <v>0</v>
      </c>
      <c r="K140" s="61">
        <f t="shared" si="27"/>
        <v>0</v>
      </c>
      <c r="L140" s="62"/>
      <c r="M140" s="61">
        <f t="shared" si="28"/>
        <v>0</v>
      </c>
      <c r="N140" s="63">
        <v>0</v>
      </c>
      <c r="O140" s="61">
        <f t="shared" si="29"/>
        <v>0</v>
      </c>
      <c r="P140" s="60">
        <v>0</v>
      </c>
      <c r="Q140" s="61">
        <f t="shared" si="30"/>
        <v>0</v>
      </c>
      <c r="R140" s="60">
        <v>0</v>
      </c>
      <c r="S140" s="61">
        <f t="shared" si="31"/>
        <v>0</v>
      </c>
      <c r="T140" s="60">
        <v>0</v>
      </c>
      <c r="U140" s="64">
        <f t="shared" si="32"/>
        <v>0</v>
      </c>
      <c r="V140" s="65">
        <v>0</v>
      </c>
      <c r="W140" s="66">
        <f t="shared" si="33"/>
        <v>0</v>
      </c>
      <c r="X140" s="67">
        <f t="shared" si="34"/>
        <v>0</v>
      </c>
      <c r="Y140" s="57" t="str">
        <f t="shared" si="35"/>
        <v>NIL PLEASE PURCHASE</v>
      </c>
      <c r="Z140" s="68" t="s">
        <v>1539</v>
      </c>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c r="CJ140" s="8"/>
      <c r="CK140" s="8"/>
      <c r="CL140" s="8"/>
      <c r="CM140" s="8"/>
      <c r="CN140" s="8"/>
      <c r="CO140" s="8"/>
      <c r="CP140" s="8"/>
      <c r="CQ140" s="8"/>
      <c r="CR140" s="8"/>
      <c r="CS140" s="8"/>
      <c r="CT140" s="8"/>
      <c r="CU140" s="8"/>
      <c r="CV140" s="8"/>
      <c r="CW140" s="8"/>
      <c r="CX140" s="8"/>
      <c r="CY140" s="8"/>
      <c r="CZ140" s="8"/>
      <c r="DA140" s="8"/>
      <c r="DB140" s="8"/>
      <c r="DC140" s="8"/>
      <c r="DD140" s="8"/>
      <c r="DE140" s="8"/>
      <c r="DF140" s="8"/>
      <c r="DG140" s="8"/>
      <c r="DH140" s="8"/>
      <c r="DI140" s="8"/>
      <c r="DJ140" s="8"/>
      <c r="DK140" s="8"/>
      <c r="DL140" s="8"/>
      <c r="DM140" s="8"/>
      <c r="DN140" s="8"/>
      <c r="DO140" s="8"/>
      <c r="DP140" s="8"/>
      <c r="DQ140" s="8"/>
      <c r="DR140" s="8"/>
      <c r="DS140" s="8"/>
      <c r="DT140" s="8"/>
      <c r="DU140" s="8"/>
    </row>
    <row r="141" spans="1:125" s="1" customFormat="1" ht="20.100000000000001" customHeight="1" x14ac:dyDescent="0.25">
      <c r="A141" s="59" t="s">
        <v>371</v>
      </c>
      <c r="B141" s="84">
        <v>139</v>
      </c>
      <c r="C141" s="85" t="s">
        <v>144</v>
      </c>
      <c r="D141" s="60">
        <v>0</v>
      </c>
      <c r="E141" s="61">
        <f t="shared" si="24"/>
        <v>0</v>
      </c>
      <c r="F141" s="60">
        <v>0</v>
      </c>
      <c r="G141" s="61">
        <f t="shared" si="25"/>
        <v>0</v>
      </c>
      <c r="H141" s="60">
        <v>0</v>
      </c>
      <c r="I141" s="61">
        <f t="shared" si="26"/>
        <v>0</v>
      </c>
      <c r="J141" s="60">
        <v>0</v>
      </c>
      <c r="K141" s="61">
        <f t="shared" si="27"/>
        <v>0</v>
      </c>
      <c r="L141" s="62"/>
      <c r="M141" s="61">
        <f t="shared" si="28"/>
        <v>0</v>
      </c>
      <c r="N141" s="63">
        <v>4</v>
      </c>
      <c r="O141" s="61">
        <f t="shared" si="29"/>
        <v>2000</v>
      </c>
      <c r="P141" s="60">
        <v>0</v>
      </c>
      <c r="Q141" s="61">
        <f t="shared" si="30"/>
        <v>0</v>
      </c>
      <c r="R141" s="60">
        <v>0</v>
      </c>
      <c r="S141" s="61">
        <f t="shared" si="31"/>
        <v>0</v>
      </c>
      <c r="T141" s="60">
        <v>0</v>
      </c>
      <c r="U141" s="64">
        <f t="shared" si="32"/>
        <v>0</v>
      </c>
      <c r="V141" s="65">
        <v>0</v>
      </c>
      <c r="W141" s="66">
        <f t="shared" si="33"/>
        <v>2000</v>
      </c>
      <c r="X141" s="67">
        <f t="shared" si="34"/>
        <v>2</v>
      </c>
      <c r="Y141" s="57" t="str">
        <f t="shared" si="35"/>
        <v>STOCK</v>
      </c>
      <c r="Z141" s="68" t="s">
        <v>1538</v>
      </c>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c r="BU141" s="8"/>
      <c r="BV141" s="8"/>
      <c r="BW141" s="8"/>
      <c r="BX141" s="8"/>
      <c r="BY141" s="8"/>
      <c r="BZ141" s="8"/>
      <c r="CA141" s="8"/>
      <c r="CB141" s="8"/>
      <c r="CC141" s="8"/>
      <c r="CD141" s="8"/>
      <c r="CE141" s="8"/>
      <c r="CF141" s="8"/>
      <c r="CG141" s="8"/>
      <c r="CH141" s="8"/>
      <c r="CI141" s="8"/>
      <c r="CJ141" s="8"/>
      <c r="CK141" s="8"/>
      <c r="CL141" s="8"/>
      <c r="CM141" s="8"/>
      <c r="CN141" s="8"/>
      <c r="CO141" s="8"/>
      <c r="CP141" s="8"/>
      <c r="CQ141" s="8"/>
      <c r="CR141" s="8"/>
      <c r="CS141" s="8"/>
      <c r="CT141" s="8"/>
      <c r="CU141" s="8"/>
      <c r="CV141" s="8"/>
      <c r="CW141" s="8"/>
      <c r="CX141" s="8"/>
      <c r="CY141" s="8"/>
      <c r="CZ141" s="8"/>
      <c r="DA141" s="8"/>
      <c r="DB141" s="8"/>
      <c r="DC141" s="8"/>
      <c r="DD141" s="8"/>
      <c r="DE141" s="8"/>
      <c r="DF141" s="8"/>
      <c r="DG141" s="8"/>
      <c r="DH141" s="8"/>
      <c r="DI141" s="8"/>
      <c r="DJ141" s="8"/>
      <c r="DK141" s="8"/>
      <c r="DL141" s="8"/>
      <c r="DM141" s="8"/>
      <c r="DN141" s="8"/>
      <c r="DO141" s="8"/>
      <c r="DP141" s="8"/>
      <c r="DQ141" s="8"/>
      <c r="DR141" s="8"/>
      <c r="DS141" s="8"/>
      <c r="DT141" s="8"/>
      <c r="DU141" s="8"/>
    </row>
    <row r="142" spans="1:125" s="1" customFormat="1" ht="20.100000000000001" customHeight="1" x14ac:dyDescent="0.25">
      <c r="A142" s="59" t="s">
        <v>372</v>
      </c>
      <c r="B142" s="84">
        <v>140</v>
      </c>
      <c r="C142" s="85" t="s">
        <v>145</v>
      </c>
      <c r="D142" s="60">
        <v>0</v>
      </c>
      <c r="E142" s="61">
        <f t="shared" si="24"/>
        <v>0</v>
      </c>
      <c r="F142" s="60">
        <v>0</v>
      </c>
      <c r="G142" s="61">
        <f t="shared" si="25"/>
        <v>0</v>
      </c>
      <c r="H142" s="60">
        <v>0</v>
      </c>
      <c r="I142" s="61">
        <f t="shared" si="26"/>
        <v>0</v>
      </c>
      <c r="J142" s="60">
        <v>0</v>
      </c>
      <c r="K142" s="61">
        <f t="shared" si="27"/>
        <v>0</v>
      </c>
      <c r="L142" s="62"/>
      <c r="M142" s="61">
        <f t="shared" si="28"/>
        <v>0</v>
      </c>
      <c r="N142" s="63">
        <v>1</v>
      </c>
      <c r="O142" s="61">
        <f t="shared" si="29"/>
        <v>500</v>
      </c>
      <c r="P142" s="60">
        <v>0</v>
      </c>
      <c r="Q142" s="61">
        <f t="shared" si="30"/>
        <v>0</v>
      </c>
      <c r="R142" s="60">
        <v>0</v>
      </c>
      <c r="S142" s="61">
        <f t="shared" si="31"/>
        <v>0</v>
      </c>
      <c r="T142" s="60">
        <v>0</v>
      </c>
      <c r="U142" s="64">
        <f t="shared" si="32"/>
        <v>0</v>
      </c>
      <c r="V142" s="65">
        <v>0</v>
      </c>
      <c r="W142" s="66">
        <f t="shared" si="33"/>
        <v>500</v>
      </c>
      <c r="X142" s="67">
        <f t="shared" si="34"/>
        <v>0.5</v>
      </c>
      <c r="Y142" s="57" t="str">
        <f t="shared" si="35"/>
        <v>STOCK</v>
      </c>
      <c r="Z142" s="68" t="s">
        <v>1538</v>
      </c>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c r="BU142" s="8"/>
      <c r="BV142" s="8"/>
      <c r="BW142" s="8"/>
      <c r="BX142" s="8"/>
      <c r="BY142" s="8"/>
      <c r="BZ142" s="8"/>
      <c r="CA142" s="8"/>
      <c r="CB142" s="8"/>
      <c r="CC142" s="8"/>
      <c r="CD142" s="8"/>
      <c r="CE142" s="8"/>
      <c r="CF142" s="8"/>
      <c r="CG142" s="8"/>
      <c r="CH142" s="8"/>
      <c r="CI142" s="8"/>
      <c r="CJ142" s="8"/>
      <c r="CK142" s="8"/>
      <c r="CL142" s="8"/>
      <c r="CM142" s="8"/>
      <c r="CN142" s="8"/>
      <c r="CO142" s="8"/>
      <c r="CP142" s="8"/>
      <c r="CQ142" s="8"/>
      <c r="CR142" s="8"/>
      <c r="CS142" s="8"/>
      <c r="CT142" s="8"/>
      <c r="CU142" s="8"/>
      <c r="CV142" s="8"/>
      <c r="CW142" s="8"/>
      <c r="CX142" s="8"/>
      <c r="CY142" s="8"/>
      <c r="CZ142" s="8"/>
      <c r="DA142" s="8"/>
      <c r="DB142" s="8"/>
      <c r="DC142" s="8"/>
      <c r="DD142" s="8"/>
      <c r="DE142" s="8"/>
      <c r="DF142" s="8"/>
      <c r="DG142" s="8"/>
      <c r="DH142" s="8"/>
      <c r="DI142" s="8"/>
      <c r="DJ142" s="8"/>
      <c r="DK142" s="8"/>
      <c r="DL142" s="8"/>
      <c r="DM142" s="8"/>
      <c r="DN142" s="8"/>
      <c r="DO142" s="8"/>
      <c r="DP142" s="8"/>
      <c r="DQ142" s="8"/>
      <c r="DR142" s="8"/>
      <c r="DS142" s="8"/>
      <c r="DT142" s="8"/>
      <c r="DU142" s="8"/>
    </row>
    <row r="143" spans="1:125" s="1" customFormat="1" ht="20.100000000000001" customHeight="1" x14ac:dyDescent="0.25">
      <c r="A143" s="59" t="s">
        <v>373</v>
      </c>
      <c r="B143" s="84">
        <v>141</v>
      </c>
      <c r="C143" s="85" t="s">
        <v>146</v>
      </c>
      <c r="D143" s="60">
        <v>0</v>
      </c>
      <c r="E143" s="61">
        <f t="shared" si="24"/>
        <v>0</v>
      </c>
      <c r="F143" s="60">
        <v>0</v>
      </c>
      <c r="G143" s="61">
        <f t="shared" si="25"/>
        <v>0</v>
      </c>
      <c r="H143" s="60">
        <v>0</v>
      </c>
      <c r="I143" s="61">
        <f t="shared" si="26"/>
        <v>0</v>
      </c>
      <c r="J143" s="60">
        <v>0</v>
      </c>
      <c r="K143" s="61">
        <f t="shared" si="27"/>
        <v>0</v>
      </c>
      <c r="L143" s="62"/>
      <c r="M143" s="61">
        <f t="shared" si="28"/>
        <v>0</v>
      </c>
      <c r="N143" s="63">
        <v>2</v>
      </c>
      <c r="O143" s="61">
        <f t="shared" si="29"/>
        <v>1000</v>
      </c>
      <c r="P143" s="60">
        <v>0</v>
      </c>
      <c r="Q143" s="61">
        <f t="shared" si="30"/>
        <v>0</v>
      </c>
      <c r="R143" s="60">
        <v>0</v>
      </c>
      <c r="S143" s="61">
        <f t="shared" si="31"/>
        <v>0</v>
      </c>
      <c r="T143" s="60">
        <v>0</v>
      </c>
      <c r="U143" s="64">
        <f t="shared" si="32"/>
        <v>0</v>
      </c>
      <c r="V143" s="65">
        <v>0</v>
      </c>
      <c r="W143" s="66">
        <f t="shared" si="33"/>
        <v>1000</v>
      </c>
      <c r="X143" s="67">
        <f t="shared" si="34"/>
        <v>1</v>
      </c>
      <c r="Y143" s="57" t="str">
        <f t="shared" si="35"/>
        <v>STOCK</v>
      </c>
      <c r="Z143" s="68" t="s">
        <v>1538</v>
      </c>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c r="BU143" s="8"/>
      <c r="BV143" s="8"/>
      <c r="BW143" s="8"/>
      <c r="BX143" s="8"/>
      <c r="BY143" s="8"/>
      <c r="BZ143" s="8"/>
      <c r="CA143" s="8"/>
      <c r="CB143" s="8"/>
      <c r="CC143" s="8"/>
      <c r="CD143" s="8"/>
      <c r="CE143" s="8"/>
      <c r="CF143" s="8"/>
      <c r="CG143" s="8"/>
      <c r="CH143" s="8"/>
      <c r="CI143" s="8"/>
      <c r="CJ143" s="8"/>
      <c r="CK143" s="8"/>
      <c r="CL143" s="8"/>
      <c r="CM143" s="8"/>
      <c r="CN143" s="8"/>
      <c r="CO143" s="8"/>
      <c r="CP143" s="8"/>
      <c r="CQ143" s="8"/>
      <c r="CR143" s="8"/>
      <c r="CS143" s="8"/>
      <c r="CT143" s="8"/>
      <c r="CU143" s="8"/>
      <c r="CV143" s="8"/>
      <c r="CW143" s="8"/>
      <c r="CX143" s="8"/>
      <c r="CY143" s="8"/>
      <c r="CZ143" s="8"/>
      <c r="DA143" s="8"/>
      <c r="DB143" s="8"/>
      <c r="DC143" s="8"/>
      <c r="DD143" s="8"/>
      <c r="DE143" s="8"/>
      <c r="DF143" s="8"/>
      <c r="DG143" s="8"/>
      <c r="DH143" s="8"/>
      <c r="DI143" s="8"/>
      <c r="DJ143" s="8"/>
      <c r="DK143" s="8"/>
      <c r="DL143" s="8"/>
      <c r="DM143" s="8"/>
      <c r="DN143" s="8"/>
      <c r="DO143" s="8"/>
      <c r="DP143" s="8"/>
      <c r="DQ143" s="8"/>
      <c r="DR143" s="8"/>
      <c r="DS143" s="8"/>
      <c r="DT143" s="8"/>
      <c r="DU143" s="8"/>
    </row>
    <row r="144" spans="1:125" s="1" customFormat="1" ht="20.100000000000001" customHeight="1" x14ac:dyDescent="0.25">
      <c r="A144" s="59" t="s">
        <v>374</v>
      </c>
      <c r="B144" s="84">
        <v>142</v>
      </c>
      <c r="C144" s="85" t="s">
        <v>147</v>
      </c>
      <c r="D144" s="60">
        <v>0</v>
      </c>
      <c r="E144" s="61">
        <f t="shared" si="24"/>
        <v>0</v>
      </c>
      <c r="F144" s="60">
        <v>0</v>
      </c>
      <c r="G144" s="61">
        <f t="shared" si="25"/>
        <v>0</v>
      </c>
      <c r="H144" s="60">
        <v>0</v>
      </c>
      <c r="I144" s="61">
        <f t="shared" si="26"/>
        <v>0</v>
      </c>
      <c r="J144" s="60">
        <v>3</v>
      </c>
      <c r="K144" s="61">
        <f t="shared" si="27"/>
        <v>300</v>
      </c>
      <c r="L144" s="62"/>
      <c r="M144" s="61">
        <f t="shared" si="28"/>
        <v>0</v>
      </c>
      <c r="N144" s="63">
        <v>0</v>
      </c>
      <c r="O144" s="61">
        <f t="shared" si="29"/>
        <v>0</v>
      </c>
      <c r="P144" s="60">
        <v>0</v>
      </c>
      <c r="Q144" s="61">
        <f t="shared" si="30"/>
        <v>0</v>
      </c>
      <c r="R144" s="60">
        <v>0</v>
      </c>
      <c r="S144" s="61">
        <f t="shared" si="31"/>
        <v>0</v>
      </c>
      <c r="T144" s="60">
        <v>0</v>
      </c>
      <c r="U144" s="64">
        <f t="shared" si="32"/>
        <v>0</v>
      </c>
      <c r="V144" s="65">
        <v>0</v>
      </c>
      <c r="W144" s="66">
        <f t="shared" si="33"/>
        <v>300</v>
      </c>
      <c r="X144" s="67">
        <f t="shared" si="34"/>
        <v>0.3</v>
      </c>
      <c r="Y144" s="57" t="str">
        <f t="shared" si="35"/>
        <v>STOCK</v>
      </c>
      <c r="Z144" s="68" t="s">
        <v>1538</v>
      </c>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c r="BU144" s="8"/>
      <c r="BV144" s="8"/>
      <c r="BW144" s="8"/>
      <c r="BX144" s="8"/>
      <c r="BY144" s="8"/>
      <c r="BZ144" s="8"/>
      <c r="CA144" s="8"/>
      <c r="CB144" s="8"/>
      <c r="CC144" s="8"/>
      <c r="CD144" s="8"/>
      <c r="CE144" s="8"/>
      <c r="CF144" s="8"/>
      <c r="CG144" s="8"/>
      <c r="CH144" s="8"/>
      <c r="CI144" s="8"/>
      <c r="CJ144" s="8"/>
      <c r="CK144" s="8"/>
      <c r="CL144" s="8"/>
      <c r="CM144" s="8"/>
      <c r="CN144" s="8"/>
      <c r="CO144" s="8"/>
      <c r="CP144" s="8"/>
      <c r="CQ144" s="8"/>
      <c r="CR144" s="8"/>
      <c r="CS144" s="8"/>
      <c r="CT144" s="8"/>
      <c r="CU144" s="8"/>
      <c r="CV144" s="8"/>
      <c r="CW144" s="8"/>
      <c r="CX144" s="8"/>
      <c r="CY144" s="8"/>
      <c r="CZ144" s="8"/>
      <c r="DA144" s="8"/>
      <c r="DB144" s="8"/>
      <c r="DC144" s="8"/>
      <c r="DD144" s="8"/>
      <c r="DE144" s="8"/>
      <c r="DF144" s="8"/>
      <c r="DG144" s="8"/>
      <c r="DH144" s="8"/>
      <c r="DI144" s="8"/>
      <c r="DJ144" s="8"/>
      <c r="DK144" s="8"/>
      <c r="DL144" s="8"/>
      <c r="DM144" s="8"/>
      <c r="DN144" s="8"/>
      <c r="DO144" s="8"/>
      <c r="DP144" s="8"/>
      <c r="DQ144" s="8"/>
      <c r="DR144" s="8"/>
      <c r="DS144" s="8"/>
      <c r="DT144" s="8"/>
      <c r="DU144" s="8"/>
    </row>
    <row r="145" spans="1:125" s="1" customFormat="1" ht="20.100000000000001" customHeight="1" x14ac:dyDescent="0.25">
      <c r="A145" s="59" t="s">
        <v>375</v>
      </c>
      <c r="B145" s="84">
        <v>143</v>
      </c>
      <c r="C145" s="85" t="s">
        <v>148</v>
      </c>
      <c r="D145" s="60">
        <v>0</v>
      </c>
      <c r="E145" s="61">
        <f t="shared" si="24"/>
        <v>0</v>
      </c>
      <c r="F145" s="60">
        <v>0</v>
      </c>
      <c r="G145" s="61">
        <f t="shared" si="25"/>
        <v>0</v>
      </c>
      <c r="H145" s="60">
        <v>0</v>
      </c>
      <c r="I145" s="61">
        <f t="shared" si="26"/>
        <v>0</v>
      </c>
      <c r="J145" s="60">
        <v>0</v>
      </c>
      <c r="K145" s="61">
        <f t="shared" si="27"/>
        <v>0</v>
      </c>
      <c r="L145" s="62"/>
      <c r="M145" s="61">
        <f t="shared" si="28"/>
        <v>0</v>
      </c>
      <c r="N145" s="63">
        <v>0</v>
      </c>
      <c r="O145" s="61">
        <f t="shared" si="29"/>
        <v>0</v>
      </c>
      <c r="P145" s="60">
        <v>0</v>
      </c>
      <c r="Q145" s="61">
        <f t="shared" si="30"/>
        <v>0</v>
      </c>
      <c r="R145" s="60">
        <v>0</v>
      </c>
      <c r="S145" s="61">
        <f t="shared" si="31"/>
        <v>0</v>
      </c>
      <c r="T145" s="60">
        <v>0</v>
      </c>
      <c r="U145" s="64">
        <f t="shared" si="32"/>
        <v>0</v>
      </c>
      <c r="V145" s="65">
        <v>0</v>
      </c>
      <c r="W145" s="66">
        <f t="shared" si="33"/>
        <v>0</v>
      </c>
      <c r="X145" s="67">
        <f t="shared" si="34"/>
        <v>0</v>
      </c>
      <c r="Y145" s="57" t="str">
        <f t="shared" si="35"/>
        <v>NIL PLEASE PURCHASE</v>
      </c>
      <c r="Z145" s="68" t="s">
        <v>1539</v>
      </c>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c r="BU145" s="8"/>
      <c r="BV145" s="8"/>
      <c r="BW145" s="8"/>
      <c r="BX145" s="8"/>
      <c r="BY145" s="8"/>
      <c r="BZ145" s="8"/>
      <c r="CA145" s="8"/>
      <c r="CB145" s="8"/>
      <c r="CC145" s="8"/>
      <c r="CD145" s="8"/>
      <c r="CE145" s="8"/>
      <c r="CF145" s="8"/>
      <c r="CG145" s="8"/>
      <c r="CH145" s="8"/>
      <c r="CI145" s="8"/>
      <c r="CJ145" s="8"/>
      <c r="CK145" s="8"/>
      <c r="CL145" s="8"/>
      <c r="CM145" s="8"/>
      <c r="CN145" s="8"/>
      <c r="CO145" s="8"/>
      <c r="CP145" s="8"/>
      <c r="CQ145" s="8"/>
      <c r="CR145" s="8"/>
      <c r="CS145" s="8"/>
      <c r="CT145" s="8"/>
      <c r="CU145" s="8"/>
      <c r="CV145" s="8"/>
      <c r="CW145" s="8"/>
      <c r="CX145" s="8"/>
      <c r="CY145" s="8"/>
      <c r="CZ145" s="8"/>
      <c r="DA145" s="8"/>
      <c r="DB145" s="8"/>
      <c r="DC145" s="8"/>
      <c r="DD145" s="8"/>
      <c r="DE145" s="8"/>
      <c r="DF145" s="8"/>
      <c r="DG145" s="8"/>
      <c r="DH145" s="8"/>
      <c r="DI145" s="8"/>
      <c r="DJ145" s="8"/>
      <c r="DK145" s="8"/>
      <c r="DL145" s="8"/>
      <c r="DM145" s="8"/>
      <c r="DN145" s="8"/>
      <c r="DO145" s="8"/>
      <c r="DP145" s="8"/>
      <c r="DQ145" s="8"/>
      <c r="DR145" s="8"/>
      <c r="DS145" s="8"/>
      <c r="DT145" s="8"/>
      <c r="DU145" s="8"/>
    </row>
    <row r="146" spans="1:125" s="1" customFormat="1" ht="20.100000000000001" customHeight="1" x14ac:dyDescent="0.25">
      <c r="A146" s="59" t="s">
        <v>376</v>
      </c>
      <c r="B146" s="84">
        <v>144</v>
      </c>
      <c r="C146" s="85" t="s">
        <v>149</v>
      </c>
      <c r="D146" s="60">
        <v>0</v>
      </c>
      <c r="E146" s="61">
        <f t="shared" si="24"/>
        <v>0</v>
      </c>
      <c r="F146" s="60">
        <v>0</v>
      </c>
      <c r="G146" s="61">
        <f t="shared" si="25"/>
        <v>0</v>
      </c>
      <c r="H146" s="60">
        <v>0</v>
      </c>
      <c r="I146" s="61">
        <f t="shared" si="26"/>
        <v>0</v>
      </c>
      <c r="J146" s="60">
        <v>0</v>
      </c>
      <c r="K146" s="61">
        <f t="shared" si="27"/>
        <v>0</v>
      </c>
      <c r="L146" s="62"/>
      <c r="M146" s="61">
        <f t="shared" si="28"/>
        <v>0</v>
      </c>
      <c r="N146" s="63">
        <v>0</v>
      </c>
      <c r="O146" s="61">
        <f t="shared" si="29"/>
        <v>0</v>
      </c>
      <c r="P146" s="60">
        <v>0</v>
      </c>
      <c r="Q146" s="61">
        <f t="shared" si="30"/>
        <v>0</v>
      </c>
      <c r="R146" s="60">
        <v>0</v>
      </c>
      <c r="S146" s="61">
        <f t="shared" si="31"/>
        <v>0</v>
      </c>
      <c r="T146" s="60">
        <v>0</v>
      </c>
      <c r="U146" s="64">
        <f t="shared" si="32"/>
        <v>0</v>
      </c>
      <c r="V146" s="65">
        <v>0</v>
      </c>
      <c r="W146" s="66">
        <f t="shared" si="33"/>
        <v>0</v>
      </c>
      <c r="X146" s="67">
        <f t="shared" si="34"/>
        <v>0</v>
      </c>
      <c r="Y146" s="57" t="str">
        <f t="shared" si="35"/>
        <v>NIL PLEASE PURCHASE</v>
      </c>
      <c r="Z146" s="68" t="s">
        <v>1539</v>
      </c>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c r="BU146" s="8"/>
      <c r="BV146" s="8"/>
      <c r="BW146" s="8"/>
      <c r="BX146" s="8"/>
      <c r="BY146" s="8"/>
      <c r="BZ146" s="8"/>
      <c r="CA146" s="8"/>
      <c r="CB146" s="8"/>
      <c r="CC146" s="8"/>
      <c r="CD146" s="8"/>
      <c r="CE146" s="8"/>
      <c r="CF146" s="8"/>
      <c r="CG146" s="8"/>
      <c r="CH146" s="8"/>
      <c r="CI146" s="8"/>
      <c r="CJ146" s="8"/>
      <c r="CK146" s="8"/>
      <c r="CL146" s="8"/>
      <c r="CM146" s="8"/>
      <c r="CN146" s="8"/>
      <c r="CO146" s="8"/>
      <c r="CP146" s="8"/>
      <c r="CQ146" s="8"/>
      <c r="CR146" s="8"/>
      <c r="CS146" s="8"/>
      <c r="CT146" s="8"/>
      <c r="CU146" s="8"/>
      <c r="CV146" s="8"/>
      <c r="CW146" s="8"/>
      <c r="CX146" s="8"/>
      <c r="CY146" s="8"/>
      <c r="CZ146" s="8"/>
      <c r="DA146" s="8"/>
      <c r="DB146" s="8"/>
      <c r="DC146" s="8"/>
      <c r="DD146" s="8"/>
      <c r="DE146" s="8"/>
      <c r="DF146" s="8"/>
      <c r="DG146" s="8"/>
      <c r="DH146" s="8"/>
      <c r="DI146" s="8"/>
      <c r="DJ146" s="8"/>
      <c r="DK146" s="8"/>
      <c r="DL146" s="8"/>
      <c r="DM146" s="8"/>
      <c r="DN146" s="8"/>
      <c r="DO146" s="8"/>
      <c r="DP146" s="8"/>
      <c r="DQ146" s="8"/>
      <c r="DR146" s="8"/>
      <c r="DS146" s="8"/>
      <c r="DT146" s="8"/>
      <c r="DU146" s="8"/>
    </row>
    <row r="147" spans="1:125" s="1" customFormat="1" ht="20.100000000000001" customHeight="1" x14ac:dyDescent="0.25">
      <c r="A147" s="59" t="s">
        <v>377</v>
      </c>
      <c r="B147" s="84">
        <v>145</v>
      </c>
      <c r="C147" s="85" t="s">
        <v>150</v>
      </c>
      <c r="D147" s="60">
        <v>0</v>
      </c>
      <c r="E147" s="61">
        <f t="shared" si="24"/>
        <v>0</v>
      </c>
      <c r="F147" s="60">
        <v>0</v>
      </c>
      <c r="G147" s="61">
        <f t="shared" si="25"/>
        <v>0</v>
      </c>
      <c r="H147" s="60">
        <v>0</v>
      </c>
      <c r="I147" s="61">
        <f t="shared" si="26"/>
        <v>0</v>
      </c>
      <c r="J147" s="60">
        <v>0</v>
      </c>
      <c r="K147" s="61">
        <f t="shared" si="27"/>
        <v>0</v>
      </c>
      <c r="L147" s="62"/>
      <c r="M147" s="61">
        <f t="shared" si="28"/>
        <v>0</v>
      </c>
      <c r="N147" s="63">
        <v>0</v>
      </c>
      <c r="O147" s="61">
        <f t="shared" si="29"/>
        <v>0</v>
      </c>
      <c r="P147" s="60">
        <v>0</v>
      </c>
      <c r="Q147" s="61">
        <f t="shared" si="30"/>
        <v>0</v>
      </c>
      <c r="R147" s="60">
        <v>0</v>
      </c>
      <c r="S147" s="61">
        <f t="shared" si="31"/>
        <v>0</v>
      </c>
      <c r="T147" s="60">
        <v>0</v>
      </c>
      <c r="U147" s="64">
        <f t="shared" si="32"/>
        <v>0</v>
      </c>
      <c r="V147" s="65">
        <v>0</v>
      </c>
      <c r="W147" s="66">
        <f t="shared" si="33"/>
        <v>0</v>
      </c>
      <c r="X147" s="67">
        <f t="shared" si="34"/>
        <v>0</v>
      </c>
      <c r="Y147" s="57" t="str">
        <f t="shared" si="35"/>
        <v>NIL PLEASE PURCHASE</v>
      </c>
      <c r="Z147" s="68" t="s">
        <v>1539</v>
      </c>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c r="BU147" s="8"/>
      <c r="BV147" s="8"/>
      <c r="BW147" s="8"/>
      <c r="BX147" s="8"/>
      <c r="BY147" s="8"/>
      <c r="BZ147" s="8"/>
      <c r="CA147" s="8"/>
      <c r="CB147" s="8"/>
      <c r="CC147" s="8"/>
      <c r="CD147" s="8"/>
      <c r="CE147" s="8"/>
      <c r="CF147" s="8"/>
      <c r="CG147" s="8"/>
      <c r="CH147" s="8"/>
      <c r="CI147" s="8"/>
      <c r="CJ147" s="8"/>
      <c r="CK147" s="8"/>
      <c r="CL147" s="8"/>
      <c r="CM147" s="8"/>
      <c r="CN147" s="8"/>
      <c r="CO147" s="8"/>
      <c r="CP147" s="8"/>
      <c r="CQ147" s="8"/>
      <c r="CR147" s="8"/>
      <c r="CS147" s="8"/>
      <c r="CT147" s="8"/>
      <c r="CU147" s="8"/>
      <c r="CV147" s="8"/>
      <c r="CW147" s="8"/>
      <c r="CX147" s="8"/>
      <c r="CY147" s="8"/>
      <c r="CZ147" s="8"/>
      <c r="DA147" s="8"/>
      <c r="DB147" s="8"/>
      <c r="DC147" s="8"/>
      <c r="DD147" s="8"/>
      <c r="DE147" s="8"/>
      <c r="DF147" s="8"/>
      <c r="DG147" s="8"/>
      <c r="DH147" s="8"/>
      <c r="DI147" s="8"/>
      <c r="DJ147" s="8"/>
      <c r="DK147" s="8"/>
      <c r="DL147" s="8"/>
      <c r="DM147" s="8"/>
      <c r="DN147" s="8"/>
      <c r="DO147" s="8"/>
      <c r="DP147" s="8"/>
      <c r="DQ147" s="8"/>
      <c r="DR147" s="8"/>
      <c r="DS147" s="8"/>
      <c r="DT147" s="8"/>
      <c r="DU147" s="8"/>
    </row>
    <row r="148" spans="1:125" s="1" customFormat="1" ht="20.100000000000001" customHeight="1" x14ac:dyDescent="0.25">
      <c r="A148" s="59" t="s">
        <v>378</v>
      </c>
      <c r="B148" s="84">
        <v>146</v>
      </c>
      <c r="C148" s="85" t="s">
        <v>151</v>
      </c>
      <c r="D148" s="60">
        <v>0</v>
      </c>
      <c r="E148" s="61">
        <f t="shared" si="24"/>
        <v>0</v>
      </c>
      <c r="F148" s="60">
        <v>0</v>
      </c>
      <c r="G148" s="61">
        <f t="shared" si="25"/>
        <v>0</v>
      </c>
      <c r="H148" s="60">
        <v>0</v>
      </c>
      <c r="I148" s="61">
        <f t="shared" si="26"/>
        <v>0</v>
      </c>
      <c r="J148" s="60">
        <v>0</v>
      </c>
      <c r="K148" s="61">
        <f t="shared" si="27"/>
        <v>0</v>
      </c>
      <c r="L148" s="62"/>
      <c r="M148" s="61">
        <f t="shared" si="28"/>
        <v>0</v>
      </c>
      <c r="N148" s="63">
        <v>1</v>
      </c>
      <c r="O148" s="61">
        <v>500</v>
      </c>
      <c r="P148" s="60">
        <v>0</v>
      </c>
      <c r="Q148" s="61">
        <f t="shared" si="30"/>
        <v>0</v>
      </c>
      <c r="R148" s="60">
        <v>0</v>
      </c>
      <c r="S148" s="61">
        <f t="shared" si="31"/>
        <v>0</v>
      </c>
      <c r="T148" s="60">
        <v>0</v>
      </c>
      <c r="U148" s="64">
        <f t="shared" si="32"/>
        <v>0</v>
      </c>
      <c r="V148" s="65">
        <v>0</v>
      </c>
      <c r="W148" s="66">
        <f t="shared" si="33"/>
        <v>500</v>
      </c>
      <c r="X148" s="67">
        <f t="shared" si="34"/>
        <v>0.5</v>
      </c>
      <c r="Y148" s="57" t="str">
        <f t="shared" si="35"/>
        <v>STOCK</v>
      </c>
      <c r="Z148" s="68" t="s">
        <v>1538</v>
      </c>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c r="BU148" s="8"/>
      <c r="BV148" s="8"/>
      <c r="BW148" s="8"/>
      <c r="BX148" s="8"/>
      <c r="BY148" s="8"/>
      <c r="BZ148" s="8"/>
      <c r="CA148" s="8"/>
      <c r="CB148" s="8"/>
      <c r="CC148" s="8"/>
      <c r="CD148" s="8"/>
      <c r="CE148" s="8"/>
      <c r="CF148" s="8"/>
      <c r="CG148" s="8"/>
      <c r="CH148" s="8"/>
      <c r="CI148" s="8"/>
      <c r="CJ148" s="8"/>
      <c r="CK148" s="8"/>
      <c r="CL148" s="8"/>
      <c r="CM148" s="8"/>
      <c r="CN148" s="8"/>
      <c r="CO148" s="8"/>
      <c r="CP148" s="8"/>
      <c r="CQ148" s="8"/>
      <c r="CR148" s="8"/>
      <c r="CS148" s="8"/>
      <c r="CT148" s="8"/>
      <c r="CU148" s="8"/>
      <c r="CV148" s="8"/>
      <c r="CW148" s="8"/>
      <c r="CX148" s="8"/>
      <c r="CY148" s="8"/>
      <c r="CZ148" s="8"/>
      <c r="DA148" s="8"/>
      <c r="DB148" s="8"/>
      <c r="DC148" s="8"/>
      <c r="DD148" s="8"/>
      <c r="DE148" s="8"/>
      <c r="DF148" s="8"/>
      <c r="DG148" s="8"/>
      <c r="DH148" s="8"/>
      <c r="DI148" s="8"/>
      <c r="DJ148" s="8"/>
      <c r="DK148" s="8"/>
      <c r="DL148" s="8"/>
      <c r="DM148" s="8"/>
      <c r="DN148" s="8"/>
      <c r="DO148" s="8"/>
      <c r="DP148" s="8"/>
      <c r="DQ148" s="8"/>
      <c r="DR148" s="8"/>
      <c r="DS148" s="8"/>
      <c r="DT148" s="8"/>
      <c r="DU148" s="8"/>
    </row>
    <row r="149" spans="1:125" s="1" customFormat="1" ht="20.100000000000001" customHeight="1" x14ac:dyDescent="0.25">
      <c r="A149" s="59" t="s">
        <v>379</v>
      </c>
      <c r="B149" s="84">
        <v>147</v>
      </c>
      <c r="C149" s="85" t="s">
        <v>152</v>
      </c>
      <c r="D149" s="60">
        <v>0</v>
      </c>
      <c r="E149" s="61">
        <f t="shared" si="24"/>
        <v>0</v>
      </c>
      <c r="F149" s="60">
        <v>0</v>
      </c>
      <c r="G149" s="61">
        <f t="shared" si="25"/>
        <v>0</v>
      </c>
      <c r="H149" s="60">
        <v>0</v>
      </c>
      <c r="I149" s="61">
        <f t="shared" si="26"/>
        <v>0</v>
      </c>
      <c r="J149" s="60">
        <v>0</v>
      </c>
      <c r="K149" s="61">
        <f t="shared" si="27"/>
        <v>0</v>
      </c>
      <c r="L149" s="62"/>
      <c r="M149" s="61">
        <f t="shared" si="28"/>
        <v>0</v>
      </c>
      <c r="N149" s="63">
        <v>0</v>
      </c>
      <c r="O149" s="61">
        <f t="shared" si="29"/>
        <v>0</v>
      </c>
      <c r="P149" s="60">
        <v>0</v>
      </c>
      <c r="Q149" s="61">
        <f t="shared" si="30"/>
        <v>0</v>
      </c>
      <c r="R149" s="60">
        <v>0</v>
      </c>
      <c r="S149" s="61">
        <f t="shared" si="31"/>
        <v>0</v>
      </c>
      <c r="T149" s="60">
        <v>0</v>
      </c>
      <c r="U149" s="64">
        <f t="shared" si="32"/>
        <v>0</v>
      </c>
      <c r="V149" s="65">
        <v>0</v>
      </c>
      <c r="W149" s="66">
        <f t="shared" si="33"/>
        <v>0</v>
      </c>
      <c r="X149" s="67">
        <f t="shared" si="34"/>
        <v>0</v>
      </c>
      <c r="Y149" s="57" t="str">
        <f t="shared" si="35"/>
        <v>NIL PLEASE PURCHASE</v>
      </c>
      <c r="Z149" s="68" t="s">
        <v>1539</v>
      </c>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c r="BU149" s="8"/>
      <c r="BV149" s="8"/>
      <c r="BW149" s="8"/>
      <c r="BX149" s="8"/>
      <c r="BY149" s="8"/>
      <c r="BZ149" s="8"/>
      <c r="CA149" s="8"/>
      <c r="CB149" s="8"/>
      <c r="CC149" s="8"/>
      <c r="CD149" s="8"/>
      <c r="CE149" s="8"/>
      <c r="CF149" s="8"/>
      <c r="CG149" s="8"/>
      <c r="CH149" s="8"/>
      <c r="CI149" s="8"/>
      <c r="CJ149" s="8"/>
      <c r="CK149" s="8"/>
      <c r="CL149" s="8"/>
      <c r="CM149" s="8"/>
      <c r="CN149" s="8"/>
      <c r="CO149" s="8"/>
      <c r="CP149" s="8"/>
      <c r="CQ149" s="8"/>
      <c r="CR149" s="8"/>
      <c r="CS149" s="8"/>
      <c r="CT149" s="8"/>
      <c r="CU149" s="8"/>
      <c r="CV149" s="8"/>
      <c r="CW149" s="8"/>
      <c r="CX149" s="8"/>
      <c r="CY149" s="8"/>
      <c r="CZ149" s="8"/>
      <c r="DA149" s="8"/>
      <c r="DB149" s="8"/>
      <c r="DC149" s="8"/>
      <c r="DD149" s="8"/>
      <c r="DE149" s="8"/>
      <c r="DF149" s="8"/>
      <c r="DG149" s="8"/>
      <c r="DH149" s="8"/>
      <c r="DI149" s="8"/>
      <c r="DJ149" s="8"/>
      <c r="DK149" s="8"/>
      <c r="DL149" s="8"/>
      <c r="DM149" s="8"/>
      <c r="DN149" s="8"/>
      <c r="DO149" s="8"/>
      <c r="DP149" s="8"/>
      <c r="DQ149" s="8"/>
      <c r="DR149" s="8"/>
      <c r="DS149" s="8"/>
      <c r="DT149" s="8"/>
      <c r="DU149" s="8"/>
    </row>
    <row r="150" spans="1:125" s="1" customFormat="1" ht="20.100000000000001" customHeight="1" x14ac:dyDescent="0.25">
      <c r="A150" s="59" t="s">
        <v>380</v>
      </c>
      <c r="B150" s="84">
        <v>148</v>
      </c>
      <c r="C150" s="85" t="s">
        <v>153</v>
      </c>
      <c r="D150" s="60">
        <v>0</v>
      </c>
      <c r="E150" s="61">
        <f t="shared" si="24"/>
        <v>0</v>
      </c>
      <c r="F150" s="60">
        <v>0</v>
      </c>
      <c r="G150" s="61">
        <f t="shared" si="25"/>
        <v>0</v>
      </c>
      <c r="H150" s="60">
        <v>0</v>
      </c>
      <c r="I150" s="61">
        <f t="shared" si="26"/>
        <v>0</v>
      </c>
      <c r="J150" s="60">
        <v>0</v>
      </c>
      <c r="K150" s="61">
        <f t="shared" si="27"/>
        <v>0</v>
      </c>
      <c r="L150" s="62"/>
      <c r="M150" s="61">
        <f t="shared" si="28"/>
        <v>0</v>
      </c>
      <c r="N150" s="63">
        <v>0</v>
      </c>
      <c r="O150" s="61">
        <f t="shared" si="29"/>
        <v>0</v>
      </c>
      <c r="P150" s="60">
        <v>0</v>
      </c>
      <c r="Q150" s="61">
        <f t="shared" si="30"/>
        <v>0</v>
      </c>
      <c r="R150" s="60">
        <v>0</v>
      </c>
      <c r="S150" s="61">
        <f t="shared" si="31"/>
        <v>0</v>
      </c>
      <c r="T150" s="60">
        <v>0</v>
      </c>
      <c r="U150" s="64">
        <f t="shared" si="32"/>
        <v>0</v>
      </c>
      <c r="V150" s="65">
        <v>0</v>
      </c>
      <c r="W150" s="66">
        <f t="shared" si="33"/>
        <v>0</v>
      </c>
      <c r="X150" s="67">
        <f t="shared" si="34"/>
        <v>0</v>
      </c>
      <c r="Y150" s="57" t="str">
        <f t="shared" si="35"/>
        <v>NIL PLEASE PURCHASE</v>
      </c>
      <c r="Z150" s="68" t="s">
        <v>1539</v>
      </c>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c r="BU150" s="8"/>
      <c r="BV150" s="8"/>
      <c r="BW150" s="8"/>
      <c r="BX150" s="8"/>
      <c r="BY150" s="8"/>
      <c r="BZ150" s="8"/>
      <c r="CA150" s="8"/>
      <c r="CB150" s="8"/>
      <c r="CC150" s="8"/>
      <c r="CD150" s="8"/>
      <c r="CE150" s="8"/>
      <c r="CF150" s="8"/>
      <c r="CG150" s="8"/>
      <c r="CH150" s="8"/>
      <c r="CI150" s="8"/>
      <c r="CJ150" s="8"/>
      <c r="CK150" s="8"/>
      <c r="CL150" s="8"/>
      <c r="CM150" s="8"/>
      <c r="CN150" s="8"/>
      <c r="CO150" s="8"/>
      <c r="CP150" s="8"/>
      <c r="CQ150" s="8"/>
      <c r="CR150" s="8"/>
      <c r="CS150" s="8"/>
      <c r="CT150" s="8"/>
      <c r="CU150" s="8"/>
      <c r="CV150" s="8"/>
      <c r="CW150" s="8"/>
      <c r="CX150" s="8"/>
      <c r="CY150" s="8"/>
      <c r="CZ150" s="8"/>
      <c r="DA150" s="8"/>
      <c r="DB150" s="8"/>
      <c r="DC150" s="8"/>
      <c r="DD150" s="8"/>
      <c r="DE150" s="8"/>
      <c r="DF150" s="8"/>
      <c r="DG150" s="8"/>
      <c r="DH150" s="8"/>
      <c r="DI150" s="8"/>
      <c r="DJ150" s="8"/>
      <c r="DK150" s="8"/>
      <c r="DL150" s="8"/>
      <c r="DM150" s="8"/>
      <c r="DN150" s="8"/>
      <c r="DO150" s="8"/>
      <c r="DP150" s="8"/>
      <c r="DQ150" s="8"/>
      <c r="DR150" s="8"/>
      <c r="DS150" s="8"/>
      <c r="DT150" s="8"/>
      <c r="DU150" s="8"/>
    </row>
    <row r="151" spans="1:125" s="1" customFormat="1" ht="20.100000000000001" customHeight="1" x14ac:dyDescent="0.25">
      <c r="A151" s="59" t="s">
        <v>381</v>
      </c>
      <c r="B151" s="84">
        <v>149</v>
      </c>
      <c r="C151" s="85" t="s">
        <v>155</v>
      </c>
      <c r="D151" s="60">
        <v>0</v>
      </c>
      <c r="E151" s="61">
        <f t="shared" si="24"/>
        <v>0</v>
      </c>
      <c r="F151" s="60">
        <v>0</v>
      </c>
      <c r="G151" s="61">
        <f t="shared" si="25"/>
        <v>0</v>
      </c>
      <c r="H151" s="60">
        <v>0</v>
      </c>
      <c r="I151" s="61">
        <f t="shared" si="26"/>
        <v>0</v>
      </c>
      <c r="J151" s="60">
        <v>0</v>
      </c>
      <c r="K151" s="61">
        <f t="shared" si="27"/>
        <v>0</v>
      </c>
      <c r="L151" s="62"/>
      <c r="M151" s="61">
        <f t="shared" si="28"/>
        <v>0</v>
      </c>
      <c r="N151" s="63">
        <v>1</v>
      </c>
      <c r="O151" s="61">
        <v>500</v>
      </c>
      <c r="P151" s="60">
        <v>0</v>
      </c>
      <c r="Q151" s="61">
        <f t="shared" si="30"/>
        <v>0</v>
      </c>
      <c r="R151" s="60">
        <v>0</v>
      </c>
      <c r="S151" s="61">
        <f t="shared" si="31"/>
        <v>0</v>
      </c>
      <c r="T151" s="60">
        <v>0</v>
      </c>
      <c r="U151" s="64">
        <f t="shared" si="32"/>
        <v>0</v>
      </c>
      <c r="V151" s="65">
        <v>0</v>
      </c>
      <c r="W151" s="66">
        <f t="shared" si="33"/>
        <v>500</v>
      </c>
      <c r="X151" s="67">
        <f t="shared" si="34"/>
        <v>0.5</v>
      </c>
      <c r="Y151" s="57" t="str">
        <f t="shared" si="35"/>
        <v>STOCK</v>
      </c>
      <c r="Z151" s="68" t="s">
        <v>1538</v>
      </c>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c r="BU151" s="8"/>
      <c r="BV151" s="8"/>
      <c r="BW151" s="8"/>
      <c r="BX151" s="8"/>
      <c r="BY151" s="8"/>
      <c r="BZ151" s="8"/>
      <c r="CA151" s="8"/>
      <c r="CB151" s="8"/>
      <c r="CC151" s="8"/>
      <c r="CD151" s="8"/>
      <c r="CE151" s="8"/>
      <c r="CF151" s="8"/>
      <c r="CG151" s="8"/>
      <c r="CH151" s="8"/>
      <c r="CI151" s="8"/>
      <c r="CJ151" s="8"/>
      <c r="CK151" s="8"/>
      <c r="CL151" s="8"/>
      <c r="CM151" s="8"/>
      <c r="CN151" s="8"/>
      <c r="CO151" s="8"/>
      <c r="CP151" s="8"/>
      <c r="CQ151" s="8"/>
      <c r="CR151" s="8"/>
      <c r="CS151" s="8"/>
      <c r="CT151" s="8"/>
      <c r="CU151" s="8"/>
      <c r="CV151" s="8"/>
      <c r="CW151" s="8"/>
      <c r="CX151" s="8"/>
      <c r="CY151" s="8"/>
      <c r="CZ151" s="8"/>
      <c r="DA151" s="8"/>
      <c r="DB151" s="8"/>
      <c r="DC151" s="8"/>
      <c r="DD151" s="8"/>
      <c r="DE151" s="8"/>
      <c r="DF151" s="8"/>
      <c r="DG151" s="8"/>
      <c r="DH151" s="8"/>
      <c r="DI151" s="8"/>
      <c r="DJ151" s="8"/>
      <c r="DK151" s="8"/>
      <c r="DL151" s="8"/>
      <c r="DM151" s="8"/>
      <c r="DN151" s="8"/>
      <c r="DO151" s="8"/>
      <c r="DP151" s="8"/>
      <c r="DQ151" s="8"/>
      <c r="DR151" s="8"/>
      <c r="DS151" s="8"/>
      <c r="DT151" s="8"/>
      <c r="DU151" s="8"/>
    </row>
    <row r="152" spans="1:125" s="1" customFormat="1" ht="20.100000000000001" customHeight="1" x14ac:dyDescent="0.25">
      <c r="A152" s="59" t="s">
        <v>382</v>
      </c>
      <c r="B152" s="84">
        <v>150</v>
      </c>
      <c r="C152" s="85" t="s">
        <v>154</v>
      </c>
      <c r="D152" s="60">
        <v>0</v>
      </c>
      <c r="E152" s="61">
        <f t="shared" si="24"/>
        <v>0</v>
      </c>
      <c r="F152" s="60">
        <v>0</v>
      </c>
      <c r="G152" s="61">
        <f t="shared" si="25"/>
        <v>0</v>
      </c>
      <c r="H152" s="60">
        <v>0</v>
      </c>
      <c r="I152" s="61">
        <f t="shared" si="26"/>
        <v>0</v>
      </c>
      <c r="J152" s="60">
        <v>0</v>
      </c>
      <c r="K152" s="61">
        <f t="shared" si="27"/>
        <v>0</v>
      </c>
      <c r="L152" s="62"/>
      <c r="M152" s="61">
        <f t="shared" si="28"/>
        <v>0</v>
      </c>
      <c r="N152" s="63">
        <v>0</v>
      </c>
      <c r="O152" s="61">
        <f t="shared" si="29"/>
        <v>0</v>
      </c>
      <c r="P152" s="60">
        <v>0</v>
      </c>
      <c r="Q152" s="61">
        <f t="shared" si="30"/>
        <v>0</v>
      </c>
      <c r="R152" s="60">
        <v>0</v>
      </c>
      <c r="S152" s="61">
        <f t="shared" si="31"/>
        <v>0</v>
      </c>
      <c r="T152" s="60">
        <v>0</v>
      </c>
      <c r="U152" s="64">
        <f t="shared" si="32"/>
        <v>0</v>
      </c>
      <c r="V152" s="65">
        <v>0</v>
      </c>
      <c r="W152" s="66">
        <f t="shared" si="33"/>
        <v>0</v>
      </c>
      <c r="X152" s="67">
        <f t="shared" si="34"/>
        <v>0</v>
      </c>
      <c r="Y152" s="57" t="str">
        <f t="shared" si="35"/>
        <v>NIL PLEASE PURCHASE</v>
      </c>
      <c r="Z152" s="68" t="s">
        <v>1539</v>
      </c>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c r="BU152" s="8"/>
      <c r="BV152" s="8"/>
      <c r="BW152" s="8"/>
      <c r="BX152" s="8"/>
      <c r="BY152" s="8"/>
      <c r="BZ152" s="8"/>
      <c r="CA152" s="8"/>
      <c r="CB152" s="8"/>
      <c r="CC152" s="8"/>
      <c r="CD152" s="8"/>
      <c r="CE152" s="8"/>
      <c r="CF152" s="8"/>
      <c r="CG152" s="8"/>
      <c r="CH152" s="8"/>
      <c r="CI152" s="8"/>
      <c r="CJ152" s="8"/>
      <c r="CK152" s="8"/>
      <c r="CL152" s="8"/>
      <c r="CM152" s="8"/>
      <c r="CN152" s="8"/>
      <c r="CO152" s="8"/>
      <c r="CP152" s="8"/>
      <c r="CQ152" s="8"/>
      <c r="CR152" s="8"/>
      <c r="CS152" s="8"/>
      <c r="CT152" s="8"/>
      <c r="CU152" s="8"/>
      <c r="CV152" s="8"/>
      <c r="CW152" s="8"/>
      <c r="CX152" s="8"/>
      <c r="CY152" s="8"/>
      <c r="CZ152" s="8"/>
      <c r="DA152" s="8"/>
      <c r="DB152" s="8"/>
      <c r="DC152" s="8"/>
      <c r="DD152" s="8"/>
      <c r="DE152" s="8"/>
      <c r="DF152" s="8"/>
      <c r="DG152" s="8"/>
      <c r="DH152" s="8"/>
      <c r="DI152" s="8"/>
      <c r="DJ152" s="8"/>
      <c r="DK152" s="8"/>
      <c r="DL152" s="8"/>
      <c r="DM152" s="8"/>
      <c r="DN152" s="8"/>
      <c r="DO152" s="8"/>
      <c r="DP152" s="8"/>
      <c r="DQ152" s="8"/>
      <c r="DR152" s="8"/>
      <c r="DS152" s="8"/>
      <c r="DT152" s="8"/>
      <c r="DU152" s="8"/>
    </row>
    <row r="153" spans="1:125" s="1" customFormat="1" ht="20.100000000000001" customHeight="1" x14ac:dyDescent="0.25">
      <c r="A153" s="59" t="s">
        <v>383</v>
      </c>
      <c r="B153" s="84">
        <v>151</v>
      </c>
      <c r="C153" s="85" t="s">
        <v>156</v>
      </c>
      <c r="D153" s="60">
        <v>0</v>
      </c>
      <c r="E153" s="61">
        <f t="shared" si="24"/>
        <v>0</v>
      </c>
      <c r="F153" s="60">
        <v>0</v>
      </c>
      <c r="G153" s="61">
        <f t="shared" si="25"/>
        <v>0</v>
      </c>
      <c r="H153" s="60">
        <v>0</v>
      </c>
      <c r="I153" s="61">
        <f t="shared" si="26"/>
        <v>0</v>
      </c>
      <c r="J153" s="60">
        <v>0</v>
      </c>
      <c r="K153" s="61">
        <f t="shared" si="27"/>
        <v>0</v>
      </c>
      <c r="L153" s="62"/>
      <c r="M153" s="61">
        <f t="shared" si="28"/>
        <v>0</v>
      </c>
      <c r="N153" s="63">
        <v>1</v>
      </c>
      <c r="O153" s="61">
        <f t="shared" si="29"/>
        <v>500</v>
      </c>
      <c r="P153" s="60">
        <v>0</v>
      </c>
      <c r="Q153" s="61">
        <f t="shared" si="30"/>
        <v>0</v>
      </c>
      <c r="R153" s="60">
        <v>0</v>
      </c>
      <c r="S153" s="61">
        <f t="shared" si="31"/>
        <v>0</v>
      </c>
      <c r="T153" s="60">
        <v>0</v>
      </c>
      <c r="U153" s="64">
        <f t="shared" si="32"/>
        <v>0</v>
      </c>
      <c r="V153" s="65">
        <v>0</v>
      </c>
      <c r="W153" s="66">
        <f t="shared" si="33"/>
        <v>500</v>
      </c>
      <c r="X153" s="67">
        <f t="shared" si="34"/>
        <v>0.5</v>
      </c>
      <c r="Y153" s="57" t="str">
        <f t="shared" si="35"/>
        <v>STOCK</v>
      </c>
      <c r="Z153" s="68" t="s">
        <v>1538</v>
      </c>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c r="BU153" s="8"/>
      <c r="BV153" s="8"/>
      <c r="BW153" s="8"/>
      <c r="BX153" s="8"/>
      <c r="BY153" s="8"/>
      <c r="BZ153" s="8"/>
      <c r="CA153" s="8"/>
      <c r="CB153" s="8"/>
      <c r="CC153" s="8"/>
      <c r="CD153" s="8"/>
      <c r="CE153" s="8"/>
      <c r="CF153" s="8"/>
      <c r="CG153" s="8"/>
      <c r="CH153" s="8"/>
      <c r="CI153" s="8"/>
      <c r="CJ153" s="8"/>
      <c r="CK153" s="8"/>
      <c r="CL153" s="8"/>
      <c r="CM153" s="8"/>
      <c r="CN153" s="8"/>
      <c r="CO153" s="8"/>
      <c r="CP153" s="8"/>
      <c r="CQ153" s="8"/>
      <c r="CR153" s="8"/>
      <c r="CS153" s="8"/>
      <c r="CT153" s="8"/>
      <c r="CU153" s="8"/>
      <c r="CV153" s="8"/>
      <c r="CW153" s="8"/>
      <c r="CX153" s="8"/>
      <c r="CY153" s="8"/>
      <c r="CZ153" s="8"/>
      <c r="DA153" s="8"/>
      <c r="DB153" s="8"/>
      <c r="DC153" s="8"/>
      <c r="DD153" s="8"/>
      <c r="DE153" s="8"/>
      <c r="DF153" s="8"/>
      <c r="DG153" s="8"/>
      <c r="DH153" s="8"/>
      <c r="DI153" s="8"/>
      <c r="DJ153" s="8"/>
      <c r="DK153" s="8"/>
      <c r="DL153" s="8"/>
      <c r="DM153" s="8"/>
      <c r="DN153" s="8"/>
      <c r="DO153" s="8"/>
      <c r="DP153" s="8"/>
      <c r="DQ153" s="8"/>
      <c r="DR153" s="8"/>
      <c r="DS153" s="8"/>
      <c r="DT153" s="8"/>
      <c r="DU153" s="8"/>
    </row>
    <row r="154" spans="1:125" s="1" customFormat="1" ht="20.100000000000001" customHeight="1" x14ac:dyDescent="0.25">
      <c r="A154" s="59" t="s">
        <v>384</v>
      </c>
      <c r="B154" s="84">
        <v>152</v>
      </c>
      <c r="C154" s="85" t="s">
        <v>157</v>
      </c>
      <c r="D154" s="60">
        <v>0</v>
      </c>
      <c r="E154" s="61">
        <f t="shared" si="24"/>
        <v>0</v>
      </c>
      <c r="F154" s="60">
        <v>0</v>
      </c>
      <c r="G154" s="61">
        <f t="shared" si="25"/>
        <v>0</v>
      </c>
      <c r="H154" s="60">
        <v>0</v>
      </c>
      <c r="I154" s="61">
        <f t="shared" si="26"/>
        <v>0</v>
      </c>
      <c r="J154" s="60">
        <v>0</v>
      </c>
      <c r="K154" s="61">
        <f t="shared" si="27"/>
        <v>0</v>
      </c>
      <c r="L154" s="62"/>
      <c r="M154" s="61">
        <f t="shared" si="28"/>
        <v>0</v>
      </c>
      <c r="N154" s="63">
        <v>2</v>
      </c>
      <c r="O154" s="61">
        <f t="shared" si="29"/>
        <v>1000</v>
      </c>
      <c r="P154" s="60">
        <v>0</v>
      </c>
      <c r="Q154" s="61">
        <f t="shared" si="30"/>
        <v>0</v>
      </c>
      <c r="R154" s="60">
        <v>0</v>
      </c>
      <c r="S154" s="61">
        <f t="shared" si="31"/>
        <v>0</v>
      </c>
      <c r="T154" s="60">
        <v>0</v>
      </c>
      <c r="U154" s="64">
        <f t="shared" si="32"/>
        <v>0</v>
      </c>
      <c r="V154" s="65">
        <v>0</v>
      </c>
      <c r="W154" s="66">
        <f t="shared" si="33"/>
        <v>1000</v>
      </c>
      <c r="X154" s="67">
        <f t="shared" si="34"/>
        <v>1</v>
      </c>
      <c r="Y154" s="57" t="str">
        <f t="shared" si="35"/>
        <v>STOCK</v>
      </c>
      <c r="Z154" s="68" t="s">
        <v>1538</v>
      </c>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c r="BU154" s="8"/>
      <c r="BV154" s="8"/>
      <c r="BW154" s="8"/>
      <c r="BX154" s="8"/>
      <c r="BY154" s="8"/>
      <c r="BZ154" s="8"/>
      <c r="CA154" s="8"/>
      <c r="CB154" s="8"/>
      <c r="CC154" s="8"/>
      <c r="CD154" s="8"/>
      <c r="CE154" s="8"/>
      <c r="CF154" s="8"/>
      <c r="CG154" s="8"/>
      <c r="CH154" s="8"/>
      <c r="CI154" s="8"/>
      <c r="CJ154" s="8"/>
      <c r="CK154" s="8"/>
      <c r="CL154" s="8"/>
      <c r="CM154" s="8"/>
      <c r="CN154" s="8"/>
      <c r="CO154" s="8"/>
      <c r="CP154" s="8"/>
      <c r="CQ154" s="8"/>
      <c r="CR154" s="8"/>
      <c r="CS154" s="8"/>
      <c r="CT154" s="8"/>
      <c r="CU154" s="8"/>
      <c r="CV154" s="8"/>
      <c r="CW154" s="8"/>
      <c r="CX154" s="8"/>
      <c r="CY154" s="8"/>
      <c r="CZ154" s="8"/>
      <c r="DA154" s="8"/>
      <c r="DB154" s="8"/>
      <c r="DC154" s="8"/>
      <c r="DD154" s="8"/>
      <c r="DE154" s="8"/>
      <c r="DF154" s="8"/>
      <c r="DG154" s="8"/>
      <c r="DH154" s="8"/>
      <c r="DI154" s="8"/>
      <c r="DJ154" s="8"/>
      <c r="DK154" s="8"/>
      <c r="DL154" s="8"/>
      <c r="DM154" s="8"/>
      <c r="DN154" s="8"/>
      <c r="DO154" s="8"/>
      <c r="DP154" s="8"/>
      <c r="DQ154" s="8"/>
      <c r="DR154" s="8"/>
      <c r="DS154" s="8"/>
      <c r="DT154" s="8"/>
      <c r="DU154" s="8"/>
    </row>
    <row r="155" spans="1:125" s="1" customFormat="1" ht="20.100000000000001" customHeight="1" x14ac:dyDescent="0.25">
      <c r="A155" s="59" t="s">
        <v>385</v>
      </c>
      <c r="B155" s="84">
        <v>153</v>
      </c>
      <c r="C155" s="85" t="s">
        <v>158</v>
      </c>
      <c r="D155" s="60">
        <v>0</v>
      </c>
      <c r="E155" s="61">
        <f t="shared" si="24"/>
        <v>0</v>
      </c>
      <c r="F155" s="60">
        <v>0</v>
      </c>
      <c r="G155" s="61">
        <f t="shared" si="25"/>
        <v>0</v>
      </c>
      <c r="H155" s="60">
        <v>0</v>
      </c>
      <c r="I155" s="61">
        <f t="shared" si="26"/>
        <v>0</v>
      </c>
      <c r="J155" s="60">
        <v>0</v>
      </c>
      <c r="K155" s="61">
        <f t="shared" si="27"/>
        <v>0</v>
      </c>
      <c r="L155" s="62"/>
      <c r="M155" s="61">
        <f t="shared" si="28"/>
        <v>0</v>
      </c>
      <c r="N155" s="63">
        <v>3</v>
      </c>
      <c r="O155" s="61">
        <f t="shared" si="29"/>
        <v>1500</v>
      </c>
      <c r="P155" s="60">
        <v>0</v>
      </c>
      <c r="Q155" s="61">
        <f t="shared" si="30"/>
        <v>0</v>
      </c>
      <c r="R155" s="60">
        <v>0</v>
      </c>
      <c r="S155" s="61">
        <f t="shared" si="31"/>
        <v>0</v>
      </c>
      <c r="T155" s="60">
        <v>0</v>
      </c>
      <c r="U155" s="64">
        <f t="shared" si="32"/>
        <v>0</v>
      </c>
      <c r="V155" s="65">
        <v>0</v>
      </c>
      <c r="W155" s="66">
        <f t="shared" si="33"/>
        <v>1500</v>
      </c>
      <c r="X155" s="67">
        <f t="shared" si="34"/>
        <v>1.5</v>
      </c>
      <c r="Y155" s="57" t="str">
        <f t="shared" si="35"/>
        <v>STOCK</v>
      </c>
      <c r="Z155" s="68" t="s">
        <v>1538</v>
      </c>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c r="BU155" s="8"/>
      <c r="BV155" s="8"/>
      <c r="BW155" s="8"/>
      <c r="BX155" s="8"/>
      <c r="BY155" s="8"/>
      <c r="BZ155" s="8"/>
      <c r="CA155" s="8"/>
      <c r="CB155" s="8"/>
      <c r="CC155" s="8"/>
      <c r="CD155" s="8"/>
      <c r="CE155" s="8"/>
      <c r="CF155" s="8"/>
      <c r="CG155" s="8"/>
      <c r="CH155" s="8"/>
      <c r="CI155" s="8"/>
      <c r="CJ155" s="8"/>
      <c r="CK155" s="8"/>
      <c r="CL155" s="8"/>
      <c r="CM155" s="8"/>
      <c r="CN155" s="8"/>
      <c r="CO155" s="8"/>
      <c r="CP155" s="8"/>
      <c r="CQ155" s="8"/>
      <c r="CR155" s="8"/>
      <c r="CS155" s="8"/>
      <c r="CT155" s="8"/>
      <c r="CU155" s="8"/>
      <c r="CV155" s="8"/>
      <c r="CW155" s="8"/>
      <c r="CX155" s="8"/>
      <c r="CY155" s="8"/>
      <c r="CZ155" s="8"/>
      <c r="DA155" s="8"/>
      <c r="DB155" s="8"/>
      <c r="DC155" s="8"/>
      <c r="DD155" s="8"/>
      <c r="DE155" s="8"/>
      <c r="DF155" s="8"/>
      <c r="DG155" s="8"/>
      <c r="DH155" s="8"/>
      <c r="DI155" s="8"/>
      <c r="DJ155" s="8"/>
      <c r="DK155" s="8"/>
      <c r="DL155" s="8"/>
      <c r="DM155" s="8"/>
      <c r="DN155" s="8"/>
      <c r="DO155" s="8"/>
      <c r="DP155" s="8"/>
      <c r="DQ155" s="8"/>
      <c r="DR155" s="8"/>
      <c r="DS155" s="8"/>
      <c r="DT155" s="8"/>
      <c r="DU155" s="8"/>
    </row>
    <row r="156" spans="1:125" s="1" customFormat="1" ht="20.100000000000001" customHeight="1" x14ac:dyDescent="0.25">
      <c r="A156" s="59" t="s">
        <v>386</v>
      </c>
      <c r="B156" s="84">
        <v>154</v>
      </c>
      <c r="C156" s="85" t="s">
        <v>159</v>
      </c>
      <c r="D156" s="60">
        <v>0</v>
      </c>
      <c r="E156" s="61">
        <f t="shared" si="24"/>
        <v>0</v>
      </c>
      <c r="F156" s="60">
        <v>0</v>
      </c>
      <c r="G156" s="61">
        <f t="shared" si="25"/>
        <v>0</v>
      </c>
      <c r="H156" s="60">
        <v>0</v>
      </c>
      <c r="I156" s="61">
        <f t="shared" si="26"/>
        <v>0</v>
      </c>
      <c r="J156" s="60">
        <v>0</v>
      </c>
      <c r="K156" s="61">
        <f t="shared" si="27"/>
        <v>0</v>
      </c>
      <c r="L156" s="62"/>
      <c r="M156" s="61">
        <f t="shared" si="28"/>
        <v>0</v>
      </c>
      <c r="N156" s="63">
        <v>0</v>
      </c>
      <c r="O156" s="61">
        <f t="shared" si="29"/>
        <v>0</v>
      </c>
      <c r="P156" s="60">
        <v>0</v>
      </c>
      <c r="Q156" s="61">
        <f t="shared" si="30"/>
        <v>0</v>
      </c>
      <c r="R156" s="60">
        <v>0</v>
      </c>
      <c r="S156" s="61">
        <f t="shared" si="31"/>
        <v>0</v>
      </c>
      <c r="T156" s="60">
        <v>0</v>
      </c>
      <c r="U156" s="64">
        <f t="shared" si="32"/>
        <v>0</v>
      </c>
      <c r="V156" s="65">
        <v>0</v>
      </c>
      <c r="W156" s="66">
        <f t="shared" si="33"/>
        <v>0</v>
      </c>
      <c r="X156" s="67">
        <f t="shared" si="34"/>
        <v>0</v>
      </c>
      <c r="Y156" s="57" t="str">
        <f t="shared" si="35"/>
        <v>NIL PLEASE PURCHASE</v>
      </c>
      <c r="Z156" s="68" t="s">
        <v>1539</v>
      </c>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c r="BU156" s="8"/>
      <c r="BV156" s="8"/>
      <c r="BW156" s="8"/>
      <c r="BX156" s="8"/>
      <c r="BY156" s="8"/>
      <c r="BZ156" s="8"/>
      <c r="CA156" s="8"/>
      <c r="CB156" s="8"/>
      <c r="CC156" s="8"/>
      <c r="CD156" s="8"/>
      <c r="CE156" s="8"/>
      <c r="CF156" s="8"/>
      <c r="CG156" s="8"/>
      <c r="CH156" s="8"/>
      <c r="CI156" s="8"/>
      <c r="CJ156" s="8"/>
      <c r="CK156" s="8"/>
      <c r="CL156" s="8"/>
      <c r="CM156" s="8"/>
      <c r="CN156" s="8"/>
      <c r="CO156" s="8"/>
      <c r="CP156" s="8"/>
      <c r="CQ156" s="8"/>
      <c r="CR156" s="8"/>
      <c r="CS156" s="8"/>
      <c r="CT156" s="8"/>
      <c r="CU156" s="8"/>
      <c r="CV156" s="8"/>
      <c r="CW156" s="8"/>
      <c r="CX156" s="8"/>
      <c r="CY156" s="8"/>
      <c r="CZ156" s="8"/>
      <c r="DA156" s="8"/>
      <c r="DB156" s="8"/>
      <c r="DC156" s="8"/>
      <c r="DD156" s="8"/>
      <c r="DE156" s="8"/>
      <c r="DF156" s="8"/>
      <c r="DG156" s="8"/>
      <c r="DH156" s="8"/>
      <c r="DI156" s="8"/>
      <c r="DJ156" s="8"/>
      <c r="DK156" s="8"/>
      <c r="DL156" s="8"/>
      <c r="DM156" s="8"/>
      <c r="DN156" s="8"/>
      <c r="DO156" s="8"/>
      <c r="DP156" s="8"/>
      <c r="DQ156" s="8"/>
      <c r="DR156" s="8"/>
      <c r="DS156" s="8"/>
      <c r="DT156" s="8"/>
      <c r="DU156" s="8"/>
    </row>
    <row r="157" spans="1:125" s="1" customFormat="1" ht="20.100000000000001" customHeight="1" x14ac:dyDescent="0.25">
      <c r="A157" s="59" t="s">
        <v>387</v>
      </c>
      <c r="B157" s="84">
        <v>155</v>
      </c>
      <c r="C157" s="85" t="s">
        <v>160</v>
      </c>
      <c r="D157" s="60">
        <v>0</v>
      </c>
      <c r="E157" s="61">
        <f t="shared" si="24"/>
        <v>0</v>
      </c>
      <c r="F157" s="60">
        <v>0</v>
      </c>
      <c r="G157" s="61">
        <f t="shared" si="25"/>
        <v>0</v>
      </c>
      <c r="H157" s="60">
        <v>0</v>
      </c>
      <c r="I157" s="61">
        <f t="shared" si="26"/>
        <v>0</v>
      </c>
      <c r="J157" s="60">
        <v>1</v>
      </c>
      <c r="K157" s="61">
        <f t="shared" si="27"/>
        <v>100</v>
      </c>
      <c r="L157" s="62"/>
      <c r="M157" s="61">
        <f t="shared" si="28"/>
        <v>0</v>
      </c>
      <c r="N157" s="63">
        <v>0</v>
      </c>
      <c r="O157" s="61">
        <f t="shared" si="29"/>
        <v>0</v>
      </c>
      <c r="P157" s="60">
        <v>0</v>
      </c>
      <c r="Q157" s="61">
        <f t="shared" si="30"/>
        <v>0</v>
      </c>
      <c r="R157" s="60">
        <v>0</v>
      </c>
      <c r="S157" s="61">
        <f t="shared" si="31"/>
        <v>0</v>
      </c>
      <c r="T157" s="60">
        <v>0</v>
      </c>
      <c r="U157" s="64">
        <f t="shared" si="32"/>
        <v>0</v>
      </c>
      <c r="V157" s="65">
        <v>0</v>
      </c>
      <c r="W157" s="66">
        <f t="shared" si="33"/>
        <v>100</v>
      </c>
      <c r="X157" s="67">
        <f t="shared" si="34"/>
        <v>0.1</v>
      </c>
      <c r="Y157" s="57" t="str">
        <f t="shared" si="35"/>
        <v>STOCK</v>
      </c>
      <c r="Z157" s="68" t="s">
        <v>1538</v>
      </c>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c r="BU157" s="8"/>
      <c r="BV157" s="8"/>
      <c r="BW157" s="8"/>
      <c r="BX157" s="8"/>
      <c r="BY157" s="8"/>
      <c r="BZ157" s="8"/>
      <c r="CA157" s="8"/>
      <c r="CB157" s="8"/>
      <c r="CC157" s="8"/>
      <c r="CD157" s="8"/>
      <c r="CE157" s="8"/>
      <c r="CF157" s="8"/>
      <c r="CG157" s="8"/>
      <c r="CH157" s="8"/>
      <c r="CI157" s="8"/>
      <c r="CJ157" s="8"/>
      <c r="CK157" s="8"/>
      <c r="CL157" s="8"/>
      <c r="CM157" s="8"/>
      <c r="CN157" s="8"/>
      <c r="CO157" s="8"/>
      <c r="CP157" s="8"/>
      <c r="CQ157" s="8"/>
      <c r="CR157" s="8"/>
      <c r="CS157" s="8"/>
      <c r="CT157" s="8"/>
      <c r="CU157" s="8"/>
      <c r="CV157" s="8"/>
      <c r="CW157" s="8"/>
      <c r="CX157" s="8"/>
      <c r="CY157" s="8"/>
      <c r="CZ157" s="8"/>
      <c r="DA157" s="8"/>
      <c r="DB157" s="8"/>
      <c r="DC157" s="8"/>
      <c r="DD157" s="8"/>
      <c r="DE157" s="8"/>
      <c r="DF157" s="8"/>
      <c r="DG157" s="8"/>
      <c r="DH157" s="8"/>
      <c r="DI157" s="8"/>
      <c r="DJ157" s="8"/>
      <c r="DK157" s="8"/>
      <c r="DL157" s="8"/>
      <c r="DM157" s="8"/>
      <c r="DN157" s="8"/>
      <c r="DO157" s="8"/>
      <c r="DP157" s="8"/>
      <c r="DQ157" s="8"/>
      <c r="DR157" s="8"/>
      <c r="DS157" s="8"/>
      <c r="DT157" s="8"/>
      <c r="DU157" s="8"/>
    </row>
    <row r="158" spans="1:125" s="1" customFormat="1" ht="20.100000000000001" customHeight="1" x14ac:dyDescent="0.25">
      <c r="A158" s="59" t="s">
        <v>388</v>
      </c>
      <c r="B158" s="84">
        <v>156</v>
      </c>
      <c r="C158" s="85" t="s">
        <v>161</v>
      </c>
      <c r="D158" s="60">
        <v>0</v>
      </c>
      <c r="E158" s="61">
        <f t="shared" si="24"/>
        <v>0</v>
      </c>
      <c r="F158" s="60">
        <v>0</v>
      </c>
      <c r="G158" s="61">
        <f t="shared" si="25"/>
        <v>0</v>
      </c>
      <c r="H158" s="60">
        <v>0</v>
      </c>
      <c r="I158" s="61">
        <f t="shared" si="26"/>
        <v>0</v>
      </c>
      <c r="J158" s="60">
        <v>0</v>
      </c>
      <c r="K158" s="61">
        <f t="shared" si="27"/>
        <v>0</v>
      </c>
      <c r="L158" s="62"/>
      <c r="M158" s="61">
        <f t="shared" si="28"/>
        <v>0</v>
      </c>
      <c r="N158" s="63">
        <v>1</v>
      </c>
      <c r="O158" s="61">
        <f t="shared" si="29"/>
        <v>500</v>
      </c>
      <c r="P158" s="60">
        <v>0</v>
      </c>
      <c r="Q158" s="61">
        <f t="shared" si="30"/>
        <v>0</v>
      </c>
      <c r="R158" s="60">
        <v>0</v>
      </c>
      <c r="S158" s="61">
        <f t="shared" si="31"/>
        <v>0</v>
      </c>
      <c r="T158" s="60">
        <v>0</v>
      </c>
      <c r="U158" s="64">
        <f t="shared" si="32"/>
        <v>0</v>
      </c>
      <c r="V158" s="65">
        <v>0</v>
      </c>
      <c r="W158" s="66">
        <f t="shared" si="33"/>
        <v>500</v>
      </c>
      <c r="X158" s="67">
        <f t="shared" si="34"/>
        <v>0.5</v>
      </c>
      <c r="Y158" s="57" t="str">
        <f t="shared" si="35"/>
        <v>STOCK</v>
      </c>
      <c r="Z158" s="68" t="s">
        <v>1538</v>
      </c>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c r="BU158" s="8"/>
      <c r="BV158" s="8"/>
      <c r="BW158" s="8"/>
      <c r="BX158" s="8"/>
      <c r="BY158" s="8"/>
      <c r="BZ158" s="8"/>
      <c r="CA158" s="8"/>
      <c r="CB158" s="8"/>
      <c r="CC158" s="8"/>
      <c r="CD158" s="8"/>
      <c r="CE158" s="8"/>
      <c r="CF158" s="8"/>
      <c r="CG158" s="8"/>
      <c r="CH158" s="8"/>
      <c r="CI158" s="8"/>
      <c r="CJ158" s="8"/>
      <c r="CK158" s="8"/>
      <c r="CL158" s="8"/>
      <c r="CM158" s="8"/>
      <c r="CN158" s="8"/>
      <c r="CO158" s="8"/>
      <c r="CP158" s="8"/>
      <c r="CQ158" s="8"/>
      <c r="CR158" s="8"/>
      <c r="CS158" s="8"/>
      <c r="CT158" s="8"/>
      <c r="CU158" s="8"/>
      <c r="CV158" s="8"/>
      <c r="CW158" s="8"/>
      <c r="CX158" s="8"/>
      <c r="CY158" s="8"/>
      <c r="CZ158" s="8"/>
      <c r="DA158" s="8"/>
      <c r="DB158" s="8"/>
      <c r="DC158" s="8"/>
      <c r="DD158" s="8"/>
      <c r="DE158" s="8"/>
      <c r="DF158" s="8"/>
      <c r="DG158" s="8"/>
      <c r="DH158" s="8"/>
      <c r="DI158" s="8"/>
      <c r="DJ158" s="8"/>
      <c r="DK158" s="8"/>
      <c r="DL158" s="8"/>
      <c r="DM158" s="8"/>
      <c r="DN158" s="8"/>
      <c r="DO158" s="8"/>
      <c r="DP158" s="8"/>
      <c r="DQ158" s="8"/>
      <c r="DR158" s="8"/>
      <c r="DS158" s="8"/>
      <c r="DT158" s="8"/>
      <c r="DU158" s="8"/>
    </row>
    <row r="159" spans="1:125" s="1" customFormat="1" ht="20.100000000000001" customHeight="1" x14ac:dyDescent="0.25">
      <c r="A159" s="59" t="s">
        <v>389</v>
      </c>
      <c r="B159" s="84">
        <v>157</v>
      </c>
      <c r="C159" s="85" t="s">
        <v>162</v>
      </c>
      <c r="D159" s="60">
        <v>0</v>
      </c>
      <c r="E159" s="61">
        <f t="shared" si="24"/>
        <v>0</v>
      </c>
      <c r="F159" s="60">
        <v>0</v>
      </c>
      <c r="G159" s="61">
        <f t="shared" si="25"/>
        <v>0</v>
      </c>
      <c r="H159" s="60">
        <v>0</v>
      </c>
      <c r="I159" s="61">
        <f t="shared" si="26"/>
        <v>0</v>
      </c>
      <c r="J159" s="60">
        <v>0</v>
      </c>
      <c r="K159" s="61">
        <f t="shared" si="27"/>
        <v>0</v>
      </c>
      <c r="L159" s="62"/>
      <c r="M159" s="61">
        <f t="shared" si="28"/>
        <v>0</v>
      </c>
      <c r="N159" s="63">
        <v>0</v>
      </c>
      <c r="O159" s="61">
        <f t="shared" si="29"/>
        <v>0</v>
      </c>
      <c r="P159" s="60">
        <v>0</v>
      </c>
      <c r="Q159" s="61">
        <f t="shared" si="30"/>
        <v>0</v>
      </c>
      <c r="R159" s="60">
        <v>0</v>
      </c>
      <c r="S159" s="61">
        <f t="shared" si="31"/>
        <v>0</v>
      </c>
      <c r="T159" s="60">
        <v>0</v>
      </c>
      <c r="U159" s="64">
        <f t="shared" si="32"/>
        <v>0</v>
      </c>
      <c r="V159" s="65">
        <v>0</v>
      </c>
      <c r="W159" s="66">
        <f t="shared" si="33"/>
        <v>0</v>
      </c>
      <c r="X159" s="67">
        <f t="shared" si="34"/>
        <v>0</v>
      </c>
      <c r="Y159" s="57" t="str">
        <f t="shared" si="35"/>
        <v>NIL PLEASE PURCHASE</v>
      </c>
      <c r="Z159" s="68" t="s">
        <v>1539</v>
      </c>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c r="BU159" s="8"/>
      <c r="BV159" s="8"/>
      <c r="BW159" s="8"/>
      <c r="BX159" s="8"/>
      <c r="BY159" s="8"/>
      <c r="BZ159" s="8"/>
      <c r="CA159" s="8"/>
      <c r="CB159" s="8"/>
      <c r="CC159" s="8"/>
      <c r="CD159" s="8"/>
      <c r="CE159" s="8"/>
      <c r="CF159" s="8"/>
      <c r="CG159" s="8"/>
      <c r="CH159" s="8"/>
      <c r="CI159" s="8"/>
      <c r="CJ159" s="8"/>
      <c r="CK159" s="8"/>
      <c r="CL159" s="8"/>
      <c r="CM159" s="8"/>
      <c r="CN159" s="8"/>
      <c r="CO159" s="8"/>
      <c r="CP159" s="8"/>
      <c r="CQ159" s="8"/>
      <c r="CR159" s="8"/>
      <c r="CS159" s="8"/>
      <c r="CT159" s="8"/>
      <c r="CU159" s="8"/>
      <c r="CV159" s="8"/>
      <c r="CW159" s="8"/>
      <c r="CX159" s="8"/>
      <c r="CY159" s="8"/>
      <c r="CZ159" s="8"/>
      <c r="DA159" s="8"/>
      <c r="DB159" s="8"/>
      <c r="DC159" s="8"/>
      <c r="DD159" s="8"/>
      <c r="DE159" s="8"/>
      <c r="DF159" s="8"/>
      <c r="DG159" s="8"/>
      <c r="DH159" s="8"/>
      <c r="DI159" s="8"/>
      <c r="DJ159" s="8"/>
      <c r="DK159" s="8"/>
      <c r="DL159" s="8"/>
      <c r="DM159" s="8"/>
      <c r="DN159" s="8"/>
      <c r="DO159" s="8"/>
      <c r="DP159" s="8"/>
      <c r="DQ159" s="8"/>
      <c r="DR159" s="8"/>
      <c r="DS159" s="8"/>
      <c r="DT159" s="8"/>
      <c r="DU159" s="8"/>
    </row>
    <row r="160" spans="1:125" s="1" customFormat="1" ht="20.100000000000001" customHeight="1" x14ac:dyDescent="0.25">
      <c r="A160" s="59" t="s">
        <v>390</v>
      </c>
      <c r="B160" s="84">
        <v>158</v>
      </c>
      <c r="C160" s="85" t="s">
        <v>163</v>
      </c>
      <c r="D160" s="60">
        <v>0</v>
      </c>
      <c r="E160" s="61">
        <f t="shared" si="24"/>
        <v>0</v>
      </c>
      <c r="F160" s="60">
        <v>0</v>
      </c>
      <c r="G160" s="61">
        <f t="shared" si="25"/>
        <v>0</v>
      </c>
      <c r="H160" s="60">
        <v>0</v>
      </c>
      <c r="I160" s="61">
        <f t="shared" si="26"/>
        <v>0</v>
      </c>
      <c r="J160" s="60">
        <v>0</v>
      </c>
      <c r="K160" s="61">
        <f t="shared" si="27"/>
        <v>0</v>
      </c>
      <c r="L160" s="62"/>
      <c r="M160" s="61">
        <f t="shared" si="28"/>
        <v>0</v>
      </c>
      <c r="N160" s="63">
        <v>0</v>
      </c>
      <c r="O160" s="61">
        <f t="shared" si="29"/>
        <v>0</v>
      </c>
      <c r="P160" s="60">
        <v>0</v>
      </c>
      <c r="Q160" s="61">
        <f t="shared" si="30"/>
        <v>0</v>
      </c>
      <c r="R160" s="60">
        <v>0</v>
      </c>
      <c r="S160" s="61">
        <f t="shared" si="31"/>
        <v>0</v>
      </c>
      <c r="T160" s="60">
        <v>0</v>
      </c>
      <c r="U160" s="64">
        <f t="shared" si="32"/>
        <v>0</v>
      </c>
      <c r="V160" s="65">
        <v>0</v>
      </c>
      <c r="W160" s="66">
        <f t="shared" si="33"/>
        <v>0</v>
      </c>
      <c r="X160" s="67">
        <f t="shared" si="34"/>
        <v>0</v>
      </c>
      <c r="Y160" s="57" t="str">
        <f t="shared" si="35"/>
        <v>NIL PLEASE PURCHASE</v>
      </c>
      <c r="Z160" s="68" t="s">
        <v>1539</v>
      </c>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c r="BU160" s="8"/>
      <c r="BV160" s="8"/>
      <c r="BW160" s="8"/>
      <c r="BX160" s="8"/>
      <c r="BY160" s="8"/>
      <c r="BZ160" s="8"/>
      <c r="CA160" s="8"/>
      <c r="CB160" s="8"/>
      <c r="CC160" s="8"/>
      <c r="CD160" s="8"/>
      <c r="CE160" s="8"/>
      <c r="CF160" s="8"/>
      <c r="CG160" s="8"/>
      <c r="CH160" s="8"/>
      <c r="CI160" s="8"/>
      <c r="CJ160" s="8"/>
      <c r="CK160" s="8"/>
      <c r="CL160" s="8"/>
      <c r="CM160" s="8"/>
      <c r="CN160" s="8"/>
      <c r="CO160" s="8"/>
      <c r="CP160" s="8"/>
      <c r="CQ160" s="8"/>
      <c r="CR160" s="8"/>
      <c r="CS160" s="8"/>
      <c r="CT160" s="8"/>
      <c r="CU160" s="8"/>
      <c r="CV160" s="8"/>
      <c r="CW160" s="8"/>
      <c r="CX160" s="8"/>
      <c r="CY160" s="8"/>
      <c r="CZ160" s="8"/>
      <c r="DA160" s="8"/>
      <c r="DB160" s="8"/>
      <c r="DC160" s="8"/>
      <c r="DD160" s="8"/>
      <c r="DE160" s="8"/>
      <c r="DF160" s="8"/>
      <c r="DG160" s="8"/>
      <c r="DH160" s="8"/>
      <c r="DI160" s="8"/>
      <c r="DJ160" s="8"/>
      <c r="DK160" s="8"/>
      <c r="DL160" s="8"/>
      <c r="DM160" s="8"/>
      <c r="DN160" s="8"/>
      <c r="DO160" s="8"/>
      <c r="DP160" s="8"/>
      <c r="DQ160" s="8"/>
      <c r="DR160" s="8"/>
      <c r="DS160" s="8"/>
      <c r="DT160" s="8"/>
      <c r="DU160" s="8"/>
    </row>
    <row r="161" spans="1:125" s="1" customFormat="1" ht="20.100000000000001" customHeight="1" x14ac:dyDescent="0.25">
      <c r="A161" s="59" t="s">
        <v>391</v>
      </c>
      <c r="B161" s="84">
        <v>159</v>
      </c>
      <c r="C161" s="85" t="s">
        <v>164</v>
      </c>
      <c r="D161" s="60">
        <v>0</v>
      </c>
      <c r="E161" s="61">
        <f t="shared" si="24"/>
        <v>0</v>
      </c>
      <c r="F161" s="60">
        <v>0</v>
      </c>
      <c r="G161" s="61">
        <f t="shared" si="25"/>
        <v>0</v>
      </c>
      <c r="H161" s="60">
        <v>0</v>
      </c>
      <c r="I161" s="61">
        <f t="shared" si="26"/>
        <v>0</v>
      </c>
      <c r="J161" s="60">
        <v>0</v>
      </c>
      <c r="K161" s="61">
        <f t="shared" si="27"/>
        <v>0</v>
      </c>
      <c r="L161" s="62"/>
      <c r="M161" s="61">
        <f t="shared" si="28"/>
        <v>0</v>
      </c>
      <c r="N161" s="63">
        <v>0</v>
      </c>
      <c r="O161" s="61">
        <f t="shared" si="29"/>
        <v>0</v>
      </c>
      <c r="P161" s="60">
        <v>0</v>
      </c>
      <c r="Q161" s="61">
        <f t="shared" si="30"/>
        <v>0</v>
      </c>
      <c r="R161" s="60">
        <v>0</v>
      </c>
      <c r="S161" s="61">
        <f t="shared" si="31"/>
        <v>0</v>
      </c>
      <c r="T161" s="60">
        <v>0</v>
      </c>
      <c r="U161" s="64">
        <f t="shared" si="32"/>
        <v>0</v>
      </c>
      <c r="V161" s="65">
        <v>0</v>
      </c>
      <c r="W161" s="66">
        <f t="shared" si="33"/>
        <v>0</v>
      </c>
      <c r="X161" s="67">
        <f t="shared" si="34"/>
        <v>0</v>
      </c>
      <c r="Y161" s="57" t="str">
        <f t="shared" si="35"/>
        <v>NIL PLEASE PURCHASE</v>
      </c>
      <c r="Z161" s="68" t="s">
        <v>1539</v>
      </c>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c r="BU161" s="8"/>
      <c r="BV161" s="8"/>
      <c r="BW161" s="8"/>
      <c r="BX161" s="8"/>
      <c r="BY161" s="8"/>
      <c r="BZ161" s="8"/>
      <c r="CA161" s="8"/>
      <c r="CB161" s="8"/>
      <c r="CC161" s="8"/>
      <c r="CD161" s="8"/>
      <c r="CE161" s="8"/>
      <c r="CF161" s="8"/>
      <c r="CG161" s="8"/>
      <c r="CH161" s="8"/>
      <c r="CI161" s="8"/>
      <c r="CJ161" s="8"/>
      <c r="CK161" s="8"/>
      <c r="CL161" s="8"/>
      <c r="CM161" s="8"/>
      <c r="CN161" s="8"/>
      <c r="CO161" s="8"/>
      <c r="CP161" s="8"/>
      <c r="CQ161" s="8"/>
      <c r="CR161" s="8"/>
      <c r="CS161" s="8"/>
      <c r="CT161" s="8"/>
      <c r="CU161" s="8"/>
      <c r="CV161" s="8"/>
      <c r="CW161" s="8"/>
      <c r="CX161" s="8"/>
      <c r="CY161" s="8"/>
      <c r="CZ161" s="8"/>
      <c r="DA161" s="8"/>
      <c r="DB161" s="8"/>
      <c r="DC161" s="8"/>
      <c r="DD161" s="8"/>
      <c r="DE161" s="8"/>
      <c r="DF161" s="8"/>
      <c r="DG161" s="8"/>
      <c r="DH161" s="8"/>
      <c r="DI161" s="8"/>
      <c r="DJ161" s="8"/>
      <c r="DK161" s="8"/>
      <c r="DL161" s="8"/>
      <c r="DM161" s="8"/>
      <c r="DN161" s="8"/>
      <c r="DO161" s="8"/>
      <c r="DP161" s="8"/>
      <c r="DQ161" s="8"/>
      <c r="DR161" s="8"/>
      <c r="DS161" s="8"/>
      <c r="DT161" s="8"/>
      <c r="DU161" s="8"/>
    </row>
    <row r="162" spans="1:125" s="1" customFormat="1" ht="20.100000000000001" customHeight="1" x14ac:dyDescent="0.25">
      <c r="A162" s="59" t="s">
        <v>392</v>
      </c>
      <c r="B162" s="84">
        <v>160</v>
      </c>
      <c r="C162" s="85" t="s">
        <v>165</v>
      </c>
      <c r="D162" s="60">
        <v>0</v>
      </c>
      <c r="E162" s="61">
        <f t="shared" si="24"/>
        <v>0</v>
      </c>
      <c r="F162" s="60">
        <v>0</v>
      </c>
      <c r="G162" s="61">
        <f t="shared" si="25"/>
        <v>0</v>
      </c>
      <c r="H162" s="60">
        <v>0</v>
      </c>
      <c r="I162" s="61">
        <f t="shared" si="26"/>
        <v>0</v>
      </c>
      <c r="J162" s="60">
        <v>1</v>
      </c>
      <c r="K162" s="61">
        <f t="shared" si="27"/>
        <v>100</v>
      </c>
      <c r="L162" s="62"/>
      <c r="M162" s="61">
        <f t="shared" si="28"/>
        <v>0</v>
      </c>
      <c r="N162" s="63">
        <v>0</v>
      </c>
      <c r="O162" s="61">
        <f t="shared" si="29"/>
        <v>0</v>
      </c>
      <c r="P162" s="60">
        <v>0</v>
      </c>
      <c r="Q162" s="61">
        <f t="shared" si="30"/>
        <v>0</v>
      </c>
      <c r="R162" s="60">
        <v>0</v>
      </c>
      <c r="S162" s="61">
        <f t="shared" si="31"/>
        <v>0</v>
      </c>
      <c r="T162" s="60">
        <v>0</v>
      </c>
      <c r="U162" s="64">
        <f t="shared" si="32"/>
        <v>0</v>
      </c>
      <c r="V162" s="65">
        <v>0</v>
      </c>
      <c r="W162" s="66">
        <f t="shared" si="33"/>
        <v>100</v>
      </c>
      <c r="X162" s="67">
        <f t="shared" si="34"/>
        <v>0.1</v>
      </c>
      <c r="Y162" s="57" t="str">
        <f t="shared" si="35"/>
        <v>STOCK</v>
      </c>
      <c r="Z162" s="68" t="s">
        <v>1538</v>
      </c>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c r="BU162" s="8"/>
      <c r="BV162" s="8"/>
      <c r="BW162" s="8"/>
      <c r="BX162" s="8"/>
      <c r="BY162" s="8"/>
      <c r="BZ162" s="8"/>
      <c r="CA162" s="8"/>
      <c r="CB162" s="8"/>
      <c r="CC162" s="8"/>
      <c r="CD162" s="8"/>
      <c r="CE162" s="8"/>
      <c r="CF162" s="8"/>
      <c r="CG162" s="8"/>
      <c r="CH162" s="8"/>
      <c r="CI162" s="8"/>
      <c r="CJ162" s="8"/>
      <c r="CK162" s="8"/>
      <c r="CL162" s="8"/>
      <c r="CM162" s="8"/>
      <c r="CN162" s="8"/>
      <c r="CO162" s="8"/>
      <c r="CP162" s="8"/>
      <c r="CQ162" s="8"/>
      <c r="CR162" s="8"/>
      <c r="CS162" s="8"/>
      <c r="CT162" s="8"/>
      <c r="CU162" s="8"/>
      <c r="CV162" s="8"/>
      <c r="CW162" s="8"/>
      <c r="CX162" s="8"/>
      <c r="CY162" s="8"/>
      <c r="CZ162" s="8"/>
      <c r="DA162" s="8"/>
      <c r="DB162" s="8"/>
      <c r="DC162" s="8"/>
      <c r="DD162" s="8"/>
      <c r="DE162" s="8"/>
      <c r="DF162" s="8"/>
      <c r="DG162" s="8"/>
      <c r="DH162" s="8"/>
      <c r="DI162" s="8"/>
      <c r="DJ162" s="8"/>
      <c r="DK162" s="8"/>
      <c r="DL162" s="8"/>
      <c r="DM162" s="8"/>
      <c r="DN162" s="8"/>
      <c r="DO162" s="8"/>
      <c r="DP162" s="8"/>
      <c r="DQ162" s="8"/>
      <c r="DR162" s="8"/>
      <c r="DS162" s="8"/>
      <c r="DT162" s="8"/>
      <c r="DU162" s="8"/>
    </row>
    <row r="163" spans="1:125" s="1" customFormat="1" ht="20.100000000000001" customHeight="1" x14ac:dyDescent="0.25">
      <c r="A163" s="59" t="s">
        <v>393</v>
      </c>
      <c r="B163" s="84">
        <v>161</v>
      </c>
      <c r="C163" s="85" t="s">
        <v>166</v>
      </c>
      <c r="D163" s="60">
        <v>0</v>
      </c>
      <c r="E163" s="61">
        <f t="shared" si="24"/>
        <v>0</v>
      </c>
      <c r="F163" s="60">
        <v>0</v>
      </c>
      <c r="G163" s="61">
        <f t="shared" si="25"/>
        <v>0</v>
      </c>
      <c r="H163" s="60">
        <v>0</v>
      </c>
      <c r="I163" s="61">
        <f t="shared" si="26"/>
        <v>0</v>
      </c>
      <c r="J163" s="60">
        <v>0</v>
      </c>
      <c r="K163" s="61">
        <f t="shared" si="27"/>
        <v>0</v>
      </c>
      <c r="L163" s="62"/>
      <c r="M163" s="61">
        <f t="shared" si="28"/>
        <v>0</v>
      </c>
      <c r="N163" s="63">
        <v>2</v>
      </c>
      <c r="O163" s="61">
        <f t="shared" si="29"/>
        <v>1000</v>
      </c>
      <c r="P163" s="60">
        <v>0</v>
      </c>
      <c r="Q163" s="61">
        <f t="shared" si="30"/>
        <v>0</v>
      </c>
      <c r="R163" s="60">
        <v>0</v>
      </c>
      <c r="S163" s="61">
        <f t="shared" si="31"/>
        <v>0</v>
      </c>
      <c r="T163" s="60">
        <v>0</v>
      </c>
      <c r="U163" s="64">
        <f t="shared" si="32"/>
        <v>0</v>
      </c>
      <c r="V163" s="65">
        <v>0</v>
      </c>
      <c r="W163" s="66">
        <f t="shared" si="33"/>
        <v>1000</v>
      </c>
      <c r="X163" s="67">
        <f t="shared" si="34"/>
        <v>1</v>
      </c>
      <c r="Y163" s="57" t="str">
        <f t="shared" si="35"/>
        <v>STOCK</v>
      </c>
      <c r="Z163" s="68" t="s">
        <v>1538</v>
      </c>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c r="BU163" s="8"/>
      <c r="BV163" s="8"/>
      <c r="BW163" s="8"/>
      <c r="BX163" s="8"/>
      <c r="BY163" s="8"/>
      <c r="BZ163" s="8"/>
      <c r="CA163" s="8"/>
      <c r="CB163" s="8"/>
      <c r="CC163" s="8"/>
      <c r="CD163" s="8"/>
      <c r="CE163" s="8"/>
      <c r="CF163" s="8"/>
      <c r="CG163" s="8"/>
      <c r="CH163" s="8"/>
      <c r="CI163" s="8"/>
      <c r="CJ163" s="8"/>
      <c r="CK163" s="8"/>
      <c r="CL163" s="8"/>
      <c r="CM163" s="8"/>
      <c r="CN163" s="8"/>
      <c r="CO163" s="8"/>
      <c r="CP163" s="8"/>
      <c r="CQ163" s="8"/>
      <c r="CR163" s="8"/>
      <c r="CS163" s="8"/>
      <c r="CT163" s="8"/>
      <c r="CU163" s="8"/>
      <c r="CV163" s="8"/>
      <c r="CW163" s="8"/>
      <c r="CX163" s="8"/>
      <c r="CY163" s="8"/>
      <c r="CZ163" s="8"/>
      <c r="DA163" s="8"/>
      <c r="DB163" s="8"/>
      <c r="DC163" s="8"/>
      <c r="DD163" s="8"/>
      <c r="DE163" s="8"/>
      <c r="DF163" s="8"/>
      <c r="DG163" s="8"/>
      <c r="DH163" s="8"/>
      <c r="DI163" s="8"/>
      <c r="DJ163" s="8"/>
      <c r="DK163" s="8"/>
      <c r="DL163" s="8"/>
      <c r="DM163" s="8"/>
      <c r="DN163" s="8"/>
      <c r="DO163" s="8"/>
      <c r="DP163" s="8"/>
      <c r="DQ163" s="8"/>
      <c r="DR163" s="8"/>
      <c r="DS163" s="8"/>
      <c r="DT163" s="8"/>
      <c r="DU163" s="8"/>
    </row>
    <row r="164" spans="1:125" s="1" customFormat="1" ht="20.100000000000001" customHeight="1" x14ac:dyDescent="0.25">
      <c r="A164" s="59" t="s">
        <v>394</v>
      </c>
      <c r="B164" s="84">
        <v>162</v>
      </c>
      <c r="C164" s="85" t="s">
        <v>167</v>
      </c>
      <c r="D164" s="60">
        <v>0</v>
      </c>
      <c r="E164" s="61">
        <f t="shared" si="24"/>
        <v>0</v>
      </c>
      <c r="F164" s="60">
        <v>0</v>
      </c>
      <c r="G164" s="61">
        <f t="shared" si="25"/>
        <v>0</v>
      </c>
      <c r="H164" s="60">
        <v>0</v>
      </c>
      <c r="I164" s="61">
        <f t="shared" si="26"/>
        <v>0</v>
      </c>
      <c r="J164" s="60">
        <v>4</v>
      </c>
      <c r="K164" s="61">
        <f t="shared" si="27"/>
        <v>400</v>
      </c>
      <c r="L164" s="62"/>
      <c r="M164" s="61">
        <f t="shared" si="28"/>
        <v>0</v>
      </c>
      <c r="N164" s="63">
        <v>1</v>
      </c>
      <c r="O164" s="61">
        <f t="shared" si="29"/>
        <v>500</v>
      </c>
      <c r="P164" s="60">
        <v>0</v>
      </c>
      <c r="Q164" s="61">
        <f t="shared" si="30"/>
        <v>0</v>
      </c>
      <c r="R164" s="60">
        <v>0</v>
      </c>
      <c r="S164" s="61">
        <f t="shared" si="31"/>
        <v>0</v>
      </c>
      <c r="T164" s="60">
        <v>0</v>
      </c>
      <c r="U164" s="64">
        <f t="shared" si="32"/>
        <v>0</v>
      </c>
      <c r="V164" s="65">
        <v>0</v>
      </c>
      <c r="W164" s="66">
        <f t="shared" si="33"/>
        <v>900</v>
      </c>
      <c r="X164" s="67">
        <f t="shared" si="34"/>
        <v>0.9</v>
      </c>
      <c r="Y164" s="57" t="str">
        <f t="shared" si="35"/>
        <v>STOCK</v>
      </c>
      <c r="Z164" s="68" t="s">
        <v>1538</v>
      </c>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c r="BU164" s="8"/>
      <c r="BV164" s="8"/>
      <c r="BW164" s="8"/>
      <c r="BX164" s="8"/>
      <c r="BY164" s="8"/>
      <c r="BZ164" s="8"/>
      <c r="CA164" s="8"/>
      <c r="CB164" s="8"/>
      <c r="CC164" s="8"/>
      <c r="CD164" s="8"/>
      <c r="CE164" s="8"/>
      <c r="CF164" s="8"/>
      <c r="CG164" s="8"/>
      <c r="CH164" s="8"/>
      <c r="CI164" s="8"/>
      <c r="CJ164" s="8"/>
      <c r="CK164" s="8"/>
      <c r="CL164" s="8"/>
      <c r="CM164" s="8"/>
      <c r="CN164" s="8"/>
      <c r="CO164" s="8"/>
      <c r="CP164" s="8"/>
      <c r="CQ164" s="8"/>
      <c r="CR164" s="8"/>
      <c r="CS164" s="8"/>
      <c r="CT164" s="8"/>
      <c r="CU164" s="8"/>
      <c r="CV164" s="8"/>
      <c r="CW164" s="8"/>
      <c r="CX164" s="8"/>
      <c r="CY164" s="8"/>
      <c r="CZ164" s="8"/>
      <c r="DA164" s="8"/>
      <c r="DB164" s="8"/>
      <c r="DC164" s="8"/>
      <c r="DD164" s="8"/>
      <c r="DE164" s="8"/>
      <c r="DF164" s="8"/>
      <c r="DG164" s="8"/>
      <c r="DH164" s="8"/>
      <c r="DI164" s="8"/>
      <c r="DJ164" s="8"/>
      <c r="DK164" s="8"/>
      <c r="DL164" s="8"/>
      <c r="DM164" s="8"/>
      <c r="DN164" s="8"/>
      <c r="DO164" s="8"/>
      <c r="DP164" s="8"/>
      <c r="DQ164" s="8"/>
      <c r="DR164" s="8"/>
      <c r="DS164" s="8"/>
      <c r="DT164" s="8"/>
      <c r="DU164" s="8"/>
    </row>
    <row r="165" spans="1:125" s="1" customFormat="1" ht="20.100000000000001" customHeight="1" x14ac:dyDescent="0.25">
      <c r="A165" s="59" t="s">
        <v>395</v>
      </c>
      <c r="B165" s="84">
        <v>163</v>
      </c>
      <c r="C165" s="85" t="s">
        <v>168</v>
      </c>
      <c r="D165" s="60">
        <v>0</v>
      </c>
      <c r="E165" s="61">
        <f t="shared" si="24"/>
        <v>0</v>
      </c>
      <c r="F165" s="60">
        <v>0</v>
      </c>
      <c r="G165" s="61">
        <f t="shared" si="25"/>
        <v>0</v>
      </c>
      <c r="H165" s="60">
        <v>0</v>
      </c>
      <c r="I165" s="61">
        <f t="shared" si="26"/>
        <v>0</v>
      </c>
      <c r="J165" s="60">
        <v>0</v>
      </c>
      <c r="K165" s="61">
        <f t="shared" si="27"/>
        <v>0</v>
      </c>
      <c r="L165" s="62"/>
      <c r="M165" s="61">
        <f t="shared" si="28"/>
        <v>0</v>
      </c>
      <c r="N165" s="63">
        <v>1</v>
      </c>
      <c r="O165" s="61">
        <f t="shared" si="29"/>
        <v>500</v>
      </c>
      <c r="P165" s="60">
        <v>0</v>
      </c>
      <c r="Q165" s="61">
        <f t="shared" si="30"/>
        <v>0</v>
      </c>
      <c r="R165" s="60">
        <v>0</v>
      </c>
      <c r="S165" s="61">
        <f t="shared" si="31"/>
        <v>0</v>
      </c>
      <c r="T165" s="60">
        <v>0</v>
      </c>
      <c r="U165" s="64">
        <f t="shared" si="32"/>
        <v>0</v>
      </c>
      <c r="V165" s="65">
        <v>0</v>
      </c>
      <c r="W165" s="66">
        <f t="shared" si="33"/>
        <v>500</v>
      </c>
      <c r="X165" s="67">
        <f t="shared" si="34"/>
        <v>0.5</v>
      </c>
      <c r="Y165" s="57" t="str">
        <f t="shared" si="35"/>
        <v>STOCK</v>
      </c>
      <c r="Z165" s="68" t="s">
        <v>1538</v>
      </c>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c r="BU165" s="8"/>
      <c r="BV165" s="8"/>
      <c r="BW165" s="8"/>
      <c r="BX165" s="8"/>
      <c r="BY165" s="8"/>
      <c r="BZ165" s="8"/>
      <c r="CA165" s="8"/>
      <c r="CB165" s="8"/>
      <c r="CC165" s="8"/>
      <c r="CD165" s="8"/>
      <c r="CE165" s="8"/>
      <c r="CF165" s="8"/>
      <c r="CG165" s="8"/>
      <c r="CH165" s="8"/>
      <c r="CI165" s="8"/>
      <c r="CJ165" s="8"/>
      <c r="CK165" s="8"/>
      <c r="CL165" s="8"/>
      <c r="CM165" s="8"/>
      <c r="CN165" s="8"/>
      <c r="CO165" s="8"/>
      <c r="CP165" s="8"/>
      <c r="CQ165" s="8"/>
      <c r="CR165" s="8"/>
      <c r="CS165" s="8"/>
      <c r="CT165" s="8"/>
      <c r="CU165" s="8"/>
      <c r="CV165" s="8"/>
      <c r="CW165" s="8"/>
      <c r="CX165" s="8"/>
      <c r="CY165" s="8"/>
      <c r="CZ165" s="8"/>
      <c r="DA165" s="8"/>
      <c r="DB165" s="8"/>
      <c r="DC165" s="8"/>
      <c r="DD165" s="8"/>
      <c r="DE165" s="8"/>
      <c r="DF165" s="8"/>
      <c r="DG165" s="8"/>
      <c r="DH165" s="8"/>
      <c r="DI165" s="8"/>
      <c r="DJ165" s="8"/>
      <c r="DK165" s="8"/>
      <c r="DL165" s="8"/>
      <c r="DM165" s="8"/>
      <c r="DN165" s="8"/>
      <c r="DO165" s="8"/>
      <c r="DP165" s="8"/>
      <c r="DQ165" s="8"/>
      <c r="DR165" s="8"/>
      <c r="DS165" s="8"/>
      <c r="DT165" s="8"/>
      <c r="DU165" s="8"/>
    </row>
    <row r="166" spans="1:125" s="1" customFormat="1" ht="20.100000000000001" customHeight="1" x14ac:dyDescent="0.25">
      <c r="A166" s="59" t="s">
        <v>396</v>
      </c>
      <c r="B166" s="84">
        <v>164</v>
      </c>
      <c r="C166" s="85" t="s">
        <v>169</v>
      </c>
      <c r="D166" s="60">
        <v>0</v>
      </c>
      <c r="E166" s="61">
        <f t="shared" si="24"/>
        <v>0</v>
      </c>
      <c r="F166" s="60">
        <v>0</v>
      </c>
      <c r="G166" s="61">
        <f t="shared" si="25"/>
        <v>0</v>
      </c>
      <c r="H166" s="60">
        <v>0</v>
      </c>
      <c r="I166" s="61">
        <f t="shared" si="26"/>
        <v>0</v>
      </c>
      <c r="J166" s="60">
        <v>0</v>
      </c>
      <c r="K166" s="61">
        <f t="shared" si="27"/>
        <v>0</v>
      </c>
      <c r="L166" s="62"/>
      <c r="M166" s="61">
        <f t="shared" si="28"/>
        <v>0</v>
      </c>
      <c r="N166" s="63">
        <v>1</v>
      </c>
      <c r="O166" s="61">
        <f t="shared" si="29"/>
        <v>500</v>
      </c>
      <c r="P166" s="60">
        <v>0</v>
      </c>
      <c r="Q166" s="61">
        <f t="shared" si="30"/>
        <v>0</v>
      </c>
      <c r="R166" s="60">
        <v>0</v>
      </c>
      <c r="S166" s="61">
        <f t="shared" si="31"/>
        <v>0</v>
      </c>
      <c r="T166" s="60">
        <v>0</v>
      </c>
      <c r="U166" s="64">
        <f t="shared" si="32"/>
        <v>0</v>
      </c>
      <c r="V166" s="65">
        <v>0</v>
      </c>
      <c r="W166" s="66">
        <f t="shared" si="33"/>
        <v>500</v>
      </c>
      <c r="X166" s="67">
        <f t="shared" si="34"/>
        <v>0.5</v>
      </c>
      <c r="Y166" s="57" t="str">
        <f t="shared" si="35"/>
        <v>STOCK</v>
      </c>
      <c r="Z166" s="68" t="s">
        <v>1538</v>
      </c>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c r="BU166" s="8"/>
      <c r="BV166" s="8"/>
      <c r="BW166" s="8"/>
      <c r="BX166" s="8"/>
      <c r="BY166" s="8"/>
      <c r="BZ166" s="8"/>
      <c r="CA166" s="8"/>
      <c r="CB166" s="8"/>
      <c r="CC166" s="8"/>
      <c r="CD166" s="8"/>
      <c r="CE166" s="8"/>
      <c r="CF166" s="8"/>
      <c r="CG166" s="8"/>
      <c r="CH166" s="8"/>
      <c r="CI166" s="8"/>
      <c r="CJ166" s="8"/>
      <c r="CK166" s="8"/>
      <c r="CL166" s="8"/>
      <c r="CM166" s="8"/>
      <c r="CN166" s="8"/>
      <c r="CO166" s="8"/>
      <c r="CP166" s="8"/>
      <c r="CQ166" s="8"/>
      <c r="CR166" s="8"/>
      <c r="CS166" s="8"/>
      <c r="CT166" s="8"/>
      <c r="CU166" s="8"/>
      <c r="CV166" s="8"/>
      <c r="CW166" s="8"/>
      <c r="CX166" s="8"/>
      <c r="CY166" s="8"/>
      <c r="CZ166" s="8"/>
      <c r="DA166" s="8"/>
      <c r="DB166" s="8"/>
      <c r="DC166" s="8"/>
      <c r="DD166" s="8"/>
      <c r="DE166" s="8"/>
      <c r="DF166" s="8"/>
      <c r="DG166" s="8"/>
      <c r="DH166" s="8"/>
      <c r="DI166" s="8"/>
      <c r="DJ166" s="8"/>
      <c r="DK166" s="8"/>
      <c r="DL166" s="8"/>
      <c r="DM166" s="8"/>
      <c r="DN166" s="8"/>
      <c r="DO166" s="8"/>
      <c r="DP166" s="8"/>
      <c r="DQ166" s="8"/>
      <c r="DR166" s="8"/>
      <c r="DS166" s="8"/>
      <c r="DT166" s="8"/>
      <c r="DU166" s="8"/>
    </row>
    <row r="167" spans="1:125" s="1" customFormat="1" ht="20.100000000000001" customHeight="1" x14ac:dyDescent="0.25">
      <c r="A167" s="59" t="s">
        <v>397</v>
      </c>
      <c r="B167" s="84">
        <v>165</v>
      </c>
      <c r="C167" s="85" t="s">
        <v>170</v>
      </c>
      <c r="D167" s="60">
        <v>0</v>
      </c>
      <c r="E167" s="61">
        <f t="shared" si="24"/>
        <v>0</v>
      </c>
      <c r="F167" s="60">
        <v>0</v>
      </c>
      <c r="G167" s="61">
        <f t="shared" si="25"/>
        <v>0</v>
      </c>
      <c r="H167" s="60">
        <v>0</v>
      </c>
      <c r="I167" s="61">
        <f t="shared" si="26"/>
        <v>0</v>
      </c>
      <c r="J167" s="60">
        <v>0</v>
      </c>
      <c r="K167" s="61">
        <f t="shared" si="27"/>
        <v>0</v>
      </c>
      <c r="L167" s="62"/>
      <c r="M167" s="61">
        <f t="shared" si="28"/>
        <v>0</v>
      </c>
      <c r="N167" s="63">
        <v>0</v>
      </c>
      <c r="O167" s="61">
        <f t="shared" si="29"/>
        <v>0</v>
      </c>
      <c r="P167" s="60">
        <v>0</v>
      </c>
      <c r="Q167" s="61">
        <f t="shared" si="30"/>
        <v>0</v>
      </c>
      <c r="R167" s="60">
        <v>0</v>
      </c>
      <c r="S167" s="61">
        <f t="shared" si="31"/>
        <v>0</v>
      </c>
      <c r="T167" s="60">
        <v>0</v>
      </c>
      <c r="U167" s="64">
        <f t="shared" si="32"/>
        <v>0</v>
      </c>
      <c r="V167" s="65">
        <v>0</v>
      </c>
      <c r="W167" s="66">
        <f t="shared" si="33"/>
        <v>0</v>
      </c>
      <c r="X167" s="67">
        <f t="shared" si="34"/>
        <v>0</v>
      </c>
      <c r="Y167" s="57" t="str">
        <f t="shared" si="35"/>
        <v>NIL PLEASE PURCHASE</v>
      </c>
      <c r="Z167" s="68" t="s">
        <v>1539</v>
      </c>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c r="BU167" s="8"/>
      <c r="BV167" s="8"/>
      <c r="BW167" s="8"/>
      <c r="BX167" s="8"/>
      <c r="BY167" s="8"/>
      <c r="BZ167" s="8"/>
      <c r="CA167" s="8"/>
      <c r="CB167" s="8"/>
      <c r="CC167" s="8"/>
      <c r="CD167" s="8"/>
      <c r="CE167" s="8"/>
      <c r="CF167" s="8"/>
      <c r="CG167" s="8"/>
      <c r="CH167" s="8"/>
      <c r="CI167" s="8"/>
      <c r="CJ167" s="8"/>
      <c r="CK167" s="8"/>
      <c r="CL167" s="8"/>
      <c r="CM167" s="8"/>
      <c r="CN167" s="8"/>
      <c r="CO167" s="8"/>
      <c r="CP167" s="8"/>
      <c r="CQ167" s="8"/>
      <c r="CR167" s="8"/>
      <c r="CS167" s="8"/>
      <c r="CT167" s="8"/>
      <c r="CU167" s="8"/>
      <c r="CV167" s="8"/>
      <c r="CW167" s="8"/>
      <c r="CX167" s="8"/>
      <c r="CY167" s="8"/>
      <c r="CZ167" s="8"/>
      <c r="DA167" s="8"/>
      <c r="DB167" s="8"/>
      <c r="DC167" s="8"/>
      <c r="DD167" s="8"/>
      <c r="DE167" s="8"/>
      <c r="DF167" s="8"/>
      <c r="DG167" s="8"/>
      <c r="DH167" s="8"/>
      <c r="DI167" s="8"/>
      <c r="DJ167" s="8"/>
      <c r="DK167" s="8"/>
      <c r="DL167" s="8"/>
      <c r="DM167" s="8"/>
      <c r="DN167" s="8"/>
      <c r="DO167" s="8"/>
      <c r="DP167" s="8"/>
      <c r="DQ167" s="8"/>
      <c r="DR167" s="8"/>
      <c r="DS167" s="8"/>
      <c r="DT167" s="8"/>
      <c r="DU167" s="8"/>
    </row>
    <row r="168" spans="1:125" s="1" customFormat="1" ht="20.100000000000001" customHeight="1" x14ac:dyDescent="0.25">
      <c r="A168" s="59" t="s">
        <v>398</v>
      </c>
      <c r="B168" s="84">
        <v>166</v>
      </c>
      <c r="C168" s="85" t="s">
        <v>171</v>
      </c>
      <c r="D168" s="60">
        <v>0</v>
      </c>
      <c r="E168" s="61">
        <f t="shared" si="24"/>
        <v>0</v>
      </c>
      <c r="F168" s="60">
        <v>0</v>
      </c>
      <c r="G168" s="61">
        <f t="shared" si="25"/>
        <v>0</v>
      </c>
      <c r="H168" s="60">
        <v>0</v>
      </c>
      <c r="I168" s="61">
        <f t="shared" si="26"/>
        <v>0</v>
      </c>
      <c r="J168" s="60">
        <v>0</v>
      </c>
      <c r="K168" s="61">
        <f t="shared" si="27"/>
        <v>0</v>
      </c>
      <c r="L168" s="62"/>
      <c r="M168" s="61">
        <f t="shared" si="28"/>
        <v>0</v>
      </c>
      <c r="N168" s="63">
        <v>0</v>
      </c>
      <c r="O168" s="61">
        <f t="shared" si="29"/>
        <v>0</v>
      </c>
      <c r="P168" s="60">
        <v>0</v>
      </c>
      <c r="Q168" s="61">
        <f t="shared" si="30"/>
        <v>0</v>
      </c>
      <c r="R168" s="60">
        <v>0</v>
      </c>
      <c r="S168" s="61">
        <f t="shared" si="31"/>
        <v>0</v>
      </c>
      <c r="T168" s="60">
        <v>0</v>
      </c>
      <c r="U168" s="64">
        <f t="shared" si="32"/>
        <v>0</v>
      </c>
      <c r="V168" s="65">
        <v>0</v>
      </c>
      <c r="W168" s="66">
        <f t="shared" si="33"/>
        <v>0</v>
      </c>
      <c r="X168" s="67">
        <f t="shared" si="34"/>
        <v>0</v>
      </c>
      <c r="Y168" s="57" t="str">
        <f t="shared" si="35"/>
        <v>NIL PLEASE PURCHASE</v>
      </c>
      <c r="Z168" s="68" t="s">
        <v>1539</v>
      </c>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c r="BU168" s="8"/>
      <c r="BV168" s="8"/>
      <c r="BW168" s="8"/>
      <c r="BX168" s="8"/>
      <c r="BY168" s="8"/>
      <c r="BZ168" s="8"/>
      <c r="CA168" s="8"/>
      <c r="CB168" s="8"/>
      <c r="CC168" s="8"/>
      <c r="CD168" s="8"/>
      <c r="CE168" s="8"/>
      <c r="CF168" s="8"/>
      <c r="CG168" s="8"/>
      <c r="CH168" s="8"/>
      <c r="CI168" s="8"/>
      <c r="CJ168" s="8"/>
      <c r="CK168" s="8"/>
      <c r="CL168" s="8"/>
      <c r="CM168" s="8"/>
      <c r="CN168" s="8"/>
      <c r="CO168" s="8"/>
      <c r="CP168" s="8"/>
      <c r="CQ168" s="8"/>
      <c r="CR168" s="8"/>
      <c r="CS168" s="8"/>
      <c r="CT168" s="8"/>
      <c r="CU168" s="8"/>
      <c r="CV168" s="8"/>
      <c r="CW168" s="8"/>
      <c r="CX168" s="8"/>
      <c r="CY168" s="8"/>
      <c r="CZ168" s="8"/>
      <c r="DA168" s="8"/>
      <c r="DB168" s="8"/>
      <c r="DC168" s="8"/>
      <c r="DD168" s="8"/>
      <c r="DE168" s="8"/>
      <c r="DF168" s="8"/>
      <c r="DG168" s="8"/>
      <c r="DH168" s="8"/>
      <c r="DI168" s="8"/>
      <c r="DJ168" s="8"/>
      <c r="DK168" s="8"/>
      <c r="DL168" s="8"/>
      <c r="DM168" s="8"/>
      <c r="DN168" s="8"/>
      <c r="DO168" s="8"/>
      <c r="DP168" s="8"/>
      <c r="DQ168" s="8"/>
      <c r="DR168" s="8"/>
      <c r="DS168" s="8"/>
      <c r="DT168" s="8"/>
      <c r="DU168" s="8"/>
    </row>
    <row r="169" spans="1:125" s="1" customFormat="1" ht="20.100000000000001" customHeight="1" x14ac:dyDescent="0.25">
      <c r="A169" s="59" t="s">
        <v>399</v>
      </c>
      <c r="B169" s="84">
        <v>167</v>
      </c>
      <c r="C169" s="85" t="s">
        <v>172</v>
      </c>
      <c r="D169" s="60">
        <v>0</v>
      </c>
      <c r="E169" s="61">
        <f t="shared" si="24"/>
        <v>0</v>
      </c>
      <c r="F169" s="60">
        <v>0</v>
      </c>
      <c r="G169" s="61">
        <f t="shared" si="25"/>
        <v>0</v>
      </c>
      <c r="H169" s="60">
        <v>0</v>
      </c>
      <c r="I169" s="61">
        <f t="shared" si="26"/>
        <v>0</v>
      </c>
      <c r="J169" s="60">
        <v>0</v>
      </c>
      <c r="K169" s="61">
        <f t="shared" si="27"/>
        <v>0</v>
      </c>
      <c r="L169" s="62"/>
      <c r="M169" s="61">
        <f t="shared" si="28"/>
        <v>0</v>
      </c>
      <c r="N169" s="63">
        <v>0</v>
      </c>
      <c r="O169" s="61">
        <f t="shared" si="29"/>
        <v>0</v>
      </c>
      <c r="P169" s="60">
        <v>0</v>
      </c>
      <c r="Q169" s="61">
        <f t="shared" si="30"/>
        <v>0</v>
      </c>
      <c r="R169" s="60">
        <v>0</v>
      </c>
      <c r="S169" s="61">
        <f t="shared" si="31"/>
        <v>0</v>
      </c>
      <c r="T169" s="60">
        <v>0</v>
      </c>
      <c r="U169" s="64">
        <f t="shared" si="32"/>
        <v>0</v>
      </c>
      <c r="V169" s="65">
        <v>0</v>
      </c>
      <c r="W169" s="66">
        <f t="shared" si="33"/>
        <v>0</v>
      </c>
      <c r="X169" s="67">
        <f t="shared" si="34"/>
        <v>0</v>
      </c>
      <c r="Y169" s="57" t="str">
        <f t="shared" si="35"/>
        <v>NIL PLEASE PURCHASE</v>
      </c>
      <c r="Z169" s="68" t="s">
        <v>1539</v>
      </c>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c r="BU169" s="8"/>
      <c r="BV169" s="8"/>
      <c r="BW169" s="8"/>
      <c r="BX169" s="8"/>
      <c r="BY169" s="8"/>
      <c r="BZ169" s="8"/>
      <c r="CA169" s="8"/>
      <c r="CB169" s="8"/>
      <c r="CC169" s="8"/>
      <c r="CD169" s="8"/>
      <c r="CE169" s="8"/>
      <c r="CF169" s="8"/>
      <c r="CG169" s="8"/>
      <c r="CH169" s="8"/>
      <c r="CI169" s="8"/>
      <c r="CJ169" s="8"/>
      <c r="CK169" s="8"/>
      <c r="CL169" s="8"/>
      <c r="CM169" s="8"/>
      <c r="CN169" s="8"/>
      <c r="CO169" s="8"/>
      <c r="CP169" s="8"/>
      <c r="CQ169" s="8"/>
      <c r="CR169" s="8"/>
      <c r="CS169" s="8"/>
      <c r="CT169" s="8"/>
      <c r="CU169" s="8"/>
      <c r="CV169" s="8"/>
      <c r="CW169" s="8"/>
      <c r="CX169" s="8"/>
      <c r="CY169" s="8"/>
      <c r="CZ169" s="8"/>
      <c r="DA169" s="8"/>
      <c r="DB169" s="8"/>
      <c r="DC169" s="8"/>
      <c r="DD169" s="8"/>
      <c r="DE169" s="8"/>
      <c r="DF169" s="8"/>
      <c r="DG169" s="8"/>
      <c r="DH169" s="8"/>
      <c r="DI169" s="8"/>
      <c r="DJ169" s="8"/>
      <c r="DK169" s="8"/>
      <c r="DL169" s="8"/>
      <c r="DM169" s="8"/>
      <c r="DN169" s="8"/>
      <c r="DO169" s="8"/>
      <c r="DP169" s="8"/>
      <c r="DQ169" s="8"/>
      <c r="DR169" s="8"/>
      <c r="DS169" s="8"/>
      <c r="DT169" s="8"/>
      <c r="DU169" s="8"/>
    </row>
    <row r="170" spans="1:125" s="1" customFormat="1" ht="20.100000000000001" customHeight="1" x14ac:dyDescent="0.25">
      <c r="A170" s="59" t="s">
        <v>400</v>
      </c>
      <c r="B170" s="84">
        <v>168</v>
      </c>
      <c r="C170" s="85" t="s">
        <v>173</v>
      </c>
      <c r="D170" s="60">
        <v>0</v>
      </c>
      <c r="E170" s="61">
        <f t="shared" si="24"/>
        <v>0</v>
      </c>
      <c r="F170" s="60">
        <v>0</v>
      </c>
      <c r="G170" s="61">
        <f t="shared" si="25"/>
        <v>0</v>
      </c>
      <c r="H170" s="60">
        <v>0</v>
      </c>
      <c r="I170" s="61">
        <f t="shared" si="26"/>
        <v>0</v>
      </c>
      <c r="J170" s="60">
        <v>0</v>
      </c>
      <c r="K170" s="61">
        <f t="shared" si="27"/>
        <v>0</v>
      </c>
      <c r="L170" s="62"/>
      <c r="M170" s="61">
        <f t="shared" si="28"/>
        <v>0</v>
      </c>
      <c r="N170" s="63">
        <v>2</v>
      </c>
      <c r="O170" s="61">
        <f t="shared" si="29"/>
        <v>1000</v>
      </c>
      <c r="P170" s="60">
        <v>0</v>
      </c>
      <c r="Q170" s="61">
        <f t="shared" si="30"/>
        <v>0</v>
      </c>
      <c r="R170" s="60">
        <v>0</v>
      </c>
      <c r="S170" s="61">
        <f t="shared" si="31"/>
        <v>0</v>
      </c>
      <c r="T170" s="60">
        <v>0</v>
      </c>
      <c r="U170" s="64">
        <f t="shared" si="32"/>
        <v>0</v>
      </c>
      <c r="V170" s="65">
        <v>0</v>
      </c>
      <c r="W170" s="66">
        <f t="shared" si="33"/>
        <v>1000</v>
      </c>
      <c r="X170" s="67">
        <f t="shared" si="34"/>
        <v>1</v>
      </c>
      <c r="Y170" s="57" t="str">
        <f t="shared" si="35"/>
        <v>STOCK</v>
      </c>
      <c r="Z170" s="68" t="s">
        <v>1538</v>
      </c>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c r="BU170" s="8"/>
      <c r="BV170" s="8"/>
      <c r="BW170" s="8"/>
      <c r="BX170" s="8"/>
      <c r="BY170" s="8"/>
      <c r="BZ170" s="8"/>
      <c r="CA170" s="8"/>
      <c r="CB170" s="8"/>
      <c r="CC170" s="8"/>
      <c r="CD170" s="8"/>
      <c r="CE170" s="8"/>
      <c r="CF170" s="8"/>
      <c r="CG170" s="8"/>
      <c r="CH170" s="8"/>
      <c r="CI170" s="8"/>
      <c r="CJ170" s="8"/>
      <c r="CK170" s="8"/>
      <c r="CL170" s="8"/>
      <c r="CM170" s="8"/>
      <c r="CN170" s="8"/>
      <c r="CO170" s="8"/>
      <c r="CP170" s="8"/>
      <c r="CQ170" s="8"/>
      <c r="CR170" s="8"/>
      <c r="CS170" s="8"/>
      <c r="CT170" s="8"/>
      <c r="CU170" s="8"/>
      <c r="CV170" s="8"/>
      <c r="CW170" s="8"/>
      <c r="CX170" s="8"/>
      <c r="CY170" s="8"/>
      <c r="CZ170" s="8"/>
      <c r="DA170" s="8"/>
      <c r="DB170" s="8"/>
      <c r="DC170" s="8"/>
      <c r="DD170" s="8"/>
      <c r="DE170" s="8"/>
      <c r="DF170" s="8"/>
      <c r="DG170" s="8"/>
      <c r="DH170" s="8"/>
      <c r="DI170" s="8"/>
      <c r="DJ170" s="8"/>
      <c r="DK170" s="8"/>
      <c r="DL170" s="8"/>
      <c r="DM170" s="8"/>
      <c r="DN170" s="8"/>
      <c r="DO170" s="8"/>
      <c r="DP170" s="8"/>
      <c r="DQ170" s="8"/>
      <c r="DR170" s="8"/>
      <c r="DS170" s="8"/>
      <c r="DT170" s="8"/>
      <c r="DU170" s="8"/>
    </row>
    <row r="171" spans="1:125" s="1" customFormat="1" ht="20.100000000000001" customHeight="1" x14ac:dyDescent="0.25">
      <c r="A171" s="59" t="s">
        <v>401</v>
      </c>
      <c r="B171" s="84">
        <v>169</v>
      </c>
      <c r="C171" s="85" t="s">
        <v>174</v>
      </c>
      <c r="D171" s="60">
        <v>0</v>
      </c>
      <c r="E171" s="61">
        <f t="shared" si="24"/>
        <v>0</v>
      </c>
      <c r="F171" s="60">
        <v>0</v>
      </c>
      <c r="G171" s="61">
        <f t="shared" si="25"/>
        <v>0</v>
      </c>
      <c r="H171" s="60">
        <v>0</v>
      </c>
      <c r="I171" s="61">
        <f t="shared" si="26"/>
        <v>0</v>
      </c>
      <c r="J171" s="60">
        <v>0</v>
      </c>
      <c r="K171" s="61">
        <f t="shared" si="27"/>
        <v>0</v>
      </c>
      <c r="L171" s="62"/>
      <c r="M171" s="61">
        <f t="shared" si="28"/>
        <v>0</v>
      </c>
      <c r="N171" s="63">
        <v>1</v>
      </c>
      <c r="O171" s="61">
        <f t="shared" si="29"/>
        <v>500</v>
      </c>
      <c r="P171" s="60">
        <v>0</v>
      </c>
      <c r="Q171" s="61">
        <f t="shared" si="30"/>
        <v>0</v>
      </c>
      <c r="R171" s="60">
        <v>0</v>
      </c>
      <c r="S171" s="61">
        <f t="shared" si="31"/>
        <v>0</v>
      </c>
      <c r="T171" s="60">
        <v>0</v>
      </c>
      <c r="U171" s="64">
        <f t="shared" si="32"/>
        <v>0</v>
      </c>
      <c r="V171" s="65">
        <v>0</v>
      </c>
      <c r="W171" s="66">
        <f t="shared" si="33"/>
        <v>500</v>
      </c>
      <c r="X171" s="67">
        <f t="shared" si="34"/>
        <v>0.5</v>
      </c>
      <c r="Y171" s="57" t="str">
        <f t="shared" si="35"/>
        <v>STOCK</v>
      </c>
      <c r="Z171" s="68" t="s">
        <v>1538</v>
      </c>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c r="BU171" s="8"/>
      <c r="BV171" s="8"/>
      <c r="BW171" s="8"/>
      <c r="BX171" s="8"/>
      <c r="BY171" s="8"/>
      <c r="BZ171" s="8"/>
      <c r="CA171" s="8"/>
      <c r="CB171" s="8"/>
      <c r="CC171" s="8"/>
      <c r="CD171" s="8"/>
      <c r="CE171" s="8"/>
      <c r="CF171" s="8"/>
      <c r="CG171" s="8"/>
      <c r="CH171" s="8"/>
      <c r="CI171" s="8"/>
      <c r="CJ171" s="8"/>
      <c r="CK171" s="8"/>
      <c r="CL171" s="8"/>
      <c r="CM171" s="8"/>
      <c r="CN171" s="8"/>
      <c r="CO171" s="8"/>
      <c r="CP171" s="8"/>
      <c r="CQ171" s="8"/>
      <c r="CR171" s="8"/>
      <c r="CS171" s="8"/>
      <c r="CT171" s="8"/>
      <c r="CU171" s="8"/>
      <c r="CV171" s="8"/>
      <c r="CW171" s="8"/>
      <c r="CX171" s="8"/>
      <c r="CY171" s="8"/>
      <c r="CZ171" s="8"/>
      <c r="DA171" s="8"/>
      <c r="DB171" s="8"/>
      <c r="DC171" s="8"/>
      <c r="DD171" s="8"/>
      <c r="DE171" s="8"/>
      <c r="DF171" s="8"/>
      <c r="DG171" s="8"/>
      <c r="DH171" s="8"/>
      <c r="DI171" s="8"/>
      <c r="DJ171" s="8"/>
      <c r="DK171" s="8"/>
      <c r="DL171" s="8"/>
      <c r="DM171" s="8"/>
      <c r="DN171" s="8"/>
      <c r="DO171" s="8"/>
      <c r="DP171" s="8"/>
      <c r="DQ171" s="8"/>
      <c r="DR171" s="8"/>
      <c r="DS171" s="8"/>
      <c r="DT171" s="8"/>
      <c r="DU171" s="8"/>
    </row>
    <row r="172" spans="1:125" s="1" customFormat="1" ht="20.100000000000001" customHeight="1" x14ac:dyDescent="0.25">
      <c r="A172" s="59" t="s">
        <v>402</v>
      </c>
      <c r="B172" s="84">
        <v>170</v>
      </c>
      <c r="C172" s="85" t="s">
        <v>175</v>
      </c>
      <c r="D172" s="60">
        <v>0</v>
      </c>
      <c r="E172" s="61">
        <f t="shared" si="24"/>
        <v>0</v>
      </c>
      <c r="F172" s="60">
        <v>0</v>
      </c>
      <c r="G172" s="61">
        <f t="shared" si="25"/>
        <v>0</v>
      </c>
      <c r="H172" s="60">
        <v>0</v>
      </c>
      <c r="I172" s="61">
        <f t="shared" si="26"/>
        <v>0</v>
      </c>
      <c r="J172" s="60">
        <v>0</v>
      </c>
      <c r="K172" s="61">
        <f t="shared" si="27"/>
        <v>0</v>
      </c>
      <c r="L172" s="62"/>
      <c r="M172" s="61">
        <f t="shared" si="28"/>
        <v>0</v>
      </c>
      <c r="N172" s="63">
        <v>1</v>
      </c>
      <c r="O172" s="61">
        <f t="shared" si="29"/>
        <v>500</v>
      </c>
      <c r="P172" s="60">
        <v>1</v>
      </c>
      <c r="Q172" s="61">
        <f t="shared" si="30"/>
        <v>1000</v>
      </c>
      <c r="R172" s="60">
        <v>0</v>
      </c>
      <c r="S172" s="61">
        <f t="shared" si="31"/>
        <v>0</v>
      </c>
      <c r="T172" s="60">
        <v>0</v>
      </c>
      <c r="U172" s="64">
        <f t="shared" si="32"/>
        <v>0</v>
      </c>
      <c r="V172" s="65">
        <v>0</v>
      </c>
      <c r="W172" s="66">
        <f t="shared" si="33"/>
        <v>1500</v>
      </c>
      <c r="X172" s="67">
        <f t="shared" si="34"/>
        <v>1.5</v>
      </c>
      <c r="Y172" s="57" t="str">
        <f t="shared" si="35"/>
        <v>STOCK</v>
      </c>
      <c r="Z172" s="68" t="s">
        <v>1538</v>
      </c>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c r="BU172" s="8"/>
      <c r="BV172" s="8"/>
      <c r="BW172" s="8"/>
      <c r="BX172" s="8"/>
      <c r="BY172" s="8"/>
      <c r="BZ172" s="8"/>
      <c r="CA172" s="8"/>
      <c r="CB172" s="8"/>
      <c r="CC172" s="8"/>
      <c r="CD172" s="8"/>
      <c r="CE172" s="8"/>
      <c r="CF172" s="8"/>
      <c r="CG172" s="8"/>
      <c r="CH172" s="8"/>
      <c r="CI172" s="8"/>
      <c r="CJ172" s="8"/>
      <c r="CK172" s="8"/>
      <c r="CL172" s="8"/>
      <c r="CM172" s="8"/>
      <c r="CN172" s="8"/>
      <c r="CO172" s="8"/>
      <c r="CP172" s="8"/>
      <c r="CQ172" s="8"/>
      <c r="CR172" s="8"/>
      <c r="CS172" s="8"/>
      <c r="CT172" s="8"/>
      <c r="CU172" s="8"/>
      <c r="CV172" s="8"/>
      <c r="CW172" s="8"/>
      <c r="CX172" s="8"/>
      <c r="CY172" s="8"/>
      <c r="CZ172" s="8"/>
      <c r="DA172" s="8"/>
      <c r="DB172" s="8"/>
      <c r="DC172" s="8"/>
      <c r="DD172" s="8"/>
      <c r="DE172" s="8"/>
      <c r="DF172" s="8"/>
      <c r="DG172" s="8"/>
      <c r="DH172" s="8"/>
      <c r="DI172" s="8"/>
      <c r="DJ172" s="8"/>
      <c r="DK172" s="8"/>
      <c r="DL172" s="8"/>
      <c r="DM172" s="8"/>
      <c r="DN172" s="8"/>
      <c r="DO172" s="8"/>
      <c r="DP172" s="8"/>
      <c r="DQ172" s="8"/>
      <c r="DR172" s="8"/>
      <c r="DS172" s="8"/>
      <c r="DT172" s="8"/>
      <c r="DU172" s="8"/>
    </row>
    <row r="173" spans="1:125" s="1" customFormat="1" ht="20.100000000000001" customHeight="1" x14ac:dyDescent="0.25">
      <c r="A173" s="59" t="s">
        <v>403</v>
      </c>
      <c r="B173" s="84">
        <v>171</v>
      </c>
      <c r="C173" s="85" t="s">
        <v>176</v>
      </c>
      <c r="D173" s="60">
        <v>0</v>
      </c>
      <c r="E173" s="61">
        <f t="shared" si="24"/>
        <v>0</v>
      </c>
      <c r="F173" s="60">
        <v>0</v>
      </c>
      <c r="G173" s="61">
        <f t="shared" si="25"/>
        <v>0</v>
      </c>
      <c r="H173" s="60">
        <v>0</v>
      </c>
      <c r="I173" s="61">
        <f t="shared" si="26"/>
        <v>0</v>
      </c>
      <c r="J173" s="60">
        <v>0</v>
      </c>
      <c r="K173" s="61">
        <f t="shared" si="27"/>
        <v>0</v>
      </c>
      <c r="L173" s="62"/>
      <c r="M173" s="61">
        <f t="shared" si="28"/>
        <v>0</v>
      </c>
      <c r="N173" s="63">
        <v>2</v>
      </c>
      <c r="O173" s="61">
        <f t="shared" si="29"/>
        <v>1000</v>
      </c>
      <c r="P173" s="60">
        <v>0</v>
      </c>
      <c r="Q173" s="61">
        <f t="shared" si="30"/>
        <v>0</v>
      </c>
      <c r="R173" s="60">
        <v>0</v>
      </c>
      <c r="S173" s="61">
        <f t="shared" si="31"/>
        <v>0</v>
      </c>
      <c r="T173" s="60">
        <v>0</v>
      </c>
      <c r="U173" s="64">
        <f t="shared" si="32"/>
        <v>0</v>
      </c>
      <c r="V173" s="65">
        <v>0</v>
      </c>
      <c r="W173" s="66">
        <f t="shared" si="33"/>
        <v>1000</v>
      </c>
      <c r="X173" s="67">
        <f t="shared" si="34"/>
        <v>1</v>
      </c>
      <c r="Y173" s="57" t="str">
        <f t="shared" si="35"/>
        <v>STOCK</v>
      </c>
      <c r="Z173" s="68" t="s">
        <v>1538</v>
      </c>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c r="BU173" s="8"/>
      <c r="BV173" s="8"/>
      <c r="BW173" s="8"/>
      <c r="BX173" s="8"/>
      <c r="BY173" s="8"/>
      <c r="BZ173" s="8"/>
      <c r="CA173" s="8"/>
      <c r="CB173" s="8"/>
      <c r="CC173" s="8"/>
      <c r="CD173" s="8"/>
      <c r="CE173" s="8"/>
      <c r="CF173" s="8"/>
      <c r="CG173" s="8"/>
      <c r="CH173" s="8"/>
      <c r="CI173" s="8"/>
      <c r="CJ173" s="8"/>
      <c r="CK173" s="8"/>
      <c r="CL173" s="8"/>
      <c r="CM173" s="8"/>
      <c r="CN173" s="8"/>
      <c r="CO173" s="8"/>
      <c r="CP173" s="8"/>
      <c r="CQ173" s="8"/>
      <c r="CR173" s="8"/>
      <c r="CS173" s="8"/>
      <c r="CT173" s="8"/>
      <c r="CU173" s="8"/>
      <c r="CV173" s="8"/>
      <c r="CW173" s="8"/>
      <c r="CX173" s="8"/>
      <c r="CY173" s="8"/>
      <c r="CZ173" s="8"/>
      <c r="DA173" s="8"/>
      <c r="DB173" s="8"/>
      <c r="DC173" s="8"/>
      <c r="DD173" s="8"/>
      <c r="DE173" s="8"/>
      <c r="DF173" s="8"/>
      <c r="DG173" s="8"/>
      <c r="DH173" s="8"/>
      <c r="DI173" s="8"/>
      <c r="DJ173" s="8"/>
      <c r="DK173" s="8"/>
      <c r="DL173" s="8"/>
      <c r="DM173" s="8"/>
      <c r="DN173" s="8"/>
      <c r="DO173" s="8"/>
      <c r="DP173" s="8"/>
      <c r="DQ173" s="8"/>
      <c r="DR173" s="8"/>
      <c r="DS173" s="8"/>
      <c r="DT173" s="8"/>
      <c r="DU173" s="8"/>
    </row>
    <row r="174" spans="1:125" s="1" customFormat="1" ht="20.100000000000001" customHeight="1" x14ac:dyDescent="0.25">
      <c r="A174" s="59" t="s">
        <v>404</v>
      </c>
      <c r="B174" s="84">
        <v>172</v>
      </c>
      <c r="C174" s="85" t="s">
        <v>177</v>
      </c>
      <c r="D174" s="60">
        <v>0</v>
      </c>
      <c r="E174" s="61">
        <f t="shared" si="24"/>
        <v>0</v>
      </c>
      <c r="F174" s="60">
        <v>0</v>
      </c>
      <c r="G174" s="61">
        <f t="shared" si="25"/>
        <v>0</v>
      </c>
      <c r="H174" s="60">
        <v>0</v>
      </c>
      <c r="I174" s="61">
        <f t="shared" si="26"/>
        <v>0</v>
      </c>
      <c r="J174" s="60">
        <v>0</v>
      </c>
      <c r="K174" s="61">
        <f t="shared" si="27"/>
        <v>0</v>
      </c>
      <c r="L174" s="62"/>
      <c r="M174" s="61">
        <f t="shared" si="28"/>
        <v>0</v>
      </c>
      <c r="N174" s="63">
        <v>2</v>
      </c>
      <c r="O174" s="61">
        <f t="shared" si="29"/>
        <v>1000</v>
      </c>
      <c r="P174" s="60">
        <v>0</v>
      </c>
      <c r="Q174" s="61">
        <f t="shared" si="30"/>
        <v>0</v>
      </c>
      <c r="R174" s="60">
        <v>0</v>
      </c>
      <c r="S174" s="61">
        <f t="shared" si="31"/>
        <v>0</v>
      </c>
      <c r="T174" s="60">
        <v>0</v>
      </c>
      <c r="U174" s="64">
        <f t="shared" si="32"/>
        <v>0</v>
      </c>
      <c r="V174" s="65">
        <v>0</v>
      </c>
      <c r="W174" s="66">
        <f t="shared" si="33"/>
        <v>1000</v>
      </c>
      <c r="X174" s="67">
        <f t="shared" si="34"/>
        <v>1</v>
      </c>
      <c r="Y174" s="57" t="str">
        <f t="shared" si="35"/>
        <v>STOCK</v>
      </c>
      <c r="Z174" s="68" t="s">
        <v>1538</v>
      </c>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c r="BU174" s="8"/>
      <c r="BV174" s="8"/>
      <c r="BW174" s="8"/>
      <c r="BX174" s="8"/>
      <c r="BY174" s="8"/>
      <c r="BZ174" s="8"/>
      <c r="CA174" s="8"/>
      <c r="CB174" s="8"/>
      <c r="CC174" s="8"/>
      <c r="CD174" s="8"/>
      <c r="CE174" s="8"/>
      <c r="CF174" s="8"/>
      <c r="CG174" s="8"/>
      <c r="CH174" s="8"/>
      <c r="CI174" s="8"/>
      <c r="CJ174" s="8"/>
      <c r="CK174" s="8"/>
      <c r="CL174" s="8"/>
      <c r="CM174" s="8"/>
      <c r="CN174" s="8"/>
      <c r="CO174" s="8"/>
      <c r="CP174" s="8"/>
      <c r="CQ174" s="8"/>
      <c r="CR174" s="8"/>
      <c r="CS174" s="8"/>
      <c r="CT174" s="8"/>
      <c r="CU174" s="8"/>
      <c r="CV174" s="8"/>
      <c r="CW174" s="8"/>
      <c r="CX174" s="8"/>
      <c r="CY174" s="8"/>
      <c r="CZ174" s="8"/>
      <c r="DA174" s="8"/>
      <c r="DB174" s="8"/>
      <c r="DC174" s="8"/>
      <c r="DD174" s="8"/>
      <c r="DE174" s="8"/>
      <c r="DF174" s="8"/>
      <c r="DG174" s="8"/>
      <c r="DH174" s="8"/>
      <c r="DI174" s="8"/>
      <c r="DJ174" s="8"/>
      <c r="DK174" s="8"/>
      <c r="DL174" s="8"/>
      <c r="DM174" s="8"/>
      <c r="DN174" s="8"/>
      <c r="DO174" s="8"/>
      <c r="DP174" s="8"/>
      <c r="DQ174" s="8"/>
      <c r="DR174" s="8"/>
      <c r="DS174" s="8"/>
      <c r="DT174" s="8"/>
      <c r="DU174" s="8"/>
    </row>
    <row r="175" spans="1:125" s="1" customFormat="1" ht="20.100000000000001" customHeight="1" x14ac:dyDescent="0.25">
      <c r="A175" s="59" t="s">
        <v>405</v>
      </c>
      <c r="B175" s="84">
        <v>173</v>
      </c>
      <c r="C175" s="85" t="s">
        <v>178</v>
      </c>
      <c r="D175" s="60">
        <v>0</v>
      </c>
      <c r="E175" s="61">
        <f t="shared" si="24"/>
        <v>0</v>
      </c>
      <c r="F175" s="60">
        <v>0</v>
      </c>
      <c r="G175" s="61">
        <f t="shared" si="25"/>
        <v>0</v>
      </c>
      <c r="H175" s="60">
        <v>0</v>
      </c>
      <c r="I175" s="61">
        <f t="shared" si="26"/>
        <v>0</v>
      </c>
      <c r="J175" s="60">
        <v>0</v>
      </c>
      <c r="K175" s="61">
        <f t="shared" si="27"/>
        <v>0</v>
      </c>
      <c r="L175" s="62"/>
      <c r="M175" s="61">
        <f t="shared" si="28"/>
        <v>0</v>
      </c>
      <c r="N175" s="63">
        <v>1</v>
      </c>
      <c r="O175" s="61">
        <f t="shared" si="29"/>
        <v>500</v>
      </c>
      <c r="P175" s="60">
        <v>0</v>
      </c>
      <c r="Q175" s="61">
        <f t="shared" si="30"/>
        <v>0</v>
      </c>
      <c r="R175" s="60">
        <v>0</v>
      </c>
      <c r="S175" s="61">
        <f t="shared" si="31"/>
        <v>0</v>
      </c>
      <c r="T175" s="60">
        <v>0</v>
      </c>
      <c r="U175" s="64">
        <f t="shared" si="32"/>
        <v>0</v>
      </c>
      <c r="V175" s="65">
        <v>0</v>
      </c>
      <c r="W175" s="66">
        <f t="shared" si="33"/>
        <v>500</v>
      </c>
      <c r="X175" s="67">
        <f t="shared" si="34"/>
        <v>0.5</v>
      </c>
      <c r="Y175" s="57" t="str">
        <f t="shared" si="35"/>
        <v>STOCK</v>
      </c>
      <c r="Z175" s="68" t="s">
        <v>1538</v>
      </c>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c r="BU175" s="8"/>
      <c r="BV175" s="8"/>
      <c r="BW175" s="8"/>
      <c r="BX175" s="8"/>
      <c r="BY175" s="8"/>
      <c r="BZ175" s="8"/>
      <c r="CA175" s="8"/>
      <c r="CB175" s="8"/>
      <c r="CC175" s="8"/>
      <c r="CD175" s="8"/>
      <c r="CE175" s="8"/>
      <c r="CF175" s="8"/>
      <c r="CG175" s="8"/>
      <c r="CH175" s="8"/>
      <c r="CI175" s="8"/>
      <c r="CJ175" s="8"/>
      <c r="CK175" s="8"/>
      <c r="CL175" s="8"/>
      <c r="CM175" s="8"/>
      <c r="CN175" s="8"/>
      <c r="CO175" s="8"/>
      <c r="CP175" s="8"/>
      <c r="CQ175" s="8"/>
      <c r="CR175" s="8"/>
      <c r="CS175" s="8"/>
      <c r="CT175" s="8"/>
      <c r="CU175" s="8"/>
      <c r="CV175" s="8"/>
      <c r="CW175" s="8"/>
      <c r="CX175" s="8"/>
      <c r="CY175" s="8"/>
      <c r="CZ175" s="8"/>
      <c r="DA175" s="8"/>
      <c r="DB175" s="8"/>
      <c r="DC175" s="8"/>
      <c r="DD175" s="8"/>
      <c r="DE175" s="8"/>
      <c r="DF175" s="8"/>
      <c r="DG175" s="8"/>
      <c r="DH175" s="8"/>
      <c r="DI175" s="8"/>
      <c r="DJ175" s="8"/>
      <c r="DK175" s="8"/>
      <c r="DL175" s="8"/>
      <c r="DM175" s="8"/>
      <c r="DN175" s="8"/>
      <c r="DO175" s="8"/>
      <c r="DP175" s="8"/>
      <c r="DQ175" s="8"/>
      <c r="DR175" s="8"/>
      <c r="DS175" s="8"/>
      <c r="DT175" s="8"/>
      <c r="DU175" s="8"/>
    </row>
    <row r="176" spans="1:125" s="1" customFormat="1" ht="20.100000000000001" customHeight="1" x14ac:dyDescent="0.25">
      <c r="A176" s="59" t="s">
        <v>406</v>
      </c>
      <c r="B176" s="84">
        <v>174</v>
      </c>
      <c r="C176" s="85" t="s">
        <v>179</v>
      </c>
      <c r="D176" s="60">
        <v>0</v>
      </c>
      <c r="E176" s="61">
        <f t="shared" si="24"/>
        <v>0</v>
      </c>
      <c r="F176" s="60">
        <v>0</v>
      </c>
      <c r="G176" s="61">
        <f t="shared" si="25"/>
        <v>0</v>
      </c>
      <c r="H176" s="60">
        <v>0</v>
      </c>
      <c r="I176" s="61">
        <f t="shared" si="26"/>
        <v>0</v>
      </c>
      <c r="J176" s="60">
        <v>0</v>
      </c>
      <c r="K176" s="61">
        <f t="shared" si="27"/>
        <v>0</v>
      </c>
      <c r="L176" s="62"/>
      <c r="M176" s="61">
        <f t="shared" si="28"/>
        <v>0</v>
      </c>
      <c r="N176" s="63">
        <v>0</v>
      </c>
      <c r="O176" s="61">
        <f t="shared" si="29"/>
        <v>0</v>
      </c>
      <c r="P176" s="60">
        <v>0</v>
      </c>
      <c r="Q176" s="61">
        <f t="shared" si="30"/>
        <v>0</v>
      </c>
      <c r="R176" s="60">
        <v>0</v>
      </c>
      <c r="S176" s="61">
        <f t="shared" si="31"/>
        <v>0</v>
      </c>
      <c r="T176" s="60">
        <v>0</v>
      </c>
      <c r="U176" s="64">
        <f t="shared" si="32"/>
        <v>0</v>
      </c>
      <c r="V176" s="65">
        <v>0</v>
      </c>
      <c r="W176" s="66">
        <f t="shared" si="33"/>
        <v>0</v>
      </c>
      <c r="X176" s="67">
        <f t="shared" si="34"/>
        <v>0</v>
      </c>
      <c r="Y176" s="57" t="str">
        <f t="shared" si="35"/>
        <v>NIL PLEASE PURCHASE</v>
      </c>
      <c r="Z176" s="68" t="s">
        <v>1539</v>
      </c>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c r="BU176" s="8"/>
      <c r="BV176" s="8"/>
      <c r="BW176" s="8"/>
      <c r="BX176" s="8"/>
      <c r="BY176" s="8"/>
      <c r="BZ176" s="8"/>
      <c r="CA176" s="8"/>
      <c r="CB176" s="8"/>
      <c r="CC176" s="8"/>
      <c r="CD176" s="8"/>
      <c r="CE176" s="8"/>
      <c r="CF176" s="8"/>
      <c r="CG176" s="8"/>
      <c r="CH176" s="8"/>
      <c r="CI176" s="8"/>
      <c r="CJ176" s="8"/>
      <c r="CK176" s="8"/>
      <c r="CL176" s="8"/>
      <c r="CM176" s="8"/>
      <c r="CN176" s="8"/>
      <c r="CO176" s="8"/>
      <c r="CP176" s="8"/>
      <c r="CQ176" s="8"/>
      <c r="CR176" s="8"/>
      <c r="CS176" s="8"/>
      <c r="CT176" s="8"/>
      <c r="CU176" s="8"/>
      <c r="CV176" s="8"/>
      <c r="CW176" s="8"/>
      <c r="CX176" s="8"/>
      <c r="CY176" s="8"/>
      <c r="CZ176" s="8"/>
      <c r="DA176" s="8"/>
      <c r="DB176" s="8"/>
      <c r="DC176" s="8"/>
      <c r="DD176" s="8"/>
      <c r="DE176" s="8"/>
      <c r="DF176" s="8"/>
      <c r="DG176" s="8"/>
      <c r="DH176" s="8"/>
      <c r="DI176" s="8"/>
      <c r="DJ176" s="8"/>
      <c r="DK176" s="8"/>
      <c r="DL176" s="8"/>
      <c r="DM176" s="8"/>
      <c r="DN176" s="8"/>
      <c r="DO176" s="8"/>
      <c r="DP176" s="8"/>
      <c r="DQ176" s="8"/>
      <c r="DR176" s="8"/>
      <c r="DS176" s="8"/>
      <c r="DT176" s="8"/>
      <c r="DU176" s="8"/>
    </row>
    <row r="177" spans="1:125" s="1" customFormat="1" ht="20.100000000000001" customHeight="1" x14ac:dyDescent="0.25">
      <c r="A177" s="59" t="s">
        <v>407</v>
      </c>
      <c r="B177" s="84">
        <v>175</v>
      </c>
      <c r="C177" s="85" t="s">
        <v>180</v>
      </c>
      <c r="D177" s="60">
        <v>0</v>
      </c>
      <c r="E177" s="61">
        <f t="shared" si="24"/>
        <v>0</v>
      </c>
      <c r="F177" s="60">
        <v>0</v>
      </c>
      <c r="G177" s="61">
        <f t="shared" si="25"/>
        <v>0</v>
      </c>
      <c r="H177" s="60">
        <v>0</v>
      </c>
      <c r="I177" s="61">
        <f t="shared" si="26"/>
        <v>0</v>
      </c>
      <c r="J177" s="60">
        <v>0</v>
      </c>
      <c r="K177" s="61">
        <f t="shared" si="27"/>
        <v>0</v>
      </c>
      <c r="L177" s="62"/>
      <c r="M177" s="61">
        <f t="shared" si="28"/>
        <v>0</v>
      </c>
      <c r="N177" s="63">
        <v>0</v>
      </c>
      <c r="O177" s="61">
        <f t="shared" si="29"/>
        <v>0</v>
      </c>
      <c r="P177" s="60">
        <v>0</v>
      </c>
      <c r="Q177" s="61">
        <f t="shared" si="30"/>
        <v>0</v>
      </c>
      <c r="R177" s="60">
        <v>0</v>
      </c>
      <c r="S177" s="61">
        <f t="shared" si="31"/>
        <v>0</v>
      </c>
      <c r="T177" s="60">
        <v>0</v>
      </c>
      <c r="U177" s="64">
        <f t="shared" si="32"/>
        <v>0</v>
      </c>
      <c r="V177" s="65">
        <v>0</v>
      </c>
      <c r="W177" s="66">
        <f t="shared" si="33"/>
        <v>0</v>
      </c>
      <c r="X177" s="67">
        <f t="shared" si="34"/>
        <v>0</v>
      </c>
      <c r="Y177" s="57" t="str">
        <f t="shared" si="35"/>
        <v>NIL PLEASE PURCHASE</v>
      </c>
      <c r="Z177" s="68" t="s">
        <v>1539</v>
      </c>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c r="BU177" s="8"/>
      <c r="BV177" s="8"/>
      <c r="BW177" s="8"/>
      <c r="BX177" s="8"/>
      <c r="BY177" s="8"/>
      <c r="BZ177" s="8"/>
      <c r="CA177" s="8"/>
      <c r="CB177" s="8"/>
      <c r="CC177" s="8"/>
      <c r="CD177" s="8"/>
      <c r="CE177" s="8"/>
      <c r="CF177" s="8"/>
      <c r="CG177" s="8"/>
      <c r="CH177" s="8"/>
      <c r="CI177" s="8"/>
      <c r="CJ177" s="8"/>
      <c r="CK177" s="8"/>
      <c r="CL177" s="8"/>
      <c r="CM177" s="8"/>
      <c r="CN177" s="8"/>
      <c r="CO177" s="8"/>
      <c r="CP177" s="8"/>
      <c r="CQ177" s="8"/>
      <c r="CR177" s="8"/>
      <c r="CS177" s="8"/>
      <c r="CT177" s="8"/>
      <c r="CU177" s="8"/>
      <c r="CV177" s="8"/>
      <c r="CW177" s="8"/>
      <c r="CX177" s="8"/>
      <c r="CY177" s="8"/>
      <c r="CZ177" s="8"/>
      <c r="DA177" s="8"/>
      <c r="DB177" s="8"/>
      <c r="DC177" s="8"/>
      <c r="DD177" s="8"/>
      <c r="DE177" s="8"/>
      <c r="DF177" s="8"/>
      <c r="DG177" s="8"/>
      <c r="DH177" s="8"/>
      <c r="DI177" s="8"/>
      <c r="DJ177" s="8"/>
      <c r="DK177" s="8"/>
      <c r="DL177" s="8"/>
      <c r="DM177" s="8"/>
      <c r="DN177" s="8"/>
      <c r="DO177" s="8"/>
      <c r="DP177" s="8"/>
      <c r="DQ177" s="8"/>
      <c r="DR177" s="8"/>
      <c r="DS177" s="8"/>
      <c r="DT177" s="8"/>
      <c r="DU177" s="8"/>
    </row>
    <row r="178" spans="1:125" s="1" customFormat="1" ht="20.100000000000001" customHeight="1" x14ac:dyDescent="0.25">
      <c r="A178" s="59" t="s">
        <v>408</v>
      </c>
      <c r="B178" s="84">
        <v>176</v>
      </c>
      <c r="C178" s="85" t="s">
        <v>181</v>
      </c>
      <c r="D178" s="60">
        <v>0</v>
      </c>
      <c r="E178" s="61">
        <f t="shared" si="24"/>
        <v>0</v>
      </c>
      <c r="F178" s="60">
        <v>0</v>
      </c>
      <c r="G178" s="61">
        <f t="shared" si="25"/>
        <v>0</v>
      </c>
      <c r="H178" s="60">
        <v>0</v>
      </c>
      <c r="I178" s="61">
        <f t="shared" si="26"/>
        <v>0</v>
      </c>
      <c r="J178" s="60">
        <v>0</v>
      </c>
      <c r="K178" s="61">
        <f t="shared" si="27"/>
        <v>0</v>
      </c>
      <c r="L178" s="62"/>
      <c r="M178" s="61">
        <f t="shared" si="28"/>
        <v>0</v>
      </c>
      <c r="N178" s="63">
        <v>0</v>
      </c>
      <c r="O178" s="61">
        <f t="shared" si="29"/>
        <v>0</v>
      </c>
      <c r="P178" s="60">
        <v>0</v>
      </c>
      <c r="Q178" s="61">
        <f t="shared" si="30"/>
        <v>0</v>
      </c>
      <c r="R178" s="60">
        <v>0</v>
      </c>
      <c r="S178" s="61">
        <f t="shared" si="31"/>
        <v>0</v>
      </c>
      <c r="T178" s="60">
        <v>0</v>
      </c>
      <c r="U178" s="64">
        <f t="shared" si="32"/>
        <v>0</v>
      </c>
      <c r="V178" s="65">
        <v>0</v>
      </c>
      <c r="W178" s="66">
        <f t="shared" si="33"/>
        <v>0</v>
      </c>
      <c r="X178" s="67">
        <f t="shared" si="34"/>
        <v>0</v>
      </c>
      <c r="Y178" s="57" t="str">
        <f t="shared" si="35"/>
        <v>NIL PLEASE PURCHASE</v>
      </c>
      <c r="Z178" s="68" t="s">
        <v>1539</v>
      </c>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c r="BU178" s="8"/>
      <c r="BV178" s="8"/>
      <c r="BW178" s="8"/>
      <c r="BX178" s="8"/>
      <c r="BY178" s="8"/>
      <c r="BZ178" s="8"/>
      <c r="CA178" s="8"/>
      <c r="CB178" s="8"/>
      <c r="CC178" s="8"/>
      <c r="CD178" s="8"/>
      <c r="CE178" s="8"/>
      <c r="CF178" s="8"/>
      <c r="CG178" s="8"/>
      <c r="CH178" s="8"/>
      <c r="CI178" s="8"/>
      <c r="CJ178" s="8"/>
      <c r="CK178" s="8"/>
      <c r="CL178" s="8"/>
      <c r="CM178" s="8"/>
      <c r="CN178" s="8"/>
      <c r="CO178" s="8"/>
      <c r="CP178" s="8"/>
      <c r="CQ178" s="8"/>
      <c r="CR178" s="8"/>
      <c r="CS178" s="8"/>
      <c r="CT178" s="8"/>
      <c r="CU178" s="8"/>
      <c r="CV178" s="8"/>
      <c r="CW178" s="8"/>
      <c r="CX178" s="8"/>
      <c r="CY178" s="8"/>
      <c r="CZ178" s="8"/>
      <c r="DA178" s="8"/>
      <c r="DB178" s="8"/>
      <c r="DC178" s="8"/>
      <c r="DD178" s="8"/>
      <c r="DE178" s="8"/>
      <c r="DF178" s="8"/>
      <c r="DG178" s="8"/>
      <c r="DH178" s="8"/>
      <c r="DI178" s="8"/>
      <c r="DJ178" s="8"/>
      <c r="DK178" s="8"/>
      <c r="DL178" s="8"/>
      <c r="DM178" s="8"/>
      <c r="DN178" s="8"/>
      <c r="DO178" s="8"/>
      <c r="DP178" s="8"/>
      <c r="DQ178" s="8"/>
      <c r="DR178" s="8"/>
      <c r="DS178" s="8"/>
      <c r="DT178" s="8"/>
      <c r="DU178" s="8"/>
    </row>
    <row r="179" spans="1:125" s="1" customFormat="1" ht="20.100000000000001" customHeight="1" x14ac:dyDescent="0.25">
      <c r="A179" s="59" t="s">
        <v>409</v>
      </c>
      <c r="B179" s="84">
        <v>177</v>
      </c>
      <c r="C179" s="85" t="s">
        <v>182</v>
      </c>
      <c r="D179" s="60">
        <v>0</v>
      </c>
      <c r="E179" s="61">
        <f t="shared" si="24"/>
        <v>0</v>
      </c>
      <c r="F179" s="60">
        <v>0</v>
      </c>
      <c r="G179" s="61">
        <f t="shared" si="25"/>
        <v>0</v>
      </c>
      <c r="H179" s="60">
        <v>0</v>
      </c>
      <c r="I179" s="61">
        <f t="shared" si="26"/>
        <v>0</v>
      </c>
      <c r="J179" s="60">
        <v>0</v>
      </c>
      <c r="K179" s="61">
        <f t="shared" si="27"/>
        <v>0</v>
      </c>
      <c r="L179" s="62"/>
      <c r="M179" s="61">
        <f t="shared" si="28"/>
        <v>0</v>
      </c>
      <c r="N179" s="63">
        <v>4</v>
      </c>
      <c r="O179" s="61">
        <f t="shared" si="29"/>
        <v>2000</v>
      </c>
      <c r="P179" s="60">
        <v>0</v>
      </c>
      <c r="Q179" s="61">
        <f t="shared" si="30"/>
        <v>0</v>
      </c>
      <c r="R179" s="60">
        <v>0</v>
      </c>
      <c r="S179" s="61">
        <f t="shared" si="31"/>
        <v>0</v>
      </c>
      <c r="T179" s="60">
        <v>0</v>
      </c>
      <c r="U179" s="64">
        <f t="shared" si="32"/>
        <v>0</v>
      </c>
      <c r="V179" s="65">
        <v>0</v>
      </c>
      <c r="W179" s="66">
        <f t="shared" si="33"/>
        <v>2000</v>
      </c>
      <c r="X179" s="67">
        <f t="shared" si="34"/>
        <v>2</v>
      </c>
      <c r="Y179" s="57" t="str">
        <f t="shared" si="35"/>
        <v>STOCK</v>
      </c>
      <c r="Z179" s="68" t="s">
        <v>1538</v>
      </c>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c r="CA179" s="8"/>
      <c r="CB179" s="8"/>
      <c r="CC179" s="8"/>
      <c r="CD179" s="8"/>
      <c r="CE179" s="8"/>
      <c r="CF179" s="8"/>
      <c r="CG179" s="8"/>
      <c r="CH179" s="8"/>
      <c r="CI179" s="8"/>
      <c r="CJ179" s="8"/>
      <c r="CK179" s="8"/>
      <c r="CL179" s="8"/>
      <c r="CM179" s="8"/>
      <c r="CN179" s="8"/>
      <c r="CO179" s="8"/>
      <c r="CP179" s="8"/>
      <c r="CQ179" s="8"/>
      <c r="CR179" s="8"/>
      <c r="CS179" s="8"/>
      <c r="CT179" s="8"/>
      <c r="CU179" s="8"/>
      <c r="CV179" s="8"/>
      <c r="CW179" s="8"/>
      <c r="CX179" s="8"/>
      <c r="CY179" s="8"/>
      <c r="CZ179" s="8"/>
      <c r="DA179" s="8"/>
      <c r="DB179" s="8"/>
      <c r="DC179" s="8"/>
      <c r="DD179" s="8"/>
      <c r="DE179" s="8"/>
      <c r="DF179" s="8"/>
      <c r="DG179" s="8"/>
      <c r="DH179" s="8"/>
      <c r="DI179" s="8"/>
      <c r="DJ179" s="8"/>
      <c r="DK179" s="8"/>
      <c r="DL179" s="8"/>
      <c r="DM179" s="8"/>
      <c r="DN179" s="8"/>
      <c r="DO179" s="8"/>
      <c r="DP179" s="8"/>
      <c r="DQ179" s="8"/>
      <c r="DR179" s="8"/>
      <c r="DS179" s="8"/>
      <c r="DT179" s="8"/>
      <c r="DU179" s="8"/>
    </row>
    <row r="180" spans="1:125" s="1" customFormat="1" ht="20.100000000000001" customHeight="1" x14ac:dyDescent="0.25">
      <c r="A180" s="59" t="s">
        <v>410</v>
      </c>
      <c r="B180" s="84">
        <v>178</v>
      </c>
      <c r="C180" s="85" t="s">
        <v>183</v>
      </c>
      <c r="D180" s="60">
        <v>0</v>
      </c>
      <c r="E180" s="61">
        <f t="shared" si="24"/>
        <v>0</v>
      </c>
      <c r="F180" s="60">
        <v>0</v>
      </c>
      <c r="G180" s="61">
        <f t="shared" si="25"/>
        <v>0</v>
      </c>
      <c r="H180" s="60">
        <v>0</v>
      </c>
      <c r="I180" s="61">
        <f t="shared" si="26"/>
        <v>0</v>
      </c>
      <c r="J180" s="60">
        <v>0</v>
      </c>
      <c r="K180" s="61">
        <f t="shared" si="27"/>
        <v>0</v>
      </c>
      <c r="L180" s="62"/>
      <c r="M180" s="61">
        <f t="shared" si="28"/>
        <v>0</v>
      </c>
      <c r="N180" s="63">
        <v>0</v>
      </c>
      <c r="O180" s="61">
        <f t="shared" si="29"/>
        <v>0</v>
      </c>
      <c r="P180" s="60">
        <v>0</v>
      </c>
      <c r="Q180" s="61">
        <f t="shared" si="30"/>
        <v>0</v>
      </c>
      <c r="R180" s="60">
        <v>0</v>
      </c>
      <c r="S180" s="61">
        <f t="shared" si="31"/>
        <v>0</v>
      </c>
      <c r="T180" s="60">
        <v>0</v>
      </c>
      <c r="U180" s="64">
        <f t="shared" si="32"/>
        <v>0</v>
      </c>
      <c r="V180" s="65">
        <v>0</v>
      </c>
      <c r="W180" s="66">
        <f t="shared" si="33"/>
        <v>0</v>
      </c>
      <c r="X180" s="67">
        <f t="shared" si="34"/>
        <v>0</v>
      </c>
      <c r="Y180" s="57" t="str">
        <f t="shared" si="35"/>
        <v>NIL PLEASE PURCHASE</v>
      </c>
      <c r="Z180" s="68" t="s">
        <v>1539</v>
      </c>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c r="BU180" s="8"/>
      <c r="BV180" s="8"/>
      <c r="BW180" s="8"/>
      <c r="BX180" s="8"/>
      <c r="BY180" s="8"/>
      <c r="BZ180" s="8"/>
      <c r="CA180" s="8"/>
      <c r="CB180" s="8"/>
      <c r="CC180" s="8"/>
      <c r="CD180" s="8"/>
      <c r="CE180" s="8"/>
      <c r="CF180" s="8"/>
      <c r="CG180" s="8"/>
      <c r="CH180" s="8"/>
      <c r="CI180" s="8"/>
      <c r="CJ180" s="8"/>
      <c r="CK180" s="8"/>
      <c r="CL180" s="8"/>
      <c r="CM180" s="8"/>
      <c r="CN180" s="8"/>
      <c r="CO180" s="8"/>
      <c r="CP180" s="8"/>
      <c r="CQ180" s="8"/>
      <c r="CR180" s="8"/>
      <c r="CS180" s="8"/>
      <c r="CT180" s="8"/>
      <c r="CU180" s="8"/>
      <c r="CV180" s="8"/>
      <c r="CW180" s="8"/>
      <c r="CX180" s="8"/>
      <c r="CY180" s="8"/>
      <c r="CZ180" s="8"/>
      <c r="DA180" s="8"/>
      <c r="DB180" s="8"/>
      <c r="DC180" s="8"/>
      <c r="DD180" s="8"/>
      <c r="DE180" s="8"/>
      <c r="DF180" s="8"/>
      <c r="DG180" s="8"/>
      <c r="DH180" s="8"/>
      <c r="DI180" s="8"/>
      <c r="DJ180" s="8"/>
      <c r="DK180" s="8"/>
      <c r="DL180" s="8"/>
      <c r="DM180" s="8"/>
      <c r="DN180" s="8"/>
      <c r="DO180" s="8"/>
      <c r="DP180" s="8"/>
      <c r="DQ180" s="8"/>
      <c r="DR180" s="8"/>
      <c r="DS180" s="8"/>
      <c r="DT180" s="8"/>
      <c r="DU180" s="8"/>
    </row>
    <row r="181" spans="1:125" s="1" customFormat="1" ht="20.100000000000001" customHeight="1" x14ac:dyDescent="0.25">
      <c r="A181" s="59" t="s">
        <v>411</v>
      </c>
      <c r="B181" s="84">
        <v>179</v>
      </c>
      <c r="C181" s="85" t="s">
        <v>184</v>
      </c>
      <c r="D181" s="60">
        <v>0</v>
      </c>
      <c r="E181" s="61">
        <f t="shared" si="24"/>
        <v>0</v>
      </c>
      <c r="F181" s="60">
        <v>0</v>
      </c>
      <c r="G181" s="61">
        <f t="shared" si="25"/>
        <v>0</v>
      </c>
      <c r="H181" s="60">
        <v>0</v>
      </c>
      <c r="I181" s="61">
        <f t="shared" si="26"/>
        <v>0</v>
      </c>
      <c r="J181" s="60">
        <v>0</v>
      </c>
      <c r="K181" s="61">
        <f t="shared" si="27"/>
        <v>0</v>
      </c>
      <c r="L181" s="62"/>
      <c r="M181" s="61">
        <f t="shared" si="28"/>
        <v>0</v>
      </c>
      <c r="N181" s="63">
        <v>0</v>
      </c>
      <c r="O181" s="61">
        <f t="shared" si="29"/>
        <v>0</v>
      </c>
      <c r="P181" s="60">
        <v>0</v>
      </c>
      <c r="Q181" s="61">
        <f t="shared" si="30"/>
        <v>0</v>
      </c>
      <c r="R181" s="60">
        <v>0</v>
      </c>
      <c r="S181" s="61">
        <f t="shared" si="31"/>
        <v>0</v>
      </c>
      <c r="T181" s="60">
        <v>0</v>
      </c>
      <c r="U181" s="64">
        <f t="shared" si="32"/>
        <v>0</v>
      </c>
      <c r="V181" s="65">
        <v>0</v>
      </c>
      <c r="W181" s="66">
        <f t="shared" si="33"/>
        <v>0</v>
      </c>
      <c r="X181" s="67">
        <f t="shared" si="34"/>
        <v>0</v>
      </c>
      <c r="Y181" s="57" t="str">
        <f t="shared" si="35"/>
        <v>NIL PLEASE PURCHASE</v>
      </c>
      <c r="Z181" s="68" t="s">
        <v>1539</v>
      </c>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c r="BU181" s="8"/>
      <c r="BV181" s="8"/>
      <c r="BW181" s="8"/>
      <c r="BX181" s="8"/>
      <c r="BY181" s="8"/>
      <c r="BZ181" s="8"/>
      <c r="CA181" s="8"/>
      <c r="CB181" s="8"/>
      <c r="CC181" s="8"/>
      <c r="CD181" s="8"/>
      <c r="CE181" s="8"/>
      <c r="CF181" s="8"/>
      <c r="CG181" s="8"/>
      <c r="CH181" s="8"/>
      <c r="CI181" s="8"/>
      <c r="CJ181" s="8"/>
      <c r="CK181" s="8"/>
      <c r="CL181" s="8"/>
      <c r="CM181" s="8"/>
      <c r="CN181" s="8"/>
      <c r="CO181" s="8"/>
      <c r="CP181" s="8"/>
      <c r="CQ181" s="8"/>
      <c r="CR181" s="8"/>
      <c r="CS181" s="8"/>
      <c r="CT181" s="8"/>
      <c r="CU181" s="8"/>
      <c r="CV181" s="8"/>
      <c r="CW181" s="8"/>
      <c r="CX181" s="8"/>
      <c r="CY181" s="8"/>
      <c r="CZ181" s="8"/>
      <c r="DA181" s="8"/>
      <c r="DB181" s="8"/>
      <c r="DC181" s="8"/>
      <c r="DD181" s="8"/>
      <c r="DE181" s="8"/>
      <c r="DF181" s="8"/>
      <c r="DG181" s="8"/>
      <c r="DH181" s="8"/>
      <c r="DI181" s="8"/>
      <c r="DJ181" s="8"/>
      <c r="DK181" s="8"/>
      <c r="DL181" s="8"/>
      <c r="DM181" s="8"/>
      <c r="DN181" s="8"/>
      <c r="DO181" s="8"/>
      <c r="DP181" s="8"/>
      <c r="DQ181" s="8"/>
      <c r="DR181" s="8"/>
      <c r="DS181" s="8"/>
      <c r="DT181" s="8"/>
      <c r="DU181" s="8"/>
    </row>
    <row r="182" spans="1:125" s="1" customFormat="1" ht="20.100000000000001" customHeight="1" x14ac:dyDescent="0.25">
      <c r="A182" s="59" t="s">
        <v>412</v>
      </c>
      <c r="B182" s="84">
        <v>180</v>
      </c>
      <c r="C182" s="85" t="s">
        <v>185</v>
      </c>
      <c r="D182" s="60">
        <v>0</v>
      </c>
      <c r="E182" s="61">
        <f t="shared" si="24"/>
        <v>0</v>
      </c>
      <c r="F182" s="60">
        <v>0</v>
      </c>
      <c r="G182" s="61">
        <f t="shared" si="25"/>
        <v>0</v>
      </c>
      <c r="H182" s="60">
        <v>0</v>
      </c>
      <c r="I182" s="61">
        <f t="shared" si="26"/>
        <v>0</v>
      </c>
      <c r="J182" s="60">
        <v>0</v>
      </c>
      <c r="K182" s="61">
        <f t="shared" si="27"/>
        <v>0</v>
      </c>
      <c r="L182" s="62"/>
      <c r="M182" s="61">
        <f t="shared" si="28"/>
        <v>0</v>
      </c>
      <c r="N182" s="63">
        <v>0</v>
      </c>
      <c r="O182" s="61">
        <f t="shared" si="29"/>
        <v>0</v>
      </c>
      <c r="P182" s="60">
        <v>0</v>
      </c>
      <c r="Q182" s="61">
        <f t="shared" si="30"/>
        <v>0</v>
      </c>
      <c r="R182" s="60">
        <v>0</v>
      </c>
      <c r="S182" s="61">
        <f t="shared" si="31"/>
        <v>0</v>
      </c>
      <c r="T182" s="60">
        <v>0</v>
      </c>
      <c r="U182" s="64">
        <f t="shared" si="32"/>
        <v>0</v>
      </c>
      <c r="V182" s="65">
        <v>0</v>
      </c>
      <c r="W182" s="66">
        <f t="shared" si="33"/>
        <v>0</v>
      </c>
      <c r="X182" s="67">
        <f t="shared" si="34"/>
        <v>0</v>
      </c>
      <c r="Y182" s="57" t="str">
        <f t="shared" si="35"/>
        <v>NIL PLEASE PURCHASE</v>
      </c>
      <c r="Z182" s="68" t="s">
        <v>1539</v>
      </c>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c r="BU182" s="8"/>
      <c r="BV182" s="8"/>
      <c r="BW182" s="8"/>
      <c r="BX182" s="8"/>
      <c r="BY182" s="8"/>
      <c r="BZ182" s="8"/>
      <c r="CA182" s="8"/>
      <c r="CB182" s="8"/>
      <c r="CC182" s="8"/>
      <c r="CD182" s="8"/>
      <c r="CE182" s="8"/>
      <c r="CF182" s="8"/>
      <c r="CG182" s="8"/>
      <c r="CH182" s="8"/>
      <c r="CI182" s="8"/>
      <c r="CJ182" s="8"/>
      <c r="CK182" s="8"/>
      <c r="CL182" s="8"/>
      <c r="CM182" s="8"/>
      <c r="CN182" s="8"/>
      <c r="CO182" s="8"/>
      <c r="CP182" s="8"/>
      <c r="CQ182" s="8"/>
      <c r="CR182" s="8"/>
      <c r="CS182" s="8"/>
      <c r="CT182" s="8"/>
      <c r="CU182" s="8"/>
      <c r="CV182" s="8"/>
      <c r="CW182" s="8"/>
      <c r="CX182" s="8"/>
      <c r="CY182" s="8"/>
      <c r="CZ182" s="8"/>
      <c r="DA182" s="8"/>
      <c r="DB182" s="8"/>
      <c r="DC182" s="8"/>
      <c r="DD182" s="8"/>
      <c r="DE182" s="8"/>
      <c r="DF182" s="8"/>
      <c r="DG182" s="8"/>
      <c r="DH182" s="8"/>
      <c r="DI182" s="8"/>
      <c r="DJ182" s="8"/>
      <c r="DK182" s="8"/>
      <c r="DL182" s="8"/>
      <c r="DM182" s="8"/>
      <c r="DN182" s="8"/>
      <c r="DO182" s="8"/>
      <c r="DP182" s="8"/>
      <c r="DQ182" s="8"/>
      <c r="DR182" s="8"/>
      <c r="DS182" s="8"/>
      <c r="DT182" s="8"/>
      <c r="DU182" s="8"/>
    </row>
    <row r="183" spans="1:125" s="1" customFormat="1" ht="20.100000000000001" customHeight="1" x14ac:dyDescent="0.25">
      <c r="A183" s="59" t="s">
        <v>413</v>
      </c>
      <c r="B183" s="84">
        <v>181</v>
      </c>
      <c r="C183" s="85" t="s">
        <v>186</v>
      </c>
      <c r="D183" s="60">
        <v>0</v>
      </c>
      <c r="E183" s="61">
        <f t="shared" si="24"/>
        <v>0</v>
      </c>
      <c r="F183" s="60">
        <v>0</v>
      </c>
      <c r="G183" s="61">
        <f t="shared" si="25"/>
        <v>0</v>
      </c>
      <c r="H183" s="60">
        <v>0</v>
      </c>
      <c r="I183" s="61">
        <f t="shared" si="26"/>
        <v>0</v>
      </c>
      <c r="J183" s="60">
        <v>0</v>
      </c>
      <c r="K183" s="61">
        <f t="shared" si="27"/>
        <v>0</v>
      </c>
      <c r="L183" s="62"/>
      <c r="M183" s="61">
        <f t="shared" si="28"/>
        <v>0</v>
      </c>
      <c r="N183" s="63">
        <v>11</v>
      </c>
      <c r="O183" s="61">
        <f t="shared" si="29"/>
        <v>5500</v>
      </c>
      <c r="P183" s="60">
        <v>0</v>
      </c>
      <c r="Q183" s="61">
        <f t="shared" si="30"/>
        <v>0</v>
      </c>
      <c r="R183" s="60">
        <v>0</v>
      </c>
      <c r="S183" s="61">
        <f t="shared" si="31"/>
        <v>0</v>
      </c>
      <c r="T183" s="60">
        <v>0</v>
      </c>
      <c r="U183" s="64">
        <f t="shared" si="32"/>
        <v>0</v>
      </c>
      <c r="V183" s="65">
        <v>0</v>
      </c>
      <c r="W183" s="66">
        <f t="shared" si="33"/>
        <v>5500</v>
      </c>
      <c r="X183" s="67">
        <f t="shared" si="34"/>
        <v>5.5</v>
      </c>
      <c r="Y183" s="57" t="str">
        <f t="shared" si="35"/>
        <v>STOCK</v>
      </c>
      <c r="Z183" s="68" t="s">
        <v>1538</v>
      </c>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c r="BU183" s="8"/>
      <c r="BV183" s="8"/>
      <c r="BW183" s="8"/>
      <c r="BX183" s="8"/>
      <c r="BY183" s="8"/>
      <c r="BZ183" s="8"/>
      <c r="CA183" s="8"/>
      <c r="CB183" s="8"/>
      <c r="CC183" s="8"/>
      <c r="CD183" s="8"/>
      <c r="CE183" s="8"/>
      <c r="CF183" s="8"/>
      <c r="CG183" s="8"/>
      <c r="CH183" s="8"/>
      <c r="CI183" s="8"/>
      <c r="CJ183" s="8"/>
      <c r="CK183" s="8"/>
      <c r="CL183" s="8"/>
      <c r="CM183" s="8"/>
      <c r="CN183" s="8"/>
      <c r="CO183" s="8"/>
      <c r="CP183" s="8"/>
      <c r="CQ183" s="8"/>
      <c r="CR183" s="8"/>
      <c r="CS183" s="8"/>
      <c r="CT183" s="8"/>
      <c r="CU183" s="8"/>
      <c r="CV183" s="8"/>
      <c r="CW183" s="8"/>
      <c r="CX183" s="8"/>
      <c r="CY183" s="8"/>
      <c r="CZ183" s="8"/>
      <c r="DA183" s="8"/>
      <c r="DB183" s="8"/>
      <c r="DC183" s="8"/>
      <c r="DD183" s="8"/>
      <c r="DE183" s="8"/>
      <c r="DF183" s="8"/>
      <c r="DG183" s="8"/>
      <c r="DH183" s="8"/>
      <c r="DI183" s="8"/>
      <c r="DJ183" s="8"/>
      <c r="DK183" s="8"/>
      <c r="DL183" s="8"/>
      <c r="DM183" s="8"/>
      <c r="DN183" s="8"/>
      <c r="DO183" s="8"/>
      <c r="DP183" s="8"/>
      <c r="DQ183" s="8"/>
      <c r="DR183" s="8"/>
      <c r="DS183" s="8"/>
      <c r="DT183" s="8"/>
      <c r="DU183" s="8"/>
    </row>
    <row r="184" spans="1:125" s="1" customFormat="1" ht="20.100000000000001" customHeight="1" x14ac:dyDescent="0.25">
      <c r="A184" s="59" t="s">
        <v>414</v>
      </c>
      <c r="B184" s="84">
        <v>182</v>
      </c>
      <c r="C184" s="85" t="s">
        <v>187</v>
      </c>
      <c r="D184" s="60">
        <v>0</v>
      </c>
      <c r="E184" s="61">
        <f t="shared" si="24"/>
        <v>0</v>
      </c>
      <c r="F184" s="60">
        <v>0</v>
      </c>
      <c r="G184" s="61">
        <f t="shared" si="25"/>
        <v>0</v>
      </c>
      <c r="H184" s="60">
        <v>0</v>
      </c>
      <c r="I184" s="61">
        <f t="shared" si="26"/>
        <v>0</v>
      </c>
      <c r="J184" s="60">
        <v>0</v>
      </c>
      <c r="K184" s="61">
        <f t="shared" si="27"/>
        <v>0</v>
      </c>
      <c r="L184" s="62"/>
      <c r="M184" s="61">
        <f t="shared" si="28"/>
        <v>0</v>
      </c>
      <c r="N184" s="63">
        <v>1</v>
      </c>
      <c r="O184" s="61">
        <f t="shared" si="29"/>
        <v>500</v>
      </c>
      <c r="P184" s="60">
        <v>0</v>
      </c>
      <c r="Q184" s="61">
        <f t="shared" si="30"/>
        <v>0</v>
      </c>
      <c r="R184" s="60">
        <v>0</v>
      </c>
      <c r="S184" s="61">
        <f t="shared" si="31"/>
        <v>0</v>
      </c>
      <c r="T184" s="60">
        <v>0</v>
      </c>
      <c r="U184" s="64">
        <f t="shared" si="32"/>
        <v>0</v>
      </c>
      <c r="V184" s="65">
        <v>0</v>
      </c>
      <c r="W184" s="66">
        <f t="shared" si="33"/>
        <v>500</v>
      </c>
      <c r="X184" s="67">
        <f t="shared" si="34"/>
        <v>0.5</v>
      </c>
      <c r="Y184" s="57" t="str">
        <f t="shared" si="35"/>
        <v>STOCK</v>
      </c>
      <c r="Z184" s="68" t="s">
        <v>1538</v>
      </c>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c r="BU184" s="8"/>
      <c r="BV184" s="8"/>
      <c r="BW184" s="8"/>
      <c r="BX184" s="8"/>
      <c r="BY184" s="8"/>
      <c r="BZ184" s="8"/>
      <c r="CA184" s="8"/>
      <c r="CB184" s="8"/>
      <c r="CC184" s="8"/>
      <c r="CD184" s="8"/>
      <c r="CE184" s="8"/>
      <c r="CF184" s="8"/>
      <c r="CG184" s="8"/>
      <c r="CH184" s="8"/>
      <c r="CI184" s="8"/>
      <c r="CJ184" s="8"/>
      <c r="CK184" s="8"/>
      <c r="CL184" s="8"/>
      <c r="CM184" s="8"/>
      <c r="CN184" s="8"/>
      <c r="CO184" s="8"/>
      <c r="CP184" s="8"/>
      <c r="CQ184" s="8"/>
      <c r="CR184" s="8"/>
      <c r="CS184" s="8"/>
      <c r="CT184" s="8"/>
      <c r="CU184" s="8"/>
      <c r="CV184" s="8"/>
      <c r="CW184" s="8"/>
      <c r="CX184" s="8"/>
      <c r="CY184" s="8"/>
      <c r="CZ184" s="8"/>
      <c r="DA184" s="8"/>
      <c r="DB184" s="8"/>
      <c r="DC184" s="8"/>
      <c r="DD184" s="8"/>
      <c r="DE184" s="8"/>
      <c r="DF184" s="8"/>
      <c r="DG184" s="8"/>
      <c r="DH184" s="8"/>
      <c r="DI184" s="8"/>
      <c r="DJ184" s="8"/>
      <c r="DK184" s="8"/>
      <c r="DL184" s="8"/>
      <c r="DM184" s="8"/>
      <c r="DN184" s="8"/>
      <c r="DO184" s="8"/>
      <c r="DP184" s="8"/>
      <c r="DQ184" s="8"/>
      <c r="DR184" s="8"/>
      <c r="DS184" s="8"/>
      <c r="DT184" s="8"/>
      <c r="DU184" s="8"/>
    </row>
    <row r="185" spans="1:125" s="1" customFormat="1" ht="20.100000000000001" customHeight="1" x14ac:dyDescent="0.25">
      <c r="A185" s="59" t="s">
        <v>415</v>
      </c>
      <c r="B185" s="84">
        <v>183</v>
      </c>
      <c r="C185" s="85" t="s">
        <v>188</v>
      </c>
      <c r="D185" s="60">
        <v>0</v>
      </c>
      <c r="E185" s="61">
        <f t="shared" si="24"/>
        <v>0</v>
      </c>
      <c r="F185" s="60">
        <v>0</v>
      </c>
      <c r="G185" s="61">
        <f t="shared" si="25"/>
        <v>0</v>
      </c>
      <c r="H185" s="60">
        <v>0</v>
      </c>
      <c r="I185" s="61">
        <f t="shared" si="26"/>
        <v>0</v>
      </c>
      <c r="J185" s="60">
        <v>0</v>
      </c>
      <c r="K185" s="61">
        <f t="shared" si="27"/>
        <v>0</v>
      </c>
      <c r="L185" s="62"/>
      <c r="M185" s="61">
        <f t="shared" si="28"/>
        <v>0</v>
      </c>
      <c r="N185" s="63">
        <v>2</v>
      </c>
      <c r="O185" s="61">
        <f t="shared" si="29"/>
        <v>1000</v>
      </c>
      <c r="P185" s="60">
        <v>0</v>
      </c>
      <c r="Q185" s="61">
        <f t="shared" si="30"/>
        <v>0</v>
      </c>
      <c r="R185" s="60">
        <v>0</v>
      </c>
      <c r="S185" s="61">
        <f t="shared" si="31"/>
        <v>0</v>
      </c>
      <c r="T185" s="60">
        <v>0</v>
      </c>
      <c r="U185" s="64">
        <f t="shared" si="32"/>
        <v>0</v>
      </c>
      <c r="V185" s="65">
        <v>0</v>
      </c>
      <c r="W185" s="66">
        <f t="shared" si="33"/>
        <v>1000</v>
      </c>
      <c r="X185" s="67">
        <f t="shared" si="34"/>
        <v>1</v>
      </c>
      <c r="Y185" s="57" t="str">
        <f t="shared" si="35"/>
        <v>STOCK</v>
      </c>
      <c r="Z185" s="68" t="s">
        <v>1538</v>
      </c>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c r="BU185" s="8"/>
      <c r="BV185" s="8"/>
      <c r="BW185" s="8"/>
      <c r="BX185" s="8"/>
      <c r="BY185" s="8"/>
      <c r="BZ185" s="8"/>
      <c r="CA185" s="8"/>
      <c r="CB185" s="8"/>
      <c r="CC185" s="8"/>
      <c r="CD185" s="8"/>
      <c r="CE185" s="8"/>
      <c r="CF185" s="8"/>
      <c r="CG185" s="8"/>
      <c r="CH185" s="8"/>
      <c r="CI185" s="8"/>
      <c r="CJ185" s="8"/>
      <c r="CK185" s="8"/>
      <c r="CL185" s="8"/>
      <c r="CM185" s="8"/>
      <c r="CN185" s="8"/>
      <c r="CO185" s="8"/>
      <c r="CP185" s="8"/>
      <c r="CQ185" s="8"/>
      <c r="CR185" s="8"/>
      <c r="CS185" s="8"/>
      <c r="CT185" s="8"/>
      <c r="CU185" s="8"/>
      <c r="CV185" s="8"/>
      <c r="CW185" s="8"/>
      <c r="CX185" s="8"/>
      <c r="CY185" s="8"/>
      <c r="CZ185" s="8"/>
      <c r="DA185" s="8"/>
      <c r="DB185" s="8"/>
      <c r="DC185" s="8"/>
      <c r="DD185" s="8"/>
      <c r="DE185" s="8"/>
      <c r="DF185" s="8"/>
      <c r="DG185" s="8"/>
      <c r="DH185" s="8"/>
      <c r="DI185" s="8"/>
      <c r="DJ185" s="8"/>
      <c r="DK185" s="8"/>
      <c r="DL185" s="8"/>
      <c r="DM185" s="8"/>
      <c r="DN185" s="8"/>
      <c r="DO185" s="8"/>
      <c r="DP185" s="8"/>
      <c r="DQ185" s="8"/>
      <c r="DR185" s="8"/>
      <c r="DS185" s="8"/>
      <c r="DT185" s="8"/>
      <c r="DU185" s="8"/>
    </row>
    <row r="186" spans="1:125" s="1" customFormat="1" ht="20.100000000000001" customHeight="1" x14ac:dyDescent="0.25">
      <c r="A186" s="59" t="s">
        <v>416</v>
      </c>
      <c r="B186" s="84">
        <v>184</v>
      </c>
      <c r="C186" s="85" t="s">
        <v>189</v>
      </c>
      <c r="D186" s="60">
        <v>0</v>
      </c>
      <c r="E186" s="61">
        <f t="shared" si="24"/>
        <v>0</v>
      </c>
      <c r="F186" s="60">
        <v>0</v>
      </c>
      <c r="G186" s="61">
        <f t="shared" si="25"/>
        <v>0</v>
      </c>
      <c r="H186" s="60">
        <v>0</v>
      </c>
      <c r="I186" s="61">
        <f t="shared" si="26"/>
        <v>0</v>
      </c>
      <c r="J186" s="60">
        <v>0</v>
      </c>
      <c r="K186" s="61">
        <f t="shared" si="27"/>
        <v>0</v>
      </c>
      <c r="L186" s="62"/>
      <c r="M186" s="61">
        <f t="shared" si="28"/>
        <v>0</v>
      </c>
      <c r="N186" s="63">
        <v>0</v>
      </c>
      <c r="O186" s="61">
        <f t="shared" si="29"/>
        <v>0</v>
      </c>
      <c r="P186" s="60">
        <v>0</v>
      </c>
      <c r="Q186" s="61">
        <f t="shared" si="30"/>
        <v>0</v>
      </c>
      <c r="R186" s="60">
        <v>0</v>
      </c>
      <c r="S186" s="61">
        <f t="shared" si="31"/>
        <v>0</v>
      </c>
      <c r="T186" s="60">
        <v>0</v>
      </c>
      <c r="U186" s="64">
        <f t="shared" si="32"/>
        <v>0</v>
      </c>
      <c r="V186" s="65">
        <v>0</v>
      </c>
      <c r="W186" s="66">
        <f t="shared" si="33"/>
        <v>0</v>
      </c>
      <c r="X186" s="67">
        <f t="shared" si="34"/>
        <v>0</v>
      </c>
      <c r="Y186" s="57" t="str">
        <f t="shared" si="35"/>
        <v>NIL PLEASE PURCHASE</v>
      </c>
      <c r="Z186" s="68" t="s">
        <v>1539</v>
      </c>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c r="BU186" s="8"/>
      <c r="BV186" s="8"/>
      <c r="BW186" s="8"/>
      <c r="BX186" s="8"/>
      <c r="BY186" s="8"/>
      <c r="BZ186" s="8"/>
      <c r="CA186" s="8"/>
      <c r="CB186" s="8"/>
      <c r="CC186" s="8"/>
      <c r="CD186" s="8"/>
      <c r="CE186" s="8"/>
      <c r="CF186" s="8"/>
      <c r="CG186" s="8"/>
      <c r="CH186" s="8"/>
      <c r="CI186" s="8"/>
      <c r="CJ186" s="8"/>
      <c r="CK186" s="8"/>
      <c r="CL186" s="8"/>
      <c r="CM186" s="8"/>
      <c r="CN186" s="8"/>
      <c r="CO186" s="8"/>
      <c r="CP186" s="8"/>
      <c r="CQ186" s="8"/>
      <c r="CR186" s="8"/>
      <c r="CS186" s="8"/>
      <c r="CT186" s="8"/>
      <c r="CU186" s="8"/>
      <c r="CV186" s="8"/>
      <c r="CW186" s="8"/>
      <c r="CX186" s="8"/>
      <c r="CY186" s="8"/>
      <c r="CZ186" s="8"/>
      <c r="DA186" s="8"/>
      <c r="DB186" s="8"/>
      <c r="DC186" s="8"/>
      <c r="DD186" s="8"/>
      <c r="DE186" s="8"/>
      <c r="DF186" s="8"/>
      <c r="DG186" s="8"/>
      <c r="DH186" s="8"/>
      <c r="DI186" s="8"/>
      <c r="DJ186" s="8"/>
      <c r="DK186" s="8"/>
      <c r="DL186" s="8"/>
      <c r="DM186" s="8"/>
      <c r="DN186" s="8"/>
      <c r="DO186" s="8"/>
      <c r="DP186" s="8"/>
      <c r="DQ186" s="8"/>
      <c r="DR186" s="8"/>
      <c r="DS186" s="8"/>
      <c r="DT186" s="8"/>
      <c r="DU186" s="8"/>
    </row>
    <row r="187" spans="1:125" s="1" customFormat="1" ht="20.100000000000001" customHeight="1" x14ac:dyDescent="0.25">
      <c r="A187" s="59" t="s">
        <v>417</v>
      </c>
      <c r="B187" s="84">
        <v>185</v>
      </c>
      <c r="C187" s="85" t="s">
        <v>190</v>
      </c>
      <c r="D187" s="60">
        <v>0</v>
      </c>
      <c r="E187" s="61">
        <f t="shared" si="24"/>
        <v>0</v>
      </c>
      <c r="F187" s="60">
        <v>0</v>
      </c>
      <c r="G187" s="61">
        <f t="shared" si="25"/>
        <v>0</v>
      </c>
      <c r="H187" s="60">
        <v>0</v>
      </c>
      <c r="I187" s="61">
        <f t="shared" si="26"/>
        <v>0</v>
      </c>
      <c r="J187" s="60">
        <v>0</v>
      </c>
      <c r="K187" s="61">
        <f t="shared" si="27"/>
        <v>0</v>
      </c>
      <c r="L187" s="62"/>
      <c r="M187" s="61">
        <f t="shared" si="28"/>
        <v>0</v>
      </c>
      <c r="N187" s="63">
        <v>2</v>
      </c>
      <c r="O187" s="61">
        <f t="shared" si="29"/>
        <v>1000</v>
      </c>
      <c r="P187" s="60">
        <v>0</v>
      </c>
      <c r="Q187" s="61">
        <f t="shared" si="30"/>
        <v>0</v>
      </c>
      <c r="R187" s="60">
        <v>0</v>
      </c>
      <c r="S187" s="61">
        <f t="shared" si="31"/>
        <v>0</v>
      </c>
      <c r="T187" s="60">
        <v>0</v>
      </c>
      <c r="U187" s="64">
        <f t="shared" si="32"/>
        <v>0</v>
      </c>
      <c r="V187" s="65">
        <v>0</v>
      </c>
      <c r="W187" s="66">
        <f t="shared" si="33"/>
        <v>1000</v>
      </c>
      <c r="X187" s="67">
        <f t="shared" si="34"/>
        <v>1</v>
      </c>
      <c r="Y187" s="57" t="str">
        <f t="shared" si="35"/>
        <v>STOCK</v>
      </c>
      <c r="Z187" s="68" t="s">
        <v>1538</v>
      </c>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c r="BU187" s="8"/>
      <c r="BV187" s="8"/>
      <c r="BW187" s="8"/>
      <c r="BX187" s="8"/>
      <c r="BY187" s="8"/>
      <c r="BZ187" s="8"/>
      <c r="CA187" s="8"/>
      <c r="CB187" s="8"/>
      <c r="CC187" s="8"/>
      <c r="CD187" s="8"/>
      <c r="CE187" s="8"/>
      <c r="CF187" s="8"/>
      <c r="CG187" s="8"/>
      <c r="CH187" s="8"/>
      <c r="CI187" s="8"/>
      <c r="CJ187" s="8"/>
      <c r="CK187" s="8"/>
      <c r="CL187" s="8"/>
      <c r="CM187" s="8"/>
      <c r="CN187" s="8"/>
      <c r="CO187" s="8"/>
      <c r="CP187" s="8"/>
      <c r="CQ187" s="8"/>
      <c r="CR187" s="8"/>
      <c r="CS187" s="8"/>
      <c r="CT187" s="8"/>
      <c r="CU187" s="8"/>
      <c r="CV187" s="8"/>
      <c r="CW187" s="8"/>
      <c r="CX187" s="8"/>
      <c r="CY187" s="8"/>
      <c r="CZ187" s="8"/>
      <c r="DA187" s="8"/>
      <c r="DB187" s="8"/>
      <c r="DC187" s="8"/>
      <c r="DD187" s="8"/>
      <c r="DE187" s="8"/>
      <c r="DF187" s="8"/>
      <c r="DG187" s="8"/>
      <c r="DH187" s="8"/>
      <c r="DI187" s="8"/>
      <c r="DJ187" s="8"/>
      <c r="DK187" s="8"/>
      <c r="DL187" s="8"/>
      <c r="DM187" s="8"/>
      <c r="DN187" s="8"/>
      <c r="DO187" s="8"/>
      <c r="DP187" s="8"/>
      <c r="DQ187" s="8"/>
      <c r="DR187" s="8"/>
      <c r="DS187" s="8"/>
      <c r="DT187" s="8"/>
      <c r="DU187" s="8"/>
    </row>
    <row r="188" spans="1:125" s="1" customFormat="1" ht="20.100000000000001" customHeight="1" x14ac:dyDescent="0.25">
      <c r="A188" s="59" t="s">
        <v>418</v>
      </c>
      <c r="B188" s="84">
        <v>186</v>
      </c>
      <c r="C188" s="85" t="s">
        <v>192</v>
      </c>
      <c r="D188" s="60">
        <v>0</v>
      </c>
      <c r="E188" s="61">
        <f t="shared" si="24"/>
        <v>0</v>
      </c>
      <c r="F188" s="60">
        <v>0</v>
      </c>
      <c r="G188" s="61">
        <f t="shared" si="25"/>
        <v>0</v>
      </c>
      <c r="H188" s="60">
        <v>0</v>
      </c>
      <c r="I188" s="61">
        <f t="shared" si="26"/>
        <v>0</v>
      </c>
      <c r="J188" s="60">
        <v>0</v>
      </c>
      <c r="K188" s="61">
        <f t="shared" si="27"/>
        <v>0</v>
      </c>
      <c r="L188" s="62"/>
      <c r="M188" s="61">
        <f t="shared" si="28"/>
        <v>0</v>
      </c>
      <c r="N188" s="63">
        <v>0</v>
      </c>
      <c r="O188" s="61">
        <f t="shared" si="29"/>
        <v>0</v>
      </c>
      <c r="P188" s="60">
        <v>0</v>
      </c>
      <c r="Q188" s="61">
        <f t="shared" si="30"/>
        <v>0</v>
      </c>
      <c r="R188" s="60">
        <v>0</v>
      </c>
      <c r="S188" s="61">
        <f t="shared" si="31"/>
        <v>0</v>
      </c>
      <c r="T188" s="60">
        <v>0</v>
      </c>
      <c r="U188" s="64">
        <f t="shared" si="32"/>
        <v>0</v>
      </c>
      <c r="V188" s="65">
        <v>0</v>
      </c>
      <c r="W188" s="66">
        <f t="shared" si="33"/>
        <v>0</v>
      </c>
      <c r="X188" s="67">
        <f t="shared" si="34"/>
        <v>0</v>
      </c>
      <c r="Y188" s="57" t="str">
        <f t="shared" si="35"/>
        <v>NIL PLEASE PURCHASE</v>
      </c>
      <c r="Z188" s="68" t="s">
        <v>1539</v>
      </c>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c r="BU188" s="8"/>
      <c r="BV188" s="8"/>
      <c r="BW188" s="8"/>
      <c r="BX188" s="8"/>
      <c r="BY188" s="8"/>
      <c r="BZ188" s="8"/>
      <c r="CA188" s="8"/>
      <c r="CB188" s="8"/>
      <c r="CC188" s="8"/>
      <c r="CD188" s="8"/>
      <c r="CE188" s="8"/>
      <c r="CF188" s="8"/>
      <c r="CG188" s="8"/>
      <c r="CH188" s="8"/>
      <c r="CI188" s="8"/>
      <c r="CJ188" s="8"/>
      <c r="CK188" s="8"/>
      <c r="CL188" s="8"/>
      <c r="CM188" s="8"/>
      <c r="CN188" s="8"/>
      <c r="CO188" s="8"/>
      <c r="CP188" s="8"/>
      <c r="CQ188" s="8"/>
      <c r="CR188" s="8"/>
      <c r="CS188" s="8"/>
      <c r="CT188" s="8"/>
      <c r="CU188" s="8"/>
      <c r="CV188" s="8"/>
      <c r="CW188" s="8"/>
      <c r="CX188" s="8"/>
      <c r="CY188" s="8"/>
      <c r="CZ188" s="8"/>
      <c r="DA188" s="8"/>
      <c r="DB188" s="8"/>
      <c r="DC188" s="8"/>
      <c r="DD188" s="8"/>
      <c r="DE188" s="8"/>
      <c r="DF188" s="8"/>
      <c r="DG188" s="8"/>
      <c r="DH188" s="8"/>
      <c r="DI188" s="8"/>
      <c r="DJ188" s="8"/>
      <c r="DK188" s="8"/>
      <c r="DL188" s="8"/>
      <c r="DM188" s="8"/>
      <c r="DN188" s="8"/>
      <c r="DO188" s="8"/>
      <c r="DP188" s="8"/>
      <c r="DQ188" s="8"/>
      <c r="DR188" s="8"/>
      <c r="DS188" s="8"/>
      <c r="DT188" s="8"/>
      <c r="DU188" s="8"/>
    </row>
    <row r="189" spans="1:125" s="1" customFormat="1" ht="20.100000000000001" customHeight="1" x14ac:dyDescent="0.25">
      <c r="A189" s="59" t="s">
        <v>419</v>
      </c>
      <c r="B189" s="84">
        <v>187</v>
      </c>
      <c r="C189" s="85" t="s">
        <v>191</v>
      </c>
      <c r="D189" s="60">
        <v>0</v>
      </c>
      <c r="E189" s="61">
        <f t="shared" si="24"/>
        <v>0</v>
      </c>
      <c r="F189" s="60">
        <v>0</v>
      </c>
      <c r="G189" s="61">
        <f t="shared" si="25"/>
        <v>0</v>
      </c>
      <c r="H189" s="60">
        <v>0</v>
      </c>
      <c r="I189" s="61">
        <f t="shared" si="26"/>
        <v>0</v>
      </c>
      <c r="J189" s="60">
        <v>0</v>
      </c>
      <c r="K189" s="61">
        <f t="shared" si="27"/>
        <v>0</v>
      </c>
      <c r="L189" s="62"/>
      <c r="M189" s="61">
        <f t="shared" si="28"/>
        <v>0</v>
      </c>
      <c r="N189" s="63">
        <v>3</v>
      </c>
      <c r="O189" s="61">
        <f t="shared" si="29"/>
        <v>1500</v>
      </c>
      <c r="P189" s="60">
        <v>0</v>
      </c>
      <c r="Q189" s="61">
        <f t="shared" si="30"/>
        <v>0</v>
      </c>
      <c r="R189" s="60">
        <v>0</v>
      </c>
      <c r="S189" s="61">
        <f t="shared" si="31"/>
        <v>0</v>
      </c>
      <c r="T189" s="60">
        <v>0</v>
      </c>
      <c r="U189" s="64">
        <f t="shared" si="32"/>
        <v>0</v>
      </c>
      <c r="V189" s="65">
        <v>0</v>
      </c>
      <c r="W189" s="66">
        <f t="shared" si="33"/>
        <v>1500</v>
      </c>
      <c r="X189" s="67">
        <f t="shared" si="34"/>
        <v>1.5</v>
      </c>
      <c r="Y189" s="57" t="str">
        <f t="shared" si="35"/>
        <v>STOCK</v>
      </c>
      <c r="Z189" s="68" t="s">
        <v>1538</v>
      </c>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c r="BU189" s="8"/>
      <c r="BV189" s="8"/>
      <c r="BW189" s="8"/>
      <c r="BX189" s="8"/>
      <c r="BY189" s="8"/>
      <c r="BZ189" s="8"/>
      <c r="CA189" s="8"/>
      <c r="CB189" s="8"/>
      <c r="CC189" s="8"/>
      <c r="CD189" s="8"/>
      <c r="CE189" s="8"/>
      <c r="CF189" s="8"/>
      <c r="CG189" s="8"/>
      <c r="CH189" s="8"/>
      <c r="CI189" s="8"/>
      <c r="CJ189" s="8"/>
      <c r="CK189" s="8"/>
      <c r="CL189" s="8"/>
      <c r="CM189" s="8"/>
      <c r="CN189" s="8"/>
      <c r="CO189" s="8"/>
      <c r="CP189" s="8"/>
      <c r="CQ189" s="8"/>
      <c r="CR189" s="8"/>
      <c r="CS189" s="8"/>
      <c r="CT189" s="8"/>
      <c r="CU189" s="8"/>
      <c r="CV189" s="8"/>
      <c r="CW189" s="8"/>
      <c r="CX189" s="8"/>
      <c r="CY189" s="8"/>
      <c r="CZ189" s="8"/>
      <c r="DA189" s="8"/>
      <c r="DB189" s="8"/>
      <c r="DC189" s="8"/>
      <c r="DD189" s="8"/>
      <c r="DE189" s="8"/>
      <c r="DF189" s="8"/>
      <c r="DG189" s="8"/>
      <c r="DH189" s="8"/>
      <c r="DI189" s="8"/>
      <c r="DJ189" s="8"/>
      <c r="DK189" s="8"/>
      <c r="DL189" s="8"/>
      <c r="DM189" s="8"/>
      <c r="DN189" s="8"/>
      <c r="DO189" s="8"/>
      <c r="DP189" s="8"/>
      <c r="DQ189" s="8"/>
      <c r="DR189" s="8"/>
      <c r="DS189" s="8"/>
      <c r="DT189" s="8"/>
      <c r="DU189" s="8"/>
    </row>
    <row r="190" spans="1:125" s="1" customFormat="1" ht="20.100000000000001" customHeight="1" x14ac:dyDescent="0.25">
      <c r="A190" s="59" t="s">
        <v>420</v>
      </c>
      <c r="B190" s="84">
        <v>188</v>
      </c>
      <c r="C190" s="85" t="s">
        <v>193</v>
      </c>
      <c r="D190" s="60">
        <v>0</v>
      </c>
      <c r="E190" s="61">
        <f t="shared" si="24"/>
        <v>0</v>
      </c>
      <c r="F190" s="60">
        <v>0</v>
      </c>
      <c r="G190" s="61">
        <f t="shared" si="25"/>
        <v>0</v>
      </c>
      <c r="H190" s="60">
        <v>0</v>
      </c>
      <c r="I190" s="61">
        <f t="shared" si="26"/>
        <v>0</v>
      </c>
      <c r="J190" s="60">
        <v>0</v>
      </c>
      <c r="K190" s="61">
        <f t="shared" si="27"/>
        <v>0</v>
      </c>
      <c r="L190" s="62"/>
      <c r="M190" s="61">
        <f t="shared" si="28"/>
        <v>0</v>
      </c>
      <c r="N190" s="63">
        <v>1</v>
      </c>
      <c r="O190" s="61">
        <f t="shared" si="29"/>
        <v>500</v>
      </c>
      <c r="P190" s="60">
        <v>0</v>
      </c>
      <c r="Q190" s="61">
        <f t="shared" si="30"/>
        <v>0</v>
      </c>
      <c r="R190" s="60">
        <v>0</v>
      </c>
      <c r="S190" s="61">
        <f t="shared" si="31"/>
        <v>0</v>
      </c>
      <c r="T190" s="60">
        <v>0</v>
      </c>
      <c r="U190" s="64">
        <f t="shared" si="32"/>
        <v>0</v>
      </c>
      <c r="V190" s="65">
        <v>0</v>
      </c>
      <c r="W190" s="66">
        <f t="shared" si="33"/>
        <v>500</v>
      </c>
      <c r="X190" s="67">
        <f t="shared" si="34"/>
        <v>0.5</v>
      </c>
      <c r="Y190" s="57" t="str">
        <f t="shared" si="35"/>
        <v>STOCK</v>
      </c>
      <c r="Z190" s="68" t="s">
        <v>1538</v>
      </c>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c r="BU190" s="8"/>
      <c r="BV190" s="8"/>
      <c r="BW190" s="8"/>
      <c r="BX190" s="8"/>
      <c r="BY190" s="8"/>
      <c r="BZ190" s="8"/>
      <c r="CA190" s="8"/>
      <c r="CB190" s="8"/>
      <c r="CC190" s="8"/>
      <c r="CD190" s="8"/>
      <c r="CE190" s="8"/>
      <c r="CF190" s="8"/>
      <c r="CG190" s="8"/>
      <c r="CH190" s="8"/>
      <c r="CI190" s="8"/>
      <c r="CJ190" s="8"/>
      <c r="CK190" s="8"/>
      <c r="CL190" s="8"/>
      <c r="CM190" s="8"/>
      <c r="CN190" s="8"/>
      <c r="CO190" s="8"/>
      <c r="CP190" s="8"/>
      <c r="CQ190" s="8"/>
      <c r="CR190" s="8"/>
      <c r="CS190" s="8"/>
      <c r="CT190" s="8"/>
      <c r="CU190" s="8"/>
      <c r="CV190" s="8"/>
      <c r="CW190" s="8"/>
      <c r="CX190" s="8"/>
      <c r="CY190" s="8"/>
      <c r="CZ190" s="8"/>
      <c r="DA190" s="8"/>
      <c r="DB190" s="8"/>
      <c r="DC190" s="8"/>
      <c r="DD190" s="8"/>
      <c r="DE190" s="8"/>
      <c r="DF190" s="8"/>
      <c r="DG190" s="8"/>
      <c r="DH190" s="8"/>
      <c r="DI190" s="8"/>
      <c r="DJ190" s="8"/>
      <c r="DK190" s="8"/>
      <c r="DL190" s="8"/>
      <c r="DM190" s="8"/>
      <c r="DN190" s="8"/>
      <c r="DO190" s="8"/>
      <c r="DP190" s="8"/>
      <c r="DQ190" s="8"/>
      <c r="DR190" s="8"/>
      <c r="DS190" s="8"/>
      <c r="DT190" s="8"/>
      <c r="DU190" s="8"/>
    </row>
    <row r="191" spans="1:125" s="1" customFormat="1" ht="20.100000000000001" customHeight="1" x14ac:dyDescent="0.25">
      <c r="A191" s="59" t="s">
        <v>421</v>
      </c>
      <c r="B191" s="84">
        <v>189</v>
      </c>
      <c r="C191" s="85" t="s">
        <v>194</v>
      </c>
      <c r="D191" s="60">
        <v>0</v>
      </c>
      <c r="E191" s="61">
        <f t="shared" si="24"/>
        <v>0</v>
      </c>
      <c r="F191" s="60">
        <v>0</v>
      </c>
      <c r="G191" s="61">
        <f t="shared" si="25"/>
        <v>0</v>
      </c>
      <c r="H191" s="60">
        <v>0</v>
      </c>
      <c r="I191" s="61">
        <f t="shared" si="26"/>
        <v>0</v>
      </c>
      <c r="J191" s="60">
        <v>0</v>
      </c>
      <c r="K191" s="61">
        <f t="shared" si="27"/>
        <v>0</v>
      </c>
      <c r="L191" s="62"/>
      <c r="M191" s="61">
        <f t="shared" si="28"/>
        <v>0</v>
      </c>
      <c r="N191" s="63">
        <v>3</v>
      </c>
      <c r="O191" s="61">
        <f t="shared" si="29"/>
        <v>1500</v>
      </c>
      <c r="P191" s="60">
        <v>0</v>
      </c>
      <c r="Q191" s="61">
        <f t="shared" si="30"/>
        <v>0</v>
      </c>
      <c r="R191" s="60">
        <v>0</v>
      </c>
      <c r="S191" s="61">
        <f t="shared" si="31"/>
        <v>0</v>
      </c>
      <c r="T191" s="60">
        <v>0</v>
      </c>
      <c r="U191" s="64">
        <f t="shared" si="32"/>
        <v>0</v>
      </c>
      <c r="V191" s="65">
        <v>0</v>
      </c>
      <c r="W191" s="66">
        <f t="shared" si="33"/>
        <v>1500</v>
      </c>
      <c r="X191" s="67">
        <f t="shared" si="34"/>
        <v>1.5</v>
      </c>
      <c r="Y191" s="57" t="str">
        <f t="shared" si="35"/>
        <v>STOCK</v>
      </c>
      <c r="Z191" s="68" t="s">
        <v>1538</v>
      </c>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c r="BU191" s="8"/>
      <c r="BV191" s="8"/>
      <c r="BW191" s="8"/>
      <c r="BX191" s="8"/>
      <c r="BY191" s="8"/>
      <c r="BZ191" s="8"/>
      <c r="CA191" s="8"/>
      <c r="CB191" s="8"/>
      <c r="CC191" s="8"/>
      <c r="CD191" s="8"/>
      <c r="CE191" s="8"/>
      <c r="CF191" s="8"/>
      <c r="CG191" s="8"/>
      <c r="CH191" s="8"/>
      <c r="CI191" s="8"/>
      <c r="CJ191" s="8"/>
      <c r="CK191" s="8"/>
      <c r="CL191" s="8"/>
      <c r="CM191" s="8"/>
      <c r="CN191" s="8"/>
      <c r="CO191" s="8"/>
      <c r="CP191" s="8"/>
      <c r="CQ191" s="8"/>
      <c r="CR191" s="8"/>
      <c r="CS191" s="8"/>
      <c r="CT191" s="8"/>
      <c r="CU191" s="8"/>
      <c r="CV191" s="8"/>
      <c r="CW191" s="8"/>
      <c r="CX191" s="8"/>
      <c r="CY191" s="8"/>
      <c r="CZ191" s="8"/>
      <c r="DA191" s="8"/>
      <c r="DB191" s="8"/>
      <c r="DC191" s="8"/>
      <c r="DD191" s="8"/>
      <c r="DE191" s="8"/>
      <c r="DF191" s="8"/>
      <c r="DG191" s="8"/>
      <c r="DH191" s="8"/>
      <c r="DI191" s="8"/>
      <c r="DJ191" s="8"/>
      <c r="DK191" s="8"/>
      <c r="DL191" s="8"/>
      <c r="DM191" s="8"/>
      <c r="DN191" s="8"/>
      <c r="DO191" s="8"/>
      <c r="DP191" s="8"/>
      <c r="DQ191" s="8"/>
      <c r="DR191" s="8"/>
      <c r="DS191" s="8"/>
      <c r="DT191" s="8"/>
      <c r="DU191" s="8"/>
    </row>
    <row r="192" spans="1:125" s="1" customFormat="1" ht="20.100000000000001" customHeight="1" x14ac:dyDescent="0.25">
      <c r="A192" s="59" t="s">
        <v>422</v>
      </c>
      <c r="B192" s="84">
        <v>190</v>
      </c>
      <c r="C192" s="85" t="s">
        <v>195</v>
      </c>
      <c r="D192" s="60">
        <v>0</v>
      </c>
      <c r="E192" s="61">
        <f t="shared" si="24"/>
        <v>0</v>
      </c>
      <c r="F192" s="60">
        <v>0</v>
      </c>
      <c r="G192" s="61">
        <f t="shared" si="25"/>
        <v>0</v>
      </c>
      <c r="H192" s="60">
        <v>0</v>
      </c>
      <c r="I192" s="61">
        <f t="shared" si="26"/>
        <v>0</v>
      </c>
      <c r="J192" s="60">
        <v>0</v>
      </c>
      <c r="K192" s="61">
        <f t="shared" si="27"/>
        <v>0</v>
      </c>
      <c r="L192" s="62">
        <v>1</v>
      </c>
      <c r="M192" s="61">
        <f t="shared" si="28"/>
        <v>250</v>
      </c>
      <c r="N192" s="63">
        <v>0</v>
      </c>
      <c r="O192" s="61">
        <f t="shared" si="29"/>
        <v>0</v>
      </c>
      <c r="P192" s="60">
        <v>0</v>
      </c>
      <c r="Q192" s="61">
        <f t="shared" si="30"/>
        <v>0</v>
      </c>
      <c r="R192" s="60">
        <v>0</v>
      </c>
      <c r="S192" s="61">
        <f t="shared" si="31"/>
        <v>0</v>
      </c>
      <c r="T192" s="60">
        <v>0</v>
      </c>
      <c r="U192" s="64">
        <f t="shared" si="32"/>
        <v>0</v>
      </c>
      <c r="V192" s="65">
        <v>0</v>
      </c>
      <c r="W192" s="66">
        <f t="shared" si="33"/>
        <v>250</v>
      </c>
      <c r="X192" s="67">
        <f t="shared" si="34"/>
        <v>0.25</v>
      </c>
      <c r="Y192" s="57" t="str">
        <f t="shared" si="35"/>
        <v>STOCK</v>
      </c>
      <c r="Z192" s="68" t="s">
        <v>1538</v>
      </c>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c r="BU192" s="8"/>
      <c r="BV192" s="8"/>
      <c r="BW192" s="8"/>
      <c r="BX192" s="8"/>
      <c r="BY192" s="8"/>
      <c r="BZ192" s="8"/>
      <c r="CA192" s="8"/>
      <c r="CB192" s="8"/>
      <c r="CC192" s="8"/>
      <c r="CD192" s="8"/>
      <c r="CE192" s="8"/>
      <c r="CF192" s="8"/>
      <c r="CG192" s="8"/>
      <c r="CH192" s="8"/>
      <c r="CI192" s="8"/>
      <c r="CJ192" s="8"/>
      <c r="CK192" s="8"/>
      <c r="CL192" s="8"/>
      <c r="CM192" s="8"/>
      <c r="CN192" s="8"/>
      <c r="CO192" s="8"/>
      <c r="CP192" s="8"/>
      <c r="CQ192" s="8"/>
      <c r="CR192" s="8"/>
      <c r="CS192" s="8"/>
      <c r="CT192" s="8"/>
      <c r="CU192" s="8"/>
      <c r="CV192" s="8"/>
      <c r="CW192" s="8"/>
      <c r="CX192" s="8"/>
      <c r="CY192" s="8"/>
      <c r="CZ192" s="8"/>
      <c r="DA192" s="8"/>
      <c r="DB192" s="8"/>
      <c r="DC192" s="8"/>
      <c r="DD192" s="8"/>
      <c r="DE192" s="8"/>
      <c r="DF192" s="8"/>
      <c r="DG192" s="8"/>
      <c r="DH192" s="8"/>
      <c r="DI192" s="8"/>
      <c r="DJ192" s="8"/>
      <c r="DK192" s="8"/>
      <c r="DL192" s="8"/>
      <c r="DM192" s="8"/>
      <c r="DN192" s="8"/>
      <c r="DO192" s="8"/>
      <c r="DP192" s="8"/>
      <c r="DQ192" s="8"/>
      <c r="DR192" s="8"/>
      <c r="DS192" s="8"/>
      <c r="DT192" s="8"/>
      <c r="DU192" s="8"/>
    </row>
    <row r="193" spans="1:125" s="1" customFormat="1" ht="20.100000000000001" customHeight="1" x14ac:dyDescent="0.25">
      <c r="A193" s="59" t="s">
        <v>423</v>
      </c>
      <c r="B193" s="84">
        <v>191</v>
      </c>
      <c r="C193" s="85" t="s">
        <v>196</v>
      </c>
      <c r="D193" s="60">
        <v>0</v>
      </c>
      <c r="E193" s="61">
        <f t="shared" si="24"/>
        <v>0</v>
      </c>
      <c r="F193" s="60">
        <v>0</v>
      </c>
      <c r="G193" s="61">
        <f t="shared" si="25"/>
        <v>0</v>
      </c>
      <c r="H193" s="60">
        <v>0</v>
      </c>
      <c r="I193" s="61">
        <f t="shared" si="26"/>
        <v>0</v>
      </c>
      <c r="J193" s="60">
        <v>9</v>
      </c>
      <c r="K193" s="61">
        <f t="shared" si="27"/>
        <v>900</v>
      </c>
      <c r="L193" s="62">
        <v>1</v>
      </c>
      <c r="M193" s="61">
        <f t="shared" si="28"/>
        <v>250</v>
      </c>
      <c r="N193" s="63">
        <v>0</v>
      </c>
      <c r="O193" s="61">
        <f t="shared" si="29"/>
        <v>0</v>
      </c>
      <c r="P193" s="60">
        <v>0</v>
      </c>
      <c r="Q193" s="61">
        <f t="shared" si="30"/>
        <v>0</v>
      </c>
      <c r="R193" s="60">
        <v>0</v>
      </c>
      <c r="S193" s="61">
        <f t="shared" si="31"/>
        <v>0</v>
      </c>
      <c r="T193" s="60">
        <v>0</v>
      </c>
      <c r="U193" s="64">
        <f t="shared" si="32"/>
        <v>0</v>
      </c>
      <c r="V193" s="65">
        <v>0</v>
      </c>
      <c r="W193" s="66">
        <f t="shared" si="33"/>
        <v>1150</v>
      </c>
      <c r="X193" s="67">
        <f t="shared" si="34"/>
        <v>1.1499999999999999</v>
      </c>
      <c r="Y193" s="57" t="str">
        <f t="shared" si="35"/>
        <v>STOCK</v>
      </c>
      <c r="Z193" s="68" t="s">
        <v>1538</v>
      </c>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c r="BU193" s="8"/>
      <c r="BV193" s="8"/>
      <c r="BW193" s="8"/>
      <c r="BX193" s="8"/>
      <c r="BY193" s="8"/>
      <c r="BZ193" s="8"/>
      <c r="CA193" s="8"/>
      <c r="CB193" s="8"/>
      <c r="CC193" s="8"/>
      <c r="CD193" s="8"/>
      <c r="CE193" s="8"/>
      <c r="CF193" s="8"/>
      <c r="CG193" s="8"/>
      <c r="CH193" s="8"/>
      <c r="CI193" s="8"/>
      <c r="CJ193" s="8"/>
      <c r="CK193" s="8"/>
      <c r="CL193" s="8"/>
      <c r="CM193" s="8"/>
      <c r="CN193" s="8"/>
      <c r="CO193" s="8"/>
      <c r="CP193" s="8"/>
      <c r="CQ193" s="8"/>
      <c r="CR193" s="8"/>
      <c r="CS193" s="8"/>
      <c r="CT193" s="8"/>
      <c r="CU193" s="8"/>
      <c r="CV193" s="8"/>
      <c r="CW193" s="8"/>
      <c r="CX193" s="8"/>
      <c r="CY193" s="8"/>
      <c r="CZ193" s="8"/>
      <c r="DA193" s="8"/>
      <c r="DB193" s="8"/>
      <c r="DC193" s="8"/>
      <c r="DD193" s="8"/>
      <c r="DE193" s="8"/>
      <c r="DF193" s="8"/>
      <c r="DG193" s="8"/>
      <c r="DH193" s="8"/>
      <c r="DI193" s="8"/>
      <c r="DJ193" s="8"/>
      <c r="DK193" s="8"/>
      <c r="DL193" s="8"/>
      <c r="DM193" s="8"/>
      <c r="DN193" s="8"/>
      <c r="DO193" s="8"/>
      <c r="DP193" s="8"/>
      <c r="DQ193" s="8"/>
      <c r="DR193" s="8"/>
      <c r="DS193" s="8"/>
      <c r="DT193" s="8"/>
      <c r="DU193" s="8"/>
    </row>
    <row r="194" spans="1:125" s="1" customFormat="1" ht="20.100000000000001" customHeight="1" x14ac:dyDescent="0.25">
      <c r="A194" s="59" t="s">
        <v>424</v>
      </c>
      <c r="B194" s="84">
        <v>192</v>
      </c>
      <c r="C194" s="85" t="s">
        <v>1540</v>
      </c>
      <c r="D194" s="60">
        <v>0</v>
      </c>
      <c r="E194" s="61">
        <f t="shared" si="24"/>
        <v>0</v>
      </c>
      <c r="F194" s="60">
        <v>0</v>
      </c>
      <c r="G194" s="61">
        <f t="shared" si="25"/>
        <v>0</v>
      </c>
      <c r="H194" s="60">
        <v>0</v>
      </c>
      <c r="I194" s="61">
        <f t="shared" si="26"/>
        <v>0</v>
      </c>
      <c r="J194" s="60">
        <v>0</v>
      </c>
      <c r="K194" s="61">
        <f t="shared" si="27"/>
        <v>0</v>
      </c>
      <c r="L194" s="62"/>
      <c r="M194" s="61">
        <f t="shared" si="28"/>
        <v>0</v>
      </c>
      <c r="N194" s="63">
        <v>3</v>
      </c>
      <c r="O194" s="61">
        <f t="shared" si="29"/>
        <v>1500</v>
      </c>
      <c r="P194" s="60">
        <v>0</v>
      </c>
      <c r="Q194" s="61">
        <f t="shared" si="30"/>
        <v>0</v>
      </c>
      <c r="R194" s="60">
        <v>0</v>
      </c>
      <c r="S194" s="61">
        <f t="shared" si="31"/>
        <v>0</v>
      </c>
      <c r="T194" s="60">
        <v>0</v>
      </c>
      <c r="U194" s="64">
        <f t="shared" si="32"/>
        <v>0</v>
      </c>
      <c r="V194" s="65">
        <v>0</v>
      </c>
      <c r="W194" s="66">
        <f t="shared" si="33"/>
        <v>1500</v>
      </c>
      <c r="X194" s="67">
        <f t="shared" si="34"/>
        <v>1.5</v>
      </c>
      <c r="Y194" s="57" t="str">
        <f t="shared" si="35"/>
        <v>STOCK</v>
      </c>
      <c r="Z194" s="68" t="s">
        <v>1538</v>
      </c>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c r="BU194" s="8"/>
      <c r="BV194" s="8"/>
      <c r="BW194" s="8"/>
      <c r="BX194" s="8"/>
      <c r="BY194" s="8"/>
      <c r="BZ194" s="8"/>
      <c r="CA194" s="8"/>
      <c r="CB194" s="8"/>
      <c r="CC194" s="8"/>
      <c r="CD194" s="8"/>
      <c r="CE194" s="8"/>
      <c r="CF194" s="8"/>
      <c r="CG194" s="8"/>
      <c r="CH194" s="8"/>
      <c r="CI194" s="8"/>
      <c r="CJ194" s="8"/>
      <c r="CK194" s="8"/>
      <c r="CL194" s="8"/>
      <c r="CM194" s="8"/>
      <c r="CN194" s="8"/>
      <c r="CO194" s="8"/>
      <c r="CP194" s="8"/>
      <c r="CQ194" s="8"/>
      <c r="CR194" s="8"/>
      <c r="CS194" s="8"/>
      <c r="CT194" s="8"/>
      <c r="CU194" s="8"/>
      <c r="CV194" s="8"/>
      <c r="CW194" s="8"/>
      <c r="CX194" s="8"/>
      <c r="CY194" s="8"/>
      <c r="CZ194" s="8"/>
      <c r="DA194" s="8"/>
      <c r="DB194" s="8"/>
      <c r="DC194" s="8"/>
      <c r="DD194" s="8"/>
      <c r="DE194" s="8"/>
      <c r="DF194" s="8"/>
      <c r="DG194" s="8"/>
      <c r="DH194" s="8"/>
      <c r="DI194" s="8"/>
      <c r="DJ194" s="8"/>
      <c r="DK194" s="8"/>
      <c r="DL194" s="8"/>
      <c r="DM194" s="8"/>
      <c r="DN194" s="8"/>
      <c r="DO194" s="8"/>
      <c r="DP194" s="8"/>
      <c r="DQ194" s="8"/>
      <c r="DR194" s="8"/>
      <c r="DS194" s="8"/>
      <c r="DT194" s="8"/>
      <c r="DU194" s="8"/>
    </row>
    <row r="195" spans="1:125" s="1" customFormat="1" ht="20.100000000000001" customHeight="1" x14ac:dyDescent="0.25">
      <c r="A195" s="59" t="s">
        <v>425</v>
      </c>
      <c r="B195" s="84">
        <v>193</v>
      </c>
      <c r="C195" s="85" t="s">
        <v>197</v>
      </c>
      <c r="D195" s="60">
        <v>0</v>
      </c>
      <c r="E195" s="61">
        <f t="shared" si="24"/>
        <v>0</v>
      </c>
      <c r="F195" s="60">
        <v>0</v>
      </c>
      <c r="G195" s="61">
        <f t="shared" si="25"/>
        <v>0</v>
      </c>
      <c r="H195" s="60">
        <v>0</v>
      </c>
      <c r="I195" s="61">
        <f t="shared" si="26"/>
        <v>0</v>
      </c>
      <c r="J195" s="60">
        <v>0</v>
      </c>
      <c r="K195" s="61">
        <f t="shared" si="27"/>
        <v>0</v>
      </c>
      <c r="L195" s="62"/>
      <c r="M195" s="61">
        <f t="shared" si="28"/>
        <v>0</v>
      </c>
      <c r="N195" s="63">
        <v>1</v>
      </c>
      <c r="O195" s="61">
        <f t="shared" si="29"/>
        <v>500</v>
      </c>
      <c r="P195" s="60">
        <v>0</v>
      </c>
      <c r="Q195" s="61">
        <f t="shared" si="30"/>
        <v>0</v>
      </c>
      <c r="R195" s="60">
        <v>0</v>
      </c>
      <c r="S195" s="61">
        <f t="shared" si="31"/>
        <v>0</v>
      </c>
      <c r="T195" s="60">
        <v>0</v>
      </c>
      <c r="U195" s="64">
        <f t="shared" si="32"/>
        <v>0</v>
      </c>
      <c r="V195" s="65">
        <v>0</v>
      </c>
      <c r="W195" s="66">
        <f t="shared" si="33"/>
        <v>500</v>
      </c>
      <c r="X195" s="67">
        <f t="shared" si="34"/>
        <v>0.5</v>
      </c>
      <c r="Y195" s="57" t="str">
        <f t="shared" si="35"/>
        <v>STOCK</v>
      </c>
      <c r="Z195" s="68" t="s">
        <v>1538</v>
      </c>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c r="BU195" s="8"/>
      <c r="BV195" s="8"/>
      <c r="BW195" s="8"/>
      <c r="BX195" s="8"/>
      <c r="BY195" s="8"/>
      <c r="BZ195" s="8"/>
      <c r="CA195" s="8"/>
      <c r="CB195" s="8"/>
      <c r="CC195" s="8"/>
      <c r="CD195" s="8"/>
      <c r="CE195" s="8"/>
      <c r="CF195" s="8"/>
      <c r="CG195" s="8"/>
      <c r="CH195" s="8"/>
      <c r="CI195" s="8"/>
      <c r="CJ195" s="8"/>
      <c r="CK195" s="8"/>
      <c r="CL195" s="8"/>
      <c r="CM195" s="8"/>
      <c r="CN195" s="8"/>
      <c r="CO195" s="8"/>
      <c r="CP195" s="8"/>
      <c r="CQ195" s="8"/>
      <c r="CR195" s="8"/>
      <c r="CS195" s="8"/>
      <c r="CT195" s="8"/>
      <c r="CU195" s="8"/>
      <c r="CV195" s="8"/>
      <c r="CW195" s="8"/>
      <c r="CX195" s="8"/>
      <c r="CY195" s="8"/>
      <c r="CZ195" s="8"/>
      <c r="DA195" s="8"/>
      <c r="DB195" s="8"/>
      <c r="DC195" s="8"/>
      <c r="DD195" s="8"/>
      <c r="DE195" s="8"/>
      <c r="DF195" s="8"/>
      <c r="DG195" s="8"/>
      <c r="DH195" s="8"/>
      <c r="DI195" s="8"/>
      <c r="DJ195" s="8"/>
      <c r="DK195" s="8"/>
      <c r="DL195" s="8"/>
      <c r="DM195" s="8"/>
      <c r="DN195" s="8"/>
      <c r="DO195" s="8"/>
      <c r="DP195" s="8"/>
      <c r="DQ195" s="8"/>
      <c r="DR195" s="8"/>
      <c r="DS195" s="8"/>
      <c r="DT195" s="8"/>
      <c r="DU195" s="8"/>
    </row>
    <row r="196" spans="1:125" s="1" customFormat="1" ht="20.100000000000001" customHeight="1" x14ac:dyDescent="0.25">
      <c r="A196" s="59" t="s">
        <v>426</v>
      </c>
      <c r="B196" s="84">
        <v>194</v>
      </c>
      <c r="C196" s="85" t="s">
        <v>198</v>
      </c>
      <c r="D196" s="60">
        <v>0</v>
      </c>
      <c r="E196" s="61">
        <f t="shared" ref="E196:E259" si="36">D196*10</f>
        <v>0</v>
      </c>
      <c r="F196" s="60">
        <v>0</v>
      </c>
      <c r="G196" s="61">
        <f t="shared" ref="G196:G259" si="37">F196*25</f>
        <v>0</v>
      </c>
      <c r="H196" s="60">
        <v>0</v>
      </c>
      <c r="I196" s="61">
        <f t="shared" ref="I196:I259" si="38">H196*50</f>
        <v>0</v>
      </c>
      <c r="J196" s="60">
        <v>0</v>
      </c>
      <c r="K196" s="61">
        <f t="shared" ref="K196:K259" si="39">J196*100</f>
        <v>0</v>
      </c>
      <c r="L196" s="62">
        <v>2</v>
      </c>
      <c r="M196" s="61">
        <f t="shared" ref="M196:M259" si="40">L196*250</f>
        <v>500</v>
      </c>
      <c r="N196" s="63">
        <v>0</v>
      </c>
      <c r="O196" s="61">
        <f t="shared" ref="O196:O259" si="41">N196*500</f>
        <v>0</v>
      </c>
      <c r="P196" s="60">
        <v>0</v>
      </c>
      <c r="Q196" s="61">
        <f t="shared" ref="Q196:Q259" si="42">P196*1000</f>
        <v>0</v>
      </c>
      <c r="R196" s="60">
        <v>0</v>
      </c>
      <c r="S196" s="61">
        <f t="shared" ref="S196:S259" si="43">R196*2500</f>
        <v>0</v>
      </c>
      <c r="T196" s="60">
        <v>0</v>
      </c>
      <c r="U196" s="64">
        <f t="shared" ref="U196:U259" si="44">T196*5000</f>
        <v>0</v>
      </c>
      <c r="V196" s="65">
        <v>0</v>
      </c>
      <c r="W196" s="66">
        <f t="shared" ref="W196:W259" si="45">E196+G196+I196+K196+M196+O196+Q196+S196+U196</f>
        <v>500</v>
      </c>
      <c r="X196" s="67">
        <f t="shared" ref="X196:X259" si="46">SUM(W196:W196)/1000</f>
        <v>0.5</v>
      </c>
      <c r="Y196" s="57" t="str">
        <f t="shared" ref="Y196:Y259" si="47">IF(W196=0,("NIL PLEASE PURCHASE"),("STOCK"))</f>
        <v>STOCK</v>
      </c>
      <c r="Z196" s="68" t="s">
        <v>1538</v>
      </c>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c r="BU196" s="8"/>
      <c r="BV196" s="8"/>
      <c r="BW196" s="8"/>
      <c r="BX196" s="8"/>
      <c r="BY196" s="8"/>
      <c r="BZ196" s="8"/>
      <c r="CA196" s="8"/>
      <c r="CB196" s="8"/>
      <c r="CC196" s="8"/>
      <c r="CD196" s="8"/>
      <c r="CE196" s="8"/>
      <c r="CF196" s="8"/>
      <c r="CG196" s="8"/>
      <c r="CH196" s="8"/>
      <c r="CI196" s="8"/>
      <c r="CJ196" s="8"/>
      <c r="CK196" s="8"/>
      <c r="CL196" s="8"/>
      <c r="CM196" s="8"/>
      <c r="CN196" s="8"/>
      <c r="CO196" s="8"/>
      <c r="CP196" s="8"/>
      <c r="CQ196" s="8"/>
      <c r="CR196" s="8"/>
      <c r="CS196" s="8"/>
      <c r="CT196" s="8"/>
      <c r="CU196" s="8"/>
      <c r="CV196" s="8"/>
      <c r="CW196" s="8"/>
      <c r="CX196" s="8"/>
      <c r="CY196" s="8"/>
      <c r="CZ196" s="8"/>
      <c r="DA196" s="8"/>
      <c r="DB196" s="8"/>
      <c r="DC196" s="8"/>
      <c r="DD196" s="8"/>
      <c r="DE196" s="8"/>
      <c r="DF196" s="8"/>
      <c r="DG196" s="8"/>
      <c r="DH196" s="8"/>
      <c r="DI196" s="8"/>
      <c r="DJ196" s="8"/>
      <c r="DK196" s="8"/>
      <c r="DL196" s="8"/>
      <c r="DM196" s="8"/>
      <c r="DN196" s="8"/>
      <c r="DO196" s="8"/>
      <c r="DP196" s="8"/>
      <c r="DQ196" s="8"/>
      <c r="DR196" s="8"/>
      <c r="DS196" s="8"/>
      <c r="DT196" s="8"/>
      <c r="DU196" s="8"/>
    </row>
    <row r="197" spans="1:125" s="1" customFormat="1" ht="20.100000000000001" customHeight="1" x14ac:dyDescent="0.25">
      <c r="A197" s="59" t="s">
        <v>427</v>
      </c>
      <c r="B197" s="84">
        <v>195</v>
      </c>
      <c r="C197" s="86" t="s">
        <v>199</v>
      </c>
      <c r="D197" s="60">
        <v>0</v>
      </c>
      <c r="E197" s="61">
        <f t="shared" si="36"/>
        <v>0</v>
      </c>
      <c r="F197" s="60">
        <v>0</v>
      </c>
      <c r="G197" s="61">
        <f t="shared" si="37"/>
        <v>0</v>
      </c>
      <c r="H197" s="60">
        <v>0</v>
      </c>
      <c r="I197" s="61">
        <f t="shared" si="38"/>
        <v>0</v>
      </c>
      <c r="J197" s="60">
        <v>0</v>
      </c>
      <c r="K197" s="61">
        <f t="shared" si="39"/>
        <v>0</v>
      </c>
      <c r="L197" s="62"/>
      <c r="M197" s="61">
        <f t="shared" si="40"/>
        <v>0</v>
      </c>
      <c r="N197" s="63">
        <v>0</v>
      </c>
      <c r="O197" s="61">
        <f t="shared" si="41"/>
        <v>0</v>
      </c>
      <c r="P197" s="60">
        <v>0</v>
      </c>
      <c r="Q197" s="61">
        <f t="shared" si="42"/>
        <v>0</v>
      </c>
      <c r="R197" s="60">
        <v>0</v>
      </c>
      <c r="S197" s="61">
        <f t="shared" si="43"/>
        <v>0</v>
      </c>
      <c r="T197" s="60">
        <v>0</v>
      </c>
      <c r="U197" s="64">
        <f t="shared" si="44"/>
        <v>0</v>
      </c>
      <c r="V197" s="65">
        <v>0</v>
      </c>
      <c r="W197" s="66">
        <f t="shared" si="45"/>
        <v>0</v>
      </c>
      <c r="X197" s="67">
        <f t="shared" si="46"/>
        <v>0</v>
      </c>
      <c r="Y197" s="57" t="str">
        <f t="shared" si="47"/>
        <v>NIL PLEASE PURCHASE</v>
      </c>
      <c r="Z197" s="68" t="s">
        <v>1539</v>
      </c>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c r="BU197" s="8"/>
      <c r="BV197" s="8"/>
      <c r="BW197" s="8"/>
      <c r="BX197" s="8"/>
      <c r="BY197" s="8"/>
      <c r="BZ197" s="8"/>
      <c r="CA197" s="8"/>
      <c r="CB197" s="8"/>
      <c r="CC197" s="8"/>
      <c r="CD197" s="8"/>
      <c r="CE197" s="8"/>
      <c r="CF197" s="8"/>
      <c r="CG197" s="8"/>
      <c r="CH197" s="8"/>
      <c r="CI197" s="8"/>
      <c r="CJ197" s="8"/>
      <c r="CK197" s="8"/>
      <c r="CL197" s="8"/>
      <c r="CM197" s="8"/>
      <c r="CN197" s="8"/>
      <c r="CO197" s="8"/>
      <c r="CP197" s="8"/>
      <c r="CQ197" s="8"/>
      <c r="CR197" s="8"/>
      <c r="CS197" s="8"/>
      <c r="CT197" s="8"/>
      <c r="CU197" s="8"/>
      <c r="CV197" s="8"/>
      <c r="CW197" s="8"/>
      <c r="CX197" s="8"/>
      <c r="CY197" s="8"/>
      <c r="CZ197" s="8"/>
      <c r="DA197" s="8"/>
      <c r="DB197" s="8"/>
      <c r="DC197" s="8"/>
      <c r="DD197" s="8"/>
      <c r="DE197" s="8"/>
      <c r="DF197" s="8"/>
      <c r="DG197" s="8"/>
      <c r="DH197" s="8"/>
      <c r="DI197" s="8"/>
      <c r="DJ197" s="8"/>
      <c r="DK197" s="8"/>
      <c r="DL197" s="8"/>
      <c r="DM197" s="8"/>
      <c r="DN197" s="8"/>
      <c r="DO197" s="8"/>
      <c r="DP197" s="8"/>
      <c r="DQ197" s="8"/>
      <c r="DR197" s="8"/>
      <c r="DS197" s="8"/>
      <c r="DT197" s="8"/>
      <c r="DU197" s="8"/>
    </row>
    <row r="198" spans="1:125" s="1" customFormat="1" ht="20.100000000000001" customHeight="1" x14ac:dyDescent="0.25">
      <c r="A198" s="59" t="s">
        <v>428</v>
      </c>
      <c r="B198" s="84">
        <v>196</v>
      </c>
      <c r="C198" s="85" t="s">
        <v>200</v>
      </c>
      <c r="D198" s="60">
        <v>0</v>
      </c>
      <c r="E198" s="61">
        <f t="shared" si="36"/>
        <v>0</v>
      </c>
      <c r="F198" s="60">
        <v>0</v>
      </c>
      <c r="G198" s="61">
        <f t="shared" si="37"/>
        <v>0</v>
      </c>
      <c r="H198" s="60">
        <v>0</v>
      </c>
      <c r="I198" s="61">
        <f t="shared" si="38"/>
        <v>0</v>
      </c>
      <c r="J198" s="60">
        <v>0</v>
      </c>
      <c r="K198" s="61">
        <f t="shared" si="39"/>
        <v>0</v>
      </c>
      <c r="L198" s="62"/>
      <c r="M198" s="61">
        <f t="shared" si="40"/>
        <v>0</v>
      </c>
      <c r="N198" s="63">
        <v>0</v>
      </c>
      <c r="O198" s="61">
        <f t="shared" si="41"/>
        <v>0</v>
      </c>
      <c r="P198" s="60">
        <v>0</v>
      </c>
      <c r="Q198" s="61">
        <f t="shared" si="42"/>
        <v>0</v>
      </c>
      <c r="R198" s="60">
        <v>0</v>
      </c>
      <c r="S198" s="61">
        <f t="shared" si="43"/>
        <v>0</v>
      </c>
      <c r="T198" s="60">
        <v>0</v>
      </c>
      <c r="U198" s="64">
        <f t="shared" si="44"/>
        <v>0</v>
      </c>
      <c r="V198" s="65">
        <v>0</v>
      </c>
      <c r="W198" s="66">
        <f t="shared" si="45"/>
        <v>0</v>
      </c>
      <c r="X198" s="67">
        <f t="shared" si="46"/>
        <v>0</v>
      </c>
      <c r="Y198" s="57" t="str">
        <f t="shared" si="47"/>
        <v>NIL PLEASE PURCHASE</v>
      </c>
      <c r="Z198" s="68" t="s">
        <v>1539</v>
      </c>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c r="BU198" s="8"/>
      <c r="BV198" s="8"/>
      <c r="BW198" s="8"/>
      <c r="BX198" s="8"/>
      <c r="BY198" s="8"/>
      <c r="BZ198" s="8"/>
      <c r="CA198" s="8"/>
      <c r="CB198" s="8"/>
      <c r="CC198" s="8"/>
      <c r="CD198" s="8"/>
      <c r="CE198" s="8"/>
      <c r="CF198" s="8"/>
      <c r="CG198" s="8"/>
      <c r="CH198" s="8"/>
      <c r="CI198" s="8"/>
      <c r="CJ198" s="8"/>
      <c r="CK198" s="8"/>
      <c r="CL198" s="8"/>
      <c r="CM198" s="8"/>
      <c r="CN198" s="8"/>
      <c r="CO198" s="8"/>
      <c r="CP198" s="8"/>
      <c r="CQ198" s="8"/>
      <c r="CR198" s="8"/>
      <c r="CS198" s="8"/>
      <c r="CT198" s="8"/>
      <c r="CU198" s="8"/>
      <c r="CV198" s="8"/>
      <c r="CW198" s="8"/>
      <c r="CX198" s="8"/>
      <c r="CY198" s="8"/>
      <c r="CZ198" s="8"/>
      <c r="DA198" s="8"/>
      <c r="DB198" s="8"/>
      <c r="DC198" s="8"/>
      <c r="DD198" s="8"/>
      <c r="DE198" s="8"/>
      <c r="DF198" s="8"/>
      <c r="DG198" s="8"/>
      <c r="DH198" s="8"/>
      <c r="DI198" s="8"/>
      <c r="DJ198" s="8"/>
      <c r="DK198" s="8"/>
      <c r="DL198" s="8"/>
      <c r="DM198" s="8"/>
      <c r="DN198" s="8"/>
      <c r="DO198" s="8"/>
      <c r="DP198" s="8"/>
      <c r="DQ198" s="8"/>
      <c r="DR198" s="8"/>
      <c r="DS198" s="8"/>
      <c r="DT198" s="8"/>
      <c r="DU198" s="8"/>
    </row>
    <row r="199" spans="1:125" s="1" customFormat="1" ht="20.100000000000001" customHeight="1" x14ac:dyDescent="0.25">
      <c r="A199" s="59" t="s">
        <v>429</v>
      </c>
      <c r="B199" s="84">
        <v>197</v>
      </c>
      <c r="C199" s="85" t="s">
        <v>201</v>
      </c>
      <c r="D199" s="60">
        <v>0</v>
      </c>
      <c r="E199" s="61">
        <f t="shared" si="36"/>
        <v>0</v>
      </c>
      <c r="F199" s="60">
        <v>0</v>
      </c>
      <c r="G199" s="61">
        <f t="shared" si="37"/>
        <v>0</v>
      </c>
      <c r="H199" s="60">
        <v>0</v>
      </c>
      <c r="I199" s="61">
        <f t="shared" si="38"/>
        <v>0</v>
      </c>
      <c r="J199" s="60">
        <v>0</v>
      </c>
      <c r="K199" s="61">
        <f t="shared" si="39"/>
        <v>0</v>
      </c>
      <c r="L199" s="62">
        <v>3</v>
      </c>
      <c r="M199" s="61">
        <f t="shared" si="40"/>
        <v>750</v>
      </c>
      <c r="N199" s="63">
        <v>0</v>
      </c>
      <c r="O199" s="61">
        <f t="shared" si="41"/>
        <v>0</v>
      </c>
      <c r="P199" s="60">
        <v>0</v>
      </c>
      <c r="Q199" s="61">
        <f t="shared" si="42"/>
        <v>0</v>
      </c>
      <c r="R199" s="60">
        <v>0</v>
      </c>
      <c r="S199" s="61">
        <f t="shared" si="43"/>
        <v>0</v>
      </c>
      <c r="T199" s="60">
        <v>0</v>
      </c>
      <c r="U199" s="64">
        <f t="shared" si="44"/>
        <v>0</v>
      </c>
      <c r="V199" s="65">
        <v>0</v>
      </c>
      <c r="W199" s="66">
        <f t="shared" si="45"/>
        <v>750</v>
      </c>
      <c r="X199" s="67">
        <f t="shared" si="46"/>
        <v>0.75</v>
      </c>
      <c r="Y199" s="57" t="str">
        <f t="shared" si="47"/>
        <v>STOCK</v>
      </c>
      <c r="Z199" s="68" t="s">
        <v>1538</v>
      </c>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c r="BU199" s="8"/>
      <c r="BV199" s="8"/>
      <c r="BW199" s="8"/>
      <c r="BX199" s="8"/>
      <c r="BY199" s="8"/>
      <c r="BZ199" s="8"/>
      <c r="CA199" s="8"/>
      <c r="CB199" s="8"/>
      <c r="CC199" s="8"/>
      <c r="CD199" s="8"/>
      <c r="CE199" s="8"/>
      <c r="CF199" s="8"/>
      <c r="CG199" s="8"/>
      <c r="CH199" s="8"/>
      <c r="CI199" s="8"/>
      <c r="CJ199" s="8"/>
      <c r="CK199" s="8"/>
      <c r="CL199" s="8"/>
      <c r="CM199" s="8"/>
      <c r="CN199" s="8"/>
      <c r="CO199" s="8"/>
      <c r="CP199" s="8"/>
      <c r="CQ199" s="8"/>
      <c r="CR199" s="8"/>
      <c r="CS199" s="8"/>
      <c r="CT199" s="8"/>
      <c r="CU199" s="8"/>
      <c r="CV199" s="8"/>
      <c r="CW199" s="8"/>
      <c r="CX199" s="8"/>
      <c r="CY199" s="8"/>
      <c r="CZ199" s="8"/>
      <c r="DA199" s="8"/>
      <c r="DB199" s="8"/>
      <c r="DC199" s="8"/>
      <c r="DD199" s="8"/>
      <c r="DE199" s="8"/>
      <c r="DF199" s="8"/>
      <c r="DG199" s="8"/>
      <c r="DH199" s="8"/>
      <c r="DI199" s="8"/>
      <c r="DJ199" s="8"/>
      <c r="DK199" s="8"/>
      <c r="DL199" s="8"/>
      <c r="DM199" s="8"/>
      <c r="DN199" s="8"/>
      <c r="DO199" s="8"/>
      <c r="DP199" s="8"/>
      <c r="DQ199" s="8"/>
      <c r="DR199" s="8"/>
      <c r="DS199" s="8"/>
      <c r="DT199" s="8"/>
      <c r="DU199" s="8"/>
    </row>
    <row r="200" spans="1:125" s="1" customFormat="1" ht="20.100000000000001" customHeight="1" x14ac:dyDescent="0.25">
      <c r="A200" s="59" t="s">
        <v>430</v>
      </c>
      <c r="B200" s="84">
        <v>198</v>
      </c>
      <c r="C200" s="85" t="s">
        <v>202</v>
      </c>
      <c r="D200" s="60">
        <v>0</v>
      </c>
      <c r="E200" s="61">
        <f t="shared" si="36"/>
        <v>0</v>
      </c>
      <c r="F200" s="60">
        <v>0</v>
      </c>
      <c r="G200" s="61">
        <f t="shared" si="37"/>
        <v>0</v>
      </c>
      <c r="H200" s="60">
        <v>0</v>
      </c>
      <c r="I200" s="61">
        <f t="shared" si="38"/>
        <v>0</v>
      </c>
      <c r="J200" s="60">
        <v>0</v>
      </c>
      <c r="K200" s="61">
        <f t="shared" si="39"/>
        <v>0</v>
      </c>
      <c r="L200" s="62"/>
      <c r="M200" s="61">
        <f t="shared" si="40"/>
        <v>0</v>
      </c>
      <c r="N200" s="63">
        <v>0</v>
      </c>
      <c r="O200" s="61">
        <f t="shared" si="41"/>
        <v>0</v>
      </c>
      <c r="P200" s="60">
        <v>0</v>
      </c>
      <c r="Q200" s="61">
        <f t="shared" si="42"/>
        <v>0</v>
      </c>
      <c r="R200" s="60">
        <v>0</v>
      </c>
      <c r="S200" s="61">
        <f t="shared" si="43"/>
        <v>0</v>
      </c>
      <c r="T200" s="60">
        <v>0</v>
      </c>
      <c r="U200" s="64">
        <f t="shared" si="44"/>
        <v>0</v>
      </c>
      <c r="V200" s="65">
        <v>0</v>
      </c>
      <c r="W200" s="66">
        <f t="shared" si="45"/>
        <v>0</v>
      </c>
      <c r="X200" s="67">
        <f t="shared" si="46"/>
        <v>0</v>
      </c>
      <c r="Y200" s="57" t="str">
        <f t="shared" si="47"/>
        <v>NIL PLEASE PURCHASE</v>
      </c>
      <c r="Z200" s="68" t="s">
        <v>1539</v>
      </c>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c r="BU200" s="8"/>
      <c r="BV200" s="8"/>
      <c r="BW200" s="8"/>
      <c r="BX200" s="8"/>
      <c r="BY200" s="8"/>
      <c r="BZ200" s="8"/>
      <c r="CA200" s="8"/>
      <c r="CB200" s="8"/>
      <c r="CC200" s="8"/>
      <c r="CD200" s="8"/>
      <c r="CE200" s="8"/>
      <c r="CF200" s="8"/>
      <c r="CG200" s="8"/>
      <c r="CH200" s="8"/>
      <c r="CI200" s="8"/>
      <c r="CJ200" s="8"/>
      <c r="CK200" s="8"/>
      <c r="CL200" s="8"/>
      <c r="CM200" s="8"/>
      <c r="CN200" s="8"/>
      <c r="CO200" s="8"/>
      <c r="CP200" s="8"/>
      <c r="CQ200" s="8"/>
      <c r="CR200" s="8"/>
      <c r="CS200" s="8"/>
      <c r="CT200" s="8"/>
      <c r="CU200" s="8"/>
      <c r="CV200" s="8"/>
      <c r="CW200" s="8"/>
      <c r="CX200" s="8"/>
      <c r="CY200" s="8"/>
      <c r="CZ200" s="8"/>
      <c r="DA200" s="8"/>
      <c r="DB200" s="8"/>
      <c r="DC200" s="8"/>
      <c r="DD200" s="8"/>
      <c r="DE200" s="8"/>
      <c r="DF200" s="8"/>
      <c r="DG200" s="8"/>
      <c r="DH200" s="8"/>
      <c r="DI200" s="8"/>
      <c r="DJ200" s="8"/>
      <c r="DK200" s="8"/>
      <c r="DL200" s="8"/>
      <c r="DM200" s="8"/>
      <c r="DN200" s="8"/>
      <c r="DO200" s="8"/>
      <c r="DP200" s="8"/>
      <c r="DQ200" s="8"/>
      <c r="DR200" s="8"/>
      <c r="DS200" s="8"/>
      <c r="DT200" s="8"/>
      <c r="DU200" s="8"/>
    </row>
    <row r="201" spans="1:125" s="1" customFormat="1" ht="20.100000000000001" customHeight="1" x14ac:dyDescent="0.25">
      <c r="A201" s="59" t="s">
        <v>431</v>
      </c>
      <c r="B201" s="84">
        <v>199</v>
      </c>
      <c r="C201" s="85" t="s">
        <v>203</v>
      </c>
      <c r="D201" s="60">
        <v>0</v>
      </c>
      <c r="E201" s="61">
        <f t="shared" si="36"/>
        <v>0</v>
      </c>
      <c r="F201" s="60">
        <v>0</v>
      </c>
      <c r="G201" s="61">
        <f t="shared" si="37"/>
        <v>0</v>
      </c>
      <c r="H201" s="60">
        <v>0</v>
      </c>
      <c r="I201" s="61">
        <f t="shared" si="38"/>
        <v>0</v>
      </c>
      <c r="J201" s="60">
        <v>0</v>
      </c>
      <c r="K201" s="61">
        <f t="shared" si="39"/>
        <v>0</v>
      </c>
      <c r="L201" s="62"/>
      <c r="M201" s="61">
        <f t="shared" si="40"/>
        <v>0</v>
      </c>
      <c r="N201" s="63">
        <v>0</v>
      </c>
      <c r="O201" s="61">
        <f t="shared" si="41"/>
        <v>0</v>
      </c>
      <c r="P201" s="60">
        <v>0</v>
      </c>
      <c r="Q201" s="61">
        <f t="shared" si="42"/>
        <v>0</v>
      </c>
      <c r="R201" s="60">
        <v>0</v>
      </c>
      <c r="S201" s="61">
        <f t="shared" si="43"/>
        <v>0</v>
      </c>
      <c r="T201" s="60">
        <v>0</v>
      </c>
      <c r="U201" s="64">
        <f t="shared" si="44"/>
        <v>0</v>
      </c>
      <c r="V201" s="65">
        <v>0</v>
      </c>
      <c r="W201" s="66">
        <f t="shared" si="45"/>
        <v>0</v>
      </c>
      <c r="X201" s="67">
        <f t="shared" si="46"/>
        <v>0</v>
      </c>
      <c r="Y201" s="57" t="str">
        <f t="shared" si="47"/>
        <v>NIL PLEASE PURCHASE</v>
      </c>
      <c r="Z201" s="68" t="s">
        <v>1539</v>
      </c>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c r="BU201" s="8"/>
      <c r="BV201" s="8"/>
      <c r="BW201" s="8"/>
      <c r="BX201" s="8"/>
      <c r="BY201" s="8"/>
      <c r="BZ201" s="8"/>
      <c r="CA201" s="8"/>
      <c r="CB201" s="8"/>
      <c r="CC201" s="8"/>
      <c r="CD201" s="8"/>
      <c r="CE201" s="8"/>
      <c r="CF201" s="8"/>
      <c r="CG201" s="8"/>
      <c r="CH201" s="8"/>
      <c r="CI201" s="8"/>
      <c r="CJ201" s="8"/>
      <c r="CK201" s="8"/>
      <c r="CL201" s="8"/>
      <c r="CM201" s="8"/>
      <c r="CN201" s="8"/>
      <c r="CO201" s="8"/>
      <c r="CP201" s="8"/>
      <c r="CQ201" s="8"/>
      <c r="CR201" s="8"/>
      <c r="CS201" s="8"/>
      <c r="CT201" s="8"/>
      <c r="CU201" s="8"/>
      <c r="CV201" s="8"/>
      <c r="CW201" s="8"/>
      <c r="CX201" s="8"/>
      <c r="CY201" s="8"/>
      <c r="CZ201" s="8"/>
      <c r="DA201" s="8"/>
      <c r="DB201" s="8"/>
      <c r="DC201" s="8"/>
      <c r="DD201" s="8"/>
      <c r="DE201" s="8"/>
      <c r="DF201" s="8"/>
      <c r="DG201" s="8"/>
      <c r="DH201" s="8"/>
      <c r="DI201" s="8"/>
      <c r="DJ201" s="8"/>
      <c r="DK201" s="8"/>
      <c r="DL201" s="8"/>
      <c r="DM201" s="8"/>
      <c r="DN201" s="8"/>
      <c r="DO201" s="8"/>
      <c r="DP201" s="8"/>
      <c r="DQ201" s="8"/>
      <c r="DR201" s="8"/>
      <c r="DS201" s="8"/>
      <c r="DT201" s="8"/>
      <c r="DU201" s="8"/>
    </row>
    <row r="202" spans="1:125" s="1" customFormat="1" ht="20.100000000000001" customHeight="1" x14ac:dyDescent="0.25">
      <c r="A202" s="59" t="s">
        <v>432</v>
      </c>
      <c r="B202" s="84">
        <v>200</v>
      </c>
      <c r="C202" s="85" t="s">
        <v>204</v>
      </c>
      <c r="D202" s="60">
        <v>0</v>
      </c>
      <c r="E202" s="61">
        <f t="shared" si="36"/>
        <v>0</v>
      </c>
      <c r="F202" s="60">
        <v>0</v>
      </c>
      <c r="G202" s="61">
        <f t="shared" si="37"/>
        <v>0</v>
      </c>
      <c r="H202" s="60">
        <v>0</v>
      </c>
      <c r="I202" s="61">
        <f t="shared" si="38"/>
        <v>0</v>
      </c>
      <c r="J202" s="60">
        <v>0</v>
      </c>
      <c r="K202" s="61">
        <f t="shared" si="39"/>
        <v>0</v>
      </c>
      <c r="L202" s="62"/>
      <c r="M202" s="61">
        <f t="shared" si="40"/>
        <v>0</v>
      </c>
      <c r="N202" s="63">
        <v>6</v>
      </c>
      <c r="O202" s="61">
        <f t="shared" si="41"/>
        <v>3000</v>
      </c>
      <c r="P202" s="60">
        <v>0</v>
      </c>
      <c r="Q202" s="61">
        <f t="shared" si="42"/>
        <v>0</v>
      </c>
      <c r="R202" s="60">
        <v>0</v>
      </c>
      <c r="S202" s="61">
        <f t="shared" si="43"/>
        <v>0</v>
      </c>
      <c r="T202" s="60">
        <v>0</v>
      </c>
      <c r="U202" s="64">
        <f t="shared" si="44"/>
        <v>0</v>
      </c>
      <c r="V202" s="65">
        <v>0</v>
      </c>
      <c r="W202" s="66">
        <f t="shared" si="45"/>
        <v>3000</v>
      </c>
      <c r="X202" s="67">
        <f t="shared" si="46"/>
        <v>3</v>
      </c>
      <c r="Y202" s="57" t="str">
        <f t="shared" si="47"/>
        <v>STOCK</v>
      </c>
      <c r="Z202" s="68" t="s">
        <v>1538</v>
      </c>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c r="BU202" s="8"/>
      <c r="BV202" s="8"/>
      <c r="BW202" s="8"/>
      <c r="BX202" s="8"/>
      <c r="BY202" s="8"/>
      <c r="BZ202" s="8"/>
      <c r="CA202" s="8"/>
      <c r="CB202" s="8"/>
      <c r="CC202" s="8"/>
      <c r="CD202" s="8"/>
      <c r="CE202" s="8"/>
      <c r="CF202" s="8"/>
      <c r="CG202" s="8"/>
      <c r="CH202" s="8"/>
      <c r="CI202" s="8"/>
      <c r="CJ202" s="8"/>
      <c r="CK202" s="8"/>
      <c r="CL202" s="8"/>
      <c r="CM202" s="8"/>
      <c r="CN202" s="8"/>
      <c r="CO202" s="8"/>
      <c r="CP202" s="8"/>
      <c r="CQ202" s="8"/>
      <c r="CR202" s="8"/>
      <c r="CS202" s="8"/>
      <c r="CT202" s="8"/>
      <c r="CU202" s="8"/>
      <c r="CV202" s="8"/>
      <c r="CW202" s="8"/>
      <c r="CX202" s="8"/>
      <c r="CY202" s="8"/>
      <c r="CZ202" s="8"/>
      <c r="DA202" s="8"/>
      <c r="DB202" s="8"/>
      <c r="DC202" s="8"/>
      <c r="DD202" s="8"/>
      <c r="DE202" s="8"/>
      <c r="DF202" s="8"/>
      <c r="DG202" s="8"/>
      <c r="DH202" s="8"/>
      <c r="DI202" s="8"/>
      <c r="DJ202" s="8"/>
      <c r="DK202" s="8"/>
      <c r="DL202" s="8"/>
      <c r="DM202" s="8"/>
      <c r="DN202" s="8"/>
      <c r="DO202" s="8"/>
      <c r="DP202" s="8"/>
      <c r="DQ202" s="8"/>
      <c r="DR202" s="8"/>
      <c r="DS202" s="8"/>
      <c r="DT202" s="8"/>
      <c r="DU202" s="8"/>
    </row>
    <row r="203" spans="1:125" s="1" customFormat="1" ht="20.100000000000001" customHeight="1" x14ac:dyDescent="0.25">
      <c r="A203" s="59" t="s">
        <v>433</v>
      </c>
      <c r="B203" s="84">
        <v>201</v>
      </c>
      <c r="C203" s="85" t="s">
        <v>205</v>
      </c>
      <c r="D203" s="60">
        <v>0</v>
      </c>
      <c r="E203" s="61">
        <f t="shared" si="36"/>
        <v>0</v>
      </c>
      <c r="F203" s="60">
        <v>0</v>
      </c>
      <c r="G203" s="61">
        <f t="shared" si="37"/>
        <v>0</v>
      </c>
      <c r="H203" s="60">
        <v>0</v>
      </c>
      <c r="I203" s="61">
        <f t="shared" si="38"/>
        <v>0</v>
      </c>
      <c r="J203" s="60">
        <v>0</v>
      </c>
      <c r="K203" s="61">
        <f t="shared" si="39"/>
        <v>0</v>
      </c>
      <c r="L203" s="62"/>
      <c r="M203" s="61">
        <f t="shared" si="40"/>
        <v>0</v>
      </c>
      <c r="N203" s="63">
        <v>0</v>
      </c>
      <c r="O203" s="61">
        <f t="shared" si="41"/>
        <v>0</v>
      </c>
      <c r="P203" s="60">
        <v>0</v>
      </c>
      <c r="Q203" s="61">
        <f t="shared" si="42"/>
        <v>0</v>
      </c>
      <c r="R203" s="60">
        <v>0</v>
      </c>
      <c r="S203" s="61">
        <f t="shared" si="43"/>
        <v>0</v>
      </c>
      <c r="T203" s="60">
        <v>0</v>
      </c>
      <c r="U203" s="64">
        <f t="shared" si="44"/>
        <v>0</v>
      </c>
      <c r="V203" s="65">
        <v>0</v>
      </c>
      <c r="W203" s="66">
        <f t="shared" si="45"/>
        <v>0</v>
      </c>
      <c r="X203" s="67">
        <f t="shared" si="46"/>
        <v>0</v>
      </c>
      <c r="Y203" s="57" t="str">
        <f t="shared" si="47"/>
        <v>NIL PLEASE PURCHASE</v>
      </c>
      <c r="Z203" s="68" t="s">
        <v>1539</v>
      </c>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c r="BU203" s="8"/>
      <c r="BV203" s="8"/>
      <c r="BW203" s="8"/>
      <c r="BX203" s="8"/>
      <c r="BY203" s="8"/>
      <c r="BZ203" s="8"/>
      <c r="CA203" s="8"/>
      <c r="CB203" s="8"/>
      <c r="CC203" s="8"/>
      <c r="CD203" s="8"/>
      <c r="CE203" s="8"/>
      <c r="CF203" s="8"/>
      <c r="CG203" s="8"/>
      <c r="CH203" s="8"/>
      <c r="CI203" s="8"/>
      <c r="CJ203" s="8"/>
      <c r="CK203" s="8"/>
      <c r="CL203" s="8"/>
      <c r="CM203" s="8"/>
      <c r="CN203" s="8"/>
      <c r="CO203" s="8"/>
      <c r="CP203" s="8"/>
      <c r="CQ203" s="8"/>
      <c r="CR203" s="8"/>
      <c r="CS203" s="8"/>
      <c r="CT203" s="8"/>
      <c r="CU203" s="8"/>
      <c r="CV203" s="8"/>
      <c r="CW203" s="8"/>
      <c r="CX203" s="8"/>
      <c r="CY203" s="8"/>
      <c r="CZ203" s="8"/>
      <c r="DA203" s="8"/>
      <c r="DB203" s="8"/>
      <c r="DC203" s="8"/>
      <c r="DD203" s="8"/>
      <c r="DE203" s="8"/>
      <c r="DF203" s="8"/>
      <c r="DG203" s="8"/>
      <c r="DH203" s="8"/>
      <c r="DI203" s="8"/>
      <c r="DJ203" s="8"/>
      <c r="DK203" s="8"/>
      <c r="DL203" s="8"/>
      <c r="DM203" s="8"/>
      <c r="DN203" s="8"/>
      <c r="DO203" s="8"/>
      <c r="DP203" s="8"/>
      <c r="DQ203" s="8"/>
      <c r="DR203" s="8"/>
      <c r="DS203" s="8"/>
      <c r="DT203" s="8"/>
      <c r="DU203" s="8"/>
    </row>
    <row r="204" spans="1:125" s="1" customFormat="1" ht="20.100000000000001" customHeight="1" x14ac:dyDescent="0.25">
      <c r="A204" s="59" t="s">
        <v>434</v>
      </c>
      <c r="B204" s="84">
        <v>202</v>
      </c>
      <c r="C204" s="85" t="s">
        <v>206</v>
      </c>
      <c r="D204" s="60">
        <v>0</v>
      </c>
      <c r="E204" s="61">
        <f t="shared" si="36"/>
        <v>0</v>
      </c>
      <c r="F204" s="60">
        <v>0</v>
      </c>
      <c r="G204" s="61">
        <f t="shared" si="37"/>
        <v>0</v>
      </c>
      <c r="H204" s="60">
        <v>0</v>
      </c>
      <c r="I204" s="61">
        <f t="shared" si="38"/>
        <v>0</v>
      </c>
      <c r="J204" s="60">
        <v>0</v>
      </c>
      <c r="K204" s="61">
        <f t="shared" si="39"/>
        <v>0</v>
      </c>
      <c r="L204" s="62"/>
      <c r="M204" s="61">
        <f t="shared" si="40"/>
        <v>0</v>
      </c>
      <c r="N204" s="63">
        <v>2</v>
      </c>
      <c r="O204" s="61">
        <f t="shared" si="41"/>
        <v>1000</v>
      </c>
      <c r="P204" s="60">
        <v>0</v>
      </c>
      <c r="Q204" s="61">
        <f t="shared" si="42"/>
        <v>0</v>
      </c>
      <c r="R204" s="60">
        <v>0</v>
      </c>
      <c r="S204" s="61">
        <f t="shared" si="43"/>
        <v>0</v>
      </c>
      <c r="T204" s="60">
        <v>0</v>
      </c>
      <c r="U204" s="64">
        <f t="shared" si="44"/>
        <v>0</v>
      </c>
      <c r="V204" s="65">
        <v>0</v>
      </c>
      <c r="W204" s="66">
        <f t="shared" si="45"/>
        <v>1000</v>
      </c>
      <c r="X204" s="67">
        <f t="shared" si="46"/>
        <v>1</v>
      </c>
      <c r="Y204" s="57" t="str">
        <f t="shared" si="47"/>
        <v>STOCK</v>
      </c>
      <c r="Z204" s="68" t="s">
        <v>1538</v>
      </c>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c r="BU204" s="8"/>
      <c r="BV204" s="8"/>
      <c r="BW204" s="8"/>
      <c r="BX204" s="8"/>
      <c r="BY204" s="8"/>
      <c r="BZ204" s="8"/>
      <c r="CA204" s="8"/>
      <c r="CB204" s="8"/>
      <c r="CC204" s="8"/>
      <c r="CD204" s="8"/>
      <c r="CE204" s="8"/>
      <c r="CF204" s="8"/>
      <c r="CG204" s="8"/>
      <c r="CH204" s="8"/>
      <c r="CI204" s="8"/>
      <c r="CJ204" s="8"/>
      <c r="CK204" s="8"/>
      <c r="CL204" s="8"/>
      <c r="CM204" s="8"/>
      <c r="CN204" s="8"/>
      <c r="CO204" s="8"/>
      <c r="CP204" s="8"/>
      <c r="CQ204" s="8"/>
      <c r="CR204" s="8"/>
      <c r="CS204" s="8"/>
      <c r="CT204" s="8"/>
      <c r="CU204" s="8"/>
      <c r="CV204" s="8"/>
      <c r="CW204" s="8"/>
      <c r="CX204" s="8"/>
      <c r="CY204" s="8"/>
      <c r="CZ204" s="8"/>
      <c r="DA204" s="8"/>
      <c r="DB204" s="8"/>
      <c r="DC204" s="8"/>
      <c r="DD204" s="8"/>
      <c r="DE204" s="8"/>
      <c r="DF204" s="8"/>
      <c r="DG204" s="8"/>
      <c r="DH204" s="8"/>
      <c r="DI204" s="8"/>
      <c r="DJ204" s="8"/>
      <c r="DK204" s="8"/>
      <c r="DL204" s="8"/>
      <c r="DM204" s="8"/>
      <c r="DN204" s="8"/>
      <c r="DO204" s="8"/>
      <c r="DP204" s="8"/>
      <c r="DQ204" s="8"/>
      <c r="DR204" s="8"/>
      <c r="DS204" s="8"/>
      <c r="DT204" s="8"/>
      <c r="DU204" s="8"/>
    </row>
    <row r="205" spans="1:125" s="1" customFormat="1" ht="20.100000000000001" customHeight="1" x14ac:dyDescent="0.25">
      <c r="A205" s="59" t="s">
        <v>435</v>
      </c>
      <c r="B205" s="84">
        <v>203</v>
      </c>
      <c r="C205" s="85" t="s">
        <v>207</v>
      </c>
      <c r="D205" s="60">
        <v>0</v>
      </c>
      <c r="E205" s="61">
        <f t="shared" si="36"/>
        <v>0</v>
      </c>
      <c r="F205" s="60">
        <v>0</v>
      </c>
      <c r="G205" s="61">
        <f t="shared" si="37"/>
        <v>0</v>
      </c>
      <c r="H205" s="60">
        <v>0</v>
      </c>
      <c r="I205" s="61">
        <f t="shared" si="38"/>
        <v>0</v>
      </c>
      <c r="J205" s="60">
        <v>0</v>
      </c>
      <c r="K205" s="61">
        <f t="shared" si="39"/>
        <v>0</v>
      </c>
      <c r="L205" s="62"/>
      <c r="M205" s="61">
        <f t="shared" si="40"/>
        <v>0</v>
      </c>
      <c r="N205" s="63">
        <v>0</v>
      </c>
      <c r="O205" s="61">
        <f t="shared" si="41"/>
        <v>0</v>
      </c>
      <c r="P205" s="60">
        <v>0</v>
      </c>
      <c r="Q205" s="61">
        <f t="shared" si="42"/>
        <v>0</v>
      </c>
      <c r="R205" s="60">
        <v>0</v>
      </c>
      <c r="S205" s="61">
        <f t="shared" si="43"/>
        <v>0</v>
      </c>
      <c r="T205" s="60">
        <v>0</v>
      </c>
      <c r="U205" s="64">
        <f t="shared" si="44"/>
        <v>0</v>
      </c>
      <c r="V205" s="65">
        <v>0</v>
      </c>
      <c r="W205" s="66">
        <f t="shared" si="45"/>
        <v>0</v>
      </c>
      <c r="X205" s="67">
        <f t="shared" si="46"/>
        <v>0</v>
      </c>
      <c r="Y205" s="57" t="str">
        <f t="shared" si="47"/>
        <v>NIL PLEASE PURCHASE</v>
      </c>
      <c r="Z205" s="68" t="s">
        <v>1539</v>
      </c>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c r="BU205" s="8"/>
      <c r="BV205" s="8"/>
      <c r="BW205" s="8"/>
      <c r="BX205" s="8"/>
      <c r="BY205" s="8"/>
      <c r="BZ205" s="8"/>
      <c r="CA205" s="8"/>
      <c r="CB205" s="8"/>
      <c r="CC205" s="8"/>
      <c r="CD205" s="8"/>
      <c r="CE205" s="8"/>
      <c r="CF205" s="8"/>
      <c r="CG205" s="8"/>
      <c r="CH205" s="8"/>
      <c r="CI205" s="8"/>
      <c r="CJ205" s="8"/>
      <c r="CK205" s="8"/>
      <c r="CL205" s="8"/>
      <c r="CM205" s="8"/>
      <c r="CN205" s="8"/>
      <c r="CO205" s="8"/>
      <c r="CP205" s="8"/>
      <c r="CQ205" s="8"/>
      <c r="CR205" s="8"/>
      <c r="CS205" s="8"/>
      <c r="CT205" s="8"/>
      <c r="CU205" s="8"/>
      <c r="CV205" s="8"/>
      <c r="CW205" s="8"/>
      <c r="CX205" s="8"/>
      <c r="CY205" s="8"/>
      <c r="CZ205" s="8"/>
      <c r="DA205" s="8"/>
      <c r="DB205" s="8"/>
      <c r="DC205" s="8"/>
      <c r="DD205" s="8"/>
      <c r="DE205" s="8"/>
      <c r="DF205" s="8"/>
      <c r="DG205" s="8"/>
      <c r="DH205" s="8"/>
      <c r="DI205" s="8"/>
      <c r="DJ205" s="8"/>
      <c r="DK205" s="8"/>
      <c r="DL205" s="8"/>
      <c r="DM205" s="8"/>
      <c r="DN205" s="8"/>
      <c r="DO205" s="8"/>
      <c r="DP205" s="8"/>
      <c r="DQ205" s="8"/>
      <c r="DR205" s="8"/>
      <c r="DS205" s="8"/>
      <c r="DT205" s="8"/>
      <c r="DU205" s="8"/>
    </row>
    <row r="206" spans="1:125" s="1" customFormat="1" ht="20.100000000000001" customHeight="1" x14ac:dyDescent="0.25">
      <c r="A206" s="59" t="s">
        <v>436</v>
      </c>
      <c r="B206" s="84">
        <v>204</v>
      </c>
      <c r="C206" s="85" t="s">
        <v>208</v>
      </c>
      <c r="D206" s="60">
        <v>0</v>
      </c>
      <c r="E206" s="61">
        <f t="shared" si="36"/>
        <v>0</v>
      </c>
      <c r="F206" s="60">
        <v>0</v>
      </c>
      <c r="G206" s="61">
        <f t="shared" si="37"/>
        <v>0</v>
      </c>
      <c r="H206" s="60">
        <v>0</v>
      </c>
      <c r="I206" s="61">
        <f t="shared" si="38"/>
        <v>0</v>
      </c>
      <c r="J206" s="60">
        <v>0</v>
      </c>
      <c r="K206" s="61">
        <f t="shared" si="39"/>
        <v>0</v>
      </c>
      <c r="L206" s="62"/>
      <c r="M206" s="61">
        <f t="shared" si="40"/>
        <v>0</v>
      </c>
      <c r="N206" s="63">
        <v>0</v>
      </c>
      <c r="O206" s="61">
        <f t="shared" si="41"/>
        <v>0</v>
      </c>
      <c r="P206" s="60">
        <v>0</v>
      </c>
      <c r="Q206" s="61">
        <f t="shared" si="42"/>
        <v>0</v>
      </c>
      <c r="R206" s="60">
        <v>0</v>
      </c>
      <c r="S206" s="61">
        <f t="shared" si="43"/>
        <v>0</v>
      </c>
      <c r="T206" s="60">
        <v>0</v>
      </c>
      <c r="U206" s="64">
        <f t="shared" si="44"/>
        <v>0</v>
      </c>
      <c r="V206" s="65">
        <v>0</v>
      </c>
      <c r="W206" s="66">
        <f t="shared" si="45"/>
        <v>0</v>
      </c>
      <c r="X206" s="67">
        <f t="shared" si="46"/>
        <v>0</v>
      </c>
      <c r="Y206" s="57" t="str">
        <f t="shared" si="47"/>
        <v>NIL PLEASE PURCHASE</v>
      </c>
      <c r="Z206" s="68" t="s">
        <v>1539</v>
      </c>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c r="BU206" s="8"/>
      <c r="BV206" s="8"/>
      <c r="BW206" s="8"/>
      <c r="BX206" s="8"/>
      <c r="BY206" s="8"/>
      <c r="BZ206" s="8"/>
      <c r="CA206" s="8"/>
      <c r="CB206" s="8"/>
      <c r="CC206" s="8"/>
      <c r="CD206" s="8"/>
      <c r="CE206" s="8"/>
      <c r="CF206" s="8"/>
      <c r="CG206" s="8"/>
      <c r="CH206" s="8"/>
      <c r="CI206" s="8"/>
      <c r="CJ206" s="8"/>
      <c r="CK206" s="8"/>
      <c r="CL206" s="8"/>
      <c r="CM206" s="8"/>
      <c r="CN206" s="8"/>
      <c r="CO206" s="8"/>
      <c r="CP206" s="8"/>
      <c r="CQ206" s="8"/>
      <c r="CR206" s="8"/>
      <c r="CS206" s="8"/>
      <c r="CT206" s="8"/>
      <c r="CU206" s="8"/>
      <c r="CV206" s="8"/>
      <c r="CW206" s="8"/>
      <c r="CX206" s="8"/>
      <c r="CY206" s="8"/>
      <c r="CZ206" s="8"/>
      <c r="DA206" s="8"/>
      <c r="DB206" s="8"/>
      <c r="DC206" s="8"/>
      <c r="DD206" s="8"/>
      <c r="DE206" s="8"/>
      <c r="DF206" s="8"/>
      <c r="DG206" s="8"/>
      <c r="DH206" s="8"/>
      <c r="DI206" s="8"/>
      <c r="DJ206" s="8"/>
      <c r="DK206" s="8"/>
      <c r="DL206" s="8"/>
      <c r="DM206" s="8"/>
      <c r="DN206" s="8"/>
      <c r="DO206" s="8"/>
      <c r="DP206" s="8"/>
      <c r="DQ206" s="8"/>
      <c r="DR206" s="8"/>
      <c r="DS206" s="8"/>
      <c r="DT206" s="8"/>
      <c r="DU206" s="8"/>
    </row>
    <row r="207" spans="1:125" s="1" customFormat="1" ht="20.100000000000001" customHeight="1" x14ac:dyDescent="0.25">
      <c r="A207" s="59" t="s">
        <v>437</v>
      </c>
      <c r="B207" s="84">
        <v>205</v>
      </c>
      <c r="C207" s="85" t="s">
        <v>209</v>
      </c>
      <c r="D207" s="60">
        <v>0</v>
      </c>
      <c r="E207" s="61">
        <f t="shared" si="36"/>
        <v>0</v>
      </c>
      <c r="F207" s="60">
        <v>0</v>
      </c>
      <c r="G207" s="61">
        <f t="shared" si="37"/>
        <v>0</v>
      </c>
      <c r="H207" s="60">
        <v>0</v>
      </c>
      <c r="I207" s="61">
        <f t="shared" si="38"/>
        <v>0</v>
      </c>
      <c r="J207" s="60">
        <v>0</v>
      </c>
      <c r="K207" s="61">
        <f t="shared" si="39"/>
        <v>0</v>
      </c>
      <c r="L207" s="62"/>
      <c r="M207" s="61">
        <f t="shared" si="40"/>
        <v>0</v>
      </c>
      <c r="N207" s="63">
        <v>0</v>
      </c>
      <c r="O207" s="61">
        <f t="shared" si="41"/>
        <v>0</v>
      </c>
      <c r="P207" s="60">
        <v>0</v>
      </c>
      <c r="Q207" s="61">
        <f t="shared" si="42"/>
        <v>0</v>
      </c>
      <c r="R207" s="60">
        <v>0</v>
      </c>
      <c r="S207" s="61">
        <f t="shared" si="43"/>
        <v>0</v>
      </c>
      <c r="T207" s="60">
        <v>0</v>
      </c>
      <c r="U207" s="64">
        <f t="shared" si="44"/>
        <v>0</v>
      </c>
      <c r="V207" s="65">
        <v>0</v>
      </c>
      <c r="W207" s="66">
        <f t="shared" si="45"/>
        <v>0</v>
      </c>
      <c r="X207" s="67">
        <f t="shared" si="46"/>
        <v>0</v>
      </c>
      <c r="Y207" s="57" t="str">
        <f t="shared" si="47"/>
        <v>NIL PLEASE PURCHASE</v>
      </c>
      <c r="Z207" s="68" t="s">
        <v>1539</v>
      </c>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c r="BU207" s="8"/>
      <c r="BV207" s="8"/>
      <c r="BW207" s="8"/>
      <c r="BX207" s="8"/>
      <c r="BY207" s="8"/>
      <c r="BZ207" s="8"/>
      <c r="CA207" s="8"/>
      <c r="CB207" s="8"/>
      <c r="CC207" s="8"/>
      <c r="CD207" s="8"/>
      <c r="CE207" s="8"/>
      <c r="CF207" s="8"/>
      <c r="CG207" s="8"/>
      <c r="CH207" s="8"/>
      <c r="CI207" s="8"/>
      <c r="CJ207" s="8"/>
      <c r="CK207" s="8"/>
      <c r="CL207" s="8"/>
      <c r="CM207" s="8"/>
      <c r="CN207" s="8"/>
      <c r="CO207" s="8"/>
      <c r="CP207" s="8"/>
      <c r="CQ207" s="8"/>
      <c r="CR207" s="8"/>
      <c r="CS207" s="8"/>
      <c r="CT207" s="8"/>
      <c r="CU207" s="8"/>
      <c r="CV207" s="8"/>
      <c r="CW207" s="8"/>
      <c r="CX207" s="8"/>
      <c r="CY207" s="8"/>
      <c r="CZ207" s="8"/>
      <c r="DA207" s="8"/>
      <c r="DB207" s="8"/>
      <c r="DC207" s="8"/>
      <c r="DD207" s="8"/>
      <c r="DE207" s="8"/>
      <c r="DF207" s="8"/>
      <c r="DG207" s="8"/>
      <c r="DH207" s="8"/>
      <c r="DI207" s="8"/>
      <c r="DJ207" s="8"/>
      <c r="DK207" s="8"/>
      <c r="DL207" s="8"/>
      <c r="DM207" s="8"/>
      <c r="DN207" s="8"/>
      <c r="DO207" s="8"/>
      <c r="DP207" s="8"/>
      <c r="DQ207" s="8"/>
      <c r="DR207" s="8"/>
      <c r="DS207" s="8"/>
      <c r="DT207" s="8"/>
      <c r="DU207" s="8"/>
    </row>
    <row r="208" spans="1:125" s="1" customFormat="1" ht="20.100000000000001" customHeight="1" x14ac:dyDescent="0.25">
      <c r="A208" s="59" t="s">
        <v>438</v>
      </c>
      <c r="B208" s="84">
        <v>206</v>
      </c>
      <c r="C208" s="85" t="s">
        <v>211</v>
      </c>
      <c r="D208" s="60">
        <v>0</v>
      </c>
      <c r="E208" s="61">
        <f t="shared" si="36"/>
        <v>0</v>
      </c>
      <c r="F208" s="60">
        <v>0</v>
      </c>
      <c r="G208" s="61">
        <f t="shared" si="37"/>
        <v>0</v>
      </c>
      <c r="H208" s="60">
        <v>0</v>
      </c>
      <c r="I208" s="61">
        <f t="shared" si="38"/>
        <v>0</v>
      </c>
      <c r="J208" s="60">
        <v>0</v>
      </c>
      <c r="K208" s="61">
        <f t="shared" si="39"/>
        <v>0</v>
      </c>
      <c r="L208" s="62"/>
      <c r="M208" s="61">
        <f t="shared" si="40"/>
        <v>0</v>
      </c>
      <c r="N208" s="63">
        <v>0</v>
      </c>
      <c r="O208" s="61">
        <f t="shared" si="41"/>
        <v>0</v>
      </c>
      <c r="P208" s="60">
        <v>0</v>
      </c>
      <c r="Q208" s="61">
        <f t="shared" si="42"/>
        <v>0</v>
      </c>
      <c r="R208" s="60">
        <v>0</v>
      </c>
      <c r="S208" s="61">
        <f t="shared" si="43"/>
        <v>0</v>
      </c>
      <c r="T208" s="60">
        <v>0</v>
      </c>
      <c r="U208" s="64">
        <f t="shared" si="44"/>
        <v>0</v>
      </c>
      <c r="V208" s="65">
        <v>0</v>
      </c>
      <c r="W208" s="66">
        <f t="shared" si="45"/>
        <v>0</v>
      </c>
      <c r="X208" s="67">
        <f t="shared" si="46"/>
        <v>0</v>
      </c>
      <c r="Y208" s="57" t="str">
        <f t="shared" si="47"/>
        <v>NIL PLEASE PURCHASE</v>
      </c>
      <c r="Z208" s="68" t="s">
        <v>1539</v>
      </c>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c r="BU208" s="8"/>
      <c r="BV208" s="8"/>
      <c r="BW208" s="8"/>
      <c r="BX208" s="8"/>
      <c r="BY208" s="8"/>
      <c r="BZ208" s="8"/>
      <c r="CA208" s="8"/>
      <c r="CB208" s="8"/>
      <c r="CC208" s="8"/>
      <c r="CD208" s="8"/>
      <c r="CE208" s="8"/>
      <c r="CF208" s="8"/>
      <c r="CG208" s="8"/>
      <c r="CH208" s="8"/>
      <c r="CI208" s="8"/>
      <c r="CJ208" s="8"/>
      <c r="CK208" s="8"/>
      <c r="CL208" s="8"/>
      <c r="CM208" s="8"/>
      <c r="CN208" s="8"/>
      <c r="CO208" s="8"/>
      <c r="CP208" s="8"/>
      <c r="CQ208" s="8"/>
      <c r="CR208" s="8"/>
      <c r="CS208" s="8"/>
      <c r="CT208" s="8"/>
      <c r="CU208" s="8"/>
      <c r="CV208" s="8"/>
      <c r="CW208" s="8"/>
      <c r="CX208" s="8"/>
      <c r="CY208" s="8"/>
      <c r="CZ208" s="8"/>
      <c r="DA208" s="8"/>
      <c r="DB208" s="8"/>
      <c r="DC208" s="8"/>
      <c r="DD208" s="8"/>
      <c r="DE208" s="8"/>
      <c r="DF208" s="8"/>
      <c r="DG208" s="8"/>
      <c r="DH208" s="8"/>
      <c r="DI208" s="8"/>
      <c r="DJ208" s="8"/>
      <c r="DK208" s="8"/>
      <c r="DL208" s="8"/>
      <c r="DM208" s="8"/>
      <c r="DN208" s="8"/>
      <c r="DO208" s="8"/>
      <c r="DP208" s="8"/>
      <c r="DQ208" s="8"/>
      <c r="DR208" s="8"/>
      <c r="DS208" s="8"/>
      <c r="DT208" s="8"/>
      <c r="DU208" s="8"/>
    </row>
    <row r="209" spans="1:125" s="1" customFormat="1" ht="20.100000000000001" customHeight="1" x14ac:dyDescent="0.25">
      <c r="A209" s="59" t="s">
        <v>439</v>
      </c>
      <c r="B209" s="84">
        <v>207</v>
      </c>
      <c r="C209" s="85" t="s">
        <v>210</v>
      </c>
      <c r="D209" s="60">
        <v>0</v>
      </c>
      <c r="E209" s="61">
        <f t="shared" si="36"/>
        <v>0</v>
      </c>
      <c r="F209" s="60">
        <v>0</v>
      </c>
      <c r="G209" s="61">
        <f t="shared" si="37"/>
        <v>0</v>
      </c>
      <c r="H209" s="60">
        <v>0</v>
      </c>
      <c r="I209" s="61">
        <f t="shared" si="38"/>
        <v>0</v>
      </c>
      <c r="J209" s="60">
        <v>0</v>
      </c>
      <c r="K209" s="61">
        <f t="shared" si="39"/>
        <v>0</v>
      </c>
      <c r="L209" s="62"/>
      <c r="M209" s="61">
        <f t="shared" si="40"/>
        <v>0</v>
      </c>
      <c r="N209" s="63">
        <v>0</v>
      </c>
      <c r="O209" s="61">
        <f t="shared" si="41"/>
        <v>0</v>
      </c>
      <c r="P209" s="60">
        <v>0</v>
      </c>
      <c r="Q209" s="61">
        <f t="shared" si="42"/>
        <v>0</v>
      </c>
      <c r="R209" s="60">
        <v>0</v>
      </c>
      <c r="S209" s="61">
        <f t="shared" si="43"/>
        <v>0</v>
      </c>
      <c r="T209" s="60">
        <v>0</v>
      </c>
      <c r="U209" s="64">
        <f t="shared" si="44"/>
        <v>0</v>
      </c>
      <c r="V209" s="65">
        <v>0</v>
      </c>
      <c r="W209" s="66">
        <f t="shared" si="45"/>
        <v>0</v>
      </c>
      <c r="X209" s="67">
        <f t="shared" si="46"/>
        <v>0</v>
      </c>
      <c r="Y209" s="57" t="str">
        <f t="shared" si="47"/>
        <v>NIL PLEASE PURCHASE</v>
      </c>
      <c r="Z209" s="68" t="s">
        <v>1539</v>
      </c>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c r="BU209" s="8"/>
      <c r="BV209" s="8"/>
      <c r="BW209" s="8"/>
      <c r="BX209" s="8"/>
      <c r="BY209" s="8"/>
      <c r="BZ209" s="8"/>
      <c r="CA209" s="8"/>
      <c r="CB209" s="8"/>
      <c r="CC209" s="8"/>
      <c r="CD209" s="8"/>
      <c r="CE209" s="8"/>
      <c r="CF209" s="8"/>
      <c r="CG209" s="8"/>
      <c r="CH209" s="8"/>
      <c r="CI209" s="8"/>
      <c r="CJ209" s="8"/>
      <c r="CK209" s="8"/>
      <c r="CL209" s="8"/>
      <c r="CM209" s="8"/>
      <c r="CN209" s="8"/>
      <c r="CO209" s="8"/>
      <c r="CP209" s="8"/>
      <c r="CQ209" s="8"/>
      <c r="CR209" s="8"/>
      <c r="CS209" s="8"/>
      <c r="CT209" s="8"/>
      <c r="CU209" s="8"/>
      <c r="CV209" s="8"/>
      <c r="CW209" s="8"/>
      <c r="CX209" s="8"/>
      <c r="CY209" s="8"/>
      <c r="CZ209" s="8"/>
      <c r="DA209" s="8"/>
      <c r="DB209" s="8"/>
      <c r="DC209" s="8"/>
      <c r="DD209" s="8"/>
      <c r="DE209" s="8"/>
      <c r="DF209" s="8"/>
      <c r="DG209" s="8"/>
      <c r="DH209" s="8"/>
      <c r="DI209" s="8"/>
      <c r="DJ209" s="8"/>
      <c r="DK209" s="8"/>
      <c r="DL209" s="8"/>
      <c r="DM209" s="8"/>
      <c r="DN209" s="8"/>
      <c r="DO209" s="8"/>
      <c r="DP209" s="8"/>
      <c r="DQ209" s="8"/>
      <c r="DR209" s="8"/>
      <c r="DS209" s="8"/>
      <c r="DT209" s="8"/>
      <c r="DU209" s="8"/>
    </row>
    <row r="210" spans="1:125" s="1" customFormat="1" ht="20.100000000000001" customHeight="1" x14ac:dyDescent="0.25">
      <c r="A210" s="59" t="s">
        <v>440</v>
      </c>
      <c r="B210" s="84">
        <v>208</v>
      </c>
      <c r="C210" s="85" t="s">
        <v>212</v>
      </c>
      <c r="D210" s="60">
        <v>0</v>
      </c>
      <c r="E210" s="61">
        <f t="shared" si="36"/>
        <v>0</v>
      </c>
      <c r="F210" s="60">
        <v>0</v>
      </c>
      <c r="G210" s="61">
        <f t="shared" si="37"/>
        <v>0</v>
      </c>
      <c r="H210" s="60">
        <v>0</v>
      </c>
      <c r="I210" s="61">
        <f t="shared" si="38"/>
        <v>0</v>
      </c>
      <c r="J210" s="60">
        <v>0</v>
      </c>
      <c r="K210" s="61">
        <f t="shared" si="39"/>
        <v>0</v>
      </c>
      <c r="L210" s="62"/>
      <c r="M210" s="61">
        <f t="shared" si="40"/>
        <v>0</v>
      </c>
      <c r="N210" s="63">
        <v>0</v>
      </c>
      <c r="O210" s="61">
        <f t="shared" si="41"/>
        <v>0</v>
      </c>
      <c r="P210" s="60">
        <v>0</v>
      </c>
      <c r="Q210" s="61">
        <f t="shared" si="42"/>
        <v>0</v>
      </c>
      <c r="R210" s="60">
        <v>0</v>
      </c>
      <c r="S210" s="61">
        <f t="shared" si="43"/>
        <v>0</v>
      </c>
      <c r="T210" s="60">
        <v>0</v>
      </c>
      <c r="U210" s="64">
        <f t="shared" si="44"/>
        <v>0</v>
      </c>
      <c r="V210" s="65">
        <v>0</v>
      </c>
      <c r="W210" s="66">
        <f t="shared" si="45"/>
        <v>0</v>
      </c>
      <c r="X210" s="67">
        <f t="shared" si="46"/>
        <v>0</v>
      </c>
      <c r="Y210" s="57" t="str">
        <f t="shared" si="47"/>
        <v>NIL PLEASE PURCHASE</v>
      </c>
      <c r="Z210" s="68" t="s">
        <v>1539</v>
      </c>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c r="BU210" s="8"/>
      <c r="BV210" s="8"/>
      <c r="BW210" s="8"/>
      <c r="BX210" s="8"/>
      <c r="BY210" s="8"/>
      <c r="BZ210" s="8"/>
      <c r="CA210" s="8"/>
      <c r="CB210" s="8"/>
      <c r="CC210" s="8"/>
      <c r="CD210" s="8"/>
      <c r="CE210" s="8"/>
      <c r="CF210" s="8"/>
      <c r="CG210" s="8"/>
      <c r="CH210" s="8"/>
      <c r="CI210" s="8"/>
      <c r="CJ210" s="8"/>
      <c r="CK210" s="8"/>
      <c r="CL210" s="8"/>
      <c r="CM210" s="8"/>
      <c r="CN210" s="8"/>
      <c r="CO210" s="8"/>
      <c r="CP210" s="8"/>
      <c r="CQ210" s="8"/>
      <c r="CR210" s="8"/>
      <c r="CS210" s="8"/>
      <c r="CT210" s="8"/>
      <c r="CU210" s="8"/>
      <c r="CV210" s="8"/>
      <c r="CW210" s="8"/>
      <c r="CX210" s="8"/>
      <c r="CY210" s="8"/>
      <c r="CZ210" s="8"/>
      <c r="DA210" s="8"/>
      <c r="DB210" s="8"/>
      <c r="DC210" s="8"/>
      <c r="DD210" s="8"/>
      <c r="DE210" s="8"/>
      <c r="DF210" s="8"/>
      <c r="DG210" s="8"/>
      <c r="DH210" s="8"/>
      <c r="DI210" s="8"/>
      <c r="DJ210" s="8"/>
      <c r="DK210" s="8"/>
      <c r="DL210" s="8"/>
      <c r="DM210" s="8"/>
      <c r="DN210" s="8"/>
      <c r="DO210" s="8"/>
      <c r="DP210" s="8"/>
      <c r="DQ210" s="8"/>
      <c r="DR210" s="8"/>
      <c r="DS210" s="8"/>
      <c r="DT210" s="8"/>
      <c r="DU210" s="8"/>
    </row>
    <row r="211" spans="1:125" s="1" customFormat="1" ht="20.100000000000001" customHeight="1" x14ac:dyDescent="0.25">
      <c r="A211" s="59" t="s">
        <v>441</v>
      </c>
      <c r="B211" s="84">
        <v>209</v>
      </c>
      <c r="C211" s="85" t="s">
        <v>213</v>
      </c>
      <c r="D211" s="60">
        <v>0</v>
      </c>
      <c r="E211" s="61">
        <f t="shared" si="36"/>
        <v>0</v>
      </c>
      <c r="F211" s="60">
        <v>0</v>
      </c>
      <c r="G211" s="61">
        <f t="shared" si="37"/>
        <v>0</v>
      </c>
      <c r="H211" s="60">
        <v>0</v>
      </c>
      <c r="I211" s="61">
        <f t="shared" si="38"/>
        <v>0</v>
      </c>
      <c r="J211" s="60">
        <v>0</v>
      </c>
      <c r="K211" s="61">
        <f t="shared" si="39"/>
        <v>0</v>
      </c>
      <c r="L211" s="62"/>
      <c r="M211" s="61">
        <f t="shared" si="40"/>
        <v>0</v>
      </c>
      <c r="N211" s="63">
        <v>0</v>
      </c>
      <c r="O211" s="61">
        <f t="shared" si="41"/>
        <v>0</v>
      </c>
      <c r="P211" s="60">
        <v>0</v>
      </c>
      <c r="Q211" s="61">
        <f t="shared" si="42"/>
        <v>0</v>
      </c>
      <c r="R211" s="60">
        <v>0</v>
      </c>
      <c r="S211" s="61">
        <f t="shared" si="43"/>
        <v>0</v>
      </c>
      <c r="T211" s="60">
        <v>0</v>
      </c>
      <c r="U211" s="64">
        <f t="shared" si="44"/>
        <v>0</v>
      </c>
      <c r="V211" s="65">
        <v>0</v>
      </c>
      <c r="W211" s="66">
        <f t="shared" si="45"/>
        <v>0</v>
      </c>
      <c r="X211" s="67">
        <f t="shared" si="46"/>
        <v>0</v>
      </c>
      <c r="Y211" s="57" t="str">
        <f t="shared" si="47"/>
        <v>NIL PLEASE PURCHASE</v>
      </c>
      <c r="Z211" s="68" t="s">
        <v>1539</v>
      </c>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c r="BU211" s="8"/>
      <c r="BV211" s="8"/>
      <c r="BW211" s="8"/>
      <c r="BX211" s="8"/>
      <c r="BY211" s="8"/>
      <c r="BZ211" s="8"/>
      <c r="CA211" s="8"/>
      <c r="CB211" s="8"/>
      <c r="CC211" s="8"/>
      <c r="CD211" s="8"/>
      <c r="CE211" s="8"/>
      <c r="CF211" s="8"/>
      <c r="CG211" s="8"/>
      <c r="CH211" s="8"/>
      <c r="CI211" s="8"/>
      <c r="CJ211" s="8"/>
      <c r="CK211" s="8"/>
      <c r="CL211" s="8"/>
      <c r="CM211" s="8"/>
      <c r="CN211" s="8"/>
      <c r="CO211" s="8"/>
      <c r="CP211" s="8"/>
      <c r="CQ211" s="8"/>
      <c r="CR211" s="8"/>
      <c r="CS211" s="8"/>
      <c r="CT211" s="8"/>
      <c r="CU211" s="8"/>
      <c r="CV211" s="8"/>
      <c r="CW211" s="8"/>
      <c r="CX211" s="8"/>
      <c r="CY211" s="8"/>
      <c r="CZ211" s="8"/>
      <c r="DA211" s="8"/>
      <c r="DB211" s="8"/>
      <c r="DC211" s="8"/>
      <c r="DD211" s="8"/>
      <c r="DE211" s="8"/>
      <c r="DF211" s="8"/>
      <c r="DG211" s="8"/>
      <c r="DH211" s="8"/>
      <c r="DI211" s="8"/>
      <c r="DJ211" s="8"/>
      <c r="DK211" s="8"/>
      <c r="DL211" s="8"/>
      <c r="DM211" s="8"/>
      <c r="DN211" s="8"/>
      <c r="DO211" s="8"/>
      <c r="DP211" s="8"/>
      <c r="DQ211" s="8"/>
      <c r="DR211" s="8"/>
      <c r="DS211" s="8"/>
      <c r="DT211" s="8"/>
      <c r="DU211" s="8"/>
    </row>
    <row r="212" spans="1:125" s="1" customFormat="1" ht="20.100000000000001" customHeight="1" x14ac:dyDescent="0.25">
      <c r="A212" s="59" t="s">
        <v>442</v>
      </c>
      <c r="B212" s="84">
        <v>210</v>
      </c>
      <c r="C212" s="85" t="s">
        <v>214</v>
      </c>
      <c r="D212" s="60">
        <v>0</v>
      </c>
      <c r="E212" s="61">
        <f t="shared" si="36"/>
        <v>0</v>
      </c>
      <c r="F212" s="60">
        <v>0</v>
      </c>
      <c r="G212" s="61">
        <f t="shared" si="37"/>
        <v>0</v>
      </c>
      <c r="H212" s="60">
        <v>0</v>
      </c>
      <c r="I212" s="61">
        <f t="shared" si="38"/>
        <v>0</v>
      </c>
      <c r="J212" s="60">
        <v>0</v>
      </c>
      <c r="K212" s="61">
        <f t="shared" si="39"/>
        <v>0</v>
      </c>
      <c r="L212" s="62"/>
      <c r="M212" s="61">
        <f t="shared" si="40"/>
        <v>0</v>
      </c>
      <c r="N212" s="63">
        <v>4</v>
      </c>
      <c r="O212" s="61">
        <f t="shared" si="41"/>
        <v>2000</v>
      </c>
      <c r="P212" s="60">
        <v>0</v>
      </c>
      <c r="Q212" s="61">
        <f t="shared" si="42"/>
        <v>0</v>
      </c>
      <c r="R212" s="60">
        <v>0</v>
      </c>
      <c r="S212" s="61">
        <f t="shared" si="43"/>
        <v>0</v>
      </c>
      <c r="T212" s="60">
        <v>0</v>
      </c>
      <c r="U212" s="64">
        <f t="shared" si="44"/>
        <v>0</v>
      </c>
      <c r="V212" s="65">
        <v>0</v>
      </c>
      <c r="W212" s="66">
        <f t="shared" si="45"/>
        <v>2000</v>
      </c>
      <c r="X212" s="67">
        <f t="shared" si="46"/>
        <v>2</v>
      </c>
      <c r="Y212" s="57" t="str">
        <f t="shared" si="47"/>
        <v>STOCK</v>
      </c>
      <c r="Z212" s="68" t="s">
        <v>1538</v>
      </c>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c r="BU212" s="8"/>
      <c r="BV212" s="8"/>
      <c r="BW212" s="8"/>
      <c r="BX212" s="8"/>
      <c r="BY212" s="8"/>
      <c r="BZ212" s="8"/>
      <c r="CA212" s="8"/>
      <c r="CB212" s="8"/>
      <c r="CC212" s="8"/>
      <c r="CD212" s="8"/>
      <c r="CE212" s="8"/>
      <c r="CF212" s="8"/>
      <c r="CG212" s="8"/>
      <c r="CH212" s="8"/>
      <c r="CI212" s="8"/>
      <c r="CJ212" s="8"/>
      <c r="CK212" s="8"/>
      <c r="CL212" s="8"/>
      <c r="CM212" s="8"/>
      <c r="CN212" s="8"/>
      <c r="CO212" s="8"/>
      <c r="CP212" s="8"/>
      <c r="CQ212" s="8"/>
      <c r="CR212" s="8"/>
      <c r="CS212" s="8"/>
      <c r="CT212" s="8"/>
      <c r="CU212" s="8"/>
      <c r="CV212" s="8"/>
      <c r="CW212" s="8"/>
      <c r="CX212" s="8"/>
      <c r="CY212" s="8"/>
      <c r="CZ212" s="8"/>
      <c r="DA212" s="8"/>
      <c r="DB212" s="8"/>
      <c r="DC212" s="8"/>
      <c r="DD212" s="8"/>
      <c r="DE212" s="8"/>
      <c r="DF212" s="8"/>
      <c r="DG212" s="8"/>
      <c r="DH212" s="8"/>
      <c r="DI212" s="8"/>
      <c r="DJ212" s="8"/>
      <c r="DK212" s="8"/>
      <c r="DL212" s="8"/>
      <c r="DM212" s="8"/>
      <c r="DN212" s="8"/>
      <c r="DO212" s="8"/>
      <c r="DP212" s="8"/>
      <c r="DQ212" s="8"/>
      <c r="DR212" s="8"/>
      <c r="DS212" s="8"/>
      <c r="DT212" s="8"/>
      <c r="DU212" s="8"/>
    </row>
    <row r="213" spans="1:125" s="1" customFormat="1" ht="20.100000000000001" customHeight="1" x14ac:dyDescent="0.25">
      <c r="A213" s="59" t="s">
        <v>443</v>
      </c>
      <c r="B213" s="84">
        <v>211</v>
      </c>
      <c r="C213" s="85" t="s">
        <v>215</v>
      </c>
      <c r="D213" s="60">
        <v>0</v>
      </c>
      <c r="E213" s="61">
        <f t="shared" si="36"/>
        <v>0</v>
      </c>
      <c r="F213" s="60">
        <v>0</v>
      </c>
      <c r="G213" s="61">
        <f t="shared" si="37"/>
        <v>0</v>
      </c>
      <c r="H213" s="60">
        <v>0</v>
      </c>
      <c r="I213" s="61">
        <f t="shared" si="38"/>
        <v>0</v>
      </c>
      <c r="J213" s="60">
        <v>0</v>
      </c>
      <c r="K213" s="61">
        <f t="shared" si="39"/>
        <v>0</v>
      </c>
      <c r="L213" s="62"/>
      <c r="M213" s="61">
        <f t="shared" si="40"/>
        <v>0</v>
      </c>
      <c r="N213" s="63">
        <v>5</v>
      </c>
      <c r="O213" s="61">
        <f t="shared" si="41"/>
        <v>2500</v>
      </c>
      <c r="P213" s="60">
        <v>0</v>
      </c>
      <c r="Q213" s="61">
        <f t="shared" si="42"/>
        <v>0</v>
      </c>
      <c r="R213" s="60">
        <v>0</v>
      </c>
      <c r="S213" s="61">
        <f t="shared" si="43"/>
        <v>0</v>
      </c>
      <c r="T213" s="60">
        <v>0</v>
      </c>
      <c r="U213" s="64">
        <f t="shared" si="44"/>
        <v>0</v>
      </c>
      <c r="V213" s="65">
        <v>0</v>
      </c>
      <c r="W213" s="66">
        <f t="shared" si="45"/>
        <v>2500</v>
      </c>
      <c r="X213" s="67">
        <f t="shared" si="46"/>
        <v>2.5</v>
      </c>
      <c r="Y213" s="57" t="str">
        <f t="shared" si="47"/>
        <v>STOCK</v>
      </c>
      <c r="Z213" s="68" t="s">
        <v>1538</v>
      </c>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c r="BU213" s="8"/>
      <c r="BV213" s="8"/>
      <c r="BW213" s="8"/>
      <c r="BX213" s="8"/>
      <c r="BY213" s="8"/>
      <c r="BZ213" s="8"/>
      <c r="CA213" s="8"/>
      <c r="CB213" s="8"/>
      <c r="CC213" s="8"/>
      <c r="CD213" s="8"/>
      <c r="CE213" s="8"/>
      <c r="CF213" s="8"/>
      <c r="CG213" s="8"/>
      <c r="CH213" s="8"/>
      <c r="CI213" s="8"/>
      <c r="CJ213" s="8"/>
      <c r="CK213" s="8"/>
      <c r="CL213" s="8"/>
      <c r="CM213" s="8"/>
      <c r="CN213" s="8"/>
      <c r="CO213" s="8"/>
      <c r="CP213" s="8"/>
      <c r="CQ213" s="8"/>
      <c r="CR213" s="8"/>
      <c r="CS213" s="8"/>
      <c r="CT213" s="8"/>
      <c r="CU213" s="8"/>
      <c r="CV213" s="8"/>
      <c r="CW213" s="8"/>
      <c r="CX213" s="8"/>
      <c r="CY213" s="8"/>
      <c r="CZ213" s="8"/>
      <c r="DA213" s="8"/>
      <c r="DB213" s="8"/>
      <c r="DC213" s="8"/>
      <c r="DD213" s="8"/>
      <c r="DE213" s="8"/>
      <c r="DF213" s="8"/>
      <c r="DG213" s="8"/>
      <c r="DH213" s="8"/>
      <c r="DI213" s="8"/>
      <c r="DJ213" s="8"/>
      <c r="DK213" s="8"/>
      <c r="DL213" s="8"/>
      <c r="DM213" s="8"/>
      <c r="DN213" s="8"/>
      <c r="DO213" s="8"/>
      <c r="DP213" s="8"/>
      <c r="DQ213" s="8"/>
      <c r="DR213" s="8"/>
      <c r="DS213" s="8"/>
      <c r="DT213" s="8"/>
      <c r="DU213" s="8"/>
    </row>
    <row r="214" spans="1:125" s="1" customFormat="1" ht="20.100000000000001" customHeight="1" x14ac:dyDescent="0.25">
      <c r="A214" s="59" t="s">
        <v>444</v>
      </c>
      <c r="B214" s="84">
        <v>212</v>
      </c>
      <c r="C214" s="85" t="s">
        <v>216</v>
      </c>
      <c r="D214" s="60">
        <v>0</v>
      </c>
      <c r="E214" s="61">
        <f t="shared" si="36"/>
        <v>0</v>
      </c>
      <c r="F214" s="60">
        <v>0</v>
      </c>
      <c r="G214" s="61">
        <f t="shared" si="37"/>
        <v>0</v>
      </c>
      <c r="H214" s="60">
        <v>0</v>
      </c>
      <c r="I214" s="61">
        <f t="shared" si="38"/>
        <v>0</v>
      </c>
      <c r="J214" s="60">
        <v>0</v>
      </c>
      <c r="K214" s="61">
        <f t="shared" si="39"/>
        <v>0</v>
      </c>
      <c r="L214" s="62"/>
      <c r="M214" s="61">
        <f t="shared" si="40"/>
        <v>0</v>
      </c>
      <c r="N214" s="63">
        <v>0</v>
      </c>
      <c r="O214" s="61">
        <f t="shared" si="41"/>
        <v>0</v>
      </c>
      <c r="P214" s="60">
        <v>0</v>
      </c>
      <c r="Q214" s="61">
        <f t="shared" si="42"/>
        <v>0</v>
      </c>
      <c r="R214" s="60">
        <v>0</v>
      </c>
      <c r="S214" s="61">
        <f t="shared" si="43"/>
        <v>0</v>
      </c>
      <c r="T214" s="60">
        <v>0</v>
      </c>
      <c r="U214" s="64">
        <f t="shared" si="44"/>
        <v>0</v>
      </c>
      <c r="V214" s="65">
        <v>0</v>
      </c>
      <c r="W214" s="66">
        <f t="shared" si="45"/>
        <v>0</v>
      </c>
      <c r="X214" s="67">
        <f t="shared" si="46"/>
        <v>0</v>
      </c>
      <c r="Y214" s="57" t="str">
        <f t="shared" si="47"/>
        <v>NIL PLEASE PURCHASE</v>
      </c>
      <c r="Z214" s="68" t="s">
        <v>1539</v>
      </c>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c r="BU214" s="8"/>
      <c r="BV214" s="8"/>
      <c r="BW214" s="8"/>
      <c r="BX214" s="8"/>
      <c r="BY214" s="8"/>
      <c r="BZ214" s="8"/>
      <c r="CA214" s="8"/>
      <c r="CB214" s="8"/>
      <c r="CC214" s="8"/>
      <c r="CD214" s="8"/>
      <c r="CE214" s="8"/>
      <c r="CF214" s="8"/>
      <c r="CG214" s="8"/>
      <c r="CH214" s="8"/>
      <c r="CI214" s="8"/>
      <c r="CJ214" s="8"/>
      <c r="CK214" s="8"/>
      <c r="CL214" s="8"/>
      <c r="CM214" s="8"/>
      <c r="CN214" s="8"/>
      <c r="CO214" s="8"/>
      <c r="CP214" s="8"/>
      <c r="CQ214" s="8"/>
      <c r="CR214" s="8"/>
      <c r="CS214" s="8"/>
      <c r="CT214" s="8"/>
      <c r="CU214" s="8"/>
      <c r="CV214" s="8"/>
      <c r="CW214" s="8"/>
      <c r="CX214" s="8"/>
      <c r="CY214" s="8"/>
      <c r="CZ214" s="8"/>
      <c r="DA214" s="8"/>
      <c r="DB214" s="8"/>
      <c r="DC214" s="8"/>
      <c r="DD214" s="8"/>
      <c r="DE214" s="8"/>
      <c r="DF214" s="8"/>
      <c r="DG214" s="8"/>
      <c r="DH214" s="8"/>
      <c r="DI214" s="8"/>
      <c r="DJ214" s="8"/>
      <c r="DK214" s="8"/>
      <c r="DL214" s="8"/>
      <c r="DM214" s="8"/>
      <c r="DN214" s="8"/>
      <c r="DO214" s="8"/>
      <c r="DP214" s="8"/>
      <c r="DQ214" s="8"/>
      <c r="DR214" s="8"/>
      <c r="DS214" s="8"/>
      <c r="DT214" s="8"/>
      <c r="DU214" s="8"/>
    </row>
    <row r="215" spans="1:125" s="1" customFormat="1" ht="20.100000000000001" customHeight="1" x14ac:dyDescent="0.25">
      <c r="A215" s="59" t="s">
        <v>445</v>
      </c>
      <c r="B215" s="84">
        <v>213</v>
      </c>
      <c r="C215" s="85" t="s">
        <v>217</v>
      </c>
      <c r="D215" s="60">
        <v>0</v>
      </c>
      <c r="E215" s="61">
        <f t="shared" si="36"/>
        <v>0</v>
      </c>
      <c r="F215" s="60">
        <v>0</v>
      </c>
      <c r="G215" s="61">
        <f t="shared" si="37"/>
        <v>0</v>
      </c>
      <c r="H215" s="60">
        <v>0</v>
      </c>
      <c r="I215" s="61">
        <f t="shared" si="38"/>
        <v>0</v>
      </c>
      <c r="J215" s="60">
        <v>0</v>
      </c>
      <c r="K215" s="61">
        <f t="shared" si="39"/>
        <v>0</v>
      </c>
      <c r="L215" s="62"/>
      <c r="M215" s="61">
        <f t="shared" si="40"/>
        <v>0</v>
      </c>
      <c r="N215" s="63">
        <v>12</v>
      </c>
      <c r="O215" s="61">
        <f t="shared" si="41"/>
        <v>6000</v>
      </c>
      <c r="P215" s="60">
        <v>0</v>
      </c>
      <c r="Q215" s="61">
        <f t="shared" si="42"/>
        <v>0</v>
      </c>
      <c r="R215" s="60">
        <v>0</v>
      </c>
      <c r="S215" s="61">
        <f t="shared" si="43"/>
        <v>0</v>
      </c>
      <c r="T215" s="60">
        <v>0</v>
      </c>
      <c r="U215" s="64">
        <f t="shared" si="44"/>
        <v>0</v>
      </c>
      <c r="V215" s="65">
        <v>0</v>
      </c>
      <c r="W215" s="66">
        <f t="shared" si="45"/>
        <v>6000</v>
      </c>
      <c r="X215" s="67">
        <f t="shared" si="46"/>
        <v>6</v>
      </c>
      <c r="Y215" s="57" t="str">
        <f t="shared" si="47"/>
        <v>STOCK</v>
      </c>
      <c r="Z215" s="68" t="s">
        <v>1538</v>
      </c>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c r="BU215" s="8"/>
      <c r="BV215" s="8"/>
      <c r="BW215" s="8"/>
      <c r="BX215" s="8"/>
      <c r="BY215" s="8"/>
      <c r="BZ215" s="8"/>
      <c r="CA215" s="8"/>
      <c r="CB215" s="8"/>
      <c r="CC215" s="8"/>
      <c r="CD215" s="8"/>
      <c r="CE215" s="8"/>
      <c r="CF215" s="8"/>
      <c r="CG215" s="8"/>
      <c r="CH215" s="8"/>
      <c r="CI215" s="8"/>
      <c r="CJ215" s="8"/>
      <c r="CK215" s="8"/>
      <c r="CL215" s="8"/>
      <c r="CM215" s="8"/>
      <c r="CN215" s="8"/>
      <c r="CO215" s="8"/>
      <c r="CP215" s="8"/>
      <c r="CQ215" s="8"/>
      <c r="CR215" s="8"/>
      <c r="CS215" s="8"/>
      <c r="CT215" s="8"/>
      <c r="CU215" s="8"/>
      <c r="CV215" s="8"/>
      <c r="CW215" s="8"/>
      <c r="CX215" s="8"/>
      <c r="CY215" s="8"/>
      <c r="CZ215" s="8"/>
      <c r="DA215" s="8"/>
      <c r="DB215" s="8"/>
      <c r="DC215" s="8"/>
      <c r="DD215" s="8"/>
      <c r="DE215" s="8"/>
      <c r="DF215" s="8"/>
      <c r="DG215" s="8"/>
      <c r="DH215" s="8"/>
      <c r="DI215" s="8"/>
      <c r="DJ215" s="8"/>
      <c r="DK215" s="8"/>
      <c r="DL215" s="8"/>
      <c r="DM215" s="8"/>
      <c r="DN215" s="8"/>
      <c r="DO215" s="8"/>
      <c r="DP215" s="8"/>
      <c r="DQ215" s="8"/>
      <c r="DR215" s="8"/>
      <c r="DS215" s="8"/>
      <c r="DT215" s="8"/>
      <c r="DU215" s="8"/>
    </row>
    <row r="216" spans="1:125" s="1" customFormat="1" ht="20.100000000000001" customHeight="1" x14ac:dyDescent="0.25">
      <c r="A216" s="59" t="s">
        <v>446</v>
      </c>
      <c r="B216" s="84">
        <v>214</v>
      </c>
      <c r="C216" s="85" t="s">
        <v>218</v>
      </c>
      <c r="D216" s="60">
        <v>0</v>
      </c>
      <c r="E216" s="61">
        <f t="shared" si="36"/>
        <v>0</v>
      </c>
      <c r="F216" s="60">
        <v>0</v>
      </c>
      <c r="G216" s="61">
        <f t="shared" si="37"/>
        <v>0</v>
      </c>
      <c r="H216" s="60">
        <v>0</v>
      </c>
      <c r="I216" s="61">
        <f t="shared" si="38"/>
        <v>0</v>
      </c>
      <c r="J216" s="60">
        <v>0</v>
      </c>
      <c r="K216" s="61">
        <f t="shared" si="39"/>
        <v>0</v>
      </c>
      <c r="L216" s="62"/>
      <c r="M216" s="61">
        <f t="shared" si="40"/>
        <v>0</v>
      </c>
      <c r="N216" s="63">
        <v>0</v>
      </c>
      <c r="O216" s="61">
        <f t="shared" si="41"/>
        <v>0</v>
      </c>
      <c r="P216" s="60">
        <v>0</v>
      </c>
      <c r="Q216" s="61">
        <f t="shared" si="42"/>
        <v>0</v>
      </c>
      <c r="R216" s="60">
        <v>0</v>
      </c>
      <c r="S216" s="61">
        <f t="shared" si="43"/>
        <v>0</v>
      </c>
      <c r="T216" s="60">
        <v>0</v>
      </c>
      <c r="U216" s="64">
        <f t="shared" si="44"/>
        <v>0</v>
      </c>
      <c r="V216" s="65">
        <v>0</v>
      </c>
      <c r="W216" s="66">
        <f t="shared" si="45"/>
        <v>0</v>
      </c>
      <c r="X216" s="67">
        <f t="shared" si="46"/>
        <v>0</v>
      </c>
      <c r="Y216" s="57" t="str">
        <f t="shared" si="47"/>
        <v>NIL PLEASE PURCHASE</v>
      </c>
      <c r="Z216" s="68" t="s">
        <v>1539</v>
      </c>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c r="BU216" s="8"/>
      <c r="BV216" s="8"/>
      <c r="BW216" s="8"/>
      <c r="BX216" s="8"/>
      <c r="BY216" s="8"/>
      <c r="BZ216" s="8"/>
      <c r="CA216" s="8"/>
      <c r="CB216" s="8"/>
      <c r="CC216" s="8"/>
      <c r="CD216" s="8"/>
      <c r="CE216" s="8"/>
      <c r="CF216" s="8"/>
      <c r="CG216" s="8"/>
      <c r="CH216" s="8"/>
      <c r="CI216" s="8"/>
      <c r="CJ216" s="8"/>
      <c r="CK216" s="8"/>
      <c r="CL216" s="8"/>
      <c r="CM216" s="8"/>
      <c r="CN216" s="8"/>
      <c r="CO216" s="8"/>
      <c r="CP216" s="8"/>
      <c r="CQ216" s="8"/>
      <c r="CR216" s="8"/>
      <c r="CS216" s="8"/>
      <c r="CT216" s="8"/>
      <c r="CU216" s="8"/>
      <c r="CV216" s="8"/>
      <c r="CW216" s="8"/>
      <c r="CX216" s="8"/>
      <c r="CY216" s="8"/>
      <c r="CZ216" s="8"/>
      <c r="DA216" s="8"/>
      <c r="DB216" s="8"/>
      <c r="DC216" s="8"/>
      <c r="DD216" s="8"/>
      <c r="DE216" s="8"/>
      <c r="DF216" s="8"/>
      <c r="DG216" s="8"/>
      <c r="DH216" s="8"/>
      <c r="DI216" s="8"/>
      <c r="DJ216" s="8"/>
      <c r="DK216" s="8"/>
      <c r="DL216" s="8"/>
      <c r="DM216" s="8"/>
      <c r="DN216" s="8"/>
      <c r="DO216" s="8"/>
      <c r="DP216" s="8"/>
      <c r="DQ216" s="8"/>
      <c r="DR216" s="8"/>
      <c r="DS216" s="8"/>
      <c r="DT216" s="8"/>
      <c r="DU216" s="8"/>
    </row>
    <row r="217" spans="1:125" s="1" customFormat="1" ht="20.100000000000001" customHeight="1" x14ac:dyDescent="0.25">
      <c r="A217" s="59" t="s">
        <v>447</v>
      </c>
      <c r="B217" s="84">
        <v>215</v>
      </c>
      <c r="C217" s="85" t="s">
        <v>219</v>
      </c>
      <c r="D217" s="60">
        <v>0</v>
      </c>
      <c r="E217" s="61">
        <f t="shared" si="36"/>
        <v>0</v>
      </c>
      <c r="F217" s="60">
        <v>0</v>
      </c>
      <c r="G217" s="61">
        <f t="shared" si="37"/>
        <v>0</v>
      </c>
      <c r="H217" s="60">
        <v>0</v>
      </c>
      <c r="I217" s="61">
        <f t="shared" si="38"/>
        <v>0</v>
      </c>
      <c r="J217" s="60">
        <v>0</v>
      </c>
      <c r="K217" s="61">
        <f t="shared" si="39"/>
        <v>0</v>
      </c>
      <c r="L217" s="62"/>
      <c r="M217" s="61">
        <f t="shared" si="40"/>
        <v>0</v>
      </c>
      <c r="N217" s="63">
        <v>2</v>
      </c>
      <c r="O217" s="61">
        <f t="shared" si="41"/>
        <v>1000</v>
      </c>
      <c r="P217" s="60">
        <v>0</v>
      </c>
      <c r="Q217" s="61">
        <f t="shared" si="42"/>
        <v>0</v>
      </c>
      <c r="R217" s="60">
        <v>0</v>
      </c>
      <c r="S217" s="61">
        <f t="shared" si="43"/>
        <v>0</v>
      </c>
      <c r="T217" s="60">
        <v>0</v>
      </c>
      <c r="U217" s="64">
        <f t="shared" si="44"/>
        <v>0</v>
      </c>
      <c r="V217" s="65">
        <v>0</v>
      </c>
      <c r="W217" s="66">
        <f t="shared" si="45"/>
        <v>1000</v>
      </c>
      <c r="X217" s="67">
        <f t="shared" si="46"/>
        <v>1</v>
      </c>
      <c r="Y217" s="57" t="str">
        <f t="shared" si="47"/>
        <v>STOCK</v>
      </c>
      <c r="Z217" s="68" t="s">
        <v>1538</v>
      </c>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c r="BU217" s="8"/>
      <c r="BV217" s="8"/>
      <c r="BW217" s="8"/>
      <c r="BX217" s="8"/>
      <c r="BY217" s="8"/>
      <c r="BZ217" s="8"/>
      <c r="CA217" s="8"/>
      <c r="CB217" s="8"/>
      <c r="CC217" s="8"/>
      <c r="CD217" s="8"/>
      <c r="CE217" s="8"/>
      <c r="CF217" s="8"/>
      <c r="CG217" s="8"/>
      <c r="CH217" s="8"/>
      <c r="CI217" s="8"/>
      <c r="CJ217" s="8"/>
      <c r="CK217" s="8"/>
      <c r="CL217" s="8"/>
      <c r="CM217" s="8"/>
      <c r="CN217" s="8"/>
      <c r="CO217" s="8"/>
      <c r="CP217" s="8"/>
      <c r="CQ217" s="8"/>
      <c r="CR217" s="8"/>
      <c r="CS217" s="8"/>
      <c r="CT217" s="8"/>
      <c r="CU217" s="8"/>
      <c r="CV217" s="8"/>
      <c r="CW217" s="8"/>
      <c r="CX217" s="8"/>
      <c r="CY217" s="8"/>
      <c r="CZ217" s="8"/>
      <c r="DA217" s="8"/>
      <c r="DB217" s="8"/>
      <c r="DC217" s="8"/>
      <c r="DD217" s="8"/>
      <c r="DE217" s="8"/>
      <c r="DF217" s="8"/>
      <c r="DG217" s="8"/>
      <c r="DH217" s="8"/>
      <c r="DI217" s="8"/>
      <c r="DJ217" s="8"/>
      <c r="DK217" s="8"/>
      <c r="DL217" s="8"/>
      <c r="DM217" s="8"/>
      <c r="DN217" s="8"/>
      <c r="DO217" s="8"/>
      <c r="DP217" s="8"/>
      <c r="DQ217" s="8"/>
      <c r="DR217" s="8"/>
      <c r="DS217" s="8"/>
      <c r="DT217" s="8"/>
      <c r="DU217" s="8"/>
    </row>
    <row r="218" spans="1:125" s="1" customFormat="1" ht="20.100000000000001" customHeight="1" x14ac:dyDescent="0.25">
      <c r="A218" s="59" t="s">
        <v>448</v>
      </c>
      <c r="B218" s="84">
        <v>216</v>
      </c>
      <c r="C218" s="85" t="s">
        <v>1921</v>
      </c>
      <c r="D218" s="60">
        <v>0</v>
      </c>
      <c r="E218" s="61">
        <f t="shared" si="36"/>
        <v>0</v>
      </c>
      <c r="F218" s="60">
        <v>0</v>
      </c>
      <c r="G218" s="61">
        <f t="shared" si="37"/>
        <v>0</v>
      </c>
      <c r="H218" s="60">
        <v>0</v>
      </c>
      <c r="I218" s="61">
        <f t="shared" si="38"/>
        <v>0</v>
      </c>
      <c r="J218" s="60">
        <v>0</v>
      </c>
      <c r="K218" s="61">
        <f t="shared" si="39"/>
        <v>0</v>
      </c>
      <c r="L218" s="62"/>
      <c r="M218" s="61">
        <f t="shared" si="40"/>
        <v>0</v>
      </c>
      <c r="N218" s="63">
        <v>12</v>
      </c>
      <c r="O218" s="61">
        <f t="shared" si="41"/>
        <v>6000</v>
      </c>
      <c r="P218" s="60">
        <v>0</v>
      </c>
      <c r="Q218" s="61">
        <f t="shared" si="42"/>
        <v>0</v>
      </c>
      <c r="R218" s="60">
        <v>0</v>
      </c>
      <c r="S218" s="61">
        <f t="shared" si="43"/>
        <v>0</v>
      </c>
      <c r="T218" s="60">
        <v>0</v>
      </c>
      <c r="U218" s="64">
        <f t="shared" si="44"/>
        <v>0</v>
      </c>
      <c r="V218" s="65">
        <v>0</v>
      </c>
      <c r="W218" s="66">
        <f t="shared" si="45"/>
        <v>6000</v>
      </c>
      <c r="X218" s="67">
        <f t="shared" si="46"/>
        <v>6</v>
      </c>
      <c r="Y218" s="57" t="str">
        <f t="shared" si="47"/>
        <v>STOCK</v>
      </c>
      <c r="Z218" s="68" t="s">
        <v>1538</v>
      </c>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c r="BU218" s="8"/>
      <c r="BV218" s="8"/>
      <c r="BW218" s="8"/>
      <c r="BX218" s="8"/>
      <c r="BY218" s="8"/>
      <c r="BZ218" s="8"/>
      <c r="CA218" s="8"/>
      <c r="CB218" s="8"/>
      <c r="CC218" s="8"/>
      <c r="CD218" s="8"/>
      <c r="CE218" s="8"/>
      <c r="CF218" s="8"/>
      <c r="CG218" s="8"/>
      <c r="CH218" s="8"/>
      <c r="CI218" s="8"/>
      <c r="CJ218" s="8"/>
      <c r="CK218" s="8"/>
      <c r="CL218" s="8"/>
      <c r="CM218" s="8"/>
      <c r="CN218" s="8"/>
      <c r="CO218" s="8"/>
      <c r="CP218" s="8"/>
      <c r="CQ218" s="8"/>
      <c r="CR218" s="8"/>
      <c r="CS218" s="8"/>
      <c r="CT218" s="8"/>
      <c r="CU218" s="8"/>
      <c r="CV218" s="8"/>
      <c r="CW218" s="8"/>
      <c r="CX218" s="8"/>
      <c r="CY218" s="8"/>
      <c r="CZ218" s="8"/>
      <c r="DA218" s="8"/>
      <c r="DB218" s="8"/>
      <c r="DC218" s="8"/>
      <c r="DD218" s="8"/>
      <c r="DE218" s="8"/>
      <c r="DF218" s="8"/>
      <c r="DG218" s="8"/>
      <c r="DH218" s="8"/>
      <c r="DI218" s="8"/>
      <c r="DJ218" s="8"/>
      <c r="DK218" s="8"/>
      <c r="DL218" s="8"/>
      <c r="DM218" s="8"/>
      <c r="DN218" s="8"/>
      <c r="DO218" s="8"/>
      <c r="DP218" s="8"/>
      <c r="DQ218" s="8"/>
      <c r="DR218" s="8"/>
      <c r="DS218" s="8"/>
      <c r="DT218" s="8"/>
      <c r="DU218" s="8"/>
    </row>
    <row r="219" spans="1:125" s="1" customFormat="1" ht="20.100000000000001" customHeight="1" x14ac:dyDescent="0.25">
      <c r="A219" s="59" t="s">
        <v>449</v>
      </c>
      <c r="B219" s="84">
        <v>217</v>
      </c>
      <c r="C219" s="85" t="s">
        <v>220</v>
      </c>
      <c r="D219" s="60">
        <v>0</v>
      </c>
      <c r="E219" s="61">
        <f t="shared" si="36"/>
        <v>0</v>
      </c>
      <c r="F219" s="60">
        <v>0</v>
      </c>
      <c r="G219" s="61">
        <f t="shared" si="37"/>
        <v>0</v>
      </c>
      <c r="H219" s="60">
        <v>0</v>
      </c>
      <c r="I219" s="61">
        <f t="shared" si="38"/>
        <v>0</v>
      </c>
      <c r="J219" s="60">
        <v>0</v>
      </c>
      <c r="K219" s="61">
        <f t="shared" si="39"/>
        <v>0</v>
      </c>
      <c r="L219" s="62"/>
      <c r="M219" s="61">
        <f t="shared" si="40"/>
        <v>0</v>
      </c>
      <c r="N219" s="63">
        <v>0</v>
      </c>
      <c r="O219" s="61">
        <f t="shared" si="41"/>
        <v>0</v>
      </c>
      <c r="P219" s="60">
        <v>0</v>
      </c>
      <c r="Q219" s="61">
        <f t="shared" si="42"/>
        <v>0</v>
      </c>
      <c r="R219" s="60">
        <v>0</v>
      </c>
      <c r="S219" s="61">
        <f t="shared" si="43"/>
        <v>0</v>
      </c>
      <c r="T219" s="60">
        <v>0</v>
      </c>
      <c r="U219" s="64">
        <f t="shared" si="44"/>
        <v>0</v>
      </c>
      <c r="V219" s="65">
        <v>0</v>
      </c>
      <c r="W219" s="66">
        <f t="shared" si="45"/>
        <v>0</v>
      </c>
      <c r="X219" s="67">
        <f t="shared" si="46"/>
        <v>0</v>
      </c>
      <c r="Y219" s="57" t="str">
        <f t="shared" si="47"/>
        <v>NIL PLEASE PURCHASE</v>
      </c>
      <c r="Z219" s="68" t="s">
        <v>1539</v>
      </c>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c r="BU219" s="8"/>
      <c r="BV219" s="8"/>
      <c r="BW219" s="8"/>
      <c r="BX219" s="8"/>
      <c r="BY219" s="8"/>
      <c r="BZ219" s="8"/>
      <c r="CA219" s="8"/>
      <c r="CB219" s="8"/>
      <c r="CC219" s="8"/>
      <c r="CD219" s="8"/>
      <c r="CE219" s="8"/>
      <c r="CF219" s="8"/>
      <c r="CG219" s="8"/>
      <c r="CH219" s="8"/>
      <c r="CI219" s="8"/>
      <c r="CJ219" s="8"/>
      <c r="CK219" s="8"/>
      <c r="CL219" s="8"/>
      <c r="CM219" s="8"/>
      <c r="CN219" s="8"/>
      <c r="CO219" s="8"/>
      <c r="CP219" s="8"/>
      <c r="CQ219" s="8"/>
      <c r="CR219" s="8"/>
      <c r="CS219" s="8"/>
      <c r="CT219" s="8"/>
      <c r="CU219" s="8"/>
      <c r="CV219" s="8"/>
      <c r="CW219" s="8"/>
      <c r="CX219" s="8"/>
      <c r="CY219" s="8"/>
      <c r="CZ219" s="8"/>
      <c r="DA219" s="8"/>
      <c r="DB219" s="8"/>
      <c r="DC219" s="8"/>
      <c r="DD219" s="8"/>
      <c r="DE219" s="8"/>
      <c r="DF219" s="8"/>
      <c r="DG219" s="8"/>
      <c r="DH219" s="8"/>
      <c r="DI219" s="8"/>
      <c r="DJ219" s="8"/>
      <c r="DK219" s="8"/>
      <c r="DL219" s="8"/>
      <c r="DM219" s="8"/>
      <c r="DN219" s="8"/>
      <c r="DO219" s="8"/>
      <c r="DP219" s="8"/>
      <c r="DQ219" s="8"/>
      <c r="DR219" s="8"/>
      <c r="DS219" s="8"/>
      <c r="DT219" s="8"/>
      <c r="DU219" s="8"/>
    </row>
    <row r="220" spans="1:125" s="1" customFormat="1" ht="20.100000000000001" customHeight="1" x14ac:dyDescent="0.25">
      <c r="A220" s="59" t="s">
        <v>450</v>
      </c>
      <c r="B220" s="84">
        <v>218</v>
      </c>
      <c r="C220" s="85" t="s">
        <v>221</v>
      </c>
      <c r="D220" s="60">
        <v>0</v>
      </c>
      <c r="E220" s="61">
        <f t="shared" si="36"/>
        <v>0</v>
      </c>
      <c r="F220" s="60">
        <v>0</v>
      </c>
      <c r="G220" s="61">
        <f t="shared" si="37"/>
        <v>0</v>
      </c>
      <c r="H220" s="60">
        <v>0</v>
      </c>
      <c r="I220" s="61">
        <f t="shared" si="38"/>
        <v>0</v>
      </c>
      <c r="J220" s="60">
        <v>0</v>
      </c>
      <c r="K220" s="61">
        <f t="shared" si="39"/>
        <v>0</v>
      </c>
      <c r="L220" s="62"/>
      <c r="M220" s="61">
        <f t="shared" si="40"/>
        <v>0</v>
      </c>
      <c r="N220" s="63">
        <v>0</v>
      </c>
      <c r="O220" s="61">
        <f t="shared" si="41"/>
        <v>0</v>
      </c>
      <c r="P220" s="60">
        <v>0</v>
      </c>
      <c r="Q220" s="61">
        <f t="shared" si="42"/>
        <v>0</v>
      </c>
      <c r="R220" s="60">
        <v>0</v>
      </c>
      <c r="S220" s="61">
        <f t="shared" si="43"/>
        <v>0</v>
      </c>
      <c r="T220" s="60">
        <v>0</v>
      </c>
      <c r="U220" s="64">
        <f t="shared" si="44"/>
        <v>0</v>
      </c>
      <c r="V220" s="65">
        <v>0</v>
      </c>
      <c r="W220" s="66">
        <f t="shared" si="45"/>
        <v>0</v>
      </c>
      <c r="X220" s="67">
        <f t="shared" si="46"/>
        <v>0</v>
      </c>
      <c r="Y220" s="57" t="str">
        <f t="shared" si="47"/>
        <v>NIL PLEASE PURCHASE</v>
      </c>
      <c r="Z220" s="68" t="s">
        <v>1539</v>
      </c>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c r="BU220" s="8"/>
      <c r="BV220" s="8"/>
      <c r="BW220" s="8"/>
      <c r="BX220" s="8"/>
      <c r="BY220" s="8"/>
      <c r="BZ220" s="8"/>
      <c r="CA220" s="8"/>
      <c r="CB220" s="8"/>
      <c r="CC220" s="8"/>
      <c r="CD220" s="8"/>
      <c r="CE220" s="8"/>
      <c r="CF220" s="8"/>
      <c r="CG220" s="8"/>
      <c r="CH220" s="8"/>
      <c r="CI220" s="8"/>
      <c r="CJ220" s="8"/>
      <c r="CK220" s="8"/>
      <c r="CL220" s="8"/>
      <c r="CM220" s="8"/>
      <c r="CN220" s="8"/>
      <c r="CO220" s="8"/>
      <c r="CP220" s="8"/>
      <c r="CQ220" s="8"/>
      <c r="CR220" s="8"/>
      <c r="CS220" s="8"/>
      <c r="CT220" s="8"/>
      <c r="CU220" s="8"/>
      <c r="CV220" s="8"/>
      <c r="CW220" s="8"/>
      <c r="CX220" s="8"/>
      <c r="CY220" s="8"/>
      <c r="CZ220" s="8"/>
      <c r="DA220" s="8"/>
      <c r="DB220" s="8"/>
      <c r="DC220" s="8"/>
      <c r="DD220" s="8"/>
      <c r="DE220" s="8"/>
      <c r="DF220" s="8"/>
      <c r="DG220" s="8"/>
      <c r="DH220" s="8"/>
      <c r="DI220" s="8"/>
      <c r="DJ220" s="8"/>
      <c r="DK220" s="8"/>
      <c r="DL220" s="8"/>
      <c r="DM220" s="8"/>
      <c r="DN220" s="8"/>
      <c r="DO220" s="8"/>
      <c r="DP220" s="8"/>
      <c r="DQ220" s="8"/>
      <c r="DR220" s="8"/>
      <c r="DS220" s="8"/>
      <c r="DT220" s="8"/>
      <c r="DU220" s="8"/>
    </row>
    <row r="221" spans="1:125" s="1" customFormat="1" ht="20.100000000000001" customHeight="1" x14ac:dyDescent="0.25">
      <c r="A221" s="59" t="s">
        <v>451</v>
      </c>
      <c r="B221" s="84">
        <v>219</v>
      </c>
      <c r="C221" s="85" t="s">
        <v>222</v>
      </c>
      <c r="D221" s="60">
        <v>0</v>
      </c>
      <c r="E221" s="61">
        <f t="shared" si="36"/>
        <v>0</v>
      </c>
      <c r="F221" s="60">
        <v>0</v>
      </c>
      <c r="G221" s="61">
        <f t="shared" si="37"/>
        <v>0</v>
      </c>
      <c r="H221" s="60">
        <v>0</v>
      </c>
      <c r="I221" s="61">
        <f t="shared" si="38"/>
        <v>0</v>
      </c>
      <c r="J221" s="60">
        <v>0</v>
      </c>
      <c r="K221" s="61">
        <f t="shared" si="39"/>
        <v>0</v>
      </c>
      <c r="L221" s="62"/>
      <c r="M221" s="61">
        <f t="shared" si="40"/>
        <v>0</v>
      </c>
      <c r="N221" s="63">
        <v>2</v>
      </c>
      <c r="O221" s="61">
        <f t="shared" si="41"/>
        <v>1000</v>
      </c>
      <c r="P221" s="60">
        <v>0</v>
      </c>
      <c r="Q221" s="61">
        <f t="shared" si="42"/>
        <v>0</v>
      </c>
      <c r="R221" s="60">
        <v>0</v>
      </c>
      <c r="S221" s="61">
        <f t="shared" si="43"/>
        <v>0</v>
      </c>
      <c r="T221" s="60">
        <v>0</v>
      </c>
      <c r="U221" s="64">
        <f t="shared" si="44"/>
        <v>0</v>
      </c>
      <c r="V221" s="65">
        <v>0</v>
      </c>
      <c r="W221" s="66">
        <f t="shared" si="45"/>
        <v>1000</v>
      </c>
      <c r="X221" s="67">
        <f t="shared" si="46"/>
        <v>1</v>
      </c>
      <c r="Y221" s="57" t="str">
        <f t="shared" si="47"/>
        <v>STOCK</v>
      </c>
      <c r="Z221" s="68" t="s">
        <v>1538</v>
      </c>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c r="BU221" s="8"/>
      <c r="BV221" s="8"/>
      <c r="BW221" s="8"/>
      <c r="BX221" s="8"/>
      <c r="BY221" s="8"/>
      <c r="BZ221" s="8"/>
      <c r="CA221" s="8"/>
      <c r="CB221" s="8"/>
      <c r="CC221" s="8"/>
      <c r="CD221" s="8"/>
      <c r="CE221" s="8"/>
      <c r="CF221" s="8"/>
      <c r="CG221" s="8"/>
      <c r="CH221" s="8"/>
      <c r="CI221" s="8"/>
      <c r="CJ221" s="8"/>
      <c r="CK221" s="8"/>
      <c r="CL221" s="8"/>
      <c r="CM221" s="8"/>
      <c r="CN221" s="8"/>
      <c r="CO221" s="8"/>
      <c r="CP221" s="8"/>
      <c r="CQ221" s="8"/>
      <c r="CR221" s="8"/>
      <c r="CS221" s="8"/>
      <c r="CT221" s="8"/>
      <c r="CU221" s="8"/>
      <c r="CV221" s="8"/>
      <c r="CW221" s="8"/>
      <c r="CX221" s="8"/>
      <c r="CY221" s="8"/>
      <c r="CZ221" s="8"/>
      <c r="DA221" s="8"/>
      <c r="DB221" s="8"/>
      <c r="DC221" s="8"/>
      <c r="DD221" s="8"/>
      <c r="DE221" s="8"/>
      <c r="DF221" s="8"/>
      <c r="DG221" s="8"/>
      <c r="DH221" s="8"/>
      <c r="DI221" s="8"/>
      <c r="DJ221" s="8"/>
      <c r="DK221" s="8"/>
      <c r="DL221" s="8"/>
      <c r="DM221" s="8"/>
      <c r="DN221" s="8"/>
      <c r="DO221" s="8"/>
      <c r="DP221" s="8"/>
      <c r="DQ221" s="8"/>
      <c r="DR221" s="8"/>
      <c r="DS221" s="8"/>
      <c r="DT221" s="8"/>
      <c r="DU221" s="8"/>
    </row>
    <row r="222" spans="1:125" s="1" customFormat="1" ht="20.100000000000001" customHeight="1" x14ac:dyDescent="0.25">
      <c r="A222" s="59" t="s">
        <v>452</v>
      </c>
      <c r="B222" s="84">
        <v>220</v>
      </c>
      <c r="C222" s="85" t="s">
        <v>223</v>
      </c>
      <c r="D222" s="60">
        <v>0</v>
      </c>
      <c r="E222" s="61">
        <f t="shared" si="36"/>
        <v>0</v>
      </c>
      <c r="F222" s="60">
        <v>0</v>
      </c>
      <c r="G222" s="61">
        <f t="shared" si="37"/>
        <v>0</v>
      </c>
      <c r="H222" s="60">
        <v>0</v>
      </c>
      <c r="I222" s="61">
        <f t="shared" si="38"/>
        <v>0</v>
      </c>
      <c r="J222" s="60">
        <v>0</v>
      </c>
      <c r="K222" s="61">
        <f t="shared" si="39"/>
        <v>0</v>
      </c>
      <c r="L222" s="62"/>
      <c r="M222" s="61">
        <f t="shared" si="40"/>
        <v>0</v>
      </c>
      <c r="N222" s="63">
        <v>0</v>
      </c>
      <c r="O222" s="61">
        <f t="shared" si="41"/>
        <v>0</v>
      </c>
      <c r="P222" s="60">
        <v>1</v>
      </c>
      <c r="Q222" s="61">
        <f t="shared" si="42"/>
        <v>1000</v>
      </c>
      <c r="R222" s="60">
        <v>0</v>
      </c>
      <c r="S222" s="61">
        <f t="shared" si="43"/>
        <v>0</v>
      </c>
      <c r="T222" s="60">
        <v>0</v>
      </c>
      <c r="U222" s="64">
        <f t="shared" si="44"/>
        <v>0</v>
      </c>
      <c r="V222" s="65">
        <v>0</v>
      </c>
      <c r="W222" s="66">
        <f t="shared" si="45"/>
        <v>1000</v>
      </c>
      <c r="X222" s="67">
        <f t="shared" si="46"/>
        <v>1</v>
      </c>
      <c r="Y222" s="57" t="str">
        <f t="shared" si="47"/>
        <v>STOCK</v>
      </c>
      <c r="Z222" s="68" t="s">
        <v>1538</v>
      </c>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c r="BU222" s="8"/>
      <c r="BV222" s="8"/>
      <c r="BW222" s="8"/>
      <c r="BX222" s="8"/>
      <c r="BY222" s="8"/>
      <c r="BZ222" s="8"/>
      <c r="CA222" s="8"/>
      <c r="CB222" s="8"/>
      <c r="CC222" s="8"/>
      <c r="CD222" s="8"/>
      <c r="CE222" s="8"/>
      <c r="CF222" s="8"/>
      <c r="CG222" s="8"/>
      <c r="CH222" s="8"/>
      <c r="CI222" s="8"/>
      <c r="CJ222" s="8"/>
      <c r="CK222" s="8"/>
      <c r="CL222" s="8"/>
      <c r="CM222" s="8"/>
      <c r="CN222" s="8"/>
      <c r="CO222" s="8"/>
      <c r="CP222" s="8"/>
      <c r="CQ222" s="8"/>
      <c r="CR222" s="8"/>
      <c r="CS222" s="8"/>
      <c r="CT222" s="8"/>
      <c r="CU222" s="8"/>
      <c r="CV222" s="8"/>
      <c r="CW222" s="8"/>
      <c r="CX222" s="8"/>
      <c r="CY222" s="8"/>
      <c r="CZ222" s="8"/>
      <c r="DA222" s="8"/>
      <c r="DB222" s="8"/>
      <c r="DC222" s="8"/>
      <c r="DD222" s="8"/>
      <c r="DE222" s="8"/>
      <c r="DF222" s="8"/>
      <c r="DG222" s="8"/>
      <c r="DH222" s="8"/>
      <c r="DI222" s="8"/>
      <c r="DJ222" s="8"/>
      <c r="DK222" s="8"/>
      <c r="DL222" s="8"/>
      <c r="DM222" s="8"/>
      <c r="DN222" s="8"/>
      <c r="DO222" s="8"/>
      <c r="DP222" s="8"/>
      <c r="DQ222" s="8"/>
      <c r="DR222" s="8"/>
      <c r="DS222" s="8"/>
      <c r="DT222" s="8"/>
      <c r="DU222" s="8"/>
    </row>
    <row r="223" spans="1:125" s="1" customFormat="1" ht="20.100000000000001" customHeight="1" x14ac:dyDescent="0.25">
      <c r="A223" s="59" t="s">
        <v>453</v>
      </c>
      <c r="B223" s="84">
        <v>221</v>
      </c>
      <c r="C223" s="85" t="s">
        <v>224</v>
      </c>
      <c r="D223" s="60">
        <v>0</v>
      </c>
      <c r="E223" s="61">
        <f t="shared" si="36"/>
        <v>0</v>
      </c>
      <c r="F223" s="60">
        <v>0</v>
      </c>
      <c r="G223" s="61">
        <f t="shared" si="37"/>
        <v>0</v>
      </c>
      <c r="H223" s="60">
        <v>0</v>
      </c>
      <c r="I223" s="61">
        <f t="shared" si="38"/>
        <v>0</v>
      </c>
      <c r="J223" s="60">
        <v>0</v>
      </c>
      <c r="K223" s="61">
        <f t="shared" si="39"/>
        <v>0</v>
      </c>
      <c r="L223" s="62"/>
      <c r="M223" s="61">
        <f t="shared" si="40"/>
        <v>0</v>
      </c>
      <c r="N223" s="63">
        <v>0</v>
      </c>
      <c r="O223" s="61">
        <f t="shared" si="41"/>
        <v>0</v>
      </c>
      <c r="P223" s="60">
        <v>0</v>
      </c>
      <c r="Q223" s="61">
        <f t="shared" si="42"/>
        <v>0</v>
      </c>
      <c r="R223" s="60">
        <v>0</v>
      </c>
      <c r="S223" s="61">
        <f t="shared" si="43"/>
        <v>0</v>
      </c>
      <c r="T223" s="60">
        <v>0</v>
      </c>
      <c r="U223" s="64">
        <f t="shared" si="44"/>
        <v>0</v>
      </c>
      <c r="V223" s="65">
        <v>0</v>
      </c>
      <c r="W223" s="66">
        <f t="shared" si="45"/>
        <v>0</v>
      </c>
      <c r="X223" s="67">
        <f t="shared" si="46"/>
        <v>0</v>
      </c>
      <c r="Y223" s="57" t="str">
        <f t="shared" si="47"/>
        <v>NIL PLEASE PURCHASE</v>
      </c>
      <c r="Z223" s="68" t="s">
        <v>1539</v>
      </c>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c r="BU223" s="8"/>
      <c r="BV223" s="8"/>
      <c r="BW223" s="8"/>
      <c r="BX223" s="8"/>
      <c r="BY223" s="8"/>
      <c r="BZ223" s="8"/>
      <c r="CA223" s="8"/>
      <c r="CB223" s="8"/>
      <c r="CC223" s="8"/>
      <c r="CD223" s="8"/>
      <c r="CE223" s="8"/>
      <c r="CF223" s="8"/>
      <c r="CG223" s="8"/>
      <c r="CH223" s="8"/>
      <c r="CI223" s="8"/>
      <c r="CJ223" s="8"/>
      <c r="CK223" s="8"/>
      <c r="CL223" s="8"/>
      <c r="CM223" s="8"/>
      <c r="CN223" s="8"/>
      <c r="CO223" s="8"/>
      <c r="CP223" s="8"/>
      <c r="CQ223" s="8"/>
      <c r="CR223" s="8"/>
      <c r="CS223" s="8"/>
      <c r="CT223" s="8"/>
      <c r="CU223" s="8"/>
      <c r="CV223" s="8"/>
      <c r="CW223" s="8"/>
      <c r="CX223" s="8"/>
      <c r="CY223" s="8"/>
      <c r="CZ223" s="8"/>
      <c r="DA223" s="8"/>
      <c r="DB223" s="8"/>
      <c r="DC223" s="8"/>
      <c r="DD223" s="8"/>
      <c r="DE223" s="8"/>
      <c r="DF223" s="8"/>
      <c r="DG223" s="8"/>
      <c r="DH223" s="8"/>
      <c r="DI223" s="8"/>
      <c r="DJ223" s="8"/>
      <c r="DK223" s="8"/>
      <c r="DL223" s="8"/>
      <c r="DM223" s="8"/>
      <c r="DN223" s="8"/>
      <c r="DO223" s="8"/>
      <c r="DP223" s="8"/>
      <c r="DQ223" s="8"/>
      <c r="DR223" s="8"/>
      <c r="DS223" s="8"/>
      <c r="DT223" s="8"/>
      <c r="DU223" s="8"/>
    </row>
    <row r="224" spans="1:125" s="1" customFormat="1" ht="20.100000000000001" customHeight="1" x14ac:dyDescent="0.25">
      <c r="A224" s="59" t="s">
        <v>454</v>
      </c>
      <c r="B224" s="84">
        <v>222</v>
      </c>
      <c r="C224" s="85" t="s">
        <v>225</v>
      </c>
      <c r="D224" s="60">
        <v>0</v>
      </c>
      <c r="E224" s="61">
        <f t="shared" si="36"/>
        <v>0</v>
      </c>
      <c r="F224" s="60">
        <v>0</v>
      </c>
      <c r="G224" s="61">
        <f t="shared" si="37"/>
        <v>0</v>
      </c>
      <c r="H224" s="60">
        <v>0</v>
      </c>
      <c r="I224" s="61">
        <f t="shared" si="38"/>
        <v>0</v>
      </c>
      <c r="J224" s="60">
        <v>0</v>
      </c>
      <c r="K224" s="61">
        <f t="shared" si="39"/>
        <v>0</v>
      </c>
      <c r="L224" s="62"/>
      <c r="M224" s="61">
        <f t="shared" si="40"/>
        <v>0</v>
      </c>
      <c r="N224" s="63">
        <v>0</v>
      </c>
      <c r="O224" s="61">
        <f t="shared" si="41"/>
        <v>0</v>
      </c>
      <c r="P224" s="60">
        <v>0</v>
      </c>
      <c r="Q224" s="61">
        <f t="shared" si="42"/>
        <v>0</v>
      </c>
      <c r="R224" s="60">
        <v>0</v>
      </c>
      <c r="S224" s="61">
        <f t="shared" si="43"/>
        <v>0</v>
      </c>
      <c r="T224" s="60">
        <v>0</v>
      </c>
      <c r="U224" s="64">
        <f t="shared" si="44"/>
        <v>0</v>
      </c>
      <c r="V224" s="65">
        <v>0</v>
      </c>
      <c r="W224" s="66">
        <f t="shared" si="45"/>
        <v>0</v>
      </c>
      <c r="X224" s="67">
        <f t="shared" si="46"/>
        <v>0</v>
      </c>
      <c r="Y224" s="57" t="str">
        <f t="shared" si="47"/>
        <v>NIL PLEASE PURCHASE</v>
      </c>
      <c r="Z224" s="68" t="s">
        <v>1539</v>
      </c>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c r="BU224" s="8"/>
      <c r="BV224" s="8"/>
      <c r="BW224" s="8"/>
      <c r="BX224" s="8"/>
      <c r="BY224" s="8"/>
      <c r="BZ224" s="8"/>
      <c r="CA224" s="8"/>
      <c r="CB224" s="8"/>
      <c r="CC224" s="8"/>
      <c r="CD224" s="8"/>
      <c r="CE224" s="8"/>
      <c r="CF224" s="8"/>
      <c r="CG224" s="8"/>
      <c r="CH224" s="8"/>
      <c r="CI224" s="8"/>
      <c r="CJ224" s="8"/>
      <c r="CK224" s="8"/>
      <c r="CL224" s="8"/>
      <c r="CM224" s="8"/>
      <c r="CN224" s="8"/>
      <c r="CO224" s="8"/>
      <c r="CP224" s="8"/>
      <c r="CQ224" s="8"/>
      <c r="CR224" s="8"/>
      <c r="CS224" s="8"/>
      <c r="CT224" s="8"/>
      <c r="CU224" s="8"/>
      <c r="CV224" s="8"/>
      <c r="CW224" s="8"/>
      <c r="CX224" s="8"/>
      <c r="CY224" s="8"/>
      <c r="CZ224" s="8"/>
      <c r="DA224" s="8"/>
      <c r="DB224" s="8"/>
      <c r="DC224" s="8"/>
      <c r="DD224" s="8"/>
      <c r="DE224" s="8"/>
      <c r="DF224" s="8"/>
      <c r="DG224" s="8"/>
      <c r="DH224" s="8"/>
      <c r="DI224" s="8"/>
      <c r="DJ224" s="8"/>
      <c r="DK224" s="8"/>
      <c r="DL224" s="8"/>
      <c r="DM224" s="8"/>
      <c r="DN224" s="8"/>
      <c r="DO224" s="8"/>
      <c r="DP224" s="8"/>
      <c r="DQ224" s="8"/>
      <c r="DR224" s="8"/>
      <c r="DS224" s="8"/>
      <c r="DT224" s="8"/>
      <c r="DU224" s="8"/>
    </row>
    <row r="225" spans="1:125" s="1" customFormat="1" ht="20.100000000000001" customHeight="1" x14ac:dyDescent="0.25">
      <c r="A225" s="59" t="s">
        <v>455</v>
      </c>
      <c r="B225" s="84">
        <v>223</v>
      </c>
      <c r="C225" s="85" t="s">
        <v>542</v>
      </c>
      <c r="D225" s="60">
        <v>0</v>
      </c>
      <c r="E225" s="61">
        <f t="shared" si="36"/>
        <v>0</v>
      </c>
      <c r="F225" s="60">
        <v>0</v>
      </c>
      <c r="G225" s="61">
        <f t="shared" si="37"/>
        <v>0</v>
      </c>
      <c r="H225" s="60">
        <v>0</v>
      </c>
      <c r="I225" s="61">
        <f t="shared" si="38"/>
        <v>0</v>
      </c>
      <c r="J225" s="60">
        <v>0</v>
      </c>
      <c r="K225" s="61">
        <f t="shared" si="39"/>
        <v>0</v>
      </c>
      <c r="L225" s="62"/>
      <c r="M225" s="61">
        <f t="shared" si="40"/>
        <v>0</v>
      </c>
      <c r="N225" s="63">
        <v>0</v>
      </c>
      <c r="O225" s="61">
        <f t="shared" si="41"/>
        <v>0</v>
      </c>
      <c r="P225" s="60">
        <v>0</v>
      </c>
      <c r="Q225" s="61">
        <f t="shared" si="42"/>
        <v>0</v>
      </c>
      <c r="R225" s="60">
        <v>0</v>
      </c>
      <c r="S225" s="61">
        <f t="shared" si="43"/>
        <v>0</v>
      </c>
      <c r="T225" s="60">
        <v>0</v>
      </c>
      <c r="U225" s="64">
        <f t="shared" si="44"/>
        <v>0</v>
      </c>
      <c r="V225" s="65">
        <v>0</v>
      </c>
      <c r="W225" s="66">
        <f t="shared" si="45"/>
        <v>0</v>
      </c>
      <c r="X225" s="67">
        <f t="shared" si="46"/>
        <v>0</v>
      </c>
      <c r="Y225" s="57" t="str">
        <f t="shared" si="47"/>
        <v>NIL PLEASE PURCHASE</v>
      </c>
      <c r="Z225" s="68" t="s">
        <v>1539</v>
      </c>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c r="BU225" s="8"/>
      <c r="BV225" s="8"/>
      <c r="BW225" s="8"/>
      <c r="BX225" s="8"/>
      <c r="BY225" s="8"/>
      <c r="BZ225" s="8"/>
      <c r="CA225" s="8"/>
      <c r="CB225" s="8"/>
      <c r="CC225" s="8"/>
      <c r="CD225" s="8"/>
      <c r="CE225" s="8"/>
      <c r="CF225" s="8"/>
      <c r="CG225" s="8"/>
      <c r="CH225" s="8"/>
      <c r="CI225" s="8"/>
      <c r="CJ225" s="8"/>
      <c r="CK225" s="8"/>
      <c r="CL225" s="8"/>
      <c r="CM225" s="8"/>
      <c r="CN225" s="8"/>
      <c r="CO225" s="8"/>
      <c r="CP225" s="8"/>
      <c r="CQ225" s="8"/>
      <c r="CR225" s="8"/>
      <c r="CS225" s="8"/>
      <c r="CT225" s="8"/>
      <c r="CU225" s="8"/>
      <c r="CV225" s="8"/>
      <c r="CW225" s="8"/>
      <c r="CX225" s="8"/>
      <c r="CY225" s="8"/>
      <c r="CZ225" s="8"/>
      <c r="DA225" s="8"/>
      <c r="DB225" s="8"/>
      <c r="DC225" s="8"/>
      <c r="DD225" s="8"/>
      <c r="DE225" s="8"/>
      <c r="DF225" s="8"/>
      <c r="DG225" s="8"/>
      <c r="DH225" s="8"/>
      <c r="DI225" s="8"/>
      <c r="DJ225" s="8"/>
      <c r="DK225" s="8"/>
      <c r="DL225" s="8"/>
      <c r="DM225" s="8"/>
      <c r="DN225" s="8"/>
      <c r="DO225" s="8"/>
      <c r="DP225" s="8"/>
      <c r="DQ225" s="8"/>
      <c r="DR225" s="8"/>
      <c r="DS225" s="8"/>
      <c r="DT225" s="8"/>
      <c r="DU225" s="8"/>
    </row>
    <row r="226" spans="1:125" s="1" customFormat="1" ht="20.100000000000001" customHeight="1" x14ac:dyDescent="0.25">
      <c r="A226" s="59" t="s">
        <v>456</v>
      </c>
      <c r="B226" s="84">
        <v>224</v>
      </c>
      <c r="C226" s="85" t="s">
        <v>543</v>
      </c>
      <c r="D226" s="60">
        <v>0</v>
      </c>
      <c r="E226" s="61">
        <f t="shared" si="36"/>
        <v>0</v>
      </c>
      <c r="F226" s="60">
        <v>0</v>
      </c>
      <c r="G226" s="61">
        <f t="shared" si="37"/>
        <v>0</v>
      </c>
      <c r="H226" s="60">
        <v>0</v>
      </c>
      <c r="I226" s="61">
        <f t="shared" si="38"/>
        <v>0</v>
      </c>
      <c r="J226" s="60">
        <v>0</v>
      </c>
      <c r="K226" s="61">
        <f t="shared" si="39"/>
        <v>0</v>
      </c>
      <c r="L226" s="62"/>
      <c r="M226" s="61">
        <f t="shared" si="40"/>
        <v>0</v>
      </c>
      <c r="N226" s="63">
        <v>0</v>
      </c>
      <c r="O226" s="61">
        <f t="shared" si="41"/>
        <v>0</v>
      </c>
      <c r="P226" s="60">
        <v>0</v>
      </c>
      <c r="Q226" s="61">
        <f t="shared" si="42"/>
        <v>0</v>
      </c>
      <c r="R226" s="60">
        <v>4</v>
      </c>
      <c r="S226" s="61">
        <f t="shared" si="43"/>
        <v>10000</v>
      </c>
      <c r="T226" s="60">
        <v>0</v>
      </c>
      <c r="U226" s="64">
        <f t="shared" si="44"/>
        <v>0</v>
      </c>
      <c r="V226" s="65">
        <v>0</v>
      </c>
      <c r="W226" s="66">
        <f t="shared" si="45"/>
        <v>10000</v>
      </c>
      <c r="X226" s="67">
        <f t="shared" si="46"/>
        <v>10</v>
      </c>
      <c r="Y226" s="57" t="str">
        <f t="shared" si="47"/>
        <v>STOCK</v>
      </c>
      <c r="Z226" s="68" t="s">
        <v>1539</v>
      </c>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c r="BU226" s="8"/>
      <c r="BV226" s="8"/>
      <c r="BW226" s="8"/>
      <c r="BX226" s="8"/>
      <c r="BY226" s="8"/>
      <c r="BZ226" s="8"/>
      <c r="CA226" s="8"/>
      <c r="CB226" s="8"/>
      <c r="CC226" s="8"/>
      <c r="CD226" s="8"/>
      <c r="CE226" s="8"/>
      <c r="CF226" s="8"/>
      <c r="CG226" s="8"/>
      <c r="CH226" s="8"/>
      <c r="CI226" s="8"/>
      <c r="CJ226" s="8"/>
      <c r="CK226" s="8"/>
      <c r="CL226" s="8"/>
      <c r="CM226" s="8"/>
      <c r="CN226" s="8"/>
      <c r="CO226" s="8"/>
      <c r="CP226" s="8"/>
      <c r="CQ226" s="8"/>
      <c r="CR226" s="8"/>
      <c r="CS226" s="8"/>
      <c r="CT226" s="8"/>
      <c r="CU226" s="8"/>
      <c r="CV226" s="8"/>
      <c r="CW226" s="8"/>
      <c r="CX226" s="8"/>
      <c r="CY226" s="8"/>
      <c r="CZ226" s="8"/>
      <c r="DA226" s="8"/>
      <c r="DB226" s="8"/>
      <c r="DC226" s="8"/>
      <c r="DD226" s="8"/>
      <c r="DE226" s="8"/>
      <c r="DF226" s="8"/>
      <c r="DG226" s="8"/>
      <c r="DH226" s="8"/>
      <c r="DI226" s="8"/>
      <c r="DJ226" s="8"/>
      <c r="DK226" s="8"/>
      <c r="DL226" s="8"/>
      <c r="DM226" s="8"/>
      <c r="DN226" s="8"/>
      <c r="DO226" s="8"/>
      <c r="DP226" s="8"/>
      <c r="DQ226" s="8"/>
      <c r="DR226" s="8"/>
      <c r="DS226" s="8"/>
      <c r="DT226" s="8"/>
      <c r="DU226" s="8"/>
    </row>
    <row r="227" spans="1:125" s="1" customFormat="1" ht="20.100000000000001" customHeight="1" x14ac:dyDescent="0.25">
      <c r="A227" s="59" t="s">
        <v>457</v>
      </c>
      <c r="B227" s="84">
        <v>225</v>
      </c>
      <c r="C227" s="85" t="s">
        <v>544</v>
      </c>
      <c r="D227" s="60">
        <v>0</v>
      </c>
      <c r="E227" s="61">
        <f t="shared" si="36"/>
        <v>0</v>
      </c>
      <c r="F227" s="60">
        <v>0</v>
      </c>
      <c r="G227" s="61">
        <f t="shared" si="37"/>
        <v>0</v>
      </c>
      <c r="H227" s="60">
        <v>0</v>
      </c>
      <c r="I227" s="61">
        <f t="shared" si="38"/>
        <v>0</v>
      </c>
      <c r="J227" s="60">
        <v>0</v>
      </c>
      <c r="K227" s="61">
        <f t="shared" si="39"/>
        <v>0</v>
      </c>
      <c r="L227" s="62"/>
      <c r="M227" s="61">
        <f t="shared" si="40"/>
        <v>0</v>
      </c>
      <c r="N227" s="63">
        <v>0</v>
      </c>
      <c r="O227" s="61">
        <f t="shared" si="41"/>
        <v>0</v>
      </c>
      <c r="P227" s="60">
        <v>1</v>
      </c>
      <c r="Q227" s="61">
        <f t="shared" si="42"/>
        <v>1000</v>
      </c>
      <c r="R227" s="60">
        <v>0</v>
      </c>
      <c r="S227" s="61">
        <f t="shared" si="43"/>
        <v>0</v>
      </c>
      <c r="T227" s="60">
        <v>0</v>
      </c>
      <c r="U227" s="64">
        <f t="shared" si="44"/>
        <v>0</v>
      </c>
      <c r="V227" s="65">
        <v>0</v>
      </c>
      <c r="W227" s="66">
        <f t="shared" si="45"/>
        <v>1000</v>
      </c>
      <c r="X227" s="67">
        <f t="shared" si="46"/>
        <v>1</v>
      </c>
      <c r="Y227" s="57" t="str">
        <f t="shared" si="47"/>
        <v>STOCK</v>
      </c>
      <c r="Z227" s="68" t="s">
        <v>1538</v>
      </c>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c r="BU227" s="8"/>
      <c r="BV227" s="8"/>
      <c r="BW227" s="8"/>
      <c r="BX227" s="8"/>
      <c r="BY227" s="8"/>
      <c r="BZ227" s="8"/>
      <c r="CA227" s="8"/>
      <c r="CB227" s="8"/>
      <c r="CC227" s="8"/>
      <c r="CD227" s="8"/>
      <c r="CE227" s="8"/>
      <c r="CF227" s="8"/>
      <c r="CG227" s="8"/>
      <c r="CH227" s="8"/>
      <c r="CI227" s="8"/>
      <c r="CJ227" s="8"/>
      <c r="CK227" s="8"/>
      <c r="CL227" s="8"/>
      <c r="CM227" s="8"/>
      <c r="CN227" s="8"/>
      <c r="CO227" s="8"/>
      <c r="CP227" s="8"/>
      <c r="CQ227" s="8"/>
      <c r="CR227" s="8"/>
      <c r="CS227" s="8"/>
      <c r="CT227" s="8"/>
      <c r="CU227" s="8"/>
      <c r="CV227" s="8"/>
      <c r="CW227" s="8"/>
      <c r="CX227" s="8"/>
      <c r="CY227" s="8"/>
      <c r="CZ227" s="8"/>
      <c r="DA227" s="8"/>
      <c r="DB227" s="8"/>
      <c r="DC227" s="8"/>
      <c r="DD227" s="8"/>
      <c r="DE227" s="8"/>
      <c r="DF227" s="8"/>
      <c r="DG227" s="8"/>
      <c r="DH227" s="8"/>
      <c r="DI227" s="8"/>
      <c r="DJ227" s="8"/>
      <c r="DK227" s="8"/>
      <c r="DL227" s="8"/>
      <c r="DM227" s="8"/>
      <c r="DN227" s="8"/>
      <c r="DO227" s="8"/>
      <c r="DP227" s="8"/>
      <c r="DQ227" s="8"/>
      <c r="DR227" s="8"/>
      <c r="DS227" s="8"/>
      <c r="DT227" s="8"/>
      <c r="DU227" s="8"/>
    </row>
    <row r="228" spans="1:125" s="1" customFormat="1" ht="20.100000000000001" customHeight="1" x14ac:dyDescent="0.25">
      <c r="A228" s="59" t="s">
        <v>458</v>
      </c>
      <c r="B228" s="84">
        <v>226</v>
      </c>
      <c r="C228" s="85" t="s">
        <v>545</v>
      </c>
      <c r="D228" s="60">
        <v>0</v>
      </c>
      <c r="E228" s="61">
        <f t="shared" si="36"/>
        <v>0</v>
      </c>
      <c r="F228" s="60">
        <v>0</v>
      </c>
      <c r="G228" s="61">
        <f t="shared" si="37"/>
        <v>0</v>
      </c>
      <c r="H228" s="60">
        <v>0</v>
      </c>
      <c r="I228" s="61">
        <f t="shared" si="38"/>
        <v>0</v>
      </c>
      <c r="J228" s="60">
        <v>0</v>
      </c>
      <c r="K228" s="61">
        <f t="shared" si="39"/>
        <v>0</v>
      </c>
      <c r="L228" s="62"/>
      <c r="M228" s="61">
        <f t="shared" si="40"/>
        <v>0</v>
      </c>
      <c r="N228" s="63">
        <v>4</v>
      </c>
      <c r="O228" s="61">
        <f t="shared" si="41"/>
        <v>2000</v>
      </c>
      <c r="P228" s="60">
        <v>0</v>
      </c>
      <c r="Q228" s="61">
        <f t="shared" si="42"/>
        <v>0</v>
      </c>
      <c r="R228" s="60">
        <v>5</v>
      </c>
      <c r="S228" s="61">
        <f t="shared" si="43"/>
        <v>12500</v>
      </c>
      <c r="T228" s="60">
        <v>2</v>
      </c>
      <c r="U228" s="64">
        <f t="shared" si="44"/>
        <v>10000</v>
      </c>
      <c r="V228" s="65">
        <v>0</v>
      </c>
      <c r="W228" s="66">
        <f t="shared" si="45"/>
        <v>24500</v>
      </c>
      <c r="X228" s="67">
        <f t="shared" si="46"/>
        <v>24.5</v>
      </c>
      <c r="Y228" s="57" t="str">
        <f t="shared" si="47"/>
        <v>STOCK</v>
      </c>
      <c r="Z228" s="68" t="s">
        <v>1538</v>
      </c>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c r="BU228" s="8"/>
      <c r="BV228" s="8"/>
      <c r="BW228" s="8"/>
      <c r="BX228" s="8"/>
      <c r="BY228" s="8"/>
      <c r="BZ228" s="8"/>
      <c r="CA228" s="8"/>
      <c r="CB228" s="8"/>
      <c r="CC228" s="8"/>
      <c r="CD228" s="8"/>
      <c r="CE228" s="8"/>
      <c r="CF228" s="8"/>
      <c r="CG228" s="8"/>
      <c r="CH228" s="8"/>
      <c r="CI228" s="8"/>
      <c r="CJ228" s="8"/>
      <c r="CK228" s="8"/>
      <c r="CL228" s="8"/>
      <c r="CM228" s="8"/>
      <c r="CN228" s="8"/>
      <c r="CO228" s="8"/>
      <c r="CP228" s="8"/>
      <c r="CQ228" s="8"/>
      <c r="CR228" s="8"/>
      <c r="CS228" s="8"/>
      <c r="CT228" s="8"/>
      <c r="CU228" s="8"/>
      <c r="CV228" s="8"/>
      <c r="CW228" s="8"/>
      <c r="CX228" s="8"/>
      <c r="CY228" s="8"/>
      <c r="CZ228" s="8"/>
      <c r="DA228" s="8"/>
      <c r="DB228" s="8"/>
      <c r="DC228" s="8"/>
      <c r="DD228" s="8"/>
      <c r="DE228" s="8"/>
      <c r="DF228" s="8"/>
      <c r="DG228" s="8"/>
      <c r="DH228" s="8"/>
      <c r="DI228" s="8"/>
      <c r="DJ228" s="8"/>
      <c r="DK228" s="8"/>
      <c r="DL228" s="8"/>
      <c r="DM228" s="8"/>
      <c r="DN228" s="8"/>
      <c r="DO228" s="8"/>
      <c r="DP228" s="8"/>
      <c r="DQ228" s="8"/>
      <c r="DR228" s="8"/>
      <c r="DS228" s="8"/>
      <c r="DT228" s="8"/>
      <c r="DU228" s="8"/>
    </row>
    <row r="229" spans="1:125" s="1" customFormat="1" ht="20.100000000000001" customHeight="1" x14ac:dyDescent="0.25">
      <c r="A229" s="59" t="s">
        <v>459</v>
      </c>
      <c r="B229" s="84">
        <v>227</v>
      </c>
      <c r="C229" s="85" t="s">
        <v>546</v>
      </c>
      <c r="D229" s="60">
        <v>0</v>
      </c>
      <c r="E229" s="61">
        <f t="shared" si="36"/>
        <v>0</v>
      </c>
      <c r="F229" s="60">
        <v>0</v>
      </c>
      <c r="G229" s="61">
        <f t="shared" si="37"/>
        <v>0</v>
      </c>
      <c r="H229" s="60">
        <v>0</v>
      </c>
      <c r="I229" s="61">
        <f t="shared" si="38"/>
        <v>0</v>
      </c>
      <c r="J229" s="60">
        <v>0</v>
      </c>
      <c r="K229" s="61">
        <f t="shared" si="39"/>
        <v>0</v>
      </c>
      <c r="L229" s="62"/>
      <c r="M229" s="61">
        <f t="shared" si="40"/>
        <v>0</v>
      </c>
      <c r="N229" s="63">
        <v>3</v>
      </c>
      <c r="O229" s="61">
        <f t="shared" si="41"/>
        <v>1500</v>
      </c>
      <c r="P229" s="60">
        <v>0</v>
      </c>
      <c r="Q229" s="61">
        <f t="shared" si="42"/>
        <v>0</v>
      </c>
      <c r="R229" s="60">
        <v>0</v>
      </c>
      <c r="S229" s="61">
        <f t="shared" si="43"/>
        <v>0</v>
      </c>
      <c r="T229" s="60">
        <v>0</v>
      </c>
      <c r="U229" s="64">
        <f t="shared" si="44"/>
        <v>0</v>
      </c>
      <c r="V229" s="65">
        <v>0</v>
      </c>
      <c r="W229" s="66">
        <f t="shared" si="45"/>
        <v>1500</v>
      </c>
      <c r="X229" s="67">
        <f t="shared" si="46"/>
        <v>1.5</v>
      </c>
      <c r="Y229" s="57" t="str">
        <f t="shared" si="47"/>
        <v>STOCK</v>
      </c>
      <c r="Z229" s="68" t="s">
        <v>1538</v>
      </c>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c r="BU229" s="8"/>
      <c r="BV229" s="8"/>
      <c r="BW229" s="8"/>
      <c r="BX229" s="8"/>
      <c r="BY229" s="8"/>
      <c r="BZ229" s="8"/>
      <c r="CA229" s="8"/>
      <c r="CB229" s="8"/>
      <c r="CC229" s="8"/>
      <c r="CD229" s="8"/>
      <c r="CE229" s="8"/>
      <c r="CF229" s="8"/>
      <c r="CG229" s="8"/>
      <c r="CH229" s="8"/>
      <c r="CI229" s="8"/>
      <c r="CJ229" s="8"/>
      <c r="CK229" s="8"/>
      <c r="CL229" s="8"/>
      <c r="CM229" s="8"/>
      <c r="CN229" s="8"/>
      <c r="CO229" s="8"/>
      <c r="CP229" s="8"/>
      <c r="CQ229" s="8"/>
      <c r="CR229" s="8"/>
      <c r="CS229" s="8"/>
      <c r="CT229" s="8"/>
      <c r="CU229" s="8"/>
      <c r="CV229" s="8"/>
      <c r="CW229" s="8"/>
      <c r="CX229" s="8"/>
      <c r="CY229" s="8"/>
      <c r="CZ229" s="8"/>
      <c r="DA229" s="8"/>
      <c r="DB229" s="8"/>
      <c r="DC229" s="8"/>
      <c r="DD229" s="8"/>
      <c r="DE229" s="8"/>
      <c r="DF229" s="8"/>
      <c r="DG229" s="8"/>
      <c r="DH229" s="8"/>
      <c r="DI229" s="8"/>
      <c r="DJ229" s="8"/>
      <c r="DK229" s="8"/>
      <c r="DL229" s="8"/>
      <c r="DM229" s="8"/>
      <c r="DN229" s="8"/>
      <c r="DO229" s="8"/>
      <c r="DP229" s="8"/>
      <c r="DQ229" s="8"/>
      <c r="DR229" s="8"/>
      <c r="DS229" s="8"/>
      <c r="DT229" s="8"/>
      <c r="DU229" s="8"/>
    </row>
    <row r="230" spans="1:125" s="1" customFormat="1" ht="20.100000000000001" customHeight="1" x14ac:dyDescent="0.25">
      <c r="A230" s="59" t="s">
        <v>460</v>
      </c>
      <c r="B230" s="84">
        <v>228</v>
      </c>
      <c r="C230" s="85" t="s">
        <v>547</v>
      </c>
      <c r="D230" s="60">
        <v>0</v>
      </c>
      <c r="E230" s="61">
        <f t="shared" si="36"/>
        <v>0</v>
      </c>
      <c r="F230" s="60">
        <v>0</v>
      </c>
      <c r="G230" s="61">
        <f t="shared" si="37"/>
        <v>0</v>
      </c>
      <c r="H230" s="60">
        <v>0</v>
      </c>
      <c r="I230" s="61">
        <f t="shared" si="38"/>
        <v>0</v>
      </c>
      <c r="J230" s="60">
        <v>1</v>
      </c>
      <c r="K230" s="61">
        <f t="shared" si="39"/>
        <v>100</v>
      </c>
      <c r="L230" s="62"/>
      <c r="M230" s="61">
        <f t="shared" si="40"/>
        <v>0</v>
      </c>
      <c r="N230" s="63">
        <v>0</v>
      </c>
      <c r="O230" s="61">
        <f t="shared" si="41"/>
        <v>0</v>
      </c>
      <c r="P230" s="60">
        <v>0</v>
      </c>
      <c r="Q230" s="61">
        <f t="shared" si="42"/>
        <v>0</v>
      </c>
      <c r="R230" s="60">
        <v>0</v>
      </c>
      <c r="S230" s="61">
        <f t="shared" si="43"/>
        <v>0</v>
      </c>
      <c r="T230" s="60">
        <v>0</v>
      </c>
      <c r="U230" s="64">
        <f t="shared" si="44"/>
        <v>0</v>
      </c>
      <c r="V230" s="65">
        <v>0</v>
      </c>
      <c r="W230" s="66">
        <f t="shared" si="45"/>
        <v>100</v>
      </c>
      <c r="X230" s="67">
        <f t="shared" si="46"/>
        <v>0.1</v>
      </c>
      <c r="Y230" s="57" t="str">
        <f t="shared" si="47"/>
        <v>STOCK</v>
      </c>
      <c r="Z230" s="68" t="s">
        <v>1538</v>
      </c>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c r="BU230" s="8"/>
      <c r="BV230" s="8"/>
      <c r="BW230" s="8"/>
      <c r="BX230" s="8"/>
      <c r="BY230" s="8"/>
      <c r="BZ230" s="8"/>
      <c r="CA230" s="8"/>
      <c r="CB230" s="8"/>
      <c r="CC230" s="8"/>
      <c r="CD230" s="8"/>
      <c r="CE230" s="8"/>
      <c r="CF230" s="8"/>
      <c r="CG230" s="8"/>
      <c r="CH230" s="8"/>
      <c r="CI230" s="8"/>
      <c r="CJ230" s="8"/>
      <c r="CK230" s="8"/>
      <c r="CL230" s="8"/>
      <c r="CM230" s="8"/>
      <c r="CN230" s="8"/>
      <c r="CO230" s="8"/>
      <c r="CP230" s="8"/>
      <c r="CQ230" s="8"/>
      <c r="CR230" s="8"/>
      <c r="CS230" s="8"/>
      <c r="CT230" s="8"/>
      <c r="CU230" s="8"/>
      <c r="CV230" s="8"/>
      <c r="CW230" s="8"/>
      <c r="CX230" s="8"/>
      <c r="CY230" s="8"/>
      <c r="CZ230" s="8"/>
      <c r="DA230" s="8"/>
      <c r="DB230" s="8"/>
      <c r="DC230" s="8"/>
      <c r="DD230" s="8"/>
      <c r="DE230" s="8"/>
      <c r="DF230" s="8"/>
      <c r="DG230" s="8"/>
      <c r="DH230" s="8"/>
      <c r="DI230" s="8"/>
      <c r="DJ230" s="8"/>
      <c r="DK230" s="8"/>
      <c r="DL230" s="8"/>
      <c r="DM230" s="8"/>
      <c r="DN230" s="8"/>
      <c r="DO230" s="8"/>
      <c r="DP230" s="8"/>
      <c r="DQ230" s="8"/>
      <c r="DR230" s="8"/>
      <c r="DS230" s="8"/>
      <c r="DT230" s="8"/>
      <c r="DU230" s="8"/>
    </row>
    <row r="231" spans="1:125" s="1" customFormat="1" ht="20.100000000000001" customHeight="1" x14ac:dyDescent="0.25">
      <c r="A231" s="59" t="s">
        <v>461</v>
      </c>
      <c r="B231" s="84">
        <v>229</v>
      </c>
      <c r="C231" s="85" t="s">
        <v>548</v>
      </c>
      <c r="D231" s="60">
        <v>0</v>
      </c>
      <c r="E231" s="61">
        <f t="shared" si="36"/>
        <v>0</v>
      </c>
      <c r="F231" s="60">
        <v>0</v>
      </c>
      <c r="G231" s="61">
        <f t="shared" si="37"/>
        <v>0</v>
      </c>
      <c r="H231" s="60">
        <v>0</v>
      </c>
      <c r="I231" s="61">
        <f t="shared" si="38"/>
        <v>0</v>
      </c>
      <c r="J231" s="60">
        <v>14</v>
      </c>
      <c r="K231" s="61">
        <f t="shared" si="39"/>
        <v>1400</v>
      </c>
      <c r="L231" s="62"/>
      <c r="M231" s="61">
        <f t="shared" si="40"/>
        <v>0</v>
      </c>
      <c r="N231" s="63">
        <v>0</v>
      </c>
      <c r="O231" s="61">
        <f t="shared" si="41"/>
        <v>0</v>
      </c>
      <c r="P231" s="60">
        <v>0</v>
      </c>
      <c r="Q231" s="61">
        <f t="shared" si="42"/>
        <v>0</v>
      </c>
      <c r="R231" s="60">
        <v>0</v>
      </c>
      <c r="S231" s="61">
        <f t="shared" si="43"/>
        <v>0</v>
      </c>
      <c r="T231" s="60">
        <v>0</v>
      </c>
      <c r="U231" s="64">
        <f t="shared" si="44"/>
        <v>0</v>
      </c>
      <c r="V231" s="65">
        <v>0</v>
      </c>
      <c r="W231" s="66">
        <f t="shared" si="45"/>
        <v>1400</v>
      </c>
      <c r="X231" s="67">
        <f t="shared" si="46"/>
        <v>1.4</v>
      </c>
      <c r="Y231" s="57" t="str">
        <f t="shared" si="47"/>
        <v>STOCK</v>
      </c>
      <c r="Z231" s="68" t="s">
        <v>1538</v>
      </c>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c r="BU231" s="8"/>
      <c r="BV231" s="8"/>
      <c r="BW231" s="8"/>
      <c r="BX231" s="8"/>
      <c r="BY231" s="8"/>
      <c r="BZ231" s="8"/>
      <c r="CA231" s="8"/>
      <c r="CB231" s="8"/>
      <c r="CC231" s="8"/>
      <c r="CD231" s="8"/>
      <c r="CE231" s="8"/>
      <c r="CF231" s="8"/>
      <c r="CG231" s="8"/>
      <c r="CH231" s="8"/>
      <c r="CI231" s="8"/>
      <c r="CJ231" s="8"/>
      <c r="CK231" s="8"/>
      <c r="CL231" s="8"/>
      <c r="CM231" s="8"/>
      <c r="CN231" s="8"/>
      <c r="CO231" s="8"/>
      <c r="CP231" s="8"/>
      <c r="CQ231" s="8"/>
      <c r="CR231" s="8"/>
      <c r="CS231" s="8"/>
      <c r="CT231" s="8"/>
      <c r="CU231" s="8"/>
      <c r="CV231" s="8"/>
      <c r="CW231" s="8"/>
      <c r="CX231" s="8"/>
      <c r="CY231" s="8"/>
      <c r="CZ231" s="8"/>
      <c r="DA231" s="8"/>
      <c r="DB231" s="8"/>
      <c r="DC231" s="8"/>
      <c r="DD231" s="8"/>
      <c r="DE231" s="8"/>
      <c r="DF231" s="8"/>
      <c r="DG231" s="8"/>
      <c r="DH231" s="8"/>
      <c r="DI231" s="8"/>
      <c r="DJ231" s="8"/>
      <c r="DK231" s="8"/>
      <c r="DL231" s="8"/>
      <c r="DM231" s="8"/>
      <c r="DN231" s="8"/>
      <c r="DO231" s="8"/>
      <c r="DP231" s="8"/>
      <c r="DQ231" s="8"/>
      <c r="DR231" s="8"/>
      <c r="DS231" s="8"/>
      <c r="DT231" s="8"/>
      <c r="DU231" s="8"/>
    </row>
    <row r="232" spans="1:125" s="1" customFormat="1" ht="20.100000000000001" customHeight="1" x14ac:dyDescent="0.25">
      <c r="A232" s="59" t="s">
        <v>462</v>
      </c>
      <c r="B232" s="84">
        <v>230</v>
      </c>
      <c r="C232" s="85" t="s">
        <v>549</v>
      </c>
      <c r="D232" s="60">
        <v>0</v>
      </c>
      <c r="E232" s="61">
        <f t="shared" si="36"/>
        <v>0</v>
      </c>
      <c r="F232" s="60">
        <v>0</v>
      </c>
      <c r="G232" s="61">
        <f t="shared" si="37"/>
        <v>0</v>
      </c>
      <c r="H232" s="60">
        <v>3</v>
      </c>
      <c r="I232" s="61">
        <f t="shared" si="38"/>
        <v>150</v>
      </c>
      <c r="J232" s="60">
        <v>0</v>
      </c>
      <c r="K232" s="61">
        <f t="shared" si="39"/>
        <v>0</v>
      </c>
      <c r="L232" s="62"/>
      <c r="M232" s="61">
        <f t="shared" si="40"/>
        <v>0</v>
      </c>
      <c r="N232" s="63">
        <v>0</v>
      </c>
      <c r="O232" s="61">
        <f t="shared" si="41"/>
        <v>0</v>
      </c>
      <c r="P232" s="60">
        <v>0</v>
      </c>
      <c r="Q232" s="61">
        <f t="shared" si="42"/>
        <v>0</v>
      </c>
      <c r="R232" s="60">
        <v>0</v>
      </c>
      <c r="S232" s="61">
        <f t="shared" si="43"/>
        <v>0</v>
      </c>
      <c r="T232" s="60">
        <v>0</v>
      </c>
      <c r="U232" s="64">
        <f t="shared" si="44"/>
        <v>0</v>
      </c>
      <c r="V232" s="65">
        <v>0</v>
      </c>
      <c r="W232" s="66">
        <f t="shared" si="45"/>
        <v>150</v>
      </c>
      <c r="X232" s="67">
        <f t="shared" si="46"/>
        <v>0.15</v>
      </c>
      <c r="Y232" s="57" t="str">
        <f t="shared" si="47"/>
        <v>STOCK</v>
      </c>
      <c r="Z232" s="68" t="s">
        <v>1538</v>
      </c>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c r="BU232" s="8"/>
      <c r="BV232" s="8"/>
      <c r="BW232" s="8"/>
      <c r="BX232" s="8"/>
      <c r="BY232" s="8"/>
      <c r="BZ232" s="8"/>
      <c r="CA232" s="8"/>
      <c r="CB232" s="8"/>
      <c r="CC232" s="8"/>
      <c r="CD232" s="8"/>
      <c r="CE232" s="8"/>
      <c r="CF232" s="8"/>
      <c r="CG232" s="8"/>
      <c r="CH232" s="8"/>
      <c r="CI232" s="8"/>
      <c r="CJ232" s="8"/>
      <c r="CK232" s="8"/>
      <c r="CL232" s="8"/>
      <c r="CM232" s="8"/>
      <c r="CN232" s="8"/>
      <c r="CO232" s="8"/>
      <c r="CP232" s="8"/>
      <c r="CQ232" s="8"/>
      <c r="CR232" s="8"/>
      <c r="CS232" s="8"/>
      <c r="CT232" s="8"/>
      <c r="CU232" s="8"/>
      <c r="CV232" s="8"/>
      <c r="CW232" s="8"/>
      <c r="CX232" s="8"/>
      <c r="CY232" s="8"/>
      <c r="CZ232" s="8"/>
      <c r="DA232" s="8"/>
      <c r="DB232" s="8"/>
      <c r="DC232" s="8"/>
      <c r="DD232" s="8"/>
      <c r="DE232" s="8"/>
      <c r="DF232" s="8"/>
      <c r="DG232" s="8"/>
      <c r="DH232" s="8"/>
      <c r="DI232" s="8"/>
      <c r="DJ232" s="8"/>
      <c r="DK232" s="8"/>
      <c r="DL232" s="8"/>
      <c r="DM232" s="8"/>
      <c r="DN232" s="8"/>
      <c r="DO232" s="8"/>
      <c r="DP232" s="8"/>
      <c r="DQ232" s="8"/>
      <c r="DR232" s="8"/>
      <c r="DS232" s="8"/>
      <c r="DT232" s="8"/>
      <c r="DU232" s="8"/>
    </row>
    <row r="233" spans="1:125" s="1" customFormat="1" ht="20.100000000000001" customHeight="1" x14ac:dyDescent="0.25">
      <c r="A233" s="59" t="s">
        <v>463</v>
      </c>
      <c r="B233" s="84">
        <v>231</v>
      </c>
      <c r="C233" s="85" t="s">
        <v>550</v>
      </c>
      <c r="D233" s="60">
        <v>0</v>
      </c>
      <c r="E233" s="61">
        <f t="shared" si="36"/>
        <v>0</v>
      </c>
      <c r="F233" s="60">
        <v>0</v>
      </c>
      <c r="G233" s="61">
        <f t="shared" si="37"/>
        <v>0</v>
      </c>
      <c r="H233" s="60">
        <v>0</v>
      </c>
      <c r="I233" s="61">
        <f t="shared" si="38"/>
        <v>0</v>
      </c>
      <c r="J233" s="60">
        <v>0</v>
      </c>
      <c r="K233" s="61">
        <f t="shared" si="39"/>
        <v>0</v>
      </c>
      <c r="L233" s="62"/>
      <c r="M233" s="61">
        <f t="shared" si="40"/>
        <v>0</v>
      </c>
      <c r="N233" s="63">
        <v>0</v>
      </c>
      <c r="O233" s="61">
        <f t="shared" si="41"/>
        <v>0</v>
      </c>
      <c r="P233" s="60">
        <v>0</v>
      </c>
      <c r="Q233" s="61">
        <f t="shared" si="42"/>
        <v>0</v>
      </c>
      <c r="R233" s="60">
        <v>0</v>
      </c>
      <c r="S233" s="61">
        <f t="shared" si="43"/>
        <v>0</v>
      </c>
      <c r="T233" s="60">
        <v>0</v>
      </c>
      <c r="U233" s="64">
        <f t="shared" si="44"/>
        <v>0</v>
      </c>
      <c r="V233" s="65">
        <v>0</v>
      </c>
      <c r="W233" s="66">
        <f t="shared" si="45"/>
        <v>0</v>
      </c>
      <c r="X233" s="67">
        <f t="shared" si="46"/>
        <v>0</v>
      </c>
      <c r="Y233" s="57" t="str">
        <f t="shared" si="47"/>
        <v>NIL PLEASE PURCHASE</v>
      </c>
      <c r="Z233" s="68" t="s">
        <v>1539</v>
      </c>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c r="BU233" s="8"/>
      <c r="BV233" s="8"/>
      <c r="BW233" s="8"/>
      <c r="BX233" s="8"/>
      <c r="BY233" s="8"/>
      <c r="BZ233" s="8"/>
      <c r="CA233" s="8"/>
      <c r="CB233" s="8"/>
      <c r="CC233" s="8"/>
      <c r="CD233" s="8"/>
      <c r="CE233" s="8"/>
      <c r="CF233" s="8"/>
      <c r="CG233" s="8"/>
      <c r="CH233" s="8"/>
      <c r="CI233" s="8"/>
      <c r="CJ233" s="8"/>
      <c r="CK233" s="8"/>
      <c r="CL233" s="8"/>
      <c r="CM233" s="8"/>
      <c r="CN233" s="8"/>
      <c r="CO233" s="8"/>
      <c r="CP233" s="8"/>
      <c r="CQ233" s="8"/>
      <c r="CR233" s="8"/>
      <c r="CS233" s="8"/>
      <c r="CT233" s="8"/>
      <c r="CU233" s="8"/>
      <c r="CV233" s="8"/>
      <c r="CW233" s="8"/>
      <c r="CX233" s="8"/>
      <c r="CY233" s="8"/>
      <c r="CZ233" s="8"/>
      <c r="DA233" s="8"/>
      <c r="DB233" s="8"/>
      <c r="DC233" s="8"/>
      <c r="DD233" s="8"/>
      <c r="DE233" s="8"/>
      <c r="DF233" s="8"/>
      <c r="DG233" s="8"/>
      <c r="DH233" s="8"/>
      <c r="DI233" s="8"/>
      <c r="DJ233" s="8"/>
      <c r="DK233" s="8"/>
      <c r="DL233" s="8"/>
      <c r="DM233" s="8"/>
      <c r="DN233" s="8"/>
      <c r="DO233" s="8"/>
      <c r="DP233" s="8"/>
      <c r="DQ233" s="8"/>
      <c r="DR233" s="8"/>
      <c r="DS233" s="8"/>
      <c r="DT233" s="8"/>
      <c r="DU233" s="8"/>
    </row>
    <row r="234" spans="1:125" s="1" customFormat="1" ht="20.100000000000001" customHeight="1" x14ac:dyDescent="0.25">
      <c r="A234" s="59" t="s">
        <v>464</v>
      </c>
      <c r="B234" s="84">
        <v>232</v>
      </c>
      <c r="C234" s="85" t="s">
        <v>551</v>
      </c>
      <c r="D234" s="60">
        <v>0</v>
      </c>
      <c r="E234" s="61">
        <f t="shared" si="36"/>
        <v>0</v>
      </c>
      <c r="F234" s="60">
        <v>0</v>
      </c>
      <c r="G234" s="61">
        <f t="shared" si="37"/>
        <v>0</v>
      </c>
      <c r="H234" s="60">
        <v>0</v>
      </c>
      <c r="I234" s="61">
        <f t="shared" si="38"/>
        <v>0</v>
      </c>
      <c r="J234" s="60">
        <v>0</v>
      </c>
      <c r="K234" s="61">
        <f t="shared" si="39"/>
        <v>0</v>
      </c>
      <c r="L234" s="62"/>
      <c r="M234" s="61">
        <f t="shared" si="40"/>
        <v>0</v>
      </c>
      <c r="N234" s="63">
        <v>0</v>
      </c>
      <c r="O234" s="61">
        <f t="shared" si="41"/>
        <v>0</v>
      </c>
      <c r="P234" s="60">
        <v>0</v>
      </c>
      <c r="Q234" s="61">
        <f t="shared" si="42"/>
        <v>0</v>
      </c>
      <c r="R234" s="60">
        <v>0</v>
      </c>
      <c r="S234" s="61">
        <f t="shared" si="43"/>
        <v>0</v>
      </c>
      <c r="T234" s="60">
        <v>0</v>
      </c>
      <c r="U234" s="64">
        <f t="shared" si="44"/>
        <v>0</v>
      </c>
      <c r="V234" s="65">
        <v>0</v>
      </c>
      <c r="W234" s="66">
        <f t="shared" si="45"/>
        <v>0</v>
      </c>
      <c r="X234" s="67">
        <f t="shared" si="46"/>
        <v>0</v>
      </c>
      <c r="Y234" s="57" t="str">
        <f t="shared" si="47"/>
        <v>NIL PLEASE PURCHASE</v>
      </c>
      <c r="Z234" s="68" t="s">
        <v>1539</v>
      </c>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c r="BU234" s="8"/>
      <c r="BV234" s="8"/>
      <c r="BW234" s="8"/>
      <c r="BX234" s="8"/>
      <c r="BY234" s="8"/>
      <c r="BZ234" s="8"/>
      <c r="CA234" s="8"/>
      <c r="CB234" s="8"/>
      <c r="CC234" s="8"/>
      <c r="CD234" s="8"/>
      <c r="CE234" s="8"/>
      <c r="CF234" s="8"/>
      <c r="CG234" s="8"/>
      <c r="CH234" s="8"/>
      <c r="CI234" s="8"/>
      <c r="CJ234" s="8"/>
      <c r="CK234" s="8"/>
      <c r="CL234" s="8"/>
      <c r="CM234" s="8"/>
      <c r="CN234" s="8"/>
      <c r="CO234" s="8"/>
      <c r="CP234" s="8"/>
      <c r="CQ234" s="8"/>
      <c r="CR234" s="8"/>
      <c r="CS234" s="8"/>
      <c r="CT234" s="8"/>
      <c r="CU234" s="8"/>
      <c r="CV234" s="8"/>
      <c r="CW234" s="8"/>
      <c r="CX234" s="8"/>
      <c r="CY234" s="8"/>
      <c r="CZ234" s="8"/>
      <c r="DA234" s="8"/>
      <c r="DB234" s="8"/>
      <c r="DC234" s="8"/>
      <c r="DD234" s="8"/>
      <c r="DE234" s="8"/>
      <c r="DF234" s="8"/>
      <c r="DG234" s="8"/>
      <c r="DH234" s="8"/>
      <c r="DI234" s="8"/>
      <c r="DJ234" s="8"/>
      <c r="DK234" s="8"/>
      <c r="DL234" s="8"/>
      <c r="DM234" s="8"/>
      <c r="DN234" s="8"/>
      <c r="DO234" s="8"/>
      <c r="DP234" s="8"/>
      <c r="DQ234" s="8"/>
      <c r="DR234" s="8"/>
      <c r="DS234" s="8"/>
      <c r="DT234" s="8"/>
      <c r="DU234" s="8"/>
    </row>
    <row r="235" spans="1:125" s="1" customFormat="1" ht="20.100000000000001" customHeight="1" x14ac:dyDescent="0.25">
      <c r="A235" s="59" t="s">
        <v>465</v>
      </c>
      <c r="B235" s="84">
        <v>233</v>
      </c>
      <c r="C235" s="85" t="s">
        <v>552</v>
      </c>
      <c r="D235" s="60">
        <v>0</v>
      </c>
      <c r="E235" s="61">
        <f t="shared" si="36"/>
        <v>0</v>
      </c>
      <c r="F235" s="60">
        <v>0</v>
      </c>
      <c r="G235" s="61">
        <f t="shared" si="37"/>
        <v>0</v>
      </c>
      <c r="H235" s="60">
        <v>0</v>
      </c>
      <c r="I235" s="61">
        <f t="shared" si="38"/>
        <v>0</v>
      </c>
      <c r="J235" s="60">
        <v>0</v>
      </c>
      <c r="K235" s="61">
        <f t="shared" si="39"/>
        <v>0</v>
      </c>
      <c r="L235" s="62"/>
      <c r="M235" s="61">
        <f t="shared" si="40"/>
        <v>0</v>
      </c>
      <c r="N235" s="63">
        <v>0</v>
      </c>
      <c r="O235" s="61">
        <f t="shared" si="41"/>
        <v>0</v>
      </c>
      <c r="P235" s="60">
        <v>0</v>
      </c>
      <c r="Q235" s="61">
        <f t="shared" si="42"/>
        <v>0</v>
      </c>
      <c r="R235" s="60">
        <v>0</v>
      </c>
      <c r="S235" s="61">
        <f t="shared" si="43"/>
        <v>0</v>
      </c>
      <c r="T235" s="60">
        <v>0</v>
      </c>
      <c r="U235" s="64">
        <f t="shared" si="44"/>
        <v>0</v>
      </c>
      <c r="V235" s="65">
        <v>0</v>
      </c>
      <c r="W235" s="66">
        <f t="shared" si="45"/>
        <v>0</v>
      </c>
      <c r="X235" s="67">
        <f t="shared" si="46"/>
        <v>0</v>
      </c>
      <c r="Y235" s="57" t="str">
        <f t="shared" si="47"/>
        <v>NIL PLEASE PURCHASE</v>
      </c>
      <c r="Z235" s="68" t="s">
        <v>1539</v>
      </c>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c r="BU235" s="8"/>
      <c r="BV235" s="8"/>
      <c r="BW235" s="8"/>
      <c r="BX235" s="8"/>
      <c r="BY235" s="8"/>
      <c r="BZ235" s="8"/>
      <c r="CA235" s="8"/>
      <c r="CB235" s="8"/>
      <c r="CC235" s="8"/>
      <c r="CD235" s="8"/>
      <c r="CE235" s="8"/>
      <c r="CF235" s="8"/>
      <c r="CG235" s="8"/>
      <c r="CH235" s="8"/>
      <c r="CI235" s="8"/>
      <c r="CJ235" s="8"/>
      <c r="CK235" s="8"/>
      <c r="CL235" s="8"/>
      <c r="CM235" s="8"/>
      <c r="CN235" s="8"/>
      <c r="CO235" s="8"/>
      <c r="CP235" s="8"/>
      <c r="CQ235" s="8"/>
      <c r="CR235" s="8"/>
      <c r="CS235" s="8"/>
      <c r="CT235" s="8"/>
      <c r="CU235" s="8"/>
      <c r="CV235" s="8"/>
      <c r="CW235" s="8"/>
      <c r="CX235" s="8"/>
      <c r="CY235" s="8"/>
      <c r="CZ235" s="8"/>
      <c r="DA235" s="8"/>
      <c r="DB235" s="8"/>
      <c r="DC235" s="8"/>
      <c r="DD235" s="8"/>
      <c r="DE235" s="8"/>
      <c r="DF235" s="8"/>
      <c r="DG235" s="8"/>
      <c r="DH235" s="8"/>
      <c r="DI235" s="8"/>
      <c r="DJ235" s="8"/>
      <c r="DK235" s="8"/>
      <c r="DL235" s="8"/>
      <c r="DM235" s="8"/>
      <c r="DN235" s="8"/>
      <c r="DO235" s="8"/>
      <c r="DP235" s="8"/>
      <c r="DQ235" s="8"/>
      <c r="DR235" s="8"/>
      <c r="DS235" s="8"/>
      <c r="DT235" s="8"/>
      <c r="DU235" s="8"/>
    </row>
    <row r="236" spans="1:125" s="1" customFormat="1" ht="20.100000000000001" customHeight="1" x14ac:dyDescent="0.25">
      <c r="A236" s="59" t="s">
        <v>466</v>
      </c>
      <c r="B236" s="84">
        <v>234</v>
      </c>
      <c r="C236" s="85" t="s">
        <v>553</v>
      </c>
      <c r="D236" s="60">
        <v>0</v>
      </c>
      <c r="E236" s="61">
        <f t="shared" si="36"/>
        <v>0</v>
      </c>
      <c r="F236" s="60">
        <v>0</v>
      </c>
      <c r="G236" s="61">
        <f t="shared" si="37"/>
        <v>0</v>
      </c>
      <c r="H236" s="60">
        <v>0</v>
      </c>
      <c r="I236" s="61">
        <f t="shared" si="38"/>
        <v>0</v>
      </c>
      <c r="J236" s="60">
        <v>0</v>
      </c>
      <c r="K236" s="61">
        <f t="shared" si="39"/>
        <v>0</v>
      </c>
      <c r="L236" s="62"/>
      <c r="M236" s="61">
        <f t="shared" si="40"/>
        <v>0</v>
      </c>
      <c r="N236" s="63">
        <v>0</v>
      </c>
      <c r="O236" s="61">
        <f t="shared" si="41"/>
        <v>0</v>
      </c>
      <c r="P236" s="60">
        <v>0</v>
      </c>
      <c r="Q236" s="61">
        <f t="shared" si="42"/>
        <v>0</v>
      </c>
      <c r="R236" s="60">
        <v>0</v>
      </c>
      <c r="S236" s="61">
        <f t="shared" si="43"/>
        <v>0</v>
      </c>
      <c r="T236" s="60">
        <v>0</v>
      </c>
      <c r="U236" s="64">
        <f t="shared" si="44"/>
        <v>0</v>
      </c>
      <c r="V236" s="65">
        <v>0</v>
      </c>
      <c r="W236" s="66">
        <f t="shared" si="45"/>
        <v>0</v>
      </c>
      <c r="X236" s="67">
        <f t="shared" si="46"/>
        <v>0</v>
      </c>
      <c r="Y236" s="57" t="str">
        <f t="shared" si="47"/>
        <v>NIL PLEASE PURCHASE</v>
      </c>
      <c r="Z236" s="68" t="s">
        <v>1539</v>
      </c>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c r="BU236" s="8"/>
      <c r="BV236" s="8"/>
      <c r="BW236" s="8"/>
      <c r="BX236" s="8"/>
      <c r="BY236" s="8"/>
      <c r="BZ236" s="8"/>
      <c r="CA236" s="8"/>
      <c r="CB236" s="8"/>
      <c r="CC236" s="8"/>
      <c r="CD236" s="8"/>
      <c r="CE236" s="8"/>
      <c r="CF236" s="8"/>
      <c r="CG236" s="8"/>
      <c r="CH236" s="8"/>
      <c r="CI236" s="8"/>
      <c r="CJ236" s="8"/>
      <c r="CK236" s="8"/>
      <c r="CL236" s="8"/>
      <c r="CM236" s="8"/>
      <c r="CN236" s="8"/>
      <c r="CO236" s="8"/>
      <c r="CP236" s="8"/>
      <c r="CQ236" s="8"/>
      <c r="CR236" s="8"/>
      <c r="CS236" s="8"/>
      <c r="CT236" s="8"/>
      <c r="CU236" s="8"/>
      <c r="CV236" s="8"/>
      <c r="CW236" s="8"/>
      <c r="CX236" s="8"/>
      <c r="CY236" s="8"/>
      <c r="CZ236" s="8"/>
      <c r="DA236" s="8"/>
      <c r="DB236" s="8"/>
      <c r="DC236" s="8"/>
      <c r="DD236" s="8"/>
      <c r="DE236" s="8"/>
      <c r="DF236" s="8"/>
      <c r="DG236" s="8"/>
      <c r="DH236" s="8"/>
      <c r="DI236" s="8"/>
      <c r="DJ236" s="8"/>
      <c r="DK236" s="8"/>
      <c r="DL236" s="8"/>
      <c r="DM236" s="8"/>
      <c r="DN236" s="8"/>
      <c r="DO236" s="8"/>
      <c r="DP236" s="8"/>
      <c r="DQ236" s="8"/>
      <c r="DR236" s="8"/>
      <c r="DS236" s="8"/>
      <c r="DT236" s="8"/>
      <c r="DU236" s="8"/>
    </row>
    <row r="237" spans="1:125" s="1" customFormat="1" ht="20.100000000000001" customHeight="1" x14ac:dyDescent="0.25">
      <c r="A237" s="59" t="s">
        <v>467</v>
      </c>
      <c r="B237" s="84">
        <v>235</v>
      </c>
      <c r="C237" s="85" t="s">
        <v>554</v>
      </c>
      <c r="D237" s="60">
        <v>0</v>
      </c>
      <c r="E237" s="61">
        <f t="shared" si="36"/>
        <v>0</v>
      </c>
      <c r="F237" s="60">
        <v>0</v>
      </c>
      <c r="G237" s="61">
        <f t="shared" si="37"/>
        <v>0</v>
      </c>
      <c r="H237" s="60">
        <v>0</v>
      </c>
      <c r="I237" s="61">
        <f t="shared" si="38"/>
        <v>0</v>
      </c>
      <c r="J237" s="60">
        <v>0</v>
      </c>
      <c r="K237" s="61">
        <f t="shared" si="39"/>
        <v>0</v>
      </c>
      <c r="L237" s="62"/>
      <c r="M237" s="61">
        <f t="shared" si="40"/>
        <v>0</v>
      </c>
      <c r="N237" s="63">
        <v>3</v>
      </c>
      <c r="O237" s="61">
        <f t="shared" si="41"/>
        <v>1500</v>
      </c>
      <c r="P237" s="60">
        <v>0</v>
      </c>
      <c r="Q237" s="61">
        <f t="shared" si="42"/>
        <v>0</v>
      </c>
      <c r="R237" s="60">
        <v>0</v>
      </c>
      <c r="S237" s="61">
        <f t="shared" si="43"/>
        <v>0</v>
      </c>
      <c r="T237" s="60">
        <v>0</v>
      </c>
      <c r="U237" s="64">
        <f t="shared" si="44"/>
        <v>0</v>
      </c>
      <c r="V237" s="65">
        <v>0</v>
      </c>
      <c r="W237" s="66">
        <f t="shared" si="45"/>
        <v>1500</v>
      </c>
      <c r="X237" s="67">
        <f t="shared" si="46"/>
        <v>1.5</v>
      </c>
      <c r="Y237" s="57" t="str">
        <f t="shared" si="47"/>
        <v>STOCK</v>
      </c>
      <c r="Z237" s="68" t="s">
        <v>1538</v>
      </c>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c r="BU237" s="8"/>
      <c r="BV237" s="8"/>
      <c r="BW237" s="8"/>
      <c r="BX237" s="8"/>
      <c r="BY237" s="8"/>
      <c r="BZ237" s="8"/>
      <c r="CA237" s="8"/>
      <c r="CB237" s="8"/>
      <c r="CC237" s="8"/>
      <c r="CD237" s="8"/>
      <c r="CE237" s="8"/>
      <c r="CF237" s="8"/>
      <c r="CG237" s="8"/>
      <c r="CH237" s="8"/>
      <c r="CI237" s="8"/>
      <c r="CJ237" s="8"/>
      <c r="CK237" s="8"/>
      <c r="CL237" s="8"/>
      <c r="CM237" s="8"/>
      <c r="CN237" s="8"/>
      <c r="CO237" s="8"/>
      <c r="CP237" s="8"/>
      <c r="CQ237" s="8"/>
      <c r="CR237" s="8"/>
      <c r="CS237" s="8"/>
      <c r="CT237" s="8"/>
      <c r="CU237" s="8"/>
      <c r="CV237" s="8"/>
      <c r="CW237" s="8"/>
      <c r="CX237" s="8"/>
      <c r="CY237" s="8"/>
      <c r="CZ237" s="8"/>
      <c r="DA237" s="8"/>
      <c r="DB237" s="8"/>
      <c r="DC237" s="8"/>
      <c r="DD237" s="8"/>
      <c r="DE237" s="8"/>
      <c r="DF237" s="8"/>
      <c r="DG237" s="8"/>
      <c r="DH237" s="8"/>
      <c r="DI237" s="8"/>
      <c r="DJ237" s="8"/>
      <c r="DK237" s="8"/>
      <c r="DL237" s="8"/>
      <c r="DM237" s="8"/>
      <c r="DN237" s="8"/>
      <c r="DO237" s="8"/>
      <c r="DP237" s="8"/>
      <c r="DQ237" s="8"/>
      <c r="DR237" s="8"/>
      <c r="DS237" s="8"/>
      <c r="DT237" s="8"/>
      <c r="DU237" s="8"/>
    </row>
    <row r="238" spans="1:125" s="1" customFormat="1" ht="20.100000000000001" customHeight="1" x14ac:dyDescent="0.25">
      <c r="A238" s="59" t="s">
        <v>468</v>
      </c>
      <c r="B238" s="84">
        <v>236</v>
      </c>
      <c r="C238" s="85" t="s">
        <v>555</v>
      </c>
      <c r="D238" s="60">
        <v>0</v>
      </c>
      <c r="E238" s="61">
        <f t="shared" si="36"/>
        <v>0</v>
      </c>
      <c r="F238" s="60">
        <v>0</v>
      </c>
      <c r="G238" s="61">
        <f t="shared" si="37"/>
        <v>0</v>
      </c>
      <c r="H238" s="60">
        <v>0</v>
      </c>
      <c r="I238" s="61">
        <f t="shared" si="38"/>
        <v>0</v>
      </c>
      <c r="J238" s="60">
        <v>0</v>
      </c>
      <c r="K238" s="61">
        <f t="shared" si="39"/>
        <v>0</v>
      </c>
      <c r="L238" s="62"/>
      <c r="M238" s="61">
        <f t="shared" si="40"/>
        <v>0</v>
      </c>
      <c r="N238" s="63">
        <v>0</v>
      </c>
      <c r="O238" s="61">
        <f t="shared" si="41"/>
        <v>0</v>
      </c>
      <c r="P238" s="60">
        <v>0</v>
      </c>
      <c r="Q238" s="61">
        <f t="shared" si="42"/>
        <v>0</v>
      </c>
      <c r="R238" s="60">
        <v>0</v>
      </c>
      <c r="S238" s="61">
        <f t="shared" si="43"/>
        <v>0</v>
      </c>
      <c r="T238" s="60">
        <v>0</v>
      </c>
      <c r="U238" s="64">
        <f t="shared" si="44"/>
        <v>0</v>
      </c>
      <c r="V238" s="65">
        <v>0</v>
      </c>
      <c r="W238" s="66">
        <f t="shared" si="45"/>
        <v>0</v>
      </c>
      <c r="X238" s="67">
        <f t="shared" si="46"/>
        <v>0</v>
      </c>
      <c r="Y238" s="57" t="str">
        <f t="shared" si="47"/>
        <v>NIL PLEASE PURCHASE</v>
      </c>
      <c r="Z238" s="68" t="s">
        <v>1539</v>
      </c>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c r="BU238" s="8"/>
      <c r="BV238" s="8"/>
      <c r="BW238" s="8"/>
      <c r="BX238" s="8"/>
      <c r="BY238" s="8"/>
      <c r="BZ238" s="8"/>
      <c r="CA238" s="8"/>
      <c r="CB238" s="8"/>
      <c r="CC238" s="8"/>
      <c r="CD238" s="8"/>
      <c r="CE238" s="8"/>
      <c r="CF238" s="8"/>
      <c r="CG238" s="8"/>
      <c r="CH238" s="8"/>
      <c r="CI238" s="8"/>
      <c r="CJ238" s="8"/>
      <c r="CK238" s="8"/>
      <c r="CL238" s="8"/>
      <c r="CM238" s="8"/>
      <c r="CN238" s="8"/>
      <c r="CO238" s="8"/>
      <c r="CP238" s="8"/>
      <c r="CQ238" s="8"/>
      <c r="CR238" s="8"/>
      <c r="CS238" s="8"/>
      <c r="CT238" s="8"/>
      <c r="CU238" s="8"/>
      <c r="CV238" s="8"/>
      <c r="CW238" s="8"/>
      <c r="CX238" s="8"/>
      <c r="CY238" s="8"/>
      <c r="CZ238" s="8"/>
      <c r="DA238" s="8"/>
      <c r="DB238" s="8"/>
      <c r="DC238" s="8"/>
      <c r="DD238" s="8"/>
      <c r="DE238" s="8"/>
      <c r="DF238" s="8"/>
      <c r="DG238" s="8"/>
      <c r="DH238" s="8"/>
      <c r="DI238" s="8"/>
      <c r="DJ238" s="8"/>
      <c r="DK238" s="8"/>
      <c r="DL238" s="8"/>
      <c r="DM238" s="8"/>
      <c r="DN238" s="8"/>
      <c r="DO238" s="8"/>
      <c r="DP238" s="8"/>
      <c r="DQ238" s="8"/>
      <c r="DR238" s="8"/>
      <c r="DS238" s="8"/>
      <c r="DT238" s="8"/>
      <c r="DU238" s="8"/>
    </row>
    <row r="239" spans="1:125" s="1" customFormat="1" ht="20.100000000000001" customHeight="1" x14ac:dyDescent="0.25">
      <c r="A239" s="59" t="s">
        <v>469</v>
      </c>
      <c r="B239" s="84">
        <v>237</v>
      </c>
      <c r="C239" s="85" t="s">
        <v>556</v>
      </c>
      <c r="D239" s="60">
        <v>0</v>
      </c>
      <c r="E239" s="61">
        <f t="shared" si="36"/>
        <v>0</v>
      </c>
      <c r="F239" s="60">
        <v>0</v>
      </c>
      <c r="G239" s="61">
        <f t="shared" si="37"/>
        <v>0</v>
      </c>
      <c r="H239" s="60">
        <v>0</v>
      </c>
      <c r="I239" s="61">
        <f t="shared" si="38"/>
        <v>0</v>
      </c>
      <c r="J239" s="60">
        <v>0</v>
      </c>
      <c r="K239" s="61">
        <f t="shared" si="39"/>
        <v>0</v>
      </c>
      <c r="L239" s="62"/>
      <c r="M239" s="61">
        <f t="shared" si="40"/>
        <v>0</v>
      </c>
      <c r="N239" s="63">
        <v>2</v>
      </c>
      <c r="O239" s="61">
        <f t="shared" si="41"/>
        <v>1000</v>
      </c>
      <c r="P239" s="60">
        <v>0</v>
      </c>
      <c r="Q239" s="61">
        <f t="shared" si="42"/>
        <v>0</v>
      </c>
      <c r="R239" s="60">
        <v>0</v>
      </c>
      <c r="S239" s="61">
        <f t="shared" si="43"/>
        <v>0</v>
      </c>
      <c r="T239" s="60">
        <v>0</v>
      </c>
      <c r="U239" s="64">
        <f t="shared" si="44"/>
        <v>0</v>
      </c>
      <c r="V239" s="65">
        <v>0</v>
      </c>
      <c r="W239" s="66">
        <f t="shared" si="45"/>
        <v>1000</v>
      </c>
      <c r="X239" s="67">
        <f t="shared" si="46"/>
        <v>1</v>
      </c>
      <c r="Y239" s="57" t="str">
        <f t="shared" si="47"/>
        <v>STOCK</v>
      </c>
      <c r="Z239" s="68" t="s">
        <v>1538</v>
      </c>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c r="BU239" s="8"/>
      <c r="BV239" s="8"/>
      <c r="BW239" s="8"/>
      <c r="BX239" s="8"/>
      <c r="BY239" s="8"/>
      <c r="BZ239" s="8"/>
      <c r="CA239" s="8"/>
      <c r="CB239" s="8"/>
      <c r="CC239" s="8"/>
      <c r="CD239" s="8"/>
      <c r="CE239" s="8"/>
      <c r="CF239" s="8"/>
      <c r="CG239" s="8"/>
      <c r="CH239" s="8"/>
      <c r="CI239" s="8"/>
      <c r="CJ239" s="8"/>
      <c r="CK239" s="8"/>
      <c r="CL239" s="8"/>
      <c r="CM239" s="8"/>
      <c r="CN239" s="8"/>
      <c r="CO239" s="8"/>
      <c r="CP239" s="8"/>
      <c r="CQ239" s="8"/>
      <c r="CR239" s="8"/>
      <c r="CS239" s="8"/>
      <c r="CT239" s="8"/>
      <c r="CU239" s="8"/>
      <c r="CV239" s="8"/>
      <c r="CW239" s="8"/>
      <c r="CX239" s="8"/>
      <c r="CY239" s="8"/>
      <c r="CZ239" s="8"/>
      <c r="DA239" s="8"/>
      <c r="DB239" s="8"/>
      <c r="DC239" s="8"/>
      <c r="DD239" s="8"/>
      <c r="DE239" s="8"/>
      <c r="DF239" s="8"/>
      <c r="DG239" s="8"/>
      <c r="DH239" s="8"/>
      <c r="DI239" s="8"/>
      <c r="DJ239" s="8"/>
      <c r="DK239" s="8"/>
      <c r="DL239" s="8"/>
      <c r="DM239" s="8"/>
      <c r="DN239" s="8"/>
      <c r="DO239" s="8"/>
      <c r="DP239" s="8"/>
      <c r="DQ239" s="8"/>
      <c r="DR239" s="8"/>
      <c r="DS239" s="8"/>
      <c r="DT239" s="8"/>
      <c r="DU239" s="8"/>
    </row>
    <row r="240" spans="1:125" s="1" customFormat="1" ht="20.100000000000001" customHeight="1" x14ac:dyDescent="0.25">
      <c r="A240" s="59" t="s">
        <v>470</v>
      </c>
      <c r="B240" s="84">
        <v>238</v>
      </c>
      <c r="C240" s="85" t="s">
        <v>557</v>
      </c>
      <c r="D240" s="60">
        <v>0</v>
      </c>
      <c r="E240" s="61">
        <f t="shared" si="36"/>
        <v>0</v>
      </c>
      <c r="F240" s="60">
        <v>0</v>
      </c>
      <c r="G240" s="61">
        <f t="shared" si="37"/>
        <v>0</v>
      </c>
      <c r="H240" s="60">
        <v>0</v>
      </c>
      <c r="I240" s="61">
        <f t="shared" si="38"/>
        <v>0</v>
      </c>
      <c r="J240" s="60">
        <v>0</v>
      </c>
      <c r="K240" s="61">
        <f t="shared" si="39"/>
        <v>0</v>
      </c>
      <c r="L240" s="62"/>
      <c r="M240" s="61">
        <f t="shared" si="40"/>
        <v>0</v>
      </c>
      <c r="N240" s="63">
        <v>0</v>
      </c>
      <c r="O240" s="61">
        <f t="shared" si="41"/>
        <v>0</v>
      </c>
      <c r="P240" s="60">
        <v>0</v>
      </c>
      <c r="Q240" s="61">
        <f t="shared" si="42"/>
        <v>0</v>
      </c>
      <c r="R240" s="60">
        <v>0</v>
      </c>
      <c r="S240" s="61">
        <f t="shared" si="43"/>
        <v>0</v>
      </c>
      <c r="T240" s="60">
        <v>0</v>
      </c>
      <c r="U240" s="64">
        <f t="shared" si="44"/>
        <v>0</v>
      </c>
      <c r="V240" s="65">
        <v>0</v>
      </c>
      <c r="W240" s="66">
        <f t="shared" si="45"/>
        <v>0</v>
      </c>
      <c r="X240" s="67">
        <f t="shared" si="46"/>
        <v>0</v>
      </c>
      <c r="Y240" s="57" t="str">
        <f t="shared" si="47"/>
        <v>NIL PLEASE PURCHASE</v>
      </c>
      <c r="Z240" s="68" t="s">
        <v>1539</v>
      </c>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c r="BU240" s="8"/>
      <c r="BV240" s="8"/>
      <c r="BW240" s="8"/>
      <c r="BX240" s="8"/>
      <c r="BY240" s="8"/>
      <c r="BZ240" s="8"/>
      <c r="CA240" s="8"/>
      <c r="CB240" s="8"/>
      <c r="CC240" s="8"/>
      <c r="CD240" s="8"/>
      <c r="CE240" s="8"/>
      <c r="CF240" s="8"/>
      <c r="CG240" s="8"/>
      <c r="CH240" s="8"/>
      <c r="CI240" s="8"/>
      <c r="CJ240" s="8"/>
      <c r="CK240" s="8"/>
      <c r="CL240" s="8"/>
      <c r="CM240" s="8"/>
      <c r="CN240" s="8"/>
      <c r="CO240" s="8"/>
      <c r="CP240" s="8"/>
      <c r="CQ240" s="8"/>
      <c r="CR240" s="8"/>
      <c r="CS240" s="8"/>
      <c r="CT240" s="8"/>
      <c r="CU240" s="8"/>
      <c r="CV240" s="8"/>
      <c r="CW240" s="8"/>
      <c r="CX240" s="8"/>
      <c r="CY240" s="8"/>
      <c r="CZ240" s="8"/>
      <c r="DA240" s="8"/>
      <c r="DB240" s="8"/>
      <c r="DC240" s="8"/>
      <c r="DD240" s="8"/>
      <c r="DE240" s="8"/>
      <c r="DF240" s="8"/>
      <c r="DG240" s="8"/>
      <c r="DH240" s="8"/>
      <c r="DI240" s="8"/>
      <c r="DJ240" s="8"/>
      <c r="DK240" s="8"/>
      <c r="DL240" s="8"/>
      <c r="DM240" s="8"/>
      <c r="DN240" s="8"/>
      <c r="DO240" s="8"/>
      <c r="DP240" s="8"/>
      <c r="DQ240" s="8"/>
      <c r="DR240" s="8"/>
      <c r="DS240" s="8"/>
      <c r="DT240" s="8"/>
      <c r="DU240" s="8"/>
    </row>
    <row r="241" spans="1:125" s="1" customFormat="1" ht="20.100000000000001" customHeight="1" x14ac:dyDescent="0.25">
      <c r="A241" s="59" t="s">
        <v>471</v>
      </c>
      <c r="B241" s="84">
        <v>239</v>
      </c>
      <c r="C241" s="85" t="s">
        <v>558</v>
      </c>
      <c r="D241" s="60">
        <v>0</v>
      </c>
      <c r="E241" s="61">
        <f t="shared" si="36"/>
        <v>0</v>
      </c>
      <c r="F241" s="60">
        <v>0</v>
      </c>
      <c r="G241" s="61">
        <f t="shared" si="37"/>
        <v>0</v>
      </c>
      <c r="H241" s="60">
        <v>0</v>
      </c>
      <c r="I241" s="61">
        <f t="shared" si="38"/>
        <v>0</v>
      </c>
      <c r="J241" s="60">
        <v>0</v>
      </c>
      <c r="K241" s="61">
        <f t="shared" si="39"/>
        <v>0</v>
      </c>
      <c r="L241" s="62">
        <v>1</v>
      </c>
      <c r="M241" s="61">
        <f t="shared" si="40"/>
        <v>250</v>
      </c>
      <c r="N241" s="63">
        <v>0</v>
      </c>
      <c r="O241" s="61">
        <f t="shared" si="41"/>
        <v>0</v>
      </c>
      <c r="P241" s="60">
        <v>0</v>
      </c>
      <c r="Q241" s="61">
        <f t="shared" si="42"/>
        <v>0</v>
      </c>
      <c r="R241" s="60">
        <v>0</v>
      </c>
      <c r="S241" s="61">
        <f t="shared" si="43"/>
        <v>0</v>
      </c>
      <c r="T241" s="60">
        <v>0</v>
      </c>
      <c r="U241" s="64">
        <f t="shared" si="44"/>
        <v>0</v>
      </c>
      <c r="V241" s="65">
        <v>0</v>
      </c>
      <c r="W241" s="66">
        <f t="shared" si="45"/>
        <v>250</v>
      </c>
      <c r="X241" s="67">
        <f t="shared" si="46"/>
        <v>0.25</v>
      </c>
      <c r="Y241" s="57" t="str">
        <f t="shared" si="47"/>
        <v>STOCK</v>
      </c>
      <c r="Z241" s="68" t="s">
        <v>1538</v>
      </c>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c r="BU241" s="8"/>
      <c r="BV241" s="8"/>
      <c r="BW241" s="8"/>
      <c r="BX241" s="8"/>
      <c r="BY241" s="8"/>
      <c r="BZ241" s="8"/>
      <c r="CA241" s="8"/>
      <c r="CB241" s="8"/>
      <c r="CC241" s="8"/>
      <c r="CD241" s="8"/>
      <c r="CE241" s="8"/>
      <c r="CF241" s="8"/>
      <c r="CG241" s="8"/>
      <c r="CH241" s="8"/>
      <c r="CI241" s="8"/>
      <c r="CJ241" s="8"/>
      <c r="CK241" s="8"/>
      <c r="CL241" s="8"/>
      <c r="CM241" s="8"/>
      <c r="CN241" s="8"/>
      <c r="CO241" s="8"/>
      <c r="CP241" s="8"/>
      <c r="CQ241" s="8"/>
      <c r="CR241" s="8"/>
      <c r="CS241" s="8"/>
      <c r="CT241" s="8"/>
      <c r="CU241" s="8"/>
      <c r="CV241" s="8"/>
      <c r="CW241" s="8"/>
      <c r="CX241" s="8"/>
      <c r="CY241" s="8"/>
      <c r="CZ241" s="8"/>
      <c r="DA241" s="8"/>
      <c r="DB241" s="8"/>
      <c r="DC241" s="8"/>
      <c r="DD241" s="8"/>
      <c r="DE241" s="8"/>
      <c r="DF241" s="8"/>
      <c r="DG241" s="8"/>
      <c r="DH241" s="8"/>
      <c r="DI241" s="8"/>
      <c r="DJ241" s="8"/>
      <c r="DK241" s="8"/>
      <c r="DL241" s="8"/>
      <c r="DM241" s="8"/>
      <c r="DN241" s="8"/>
      <c r="DO241" s="8"/>
      <c r="DP241" s="8"/>
      <c r="DQ241" s="8"/>
      <c r="DR241" s="8"/>
      <c r="DS241" s="8"/>
      <c r="DT241" s="8"/>
      <c r="DU241" s="8"/>
    </row>
    <row r="242" spans="1:125" s="1" customFormat="1" ht="20.100000000000001" customHeight="1" x14ac:dyDescent="0.25">
      <c r="A242" s="59" t="s">
        <v>472</v>
      </c>
      <c r="B242" s="84">
        <v>240</v>
      </c>
      <c r="C242" s="85" t="s">
        <v>559</v>
      </c>
      <c r="D242" s="60">
        <v>0</v>
      </c>
      <c r="E242" s="61">
        <f t="shared" si="36"/>
        <v>0</v>
      </c>
      <c r="F242" s="60">
        <v>0</v>
      </c>
      <c r="G242" s="61">
        <f t="shared" si="37"/>
        <v>0</v>
      </c>
      <c r="H242" s="60">
        <v>0</v>
      </c>
      <c r="I242" s="61">
        <f t="shared" si="38"/>
        <v>0</v>
      </c>
      <c r="J242" s="60">
        <v>0</v>
      </c>
      <c r="K242" s="61">
        <f t="shared" si="39"/>
        <v>0</v>
      </c>
      <c r="L242" s="62"/>
      <c r="M242" s="61">
        <f t="shared" si="40"/>
        <v>0</v>
      </c>
      <c r="N242" s="63">
        <v>0</v>
      </c>
      <c r="O242" s="61">
        <f t="shared" si="41"/>
        <v>0</v>
      </c>
      <c r="P242" s="60">
        <v>0</v>
      </c>
      <c r="Q242" s="61">
        <f t="shared" si="42"/>
        <v>0</v>
      </c>
      <c r="R242" s="60">
        <v>0</v>
      </c>
      <c r="S242" s="61">
        <f t="shared" si="43"/>
        <v>0</v>
      </c>
      <c r="T242" s="60">
        <v>0</v>
      </c>
      <c r="U242" s="64">
        <f t="shared" si="44"/>
        <v>0</v>
      </c>
      <c r="V242" s="65">
        <v>0</v>
      </c>
      <c r="W242" s="66">
        <f t="shared" si="45"/>
        <v>0</v>
      </c>
      <c r="X242" s="67">
        <f t="shared" si="46"/>
        <v>0</v>
      </c>
      <c r="Y242" s="57" t="str">
        <f t="shared" si="47"/>
        <v>NIL PLEASE PURCHASE</v>
      </c>
      <c r="Z242" s="68" t="s">
        <v>1539</v>
      </c>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c r="BU242" s="8"/>
      <c r="BV242" s="8"/>
      <c r="BW242" s="8"/>
      <c r="BX242" s="8"/>
      <c r="BY242" s="8"/>
      <c r="BZ242" s="8"/>
      <c r="CA242" s="8"/>
      <c r="CB242" s="8"/>
      <c r="CC242" s="8"/>
      <c r="CD242" s="8"/>
      <c r="CE242" s="8"/>
      <c r="CF242" s="8"/>
      <c r="CG242" s="8"/>
      <c r="CH242" s="8"/>
      <c r="CI242" s="8"/>
      <c r="CJ242" s="8"/>
      <c r="CK242" s="8"/>
      <c r="CL242" s="8"/>
      <c r="CM242" s="8"/>
      <c r="CN242" s="8"/>
      <c r="CO242" s="8"/>
      <c r="CP242" s="8"/>
      <c r="CQ242" s="8"/>
      <c r="CR242" s="8"/>
      <c r="CS242" s="8"/>
      <c r="CT242" s="8"/>
      <c r="CU242" s="8"/>
      <c r="CV242" s="8"/>
      <c r="CW242" s="8"/>
      <c r="CX242" s="8"/>
      <c r="CY242" s="8"/>
      <c r="CZ242" s="8"/>
      <c r="DA242" s="8"/>
      <c r="DB242" s="8"/>
      <c r="DC242" s="8"/>
      <c r="DD242" s="8"/>
      <c r="DE242" s="8"/>
      <c r="DF242" s="8"/>
      <c r="DG242" s="8"/>
      <c r="DH242" s="8"/>
      <c r="DI242" s="8"/>
      <c r="DJ242" s="8"/>
      <c r="DK242" s="8"/>
      <c r="DL242" s="8"/>
      <c r="DM242" s="8"/>
      <c r="DN242" s="8"/>
      <c r="DO242" s="8"/>
      <c r="DP242" s="8"/>
      <c r="DQ242" s="8"/>
      <c r="DR242" s="8"/>
      <c r="DS242" s="8"/>
      <c r="DT242" s="8"/>
      <c r="DU242" s="8"/>
    </row>
    <row r="243" spans="1:125" s="1" customFormat="1" ht="20.100000000000001" customHeight="1" x14ac:dyDescent="0.25">
      <c r="A243" s="59" t="s">
        <v>473</v>
      </c>
      <c r="B243" s="84">
        <v>241</v>
      </c>
      <c r="C243" s="85" t="s">
        <v>560</v>
      </c>
      <c r="D243" s="60">
        <v>0</v>
      </c>
      <c r="E243" s="61">
        <f t="shared" si="36"/>
        <v>0</v>
      </c>
      <c r="F243" s="60">
        <v>0</v>
      </c>
      <c r="G243" s="61">
        <f t="shared" si="37"/>
        <v>0</v>
      </c>
      <c r="H243" s="60">
        <v>0</v>
      </c>
      <c r="I243" s="61">
        <f t="shared" si="38"/>
        <v>0</v>
      </c>
      <c r="J243" s="60">
        <v>0</v>
      </c>
      <c r="K243" s="61">
        <f t="shared" si="39"/>
        <v>0</v>
      </c>
      <c r="L243" s="62"/>
      <c r="M243" s="61">
        <f t="shared" si="40"/>
        <v>0</v>
      </c>
      <c r="N243" s="63">
        <v>0</v>
      </c>
      <c r="O243" s="61">
        <f t="shared" si="41"/>
        <v>0</v>
      </c>
      <c r="P243" s="60">
        <v>0</v>
      </c>
      <c r="Q243" s="61">
        <f t="shared" si="42"/>
        <v>0</v>
      </c>
      <c r="R243" s="60">
        <v>0</v>
      </c>
      <c r="S243" s="61">
        <f t="shared" si="43"/>
        <v>0</v>
      </c>
      <c r="T243" s="60">
        <v>0</v>
      </c>
      <c r="U243" s="64">
        <f t="shared" si="44"/>
        <v>0</v>
      </c>
      <c r="V243" s="65">
        <v>0</v>
      </c>
      <c r="W243" s="66">
        <f t="shared" si="45"/>
        <v>0</v>
      </c>
      <c r="X243" s="67">
        <f t="shared" si="46"/>
        <v>0</v>
      </c>
      <c r="Y243" s="57" t="str">
        <f t="shared" si="47"/>
        <v>NIL PLEASE PURCHASE</v>
      </c>
      <c r="Z243" s="68" t="s">
        <v>1539</v>
      </c>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c r="BU243" s="8"/>
      <c r="BV243" s="8"/>
      <c r="BW243" s="8"/>
      <c r="BX243" s="8"/>
      <c r="BY243" s="8"/>
      <c r="BZ243" s="8"/>
      <c r="CA243" s="8"/>
      <c r="CB243" s="8"/>
      <c r="CC243" s="8"/>
      <c r="CD243" s="8"/>
      <c r="CE243" s="8"/>
      <c r="CF243" s="8"/>
      <c r="CG243" s="8"/>
      <c r="CH243" s="8"/>
      <c r="CI243" s="8"/>
      <c r="CJ243" s="8"/>
      <c r="CK243" s="8"/>
      <c r="CL243" s="8"/>
      <c r="CM243" s="8"/>
      <c r="CN243" s="8"/>
      <c r="CO243" s="8"/>
      <c r="CP243" s="8"/>
      <c r="CQ243" s="8"/>
      <c r="CR243" s="8"/>
      <c r="CS243" s="8"/>
      <c r="CT243" s="8"/>
      <c r="CU243" s="8"/>
      <c r="CV243" s="8"/>
      <c r="CW243" s="8"/>
      <c r="CX243" s="8"/>
      <c r="CY243" s="8"/>
      <c r="CZ243" s="8"/>
      <c r="DA243" s="8"/>
      <c r="DB243" s="8"/>
      <c r="DC243" s="8"/>
      <c r="DD243" s="8"/>
      <c r="DE243" s="8"/>
      <c r="DF243" s="8"/>
      <c r="DG243" s="8"/>
      <c r="DH243" s="8"/>
      <c r="DI243" s="8"/>
      <c r="DJ243" s="8"/>
      <c r="DK243" s="8"/>
      <c r="DL243" s="8"/>
      <c r="DM243" s="8"/>
      <c r="DN243" s="8"/>
      <c r="DO243" s="8"/>
      <c r="DP243" s="8"/>
      <c r="DQ243" s="8"/>
      <c r="DR243" s="8"/>
      <c r="DS243" s="8"/>
      <c r="DT243" s="8"/>
      <c r="DU243" s="8"/>
    </row>
    <row r="244" spans="1:125" s="1" customFormat="1" ht="20.100000000000001" customHeight="1" x14ac:dyDescent="0.25">
      <c r="A244" s="59" t="s">
        <v>474</v>
      </c>
      <c r="B244" s="84">
        <v>242</v>
      </c>
      <c r="C244" s="85" t="s">
        <v>561</v>
      </c>
      <c r="D244" s="60">
        <v>0</v>
      </c>
      <c r="E244" s="61">
        <f t="shared" si="36"/>
        <v>0</v>
      </c>
      <c r="F244" s="60">
        <v>0</v>
      </c>
      <c r="G244" s="61">
        <f t="shared" si="37"/>
        <v>0</v>
      </c>
      <c r="H244" s="60">
        <v>0</v>
      </c>
      <c r="I244" s="61">
        <f t="shared" si="38"/>
        <v>0</v>
      </c>
      <c r="J244" s="60">
        <v>0</v>
      </c>
      <c r="K244" s="61">
        <f t="shared" si="39"/>
        <v>0</v>
      </c>
      <c r="L244" s="62"/>
      <c r="M244" s="61">
        <f t="shared" si="40"/>
        <v>0</v>
      </c>
      <c r="N244" s="63">
        <v>0</v>
      </c>
      <c r="O244" s="61">
        <f t="shared" si="41"/>
        <v>0</v>
      </c>
      <c r="P244" s="60">
        <v>0</v>
      </c>
      <c r="Q244" s="61">
        <f t="shared" si="42"/>
        <v>0</v>
      </c>
      <c r="R244" s="60">
        <v>0</v>
      </c>
      <c r="S244" s="61">
        <f t="shared" si="43"/>
        <v>0</v>
      </c>
      <c r="T244" s="60">
        <v>0</v>
      </c>
      <c r="U244" s="64">
        <f t="shared" si="44"/>
        <v>0</v>
      </c>
      <c r="V244" s="65">
        <v>0</v>
      </c>
      <c r="W244" s="66">
        <f t="shared" si="45"/>
        <v>0</v>
      </c>
      <c r="X244" s="67">
        <f t="shared" si="46"/>
        <v>0</v>
      </c>
      <c r="Y244" s="57" t="str">
        <f t="shared" si="47"/>
        <v>NIL PLEASE PURCHASE</v>
      </c>
      <c r="Z244" s="68" t="s">
        <v>1539</v>
      </c>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c r="BU244" s="8"/>
      <c r="BV244" s="8"/>
      <c r="BW244" s="8"/>
      <c r="BX244" s="8"/>
      <c r="BY244" s="8"/>
      <c r="BZ244" s="8"/>
      <c r="CA244" s="8"/>
      <c r="CB244" s="8"/>
      <c r="CC244" s="8"/>
      <c r="CD244" s="8"/>
      <c r="CE244" s="8"/>
      <c r="CF244" s="8"/>
      <c r="CG244" s="8"/>
      <c r="CH244" s="8"/>
      <c r="CI244" s="8"/>
      <c r="CJ244" s="8"/>
      <c r="CK244" s="8"/>
      <c r="CL244" s="8"/>
      <c r="CM244" s="8"/>
      <c r="CN244" s="8"/>
      <c r="CO244" s="8"/>
      <c r="CP244" s="8"/>
      <c r="CQ244" s="8"/>
      <c r="CR244" s="8"/>
      <c r="CS244" s="8"/>
      <c r="CT244" s="8"/>
      <c r="CU244" s="8"/>
      <c r="CV244" s="8"/>
      <c r="CW244" s="8"/>
      <c r="CX244" s="8"/>
      <c r="CY244" s="8"/>
      <c r="CZ244" s="8"/>
      <c r="DA244" s="8"/>
      <c r="DB244" s="8"/>
      <c r="DC244" s="8"/>
      <c r="DD244" s="8"/>
      <c r="DE244" s="8"/>
      <c r="DF244" s="8"/>
      <c r="DG244" s="8"/>
      <c r="DH244" s="8"/>
      <c r="DI244" s="8"/>
      <c r="DJ244" s="8"/>
      <c r="DK244" s="8"/>
      <c r="DL244" s="8"/>
      <c r="DM244" s="8"/>
      <c r="DN244" s="8"/>
      <c r="DO244" s="8"/>
      <c r="DP244" s="8"/>
      <c r="DQ244" s="8"/>
      <c r="DR244" s="8"/>
      <c r="DS244" s="8"/>
      <c r="DT244" s="8"/>
      <c r="DU244" s="8"/>
    </row>
    <row r="245" spans="1:125" s="1" customFormat="1" ht="20.100000000000001" customHeight="1" x14ac:dyDescent="0.25">
      <c r="A245" s="59" t="s">
        <v>475</v>
      </c>
      <c r="B245" s="84">
        <v>243</v>
      </c>
      <c r="C245" s="85" t="s">
        <v>562</v>
      </c>
      <c r="D245" s="60">
        <v>0</v>
      </c>
      <c r="E245" s="61">
        <f t="shared" si="36"/>
        <v>0</v>
      </c>
      <c r="F245" s="60">
        <v>0</v>
      </c>
      <c r="G245" s="61">
        <f t="shared" si="37"/>
        <v>0</v>
      </c>
      <c r="H245" s="60">
        <v>0</v>
      </c>
      <c r="I245" s="61">
        <f t="shared" si="38"/>
        <v>0</v>
      </c>
      <c r="J245" s="60">
        <v>0</v>
      </c>
      <c r="K245" s="61">
        <f t="shared" si="39"/>
        <v>0</v>
      </c>
      <c r="L245" s="62">
        <v>0</v>
      </c>
      <c r="M245" s="61">
        <f t="shared" si="40"/>
        <v>0</v>
      </c>
      <c r="N245" s="63">
        <v>0</v>
      </c>
      <c r="O245" s="61">
        <f t="shared" si="41"/>
        <v>0</v>
      </c>
      <c r="P245" s="60">
        <v>0</v>
      </c>
      <c r="Q245" s="61">
        <f t="shared" si="42"/>
        <v>0</v>
      </c>
      <c r="R245" s="60">
        <v>0</v>
      </c>
      <c r="S245" s="61">
        <f t="shared" si="43"/>
        <v>0</v>
      </c>
      <c r="T245" s="60">
        <v>0</v>
      </c>
      <c r="U245" s="64">
        <f t="shared" si="44"/>
        <v>0</v>
      </c>
      <c r="V245" s="65">
        <v>0</v>
      </c>
      <c r="W245" s="66">
        <f t="shared" si="45"/>
        <v>0</v>
      </c>
      <c r="X245" s="67">
        <f t="shared" si="46"/>
        <v>0</v>
      </c>
      <c r="Y245" s="57" t="str">
        <f t="shared" si="47"/>
        <v>NIL PLEASE PURCHASE</v>
      </c>
      <c r="Z245" s="68" t="s">
        <v>1538</v>
      </c>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c r="BU245" s="8"/>
      <c r="BV245" s="8"/>
      <c r="BW245" s="8"/>
      <c r="BX245" s="8"/>
      <c r="BY245" s="8"/>
      <c r="BZ245" s="8"/>
      <c r="CA245" s="8"/>
      <c r="CB245" s="8"/>
      <c r="CC245" s="8"/>
      <c r="CD245" s="8"/>
      <c r="CE245" s="8"/>
      <c r="CF245" s="8"/>
      <c r="CG245" s="8"/>
      <c r="CH245" s="8"/>
      <c r="CI245" s="8"/>
      <c r="CJ245" s="8"/>
      <c r="CK245" s="8"/>
      <c r="CL245" s="8"/>
      <c r="CM245" s="8"/>
      <c r="CN245" s="8"/>
      <c r="CO245" s="8"/>
      <c r="CP245" s="8"/>
      <c r="CQ245" s="8"/>
      <c r="CR245" s="8"/>
      <c r="CS245" s="8"/>
      <c r="CT245" s="8"/>
      <c r="CU245" s="8"/>
      <c r="CV245" s="8"/>
      <c r="CW245" s="8"/>
      <c r="CX245" s="8"/>
      <c r="CY245" s="8"/>
      <c r="CZ245" s="8"/>
      <c r="DA245" s="8"/>
      <c r="DB245" s="8"/>
      <c r="DC245" s="8"/>
      <c r="DD245" s="8"/>
      <c r="DE245" s="8"/>
      <c r="DF245" s="8"/>
      <c r="DG245" s="8"/>
      <c r="DH245" s="8"/>
      <c r="DI245" s="8"/>
      <c r="DJ245" s="8"/>
      <c r="DK245" s="8"/>
      <c r="DL245" s="8"/>
      <c r="DM245" s="8"/>
      <c r="DN245" s="8"/>
      <c r="DO245" s="8"/>
      <c r="DP245" s="8"/>
      <c r="DQ245" s="8"/>
      <c r="DR245" s="8"/>
      <c r="DS245" s="8"/>
      <c r="DT245" s="8"/>
      <c r="DU245" s="8"/>
    </row>
    <row r="246" spans="1:125" s="1" customFormat="1" ht="20.100000000000001" customHeight="1" x14ac:dyDescent="0.25">
      <c r="A246" s="59" t="s">
        <v>476</v>
      </c>
      <c r="B246" s="84">
        <v>244</v>
      </c>
      <c r="C246" s="85" t="s">
        <v>563</v>
      </c>
      <c r="D246" s="60">
        <v>0</v>
      </c>
      <c r="E246" s="61">
        <f t="shared" si="36"/>
        <v>0</v>
      </c>
      <c r="F246" s="60">
        <v>0</v>
      </c>
      <c r="G246" s="61">
        <f t="shared" si="37"/>
        <v>0</v>
      </c>
      <c r="H246" s="60">
        <v>0</v>
      </c>
      <c r="I246" s="61">
        <f t="shared" si="38"/>
        <v>0</v>
      </c>
      <c r="J246" s="60">
        <v>0</v>
      </c>
      <c r="K246" s="61">
        <f t="shared" si="39"/>
        <v>0</v>
      </c>
      <c r="L246" s="62"/>
      <c r="M246" s="61">
        <f t="shared" si="40"/>
        <v>0</v>
      </c>
      <c r="N246" s="63">
        <v>21</v>
      </c>
      <c r="O246" s="61">
        <f t="shared" si="41"/>
        <v>10500</v>
      </c>
      <c r="P246" s="60">
        <v>0</v>
      </c>
      <c r="Q246" s="61">
        <f t="shared" si="42"/>
        <v>0</v>
      </c>
      <c r="R246" s="60">
        <v>0</v>
      </c>
      <c r="S246" s="61">
        <f t="shared" si="43"/>
        <v>0</v>
      </c>
      <c r="T246" s="60">
        <v>0</v>
      </c>
      <c r="U246" s="64">
        <f t="shared" si="44"/>
        <v>0</v>
      </c>
      <c r="V246" s="65">
        <v>0</v>
      </c>
      <c r="W246" s="66">
        <f t="shared" si="45"/>
        <v>10500</v>
      </c>
      <c r="X246" s="67">
        <f t="shared" si="46"/>
        <v>10.5</v>
      </c>
      <c r="Y246" s="57" t="str">
        <f t="shared" si="47"/>
        <v>STOCK</v>
      </c>
      <c r="Z246" s="68" t="s">
        <v>1538</v>
      </c>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c r="BU246" s="8"/>
      <c r="BV246" s="8"/>
      <c r="BW246" s="8"/>
      <c r="BX246" s="8"/>
      <c r="BY246" s="8"/>
      <c r="BZ246" s="8"/>
      <c r="CA246" s="8"/>
      <c r="CB246" s="8"/>
      <c r="CC246" s="8"/>
      <c r="CD246" s="8"/>
      <c r="CE246" s="8"/>
      <c r="CF246" s="8"/>
      <c r="CG246" s="8"/>
      <c r="CH246" s="8"/>
      <c r="CI246" s="8"/>
      <c r="CJ246" s="8"/>
      <c r="CK246" s="8"/>
      <c r="CL246" s="8"/>
      <c r="CM246" s="8"/>
      <c r="CN246" s="8"/>
      <c r="CO246" s="8"/>
      <c r="CP246" s="8"/>
      <c r="CQ246" s="8"/>
      <c r="CR246" s="8"/>
      <c r="CS246" s="8"/>
      <c r="CT246" s="8"/>
      <c r="CU246" s="8"/>
      <c r="CV246" s="8"/>
      <c r="CW246" s="8"/>
      <c r="CX246" s="8"/>
      <c r="CY246" s="8"/>
      <c r="CZ246" s="8"/>
      <c r="DA246" s="8"/>
      <c r="DB246" s="8"/>
      <c r="DC246" s="8"/>
      <c r="DD246" s="8"/>
      <c r="DE246" s="8"/>
      <c r="DF246" s="8"/>
      <c r="DG246" s="8"/>
      <c r="DH246" s="8"/>
      <c r="DI246" s="8"/>
      <c r="DJ246" s="8"/>
      <c r="DK246" s="8"/>
      <c r="DL246" s="8"/>
      <c r="DM246" s="8"/>
      <c r="DN246" s="8"/>
      <c r="DO246" s="8"/>
      <c r="DP246" s="8"/>
      <c r="DQ246" s="8"/>
      <c r="DR246" s="8"/>
      <c r="DS246" s="8"/>
      <c r="DT246" s="8"/>
      <c r="DU246" s="8"/>
    </row>
    <row r="247" spans="1:125" s="1" customFormat="1" ht="20.100000000000001" customHeight="1" x14ac:dyDescent="0.25">
      <c r="A247" s="59" t="s">
        <v>477</v>
      </c>
      <c r="B247" s="84">
        <v>245</v>
      </c>
      <c r="C247" s="85" t="s">
        <v>564</v>
      </c>
      <c r="D247" s="60">
        <v>0</v>
      </c>
      <c r="E247" s="61">
        <f t="shared" si="36"/>
        <v>0</v>
      </c>
      <c r="F247" s="60">
        <v>0</v>
      </c>
      <c r="G247" s="61">
        <f t="shared" si="37"/>
        <v>0</v>
      </c>
      <c r="H247" s="60">
        <v>0</v>
      </c>
      <c r="I247" s="61">
        <f t="shared" si="38"/>
        <v>0</v>
      </c>
      <c r="J247" s="60">
        <v>0</v>
      </c>
      <c r="K247" s="61">
        <f t="shared" si="39"/>
        <v>0</v>
      </c>
      <c r="L247" s="62"/>
      <c r="M247" s="61">
        <f t="shared" si="40"/>
        <v>0</v>
      </c>
      <c r="N247" s="63">
        <v>2</v>
      </c>
      <c r="O247" s="61">
        <f t="shared" si="41"/>
        <v>1000</v>
      </c>
      <c r="P247" s="60">
        <v>0</v>
      </c>
      <c r="Q247" s="61">
        <f t="shared" si="42"/>
        <v>0</v>
      </c>
      <c r="R247" s="60">
        <v>0</v>
      </c>
      <c r="S247" s="61">
        <f t="shared" si="43"/>
        <v>0</v>
      </c>
      <c r="T247" s="60">
        <v>0</v>
      </c>
      <c r="U247" s="64">
        <f t="shared" si="44"/>
        <v>0</v>
      </c>
      <c r="V247" s="65">
        <v>0</v>
      </c>
      <c r="W247" s="66">
        <f t="shared" si="45"/>
        <v>1000</v>
      </c>
      <c r="X247" s="67">
        <f t="shared" si="46"/>
        <v>1</v>
      </c>
      <c r="Y247" s="57" t="str">
        <f t="shared" si="47"/>
        <v>STOCK</v>
      </c>
      <c r="Z247" s="68" t="s">
        <v>1538</v>
      </c>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c r="BU247" s="8"/>
      <c r="BV247" s="8"/>
      <c r="BW247" s="8"/>
      <c r="BX247" s="8"/>
      <c r="BY247" s="8"/>
      <c r="BZ247" s="8"/>
      <c r="CA247" s="8"/>
      <c r="CB247" s="8"/>
      <c r="CC247" s="8"/>
      <c r="CD247" s="8"/>
      <c r="CE247" s="8"/>
      <c r="CF247" s="8"/>
      <c r="CG247" s="8"/>
      <c r="CH247" s="8"/>
      <c r="CI247" s="8"/>
      <c r="CJ247" s="8"/>
      <c r="CK247" s="8"/>
      <c r="CL247" s="8"/>
      <c r="CM247" s="8"/>
      <c r="CN247" s="8"/>
      <c r="CO247" s="8"/>
      <c r="CP247" s="8"/>
      <c r="CQ247" s="8"/>
      <c r="CR247" s="8"/>
      <c r="CS247" s="8"/>
      <c r="CT247" s="8"/>
      <c r="CU247" s="8"/>
      <c r="CV247" s="8"/>
      <c r="CW247" s="8"/>
      <c r="CX247" s="8"/>
      <c r="CY247" s="8"/>
      <c r="CZ247" s="8"/>
      <c r="DA247" s="8"/>
      <c r="DB247" s="8"/>
      <c r="DC247" s="8"/>
      <c r="DD247" s="8"/>
      <c r="DE247" s="8"/>
      <c r="DF247" s="8"/>
      <c r="DG247" s="8"/>
      <c r="DH247" s="8"/>
      <c r="DI247" s="8"/>
      <c r="DJ247" s="8"/>
      <c r="DK247" s="8"/>
      <c r="DL247" s="8"/>
      <c r="DM247" s="8"/>
      <c r="DN247" s="8"/>
      <c r="DO247" s="8"/>
      <c r="DP247" s="8"/>
      <c r="DQ247" s="8"/>
      <c r="DR247" s="8"/>
      <c r="DS247" s="8"/>
      <c r="DT247" s="8"/>
      <c r="DU247" s="8"/>
    </row>
    <row r="248" spans="1:125" s="1" customFormat="1" ht="20.100000000000001" customHeight="1" x14ac:dyDescent="0.25">
      <c r="A248" s="59" t="s">
        <v>478</v>
      </c>
      <c r="B248" s="84">
        <v>246</v>
      </c>
      <c r="C248" s="85" t="s">
        <v>565</v>
      </c>
      <c r="D248" s="60">
        <v>0</v>
      </c>
      <c r="E248" s="61">
        <f t="shared" si="36"/>
        <v>0</v>
      </c>
      <c r="F248" s="60">
        <v>0</v>
      </c>
      <c r="G248" s="61">
        <f t="shared" si="37"/>
        <v>0</v>
      </c>
      <c r="H248" s="60">
        <v>0</v>
      </c>
      <c r="I248" s="61">
        <f t="shared" si="38"/>
        <v>0</v>
      </c>
      <c r="J248" s="60">
        <v>0</v>
      </c>
      <c r="K248" s="61">
        <f t="shared" si="39"/>
        <v>0</v>
      </c>
      <c r="L248" s="62"/>
      <c r="M248" s="61">
        <f t="shared" si="40"/>
        <v>0</v>
      </c>
      <c r="N248" s="63">
        <v>0</v>
      </c>
      <c r="O248" s="61">
        <f t="shared" si="41"/>
        <v>0</v>
      </c>
      <c r="P248" s="60">
        <v>0</v>
      </c>
      <c r="Q248" s="61">
        <f t="shared" si="42"/>
        <v>0</v>
      </c>
      <c r="R248" s="60">
        <v>0</v>
      </c>
      <c r="S248" s="61">
        <f t="shared" si="43"/>
        <v>0</v>
      </c>
      <c r="T248" s="60">
        <v>0</v>
      </c>
      <c r="U248" s="64">
        <f t="shared" si="44"/>
        <v>0</v>
      </c>
      <c r="V248" s="65">
        <v>0</v>
      </c>
      <c r="W248" s="66">
        <f t="shared" si="45"/>
        <v>0</v>
      </c>
      <c r="X248" s="67">
        <f t="shared" si="46"/>
        <v>0</v>
      </c>
      <c r="Y248" s="57" t="str">
        <f t="shared" si="47"/>
        <v>NIL PLEASE PURCHASE</v>
      </c>
      <c r="Z248" s="68" t="s">
        <v>1539</v>
      </c>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c r="BU248" s="8"/>
      <c r="BV248" s="8"/>
      <c r="BW248" s="8"/>
      <c r="BX248" s="8"/>
      <c r="BY248" s="8"/>
      <c r="BZ248" s="8"/>
      <c r="CA248" s="8"/>
      <c r="CB248" s="8"/>
      <c r="CC248" s="8"/>
      <c r="CD248" s="8"/>
      <c r="CE248" s="8"/>
      <c r="CF248" s="8"/>
      <c r="CG248" s="8"/>
      <c r="CH248" s="8"/>
      <c r="CI248" s="8"/>
      <c r="CJ248" s="8"/>
      <c r="CK248" s="8"/>
      <c r="CL248" s="8"/>
      <c r="CM248" s="8"/>
      <c r="CN248" s="8"/>
      <c r="CO248" s="8"/>
      <c r="CP248" s="8"/>
      <c r="CQ248" s="8"/>
      <c r="CR248" s="8"/>
      <c r="CS248" s="8"/>
      <c r="CT248" s="8"/>
      <c r="CU248" s="8"/>
      <c r="CV248" s="8"/>
      <c r="CW248" s="8"/>
      <c r="CX248" s="8"/>
      <c r="CY248" s="8"/>
      <c r="CZ248" s="8"/>
      <c r="DA248" s="8"/>
      <c r="DB248" s="8"/>
      <c r="DC248" s="8"/>
      <c r="DD248" s="8"/>
      <c r="DE248" s="8"/>
      <c r="DF248" s="8"/>
      <c r="DG248" s="8"/>
      <c r="DH248" s="8"/>
      <c r="DI248" s="8"/>
      <c r="DJ248" s="8"/>
      <c r="DK248" s="8"/>
      <c r="DL248" s="8"/>
      <c r="DM248" s="8"/>
      <c r="DN248" s="8"/>
      <c r="DO248" s="8"/>
      <c r="DP248" s="8"/>
      <c r="DQ248" s="8"/>
      <c r="DR248" s="8"/>
      <c r="DS248" s="8"/>
      <c r="DT248" s="8"/>
      <c r="DU248" s="8"/>
    </row>
    <row r="249" spans="1:125" s="1" customFormat="1" ht="20.100000000000001" customHeight="1" x14ac:dyDescent="0.25">
      <c r="A249" s="59" t="s">
        <v>479</v>
      </c>
      <c r="B249" s="84">
        <v>247</v>
      </c>
      <c r="C249" s="85" t="s">
        <v>566</v>
      </c>
      <c r="D249" s="60">
        <v>0</v>
      </c>
      <c r="E249" s="61">
        <f t="shared" si="36"/>
        <v>0</v>
      </c>
      <c r="F249" s="60">
        <v>0</v>
      </c>
      <c r="G249" s="61">
        <f t="shared" si="37"/>
        <v>0</v>
      </c>
      <c r="H249" s="60">
        <v>0</v>
      </c>
      <c r="I249" s="61">
        <f t="shared" si="38"/>
        <v>0</v>
      </c>
      <c r="J249" s="60">
        <v>0</v>
      </c>
      <c r="K249" s="61">
        <f t="shared" si="39"/>
        <v>0</v>
      </c>
      <c r="L249" s="62"/>
      <c r="M249" s="61">
        <f t="shared" si="40"/>
        <v>0</v>
      </c>
      <c r="N249" s="63">
        <v>0</v>
      </c>
      <c r="O249" s="61">
        <f t="shared" si="41"/>
        <v>0</v>
      </c>
      <c r="P249" s="60">
        <v>0</v>
      </c>
      <c r="Q249" s="61">
        <f t="shared" si="42"/>
        <v>0</v>
      </c>
      <c r="R249" s="60">
        <v>0</v>
      </c>
      <c r="S249" s="61">
        <f t="shared" si="43"/>
        <v>0</v>
      </c>
      <c r="T249" s="60">
        <v>0</v>
      </c>
      <c r="U249" s="64">
        <f t="shared" si="44"/>
        <v>0</v>
      </c>
      <c r="V249" s="65">
        <v>0</v>
      </c>
      <c r="W249" s="66">
        <f t="shared" si="45"/>
        <v>0</v>
      </c>
      <c r="X249" s="67">
        <f t="shared" si="46"/>
        <v>0</v>
      </c>
      <c r="Y249" s="57" t="str">
        <f t="shared" si="47"/>
        <v>NIL PLEASE PURCHASE</v>
      </c>
      <c r="Z249" s="68" t="s">
        <v>1539</v>
      </c>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c r="BU249" s="8"/>
      <c r="BV249" s="8"/>
      <c r="BW249" s="8"/>
      <c r="BX249" s="8"/>
      <c r="BY249" s="8"/>
      <c r="BZ249" s="8"/>
      <c r="CA249" s="8"/>
      <c r="CB249" s="8"/>
      <c r="CC249" s="8"/>
      <c r="CD249" s="8"/>
      <c r="CE249" s="8"/>
      <c r="CF249" s="8"/>
      <c r="CG249" s="8"/>
      <c r="CH249" s="8"/>
      <c r="CI249" s="8"/>
      <c r="CJ249" s="8"/>
      <c r="CK249" s="8"/>
      <c r="CL249" s="8"/>
      <c r="CM249" s="8"/>
      <c r="CN249" s="8"/>
      <c r="CO249" s="8"/>
      <c r="CP249" s="8"/>
      <c r="CQ249" s="8"/>
      <c r="CR249" s="8"/>
      <c r="CS249" s="8"/>
      <c r="CT249" s="8"/>
      <c r="CU249" s="8"/>
      <c r="CV249" s="8"/>
      <c r="CW249" s="8"/>
      <c r="CX249" s="8"/>
      <c r="CY249" s="8"/>
      <c r="CZ249" s="8"/>
      <c r="DA249" s="8"/>
      <c r="DB249" s="8"/>
      <c r="DC249" s="8"/>
      <c r="DD249" s="8"/>
      <c r="DE249" s="8"/>
      <c r="DF249" s="8"/>
      <c r="DG249" s="8"/>
      <c r="DH249" s="8"/>
      <c r="DI249" s="8"/>
      <c r="DJ249" s="8"/>
      <c r="DK249" s="8"/>
      <c r="DL249" s="8"/>
      <c r="DM249" s="8"/>
      <c r="DN249" s="8"/>
      <c r="DO249" s="8"/>
      <c r="DP249" s="8"/>
      <c r="DQ249" s="8"/>
      <c r="DR249" s="8"/>
      <c r="DS249" s="8"/>
      <c r="DT249" s="8"/>
      <c r="DU249" s="8"/>
    </row>
    <row r="250" spans="1:125" s="1" customFormat="1" ht="20.100000000000001" customHeight="1" x14ac:dyDescent="0.25">
      <c r="A250" s="59" t="s">
        <v>480</v>
      </c>
      <c r="B250" s="84">
        <v>248</v>
      </c>
      <c r="C250" s="85" t="s">
        <v>567</v>
      </c>
      <c r="D250" s="60">
        <v>0</v>
      </c>
      <c r="E250" s="61">
        <f t="shared" si="36"/>
        <v>0</v>
      </c>
      <c r="F250" s="60">
        <v>0</v>
      </c>
      <c r="G250" s="61">
        <f t="shared" si="37"/>
        <v>0</v>
      </c>
      <c r="H250" s="60">
        <v>0</v>
      </c>
      <c r="I250" s="61">
        <f t="shared" si="38"/>
        <v>0</v>
      </c>
      <c r="J250" s="60">
        <v>0</v>
      </c>
      <c r="K250" s="61">
        <f t="shared" si="39"/>
        <v>0</v>
      </c>
      <c r="L250" s="62"/>
      <c r="M250" s="61">
        <f t="shared" si="40"/>
        <v>0</v>
      </c>
      <c r="N250" s="63">
        <v>3</v>
      </c>
      <c r="O250" s="61">
        <f t="shared" si="41"/>
        <v>1500</v>
      </c>
      <c r="P250" s="60">
        <v>0</v>
      </c>
      <c r="Q250" s="61">
        <f t="shared" si="42"/>
        <v>0</v>
      </c>
      <c r="R250" s="60">
        <v>0</v>
      </c>
      <c r="S250" s="61">
        <f t="shared" si="43"/>
        <v>0</v>
      </c>
      <c r="T250" s="60">
        <v>0</v>
      </c>
      <c r="U250" s="64">
        <f t="shared" si="44"/>
        <v>0</v>
      </c>
      <c r="V250" s="65">
        <v>0</v>
      </c>
      <c r="W250" s="66">
        <f t="shared" si="45"/>
        <v>1500</v>
      </c>
      <c r="X250" s="67">
        <f t="shared" si="46"/>
        <v>1.5</v>
      </c>
      <c r="Y250" s="57" t="str">
        <f t="shared" si="47"/>
        <v>STOCK</v>
      </c>
      <c r="Z250" s="68" t="s">
        <v>1538</v>
      </c>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c r="BU250" s="8"/>
      <c r="BV250" s="8"/>
      <c r="BW250" s="8"/>
      <c r="BX250" s="8"/>
      <c r="BY250" s="8"/>
      <c r="BZ250" s="8"/>
      <c r="CA250" s="8"/>
      <c r="CB250" s="8"/>
      <c r="CC250" s="8"/>
      <c r="CD250" s="8"/>
      <c r="CE250" s="8"/>
      <c r="CF250" s="8"/>
      <c r="CG250" s="8"/>
      <c r="CH250" s="8"/>
      <c r="CI250" s="8"/>
      <c r="CJ250" s="8"/>
      <c r="CK250" s="8"/>
      <c r="CL250" s="8"/>
      <c r="CM250" s="8"/>
      <c r="CN250" s="8"/>
      <c r="CO250" s="8"/>
      <c r="CP250" s="8"/>
      <c r="CQ250" s="8"/>
      <c r="CR250" s="8"/>
      <c r="CS250" s="8"/>
      <c r="CT250" s="8"/>
      <c r="CU250" s="8"/>
      <c r="CV250" s="8"/>
      <c r="CW250" s="8"/>
      <c r="CX250" s="8"/>
      <c r="CY250" s="8"/>
      <c r="CZ250" s="8"/>
      <c r="DA250" s="8"/>
      <c r="DB250" s="8"/>
      <c r="DC250" s="8"/>
      <c r="DD250" s="8"/>
      <c r="DE250" s="8"/>
      <c r="DF250" s="8"/>
      <c r="DG250" s="8"/>
      <c r="DH250" s="8"/>
      <c r="DI250" s="8"/>
      <c r="DJ250" s="8"/>
      <c r="DK250" s="8"/>
      <c r="DL250" s="8"/>
      <c r="DM250" s="8"/>
      <c r="DN250" s="8"/>
      <c r="DO250" s="8"/>
      <c r="DP250" s="8"/>
      <c r="DQ250" s="8"/>
      <c r="DR250" s="8"/>
      <c r="DS250" s="8"/>
      <c r="DT250" s="8"/>
      <c r="DU250" s="8"/>
    </row>
    <row r="251" spans="1:125" s="1" customFormat="1" ht="20.100000000000001" customHeight="1" x14ac:dyDescent="0.25">
      <c r="A251" s="59" t="s">
        <v>481</v>
      </c>
      <c r="B251" s="84">
        <v>249</v>
      </c>
      <c r="C251" s="85" t="s">
        <v>568</v>
      </c>
      <c r="D251" s="60">
        <v>0</v>
      </c>
      <c r="E251" s="61">
        <f t="shared" si="36"/>
        <v>0</v>
      </c>
      <c r="F251" s="60">
        <v>0</v>
      </c>
      <c r="G251" s="61">
        <f t="shared" si="37"/>
        <v>0</v>
      </c>
      <c r="H251" s="60">
        <v>0</v>
      </c>
      <c r="I251" s="61">
        <f t="shared" si="38"/>
        <v>0</v>
      </c>
      <c r="J251" s="60">
        <v>0</v>
      </c>
      <c r="K251" s="61">
        <f t="shared" si="39"/>
        <v>0</v>
      </c>
      <c r="L251" s="62"/>
      <c r="M251" s="61">
        <f t="shared" si="40"/>
        <v>0</v>
      </c>
      <c r="N251" s="63">
        <v>0</v>
      </c>
      <c r="O251" s="61">
        <f t="shared" si="41"/>
        <v>0</v>
      </c>
      <c r="P251" s="60">
        <v>0</v>
      </c>
      <c r="Q251" s="61">
        <f t="shared" si="42"/>
        <v>0</v>
      </c>
      <c r="R251" s="60">
        <v>0</v>
      </c>
      <c r="S251" s="61">
        <f t="shared" si="43"/>
        <v>0</v>
      </c>
      <c r="T251" s="60">
        <v>0</v>
      </c>
      <c r="U251" s="64">
        <f t="shared" si="44"/>
        <v>0</v>
      </c>
      <c r="V251" s="65">
        <v>0</v>
      </c>
      <c r="W251" s="66">
        <f t="shared" si="45"/>
        <v>0</v>
      </c>
      <c r="X251" s="67">
        <f t="shared" si="46"/>
        <v>0</v>
      </c>
      <c r="Y251" s="57" t="str">
        <f t="shared" si="47"/>
        <v>NIL PLEASE PURCHASE</v>
      </c>
      <c r="Z251" s="68" t="s">
        <v>1539</v>
      </c>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c r="BU251" s="8"/>
      <c r="BV251" s="8"/>
      <c r="BW251" s="8"/>
      <c r="BX251" s="8"/>
      <c r="BY251" s="8"/>
      <c r="BZ251" s="8"/>
      <c r="CA251" s="8"/>
      <c r="CB251" s="8"/>
      <c r="CC251" s="8"/>
      <c r="CD251" s="8"/>
      <c r="CE251" s="8"/>
      <c r="CF251" s="8"/>
      <c r="CG251" s="8"/>
      <c r="CH251" s="8"/>
      <c r="CI251" s="8"/>
      <c r="CJ251" s="8"/>
      <c r="CK251" s="8"/>
      <c r="CL251" s="8"/>
      <c r="CM251" s="8"/>
      <c r="CN251" s="8"/>
      <c r="CO251" s="8"/>
      <c r="CP251" s="8"/>
      <c r="CQ251" s="8"/>
      <c r="CR251" s="8"/>
      <c r="CS251" s="8"/>
      <c r="CT251" s="8"/>
      <c r="CU251" s="8"/>
      <c r="CV251" s="8"/>
      <c r="CW251" s="8"/>
      <c r="CX251" s="8"/>
      <c r="CY251" s="8"/>
      <c r="CZ251" s="8"/>
      <c r="DA251" s="8"/>
      <c r="DB251" s="8"/>
      <c r="DC251" s="8"/>
      <c r="DD251" s="8"/>
      <c r="DE251" s="8"/>
      <c r="DF251" s="8"/>
      <c r="DG251" s="8"/>
      <c r="DH251" s="8"/>
      <c r="DI251" s="8"/>
      <c r="DJ251" s="8"/>
      <c r="DK251" s="8"/>
      <c r="DL251" s="8"/>
      <c r="DM251" s="8"/>
      <c r="DN251" s="8"/>
      <c r="DO251" s="8"/>
      <c r="DP251" s="8"/>
      <c r="DQ251" s="8"/>
      <c r="DR251" s="8"/>
      <c r="DS251" s="8"/>
      <c r="DT251" s="8"/>
      <c r="DU251" s="8"/>
    </row>
    <row r="252" spans="1:125" s="1" customFormat="1" ht="20.100000000000001" customHeight="1" x14ac:dyDescent="0.25">
      <c r="A252" s="59" t="s">
        <v>482</v>
      </c>
      <c r="B252" s="84">
        <v>250</v>
      </c>
      <c r="C252" s="85" t="s">
        <v>569</v>
      </c>
      <c r="D252" s="60">
        <v>0</v>
      </c>
      <c r="E252" s="61">
        <f t="shared" si="36"/>
        <v>0</v>
      </c>
      <c r="F252" s="60">
        <v>0</v>
      </c>
      <c r="G252" s="61">
        <f t="shared" si="37"/>
        <v>0</v>
      </c>
      <c r="H252" s="60">
        <v>0</v>
      </c>
      <c r="I252" s="61">
        <f t="shared" si="38"/>
        <v>0</v>
      </c>
      <c r="J252" s="60">
        <v>0</v>
      </c>
      <c r="K252" s="61">
        <f t="shared" si="39"/>
        <v>0</v>
      </c>
      <c r="L252" s="62"/>
      <c r="M252" s="61">
        <f t="shared" si="40"/>
        <v>0</v>
      </c>
      <c r="N252" s="63">
        <v>1</v>
      </c>
      <c r="O252" s="61">
        <f t="shared" si="41"/>
        <v>500</v>
      </c>
      <c r="P252" s="60">
        <v>0</v>
      </c>
      <c r="Q252" s="61">
        <f t="shared" si="42"/>
        <v>0</v>
      </c>
      <c r="R252" s="60">
        <v>0</v>
      </c>
      <c r="S252" s="61">
        <f t="shared" si="43"/>
        <v>0</v>
      </c>
      <c r="T252" s="60">
        <v>0</v>
      </c>
      <c r="U252" s="64">
        <f t="shared" si="44"/>
        <v>0</v>
      </c>
      <c r="V252" s="65">
        <v>0</v>
      </c>
      <c r="W252" s="66">
        <f t="shared" si="45"/>
        <v>500</v>
      </c>
      <c r="X252" s="67">
        <f t="shared" si="46"/>
        <v>0.5</v>
      </c>
      <c r="Y252" s="57" t="str">
        <f t="shared" si="47"/>
        <v>STOCK</v>
      </c>
      <c r="Z252" s="68" t="s">
        <v>1538</v>
      </c>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c r="BU252" s="8"/>
      <c r="BV252" s="8"/>
      <c r="BW252" s="8"/>
      <c r="BX252" s="8"/>
      <c r="BY252" s="8"/>
      <c r="BZ252" s="8"/>
      <c r="CA252" s="8"/>
      <c r="CB252" s="8"/>
      <c r="CC252" s="8"/>
      <c r="CD252" s="8"/>
      <c r="CE252" s="8"/>
      <c r="CF252" s="8"/>
      <c r="CG252" s="8"/>
      <c r="CH252" s="8"/>
      <c r="CI252" s="8"/>
      <c r="CJ252" s="8"/>
      <c r="CK252" s="8"/>
      <c r="CL252" s="8"/>
      <c r="CM252" s="8"/>
      <c r="CN252" s="8"/>
      <c r="CO252" s="8"/>
      <c r="CP252" s="8"/>
      <c r="CQ252" s="8"/>
      <c r="CR252" s="8"/>
      <c r="CS252" s="8"/>
      <c r="CT252" s="8"/>
      <c r="CU252" s="8"/>
      <c r="CV252" s="8"/>
      <c r="CW252" s="8"/>
      <c r="CX252" s="8"/>
      <c r="CY252" s="8"/>
      <c r="CZ252" s="8"/>
      <c r="DA252" s="8"/>
      <c r="DB252" s="8"/>
      <c r="DC252" s="8"/>
      <c r="DD252" s="8"/>
      <c r="DE252" s="8"/>
      <c r="DF252" s="8"/>
      <c r="DG252" s="8"/>
      <c r="DH252" s="8"/>
      <c r="DI252" s="8"/>
      <c r="DJ252" s="8"/>
      <c r="DK252" s="8"/>
      <c r="DL252" s="8"/>
      <c r="DM252" s="8"/>
      <c r="DN252" s="8"/>
      <c r="DO252" s="8"/>
      <c r="DP252" s="8"/>
      <c r="DQ252" s="8"/>
      <c r="DR252" s="8"/>
      <c r="DS252" s="8"/>
      <c r="DT252" s="8"/>
      <c r="DU252" s="8"/>
    </row>
    <row r="253" spans="1:125" s="1" customFormat="1" ht="20.100000000000001" customHeight="1" x14ac:dyDescent="0.25">
      <c r="A253" s="59" t="s">
        <v>483</v>
      </c>
      <c r="B253" s="84">
        <v>251</v>
      </c>
      <c r="C253" s="85" t="s">
        <v>570</v>
      </c>
      <c r="D253" s="60">
        <v>0</v>
      </c>
      <c r="E253" s="61">
        <f t="shared" si="36"/>
        <v>0</v>
      </c>
      <c r="F253" s="60">
        <v>0</v>
      </c>
      <c r="G253" s="61">
        <f t="shared" si="37"/>
        <v>0</v>
      </c>
      <c r="H253" s="60">
        <v>0</v>
      </c>
      <c r="I253" s="61">
        <f t="shared" si="38"/>
        <v>0</v>
      </c>
      <c r="J253" s="60">
        <v>0</v>
      </c>
      <c r="K253" s="61">
        <f t="shared" si="39"/>
        <v>0</v>
      </c>
      <c r="L253" s="62"/>
      <c r="M253" s="61">
        <f t="shared" si="40"/>
        <v>0</v>
      </c>
      <c r="N253" s="63">
        <v>3</v>
      </c>
      <c r="O253" s="61">
        <f t="shared" si="41"/>
        <v>1500</v>
      </c>
      <c r="P253" s="60">
        <v>0</v>
      </c>
      <c r="Q253" s="61">
        <f t="shared" si="42"/>
        <v>0</v>
      </c>
      <c r="R253" s="60">
        <v>0</v>
      </c>
      <c r="S253" s="61">
        <f t="shared" si="43"/>
        <v>0</v>
      </c>
      <c r="T253" s="60">
        <v>0</v>
      </c>
      <c r="U253" s="64">
        <f t="shared" si="44"/>
        <v>0</v>
      </c>
      <c r="V253" s="65">
        <v>0</v>
      </c>
      <c r="W253" s="66">
        <f t="shared" si="45"/>
        <v>1500</v>
      </c>
      <c r="X253" s="67">
        <f t="shared" si="46"/>
        <v>1.5</v>
      </c>
      <c r="Y253" s="57" t="str">
        <f t="shared" si="47"/>
        <v>STOCK</v>
      </c>
      <c r="Z253" s="68" t="s">
        <v>1538</v>
      </c>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c r="BU253" s="8"/>
      <c r="BV253" s="8"/>
      <c r="BW253" s="8"/>
      <c r="BX253" s="8"/>
      <c r="BY253" s="8"/>
      <c r="BZ253" s="8"/>
      <c r="CA253" s="8"/>
      <c r="CB253" s="8"/>
      <c r="CC253" s="8"/>
      <c r="CD253" s="8"/>
      <c r="CE253" s="8"/>
      <c r="CF253" s="8"/>
      <c r="CG253" s="8"/>
      <c r="CH253" s="8"/>
      <c r="CI253" s="8"/>
      <c r="CJ253" s="8"/>
      <c r="CK253" s="8"/>
      <c r="CL253" s="8"/>
      <c r="CM253" s="8"/>
      <c r="CN253" s="8"/>
      <c r="CO253" s="8"/>
      <c r="CP253" s="8"/>
      <c r="CQ253" s="8"/>
      <c r="CR253" s="8"/>
      <c r="CS253" s="8"/>
      <c r="CT253" s="8"/>
      <c r="CU253" s="8"/>
      <c r="CV253" s="8"/>
      <c r="CW253" s="8"/>
      <c r="CX253" s="8"/>
      <c r="CY253" s="8"/>
      <c r="CZ253" s="8"/>
      <c r="DA253" s="8"/>
      <c r="DB253" s="8"/>
      <c r="DC253" s="8"/>
      <c r="DD253" s="8"/>
      <c r="DE253" s="8"/>
      <c r="DF253" s="8"/>
      <c r="DG253" s="8"/>
      <c r="DH253" s="8"/>
      <c r="DI253" s="8"/>
      <c r="DJ253" s="8"/>
      <c r="DK253" s="8"/>
      <c r="DL253" s="8"/>
      <c r="DM253" s="8"/>
      <c r="DN253" s="8"/>
      <c r="DO253" s="8"/>
      <c r="DP253" s="8"/>
      <c r="DQ253" s="8"/>
      <c r="DR253" s="8"/>
      <c r="DS253" s="8"/>
      <c r="DT253" s="8"/>
      <c r="DU253" s="8"/>
    </row>
    <row r="254" spans="1:125" s="1" customFormat="1" ht="20.100000000000001" customHeight="1" x14ac:dyDescent="0.25">
      <c r="A254" s="59" t="s">
        <v>484</v>
      </c>
      <c r="B254" s="84">
        <v>252</v>
      </c>
      <c r="C254" s="85" t="s">
        <v>571</v>
      </c>
      <c r="D254" s="60">
        <v>0</v>
      </c>
      <c r="E254" s="61">
        <f t="shared" si="36"/>
        <v>0</v>
      </c>
      <c r="F254" s="60">
        <v>0</v>
      </c>
      <c r="G254" s="61">
        <f t="shared" si="37"/>
        <v>0</v>
      </c>
      <c r="H254" s="60">
        <v>0</v>
      </c>
      <c r="I254" s="61">
        <f t="shared" si="38"/>
        <v>0</v>
      </c>
      <c r="J254" s="60">
        <v>0</v>
      </c>
      <c r="K254" s="61">
        <f t="shared" si="39"/>
        <v>0</v>
      </c>
      <c r="L254" s="62"/>
      <c r="M254" s="61">
        <f t="shared" si="40"/>
        <v>0</v>
      </c>
      <c r="N254" s="63">
        <v>0</v>
      </c>
      <c r="O254" s="61">
        <f t="shared" si="41"/>
        <v>0</v>
      </c>
      <c r="P254" s="60">
        <v>0</v>
      </c>
      <c r="Q254" s="61">
        <f t="shared" si="42"/>
        <v>0</v>
      </c>
      <c r="R254" s="60">
        <v>0</v>
      </c>
      <c r="S254" s="61">
        <f t="shared" si="43"/>
        <v>0</v>
      </c>
      <c r="T254" s="60">
        <v>0</v>
      </c>
      <c r="U254" s="64">
        <f t="shared" si="44"/>
        <v>0</v>
      </c>
      <c r="V254" s="65">
        <v>0</v>
      </c>
      <c r="W254" s="66">
        <f t="shared" si="45"/>
        <v>0</v>
      </c>
      <c r="X254" s="67">
        <f t="shared" si="46"/>
        <v>0</v>
      </c>
      <c r="Y254" s="57" t="str">
        <f t="shared" si="47"/>
        <v>NIL PLEASE PURCHASE</v>
      </c>
      <c r="Z254" s="68" t="s">
        <v>1539</v>
      </c>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c r="BU254" s="8"/>
      <c r="BV254" s="8"/>
      <c r="BW254" s="8"/>
      <c r="BX254" s="8"/>
      <c r="BY254" s="8"/>
      <c r="BZ254" s="8"/>
      <c r="CA254" s="8"/>
      <c r="CB254" s="8"/>
      <c r="CC254" s="8"/>
      <c r="CD254" s="8"/>
      <c r="CE254" s="8"/>
      <c r="CF254" s="8"/>
      <c r="CG254" s="8"/>
      <c r="CH254" s="8"/>
      <c r="CI254" s="8"/>
      <c r="CJ254" s="8"/>
      <c r="CK254" s="8"/>
      <c r="CL254" s="8"/>
      <c r="CM254" s="8"/>
      <c r="CN254" s="8"/>
      <c r="CO254" s="8"/>
      <c r="CP254" s="8"/>
      <c r="CQ254" s="8"/>
      <c r="CR254" s="8"/>
      <c r="CS254" s="8"/>
      <c r="CT254" s="8"/>
      <c r="CU254" s="8"/>
      <c r="CV254" s="8"/>
      <c r="CW254" s="8"/>
      <c r="CX254" s="8"/>
      <c r="CY254" s="8"/>
      <c r="CZ254" s="8"/>
      <c r="DA254" s="8"/>
      <c r="DB254" s="8"/>
      <c r="DC254" s="8"/>
      <c r="DD254" s="8"/>
      <c r="DE254" s="8"/>
      <c r="DF254" s="8"/>
      <c r="DG254" s="8"/>
      <c r="DH254" s="8"/>
      <c r="DI254" s="8"/>
      <c r="DJ254" s="8"/>
      <c r="DK254" s="8"/>
      <c r="DL254" s="8"/>
      <c r="DM254" s="8"/>
      <c r="DN254" s="8"/>
      <c r="DO254" s="8"/>
      <c r="DP254" s="8"/>
      <c r="DQ254" s="8"/>
      <c r="DR254" s="8"/>
      <c r="DS254" s="8"/>
      <c r="DT254" s="8"/>
      <c r="DU254" s="8"/>
    </row>
    <row r="255" spans="1:125" s="1" customFormat="1" ht="20.100000000000001" customHeight="1" x14ac:dyDescent="0.25">
      <c r="A255" s="59" t="s">
        <v>485</v>
      </c>
      <c r="B255" s="84">
        <v>253</v>
      </c>
      <c r="C255" s="85" t="s">
        <v>572</v>
      </c>
      <c r="D255" s="60">
        <v>0</v>
      </c>
      <c r="E255" s="61">
        <f t="shared" si="36"/>
        <v>0</v>
      </c>
      <c r="F255" s="60">
        <v>0</v>
      </c>
      <c r="G255" s="61">
        <f t="shared" si="37"/>
        <v>0</v>
      </c>
      <c r="H255" s="60">
        <v>0</v>
      </c>
      <c r="I255" s="61">
        <f t="shared" si="38"/>
        <v>0</v>
      </c>
      <c r="J255" s="60">
        <v>0</v>
      </c>
      <c r="K255" s="61">
        <f t="shared" si="39"/>
        <v>0</v>
      </c>
      <c r="L255" s="62"/>
      <c r="M255" s="61">
        <f t="shared" si="40"/>
        <v>0</v>
      </c>
      <c r="N255" s="63">
        <v>0</v>
      </c>
      <c r="O255" s="61">
        <f t="shared" si="41"/>
        <v>0</v>
      </c>
      <c r="P255" s="60">
        <v>0</v>
      </c>
      <c r="Q255" s="61">
        <f t="shared" si="42"/>
        <v>0</v>
      </c>
      <c r="R255" s="60">
        <v>0</v>
      </c>
      <c r="S255" s="61">
        <f t="shared" si="43"/>
        <v>0</v>
      </c>
      <c r="T255" s="60">
        <v>0</v>
      </c>
      <c r="U255" s="64">
        <f t="shared" si="44"/>
        <v>0</v>
      </c>
      <c r="V255" s="65">
        <v>0</v>
      </c>
      <c r="W255" s="66">
        <f t="shared" si="45"/>
        <v>0</v>
      </c>
      <c r="X255" s="67">
        <f t="shared" si="46"/>
        <v>0</v>
      </c>
      <c r="Y255" s="57" t="str">
        <f t="shared" si="47"/>
        <v>NIL PLEASE PURCHASE</v>
      </c>
      <c r="Z255" s="68" t="s">
        <v>1539</v>
      </c>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c r="BU255" s="8"/>
      <c r="BV255" s="8"/>
      <c r="BW255" s="8"/>
      <c r="BX255" s="8"/>
      <c r="BY255" s="8"/>
      <c r="BZ255" s="8"/>
      <c r="CA255" s="8"/>
      <c r="CB255" s="8"/>
      <c r="CC255" s="8"/>
      <c r="CD255" s="8"/>
      <c r="CE255" s="8"/>
      <c r="CF255" s="8"/>
      <c r="CG255" s="8"/>
      <c r="CH255" s="8"/>
      <c r="CI255" s="8"/>
      <c r="CJ255" s="8"/>
      <c r="CK255" s="8"/>
      <c r="CL255" s="8"/>
      <c r="CM255" s="8"/>
      <c r="CN255" s="8"/>
      <c r="CO255" s="8"/>
      <c r="CP255" s="8"/>
      <c r="CQ255" s="8"/>
      <c r="CR255" s="8"/>
      <c r="CS255" s="8"/>
      <c r="CT255" s="8"/>
      <c r="CU255" s="8"/>
      <c r="CV255" s="8"/>
      <c r="CW255" s="8"/>
      <c r="CX255" s="8"/>
      <c r="CY255" s="8"/>
      <c r="CZ255" s="8"/>
      <c r="DA255" s="8"/>
      <c r="DB255" s="8"/>
      <c r="DC255" s="8"/>
      <c r="DD255" s="8"/>
      <c r="DE255" s="8"/>
      <c r="DF255" s="8"/>
      <c r="DG255" s="8"/>
      <c r="DH255" s="8"/>
      <c r="DI255" s="8"/>
      <c r="DJ255" s="8"/>
      <c r="DK255" s="8"/>
      <c r="DL255" s="8"/>
      <c r="DM255" s="8"/>
      <c r="DN255" s="8"/>
      <c r="DO255" s="8"/>
      <c r="DP255" s="8"/>
      <c r="DQ255" s="8"/>
      <c r="DR255" s="8"/>
      <c r="DS255" s="8"/>
      <c r="DT255" s="8"/>
      <c r="DU255" s="8"/>
    </row>
    <row r="256" spans="1:125" s="1" customFormat="1" ht="20.100000000000001" customHeight="1" x14ac:dyDescent="0.25">
      <c r="A256" s="59" t="s">
        <v>486</v>
      </c>
      <c r="B256" s="84">
        <v>254</v>
      </c>
      <c r="C256" s="85" t="s">
        <v>573</v>
      </c>
      <c r="D256" s="60">
        <v>0</v>
      </c>
      <c r="E256" s="61">
        <f t="shared" si="36"/>
        <v>0</v>
      </c>
      <c r="F256" s="60">
        <v>0</v>
      </c>
      <c r="G256" s="61">
        <f t="shared" si="37"/>
        <v>0</v>
      </c>
      <c r="H256" s="60">
        <v>0</v>
      </c>
      <c r="I256" s="61">
        <f t="shared" si="38"/>
        <v>0</v>
      </c>
      <c r="J256" s="60">
        <v>0</v>
      </c>
      <c r="K256" s="61">
        <f t="shared" si="39"/>
        <v>0</v>
      </c>
      <c r="L256" s="62"/>
      <c r="M256" s="61">
        <f t="shared" si="40"/>
        <v>0</v>
      </c>
      <c r="N256" s="63">
        <v>0</v>
      </c>
      <c r="O256" s="61">
        <f t="shared" si="41"/>
        <v>0</v>
      </c>
      <c r="P256" s="60">
        <v>0</v>
      </c>
      <c r="Q256" s="61">
        <f t="shared" si="42"/>
        <v>0</v>
      </c>
      <c r="R256" s="60">
        <v>0</v>
      </c>
      <c r="S256" s="61">
        <f t="shared" si="43"/>
        <v>0</v>
      </c>
      <c r="T256" s="60">
        <v>0</v>
      </c>
      <c r="U256" s="64">
        <f t="shared" si="44"/>
        <v>0</v>
      </c>
      <c r="V256" s="65">
        <v>0</v>
      </c>
      <c r="W256" s="66">
        <f t="shared" si="45"/>
        <v>0</v>
      </c>
      <c r="X256" s="67">
        <f t="shared" si="46"/>
        <v>0</v>
      </c>
      <c r="Y256" s="57" t="str">
        <f t="shared" si="47"/>
        <v>NIL PLEASE PURCHASE</v>
      </c>
      <c r="Z256" s="68" t="s">
        <v>1539</v>
      </c>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c r="BU256" s="8"/>
      <c r="BV256" s="8"/>
      <c r="BW256" s="8"/>
      <c r="BX256" s="8"/>
      <c r="BY256" s="8"/>
      <c r="BZ256" s="8"/>
      <c r="CA256" s="8"/>
      <c r="CB256" s="8"/>
      <c r="CC256" s="8"/>
      <c r="CD256" s="8"/>
      <c r="CE256" s="8"/>
      <c r="CF256" s="8"/>
      <c r="CG256" s="8"/>
      <c r="CH256" s="8"/>
      <c r="CI256" s="8"/>
      <c r="CJ256" s="8"/>
      <c r="CK256" s="8"/>
      <c r="CL256" s="8"/>
      <c r="CM256" s="8"/>
      <c r="CN256" s="8"/>
      <c r="CO256" s="8"/>
      <c r="CP256" s="8"/>
      <c r="CQ256" s="8"/>
      <c r="CR256" s="8"/>
      <c r="CS256" s="8"/>
      <c r="CT256" s="8"/>
      <c r="CU256" s="8"/>
      <c r="CV256" s="8"/>
      <c r="CW256" s="8"/>
      <c r="CX256" s="8"/>
      <c r="CY256" s="8"/>
      <c r="CZ256" s="8"/>
      <c r="DA256" s="8"/>
      <c r="DB256" s="8"/>
      <c r="DC256" s="8"/>
      <c r="DD256" s="8"/>
      <c r="DE256" s="8"/>
      <c r="DF256" s="8"/>
      <c r="DG256" s="8"/>
      <c r="DH256" s="8"/>
      <c r="DI256" s="8"/>
      <c r="DJ256" s="8"/>
      <c r="DK256" s="8"/>
      <c r="DL256" s="8"/>
      <c r="DM256" s="8"/>
      <c r="DN256" s="8"/>
      <c r="DO256" s="8"/>
      <c r="DP256" s="8"/>
      <c r="DQ256" s="8"/>
      <c r="DR256" s="8"/>
      <c r="DS256" s="8"/>
      <c r="DT256" s="8"/>
      <c r="DU256" s="8"/>
    </row>
    <row r="257" spans="1:125" s="1" customFormat="1" ht="20.100000000000001" customHeight="1" x14ac:dyDescent="0.25">
      <c r="A257" s="59" t="s">
        <v>487</v>
      </c>
      <c r="B257" s="84">
        <v>255</v>
      </c>
      <c r="C257" s="85" t="s">
        <v>574</v>
      </c>
      <c r="D257" s="60">
        <v>0</v>
      </c>
      <c r="E257" s="61">
        <f t="shared" si="36"/>
        <v>0</v>
      </c>
      <c r="F257" s="60">
        <v>0</v>
      </c>
      <c r="G257" s="61">
        <f t="shared" si="37"/>
        <v>0</v>
      </c>
      <c r="H257" s="60">
        <v>0</v>
      </c>
      <c r="I257" s="61">
        <f t="shared" si="38"/>
        <v>0</v>
      </c>
      <c r="J257" s="60">
        <v>0</v>
      </c>
      <c r="K257" s="61">
        <f t="shared" si="39"/>
        <v>0</v>
      </c>
      <c r="L257" s="62"/>
      <c r="M257" s="61">
        <f t="shared" si="40"/>
        <v>0</v>
      </c>
      <c r="N257" s="63">
        <v>0</v>
      </c>
      <c r="O257" s="61">
        <f t="shared" si="41"/>
        <v>0</v>
      </c>
      <c r="P257" s="60">
        <v>0</v>
      </c>
      <c r="Q257" s="61">
        <f t="shared" si="42"/>
        <v>0</v>
      </c>
      <c r="R257" s="60">
        <v>0</v>
      </c>
      <c r="S257" s="61">
        <f t="shared" si="43"/>
        <v>0</v>
      </c>
      <c r="T257" s="60">
        <v>0</v>
      </c>
      <c r="U257" s="64">
        <f t="shared" si="44"/>
        <v>0</v>
      </c>
      <c r="V257" s="65">
        <v>0</v>
      </c>
      <c r="W257" s="66">
        <f t="shared" si="45"/>
        <v>0</v>
      </c>
      <c r="X257" s="67">
        <f t="shared" si="46"/>
        <v>0</v>
      </c>
      <c r="Y257" s="57" t="str">
        <f t="shared" si="47"/>
        <v>NIL PLEASE PURCHASE</v>
      </c>
      <c r="Z257" s="68" t="s">
        <v>1539</v>
      </c>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c r="BU257" s="8"/>
      <c r="BV257" s="8"/>
      <c r="BW257" s="8"/>
      <c r="BX257" s="8"/>
      <c r="BY257" s="8"/>
      <c r="BZ257" s="8"/>
      <c r="CA257" s="8"/>
      <c r="CB257" s="8"/>
      <c r="CC257" s="8"/>
      <c r="CD257" s="8"/>
      <c r="CE257" s="8"/>
      <c r="CF257" s="8"/>
      <c r="CG257" s="8"/>
      <c r="CH257" s="8"/>
      <c r="CI257" s="8"/>
      <c r="CJ257" s="8"/>
      <c r="CK257" s="8"/>
      <c r="CL257" s="8"/>
      <c r="CM257" s="8"/>
      <c r="CN257" s="8"/>
      <c r="CO257" s="8"/>
      <c r="CP257" s="8"/>
      <c r="CQ257" s="8"/>
      <c r="CR257" s="8"/>
      <c r="CS257" s="8"/>
      <c r="CT257" s="8"/>
      <c r="CU257" s="8"/>
      <c r="CV257" s="8"/>
      <c r="CW257" s="8"/>
      <c r="CX257" s="8"/>
      <c r="CY257" s="8"/>
      <c r="CZ257" s="8"/>
      <c r="DA257" s="8"/>
      <c r="DB257" s="8"/>
      <c r="DC257" s="8"/>
      <c r="DD257" s="8"/>
      <c r="DE257" s="8"/>
      <c r="DF257" s="8"/>
      <c r="DG257" s="8"/>
      <c r="DH257" s="8"/>
      <c r="DI257" s="8"/>
      <c r="DJ257" s="8"/>
      <c r="DK257" s="8"/>
      <c r="DL257" s="8"/>
      <c r="DM257" s="8"/>
      <c r="DN257" s="8"/>
      <c r="DO257" s="8"/>
      <c r="DP257" s="8"/>
      <c r="DQ257" s="8"/>
      <c r="DR257" s="8"/>
      <c r="DS257" s="8"/>
      <c r="DT257" s="8"/>
      <c r="DU257" s="8"/>
    </row>
    <row r="258" spans="1:125" s="1" customFormat="1" ht="20.100000000000001" customHeight="1" x14ac:dyDescent="0.25">
      <c r="A258" s="59" t="s">
        <v>488</v>
      </c>
      <c r="B258" s="84">
        <v>256</v>
      </c>
      <c r="C258" s="85" t="s">
        <v>575</v>
      </c>
      <c r="D258" s="60">
        <v>0</v>
      </c>
      <c r="E258" s="61">
        <f t="shared" si="36"/>
        <v>0</v>
      </c>
      <c r="F258" s="60">
        <v>0</v>
      </c>
      <c r="G258" s="61">
        <f t="shared" si="37"/>
        <v>0</v>
      </c>
      <c r="H258" s="60">
        <v>0</v>
      </c>
      <c r="I258" s="61">
        <f t="shared" si="38"/>
        <v>0</v>
      </c>
      <c r="J258" s="60">
        <v>0</v>
      </c>
      <c r="K258" s="61">
        <f t="shared" si="39"/>
        <v>0</v>
      </c>
      <c r="L258" s="62"/>
      <c r="M258" s="61">
        <f t="shared" si="40"/>
        <v>0</v>
      </c>
      <c r="N258" s="63">
        <v>1</v>
      </c>
      <c r="O258" s="61">
        <f t="shared" si="41"/>
        <v>500</v>
      </c>
      <c r="P258" s="60">
        <v>0</v>
      </c>
      <c r="Q258" s="61">
        <f t="shared" si="42"/>
        <v>0</v>
      </c>
      <c r="R258" s="60">
        <v>0</v>
      </c>
      <c r="S258" s="61">
        <f t="shared" si="43"/>
        <v>0</v>
      </c>
      <c r="T258" s="60">
        <v>0</v>
      </c>
      <c r="U258" s="64">
        <f t="shared" si="44"/>
        <v>0</v>
      </c>
      <c r="V258" s="65">
        <v>0</v>
      </c>
      <c r="W258" s="66">
        <f t="shared" si="45"/>
        <v>500</v>
      </c>
      <c r="X258" s="67">
        <f t="shared" si="46"/>
        <v>0.5</v>
      </c>
      <c r="Y258" s="57" t="str">
        <f t="shared" si="47"/>
        <v>STOCK</v>
      </c>
      <c r="Z258" s="68" t="s">
        <v>1538</v>
      </c>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c r="BU258" s="8"/>
      <c r="BV258" s="8"/>
      <c r="BW258" s="8"/>
      <c r="BX258" s="8"/>
      <c r="BY258" s="8"/>
      <c r="BZ258" s="8"/>
      <c r="CA258" s="8"/>
      <c r="CB258" s="8"/>
      <c r="CC258" s="8"/>
      <c r="CD258" s="8"/>
      <c r="CE258" s="8"/>
      <c r="CF258" s="8"/>
      <c r="CG258" s="8"/>
      <c r="CH258" s="8"/>
      <c r="CI258" s="8"/>
      <c r="CJ258" s="8"/>
      <c r="CK258" s="8"/>
      <c r="CL258" s="8"/>
      <c r="CM258" s="8"/>
      <c r="CN258" s="8"/>
      <c r="CO258" s="8"/>
      <c r="CP258" s="8"/>
      <c r="CQ258" s="8"/>
      <c r="CR258" s="8"/>
      <c r="CS258" s="8"/>
      <c r="CT258" s="8"/>
      <c r="CU258" s="8"/>
      <c r="CV258" s="8"/>
      <c r="CW258" s="8"/>
      <c r="CX258" s="8"/>
      <c r="CY258" s="8"/>
      <c r="CZ258" s="8"/>
      <c r="DA258" s="8"/>
      <c r="DB258" s="8"/>
      <c r="DC258" s="8"/>
      <c r="DD258" s="8"/>
      <c r="DE258" s="8"/>
      <c r="DF258" s="8"/>
      <c r="DG258" s="8"/>
      <c r="DH258" s="8"/>
      <c r="DI258" s="8"/>
      <c r="DJ258" s="8"/>
      <c r="DK258" s="8"/>
      <c r="DL258" s="8"/>
      <c r="DM258" s="8"/>
      <c r="DN258" s="8"/>
      <c r="DO258" s="8"/>
      <c r="DP258" s="8"/>
      <c r="DQ258" s="8"/>
      <c r="DR258" s="8"/>
      <c r="DS258" s="8"/>
      <c r="DT258" s="8"/>
      <c r="DU258" s="8"/>
    </row>
    <row r="259" spans="1:125" s="1" customFormat="1" ht="20.100000000000001" customHeight="1" x14ac:dyDescent="0.25">
      <c r="A259" s="59" t="s">
        <v>489</v>
      </c>
      <c r="B259" s="84">
        <v>257</v>
      </c>
      <c r="C259" s="85" t="s">
        <v>576</v>
      </c>
      <c r="D259" s="60">
        <v>0</v>
      </c>
      <c r="E259" s="61">
        <f t="shared" si="36"/>
        <v>0</v>
      </c>
      <c r="F259" s="60">
        <v>0</v>
      </c>
      <c r="G259" s="61">
        <f t="shared" si="37"/>
        <v>0</v>
      </c>
      <c r="H259" s="60">
        <v>0</v>
      </c>
      <c r="I259" s="61">
        <f t="shared" si="38"/>
        <v>0</v>
      </c>
      <c r="J259" s="60">
        <v>0</v>
      </c>
      <c r="K259" s="61">
        <f t="shared" si="39"/>
        <v>0</v>
      </c>
      <c r="L259" s="62"/>
      <c r="M259" s="61">
        <f t="shared" si="40"/>
        <v>0</v>
      </c>
      <c r="N259" s="63">
        <v>1</v>
      </c>
      <c r="O259" s="61">
        <f t="shared" si="41"/>
        <v>500</v>
      </c>
      <c r="P259" s="60">
        <v>0</v>
      </c>
      <c r="Q259" s="61">
        <f t="shared" si="42"/>
        <v>0</v>
      </c>
      <c r="R259" s="60">
        <v>0</v>
      </c>
      <c r="S259" s="61">
        <f t="shared" si="43"/>
        <v>0</v>
      </c>
      <c r="T259" s="60">
        <v>0</v>
      </c>
      <c r="U259" s="64">
        <f t="shared" si="44"/>
        <v>0</v>
      </c>
      <c r="V259" s="65">
        <v>0</v>
      </c>
      <c r="W259" s="66">
        <f t="shared" si="45"/>
        <v>500</v>
      </c>
      <c r="X259" s="67">
        <f t="shared" si="46"/>
        <v>0.5</v>
      </c>
      <c r="Y259" s="57" t="str">
        <f t="shared" si="47"/>
        <v>STOCK</v>
      </c>
      <c r="Z259" s="68" t="s">
        <v>1538</v>
      </c>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c r="BU259" s="8"/>
      <c r="BV259" s="8"/>
      <c r="BW259" s="8"/>
      <c r="BX259" s="8"/>
      <c r="BY259" s="8"/>
      <c r="BZ259" s="8"/>
      <c r="CA259" s="8"/>
      <c r="CB259" s="8"/>
      <c r="CC259" s="8"/>
      <c r="CD259" s="8"/>
      <c r="CE259" s="8"/>
      <c r="CF259" s="8"/>
      <c r="CG259" s="8"/>
      <c r="CH259" s="8"/>
      <c r="CI259" s="8"/>
      <c r="CJ259" s="8"/>
      <c r="CK259" s="8"/>
      <c r="CL259" s="8"/>
      <c r="CM259" s="8"/>
      <c r="CN259" s="8"/>
      <c r="CO259" s="8"/>
      <c r="CP259" s="8"/>
      <c r="CQ259" s="8"/>
      <c r="CR259" s="8"/>
      <c r="CS259" s="8"/>
      <c r="CT259" s="8"/>
      <c r="CU259" s="8"/>
      <c r="CV259" s="8"/>
      <c r="CW259" s="8"/>
      <c r="CX259" s="8"/>
      <c r="CY259" s="8"/>
      <c r="CZ259" s="8"/>
      <c r="DA259" s="8"/>
      <c r="DB259" s="8"/>
      <c r="DC259" s="8"/>
      <c r="DD259" s="8"/>
      <c r="DE259" s="8"/>
      <c r="DF259" s="8"/>
      <c r="DG259" s="8"/>
      <c r="DH259" s="8"/>
      <c r="DI259" s="8"/>
      <c r="DJ259" s="8"/>
      <c r="DK259" s="8"/>
      <c r="DL259" s="8"/>
      <c r="DM259" s="8"/>
      <c r="DN259" s="8"/>
      <c r="DO259" s="8"/>
      <c r="DP259" s="8"/>
      <c r="DQ259" s="8"/>
      <c r="DR259" s="8"/>
      <c r="DS259" s="8"/>
      <c r="DT259" s="8"/>
      <c r="DU259" s="8"/>
    </row>
    <row r="260" spans="1:125" s="1" customFormat="1" ht="20.100000000000001" customHeight="1" x14ac:dyDescent="0.25">
      <c r="A260" s="59" t="s">
        <v>490</v>
      </c>
      <c r="B260" s="84">
        <v>258</v>
      </c>
      <c r="C260" s="85" t="s">
        <v>577</v>
      </c>
      <c r="D260" s="60">
        <v>0</v>
      </c>
      <c r="E260" s="61">
        <f t="shared" ref="E260:E323" si="48">D260*10</f>
        <v>0</v>
      </c>
      <c r="F260" s="60">
        <v>0</v>
      </c>
      <c r="G260" s="61">
        <f t="shared" ref="G260:G323" si="49">F260*25</f>
        <v>0</v>
      </c>
      <c r="H260" s="60">
        <v>0</v>
      </c>
      <c r="I260" s="61">
        <f t="shared" ref="I260:I323" si="50">H260*50</f>
        <v>0</v>
      </c>
      <c r="J260" s="60">
        <v>0</v>
      </c>
      <c r="K260" s="61">
        <f t="shared" ref="K260:K323" si="51">J260*100</f>
        <v>0</v>
      </c>
      <c r="L260" s="62"/>
      <c r="M260" s="61">
        <f t="shared" ref="M260:M323" si="52">L260*250</f>
        <v>0</v>
      </c>
      <c r="N260" s="63">
        <v>3</v>
      </c>
      <c r="O260" s="61">
        <f t="shared" ref="O260:O323" si="53">N260*500</f>
        <v>1500</v>
      </c>
      <c r="P260" s="60">
        <v>0</v>
      </c>
      <c r="Q260" s="61">
        <f t="shared" ref="Q260:Q323" si="54">P260*1000</f>
        <v>0</v>
      </c>
      <c r="R260" s="60">
        <v>0</v>
      </c>
      <c r="S260" s="61">
        <f t="shared" ref="S260:S323" si="55">R260*2500</f>
        <v>0</v>
      </c>
      <c r="T260" s="60">
        <v>0</v>
      </c>
      <c r="U260" s="64">
        <f t="shared" ref="U260:U323" si="56">T260*5000</f>
        <v>0</v>
      </c>
      <c r="V260" s="65">
        <v>0</v>
      </c>
      <c r="W260" s="66">
        <f t="shared" ref="W260:W323" si="57">E260+G260+I260+K260+M260+O260+Q260+S260+U260</f>
        <v>1500</v>
      </c>
      <c r="X260" s="67">
        <f t="shared" ref="X260:X323" si="58">SUM(W260:W260)/1000</f>
        <v>1.5</v>
      </c>
      <c r="Y260" s="57" t="str">
        <f t="shared" ref="Y260:Y323" si="59">IF(W260=0,("NIL PLEASE PURCHASE"),("STOCK"))</f>
        <v>STOCK</v>
      </c>
      <c r="Z260" s="68" t="s">
        <v>1538</v>
      </c>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c r="BU260" s="8"/>
      <c r="BV260" s="8"/>
      <c r="BW260" s="8"/>
      <c r="BX260" s="8"/>
      <c r="BY260" s="8"/>
      <c r="BZ260" s="8"/>
      <c r="CA260" s="8"/>
      <c r="CB260" s="8"/>
      <c r="CC260" s="8"/>
      <c r="CD260" s="8"/>
      <c r="CE260" s="8"/>
      <c r="CF260" s="8"/>
      <c r="CG260" s="8"/>
      <c r="CH260" s="8"/>
      <c r="CI260" s="8"/>
      <c r="CJ260" s="8"/>
      <c r="CK260" s="8"/>
      <c r="CL260" s="8"/>
      <c r="CM260" s="8"/>
      <c r="CN260" s="8"/>
      <c r="CO260" s="8"/>
      <c r="CP260" s="8"/>
      <c r="CQ260" s="8"/>
      <c r="CR260" s="8"/>
      <c r="CS260" s="8"/>
      <c r="CT260" s="8"/>
      <c r="CU260" s="8"/>
      <c r="CV260" s="8"/>
      <c r="CW260" s="8"/>
      <c r="CX260" s="8"/>
      <c r="CY260" s="8"/>
      <c r="CZ260" s="8"/>
      <c r="DA260" s="8"/>
      <c r="DB260" s="8"/>
      <c r="DC260" s="8"/>
      <c r="DD260" s="8"/>
      <c r="DE260" s="8"/>
      <c r="DF260" s="8"/>
      <c r="DG260" s="8"/>
      <c r="DH260" s="8"/>
      <c r="DI260" s="8"/>
      <c r="DJ260" s="8"/>
      <c r="DK260" s="8"/>
      <c r="DL260" s="8"/>
      <c r="DM260" s="8"/>
      <c r="DN260" s="8"/>
      <c r="DO260" s="8"/>
      <c r="DP260" s="8"/>
      <c r="DQ260" s="8"/>
      <c r="DR260" s="8"/>
      <c r="DS260" s="8"/>
      <c r="DT260" s="8"/>
      <c r="DU260" s="8"/>
    </row>
    <row r="261" spans="1:125" s="1" customFormat="1" ht="20.100000000000001" customHeight="1" x14ac:dyDescent="0.25">
      <c r="A261" s="59" t="s">
        <v>491</v>
      </c>
      <c r="B261" s="84">
        <v>259</v>
      </c>
      <c r="C261" s="85" t="s">
        <v>578</v>
      </c>
      <c r="D261" s="60">
        <v>0</v>
      </c>
      <c r="E261" s="61">
        <f t="shared" si="48"/>
        <v>0</v>
      </c>
      <c r="F261" s="60">
        <v>0</v>
      </c>
      <c r="G261" s="61">
        <f t="shared" si="49"/>
        <v>0</v>
      </c>
      <c r="H261" s="60">
        <v>0</v>
      </c>
      <c r="I261" s="61">
        <f t="shared" si="50"/>
        <v>0</v>
      </c>
      <c r="J261" s="60">
        <v>0</v>
      </c>
      <c r="K261" s="61">
        <f t="shared" si="51"/>
        <v>0</v>
      </c>
      <c r="L261" s="62"/>
      <c r="M261" s="61">
        <f t="shared" si="52"/>
        <v>0</v>
      </c>
      <c r="N261" s="63">
        <v>0</v>
      </c>
      <c r="O261" s="61">
        <f t="shared" si="53"/>
        <v>0</v>
      </c>
      <c r="P261" s="60">
        <v>0</v>
      </c>
      <c r="Q261" s="61">
        <f t="shared" si="54"/>
        <v>0</v>
      </c>
      <c r="R261" s="60">
        <v>0</v>
      </c>
      <c r="S261" s="61">
        <f t="shared" si="55"/>
        <v>0</v>
      </c>
      <c r="T261" s="60">
        <v>0</v>
      </c>
      <c r="U261" s="64">
        <f t="shared" si="56"/>
        <v>0</v>
      </c>
      <c r="V261" s="65">
        <v>0</v>
      </c>
      <c r="W261" s="66">
        <f t="shared" si="57"/>
        <v>0</v>
      </c>
      <c r="X261" s="67">
        <f t="shared" si="58"/>
        <v>0</v>
      </c>
      <c r="Y261" s="57" t="str">
        <f t="shared" si="59"/>
        <v>NIL PLEASE PURCHASE</v>
      </c>
      <c r="Z261" s="68" t="s">
        <v>1539</v>
      </c>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c r="BU261" s="8"/>
      <c r="BV261" s="8"/>
      <c r="BW261" s="8"/>
      <c r="BX261" s="8"/>
      <c r="BY261" s="8"/>
      <c r="BZ261" s="8"/>
      <c r="CA261" s="8"/>
      <c r="CB261" s="8"/>
      <c r="CC261" s="8"/>
      <c r="CD261" s="8"/>
      <c r="CE261" s="8"/>
      <c r="CF261" s="8"/>
      <c r="CG261" s="8"/>
      <c r="CH261" s="8"/>
      <c r="CI261" s="8"/>
      <c r="CJ261" s="8"/>
      <c r="CK261" s="8"/>
      <c r="CL261" s="8"/>
      <c r="CM261" s="8"/>
      <c r="CN261" s="8"/>
      <c r="CO261" s="8"/>
      <c r="CP261" s="8"/>
      <c r="CQ261" s="8"/>
      <c r="CR261" s="8"/>
      <c r="CS261" s="8"/>
      <c r="CT261" s="8"/>
      <c r="CU261" s="8"/>
      <c r="CV261" s="8"/>
      <c r="CW261" s="8"/>
      <c r="CX261" s="8"/>
      <c r="CY261" s="8"/>
      <c r="CZ261" s="8"/>
      <c r="DA261" s="8"/>
      <c r="DB261" s="8"/>
      <c r="DC261" s="8"/>
      <c r="DD261" s="8"/>
      <c r="DE261" s="8"/>
      <c r="DF261" s="8"/>
      <c r="DG261" s="8"/>
      <c r="DH261" s="8"/>
      <c r="DI261" s="8"/>
      <c r="DJ261" s="8"/>
      <c r="DK261" s="8"/>
      <c r="DL261" s="8"/>
      <c r="DM261" s="8"/>
      <c r="DN261" s="8"/>
      <c r="DO261" s="8"/>
      <c r="DP261" s="8"/>
      <c r="DQ261" s="8"/>
      <c r="DR261" s="8"/>
      <c r="DS261" s="8"/>
      <c r="DT261" s="8"/>
      <c r="DU261" s="8"/>
    </row>
    <row r="262" spans="1:125" s="1" customFormat="1" ht="20.100000000000001" customHeight="1" x14ac:dyDescent="0.25">
      <c r="A262" s="59" t="s">
        <v>492</v>
      </c>
      <c r="B262" s="84">
        <v>260</v>
      </c>
      <c r="C262" s="85" t="s">
        <v>579</v>
      </c>
      <c r="D262" s="60">
        <v>0</v>
      </c>
      <c r="E262" s="61">
        <f t="shared" si="48"/>
        <v>0</v>
      </c>
      <c r="F262" s="60">
        <v>0</v>
      </c>
      <c r="G262" s="61">
        <f t="shared" si="49"/>
        <v>0</v>
      </c>
      <c r="H262" s="60">
        <v>0</v>
      </c>
      <c r="I262" s="61">
        <f t="shared" si="50"/>
        <v>0</v>
      </c>
      <c r="J262" s="60">
        <v>0</v>
      </c>
      <c r="K262" s="61">
        <f t="shared" si="51"/>
        <v>0</v>
      </c>
      <c r="L262" s="62"/>
      <c r="M262" s="61">
        <f t="shared" si="52"/>
        <v>0</v>
      </c>
      <c r="N262" s="63">
        <v>0</v>
      </c>
      <c r="O262" s="61">
        <f t="shared" si="53"/>
        <v>0</v>
      </c>
      <c r="P262" s="60">
        <v>0</v>
      </c>
      <c r="Q262" s="61">
        <f t="shared" si="54"/>
        <v>0</v>
      </c>
      <c r="R262" s="60">
        <v>0</v>
      </c>
      <c r="S262" s="61">
        <f t="shared" si="55"/>
        <v>0</v>
      </c>
      <c r="T262" s="60">
        <v>0</v>
      </c>
      <c r="U262" s="64">
        <f t="shared" si="56"/>
        <v>0</v>
      </c>
      <c r="V262" s="65">
        <v>0</v>
      </c>
      <c r="W262" s="66">
        <f t="shared" si="57"/>
        <v>0</v>
      </c>
      <c r="X262" s="67">
        <f t="shared" si="58"/>
        <v>0</v>
      </c>
      <c r="Y262" s="57" t="str">
        <f t="shared" si="59"/>
        <v>NIL PLEASE PURCHASE</v>
      </c>
      <c r="Z262" s="68" t="s">
        <v>1539</v>
      </c>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c r="BU262" s="8"/>
      <c r="BV262" s="8"/>
      <c r="BW262" s="8"/>
      <c r="BX262" s="8"/>
      <c r="BY262" s="8"/>
      <c r="BZ262" s="8"/>
      <c r="CA262" s="8"/>
      <c r="CB262" s="8"/>
      <c r="CC262" s="8"/>
      <c r="CD262" s="8"/>
      <c r="CE262" s="8"/>
      <c r="CF262" s="8"/>
      <c r="CG262" s="8"/>
      <c r="CH262" s="8"/>
      <c r="CI262" s="8"/>
      <c r="CJ262" s="8"/>
      <c r="CK262" s="8"/>
      <c r="CL262" s="8"/>
      <c r="CM262" s="8"/>
      <c r="CN262" s="8"/>
      <c r="CO262" s="8"/>
      <c r="CP262" s="8"/>
      <c r="CQ262" s="8"/>
      <c r="CR262" s="8"/>
      <c r="CS262" s="8"/>
      <c r="CT262" s="8"/>
      <c r="CU262" s="8"/>
      <c r="CV262" s="8"/>
      <c r="CW262" s="8"/>
      <c r="CX262" s="8"/>
      <c r="CY262" s="8"/>
      <c r="CZ262" s="8"/>
      <c r="DA262" s="8"/>
      <c r="DB262" s="8"/>
      <c r="DC262" s="8"/>
      <c r="DD262" s="8"/>
      <c r="DE262" s="8"/>
      <c r="DF262" s="8"/>
      <c r="DG262" s="8"/>
      <c r="DH262" s="8"/>
      <c r="DI262" s="8"/>
      <c r="DJ262" s="8"/>
      <c r="DK262" s="8"/>
      <c r="DL262" s="8"/>
      <c r="DM262" s="8"/>
      <c r="DN262" s="8"/>
      <c r="DO262" s="8"/>
      <c r="DP262" s="8"/>
      <c r="DQ262" s="8"/>
      <c r="DR262" s="8"/>
      <c r="DS262" s="8"/>
      <c r="DT262" s="8"/>
      <c r="DU262" s="8"/>
    </row>
    <row r="263" spans="1:125" s="1" customFormat="1" ht="20.100000000000001" customHeight="1" x14ac:dyDescent="0.25">
      <c r="A263" s="59" t="s">
        <v>493</v>
      </c>
      <c r="B263" s="84">
        <v>261</v>
      </c>
      <c r="C263" s="85" t="s">
        <v>580</v>
      </c>
      <c r="D263" s="60">
        <v>0</v>
      </c>
      <c r="E263" s="61">
        <f t="shared" si="48"/>
        <v>0</v>
      </c>
      <c r="F263" s="60">
        <v>0</v>
      </c>
      <c r="G263" s="61">
        <f t="shared" si="49"/>
        <v>0</v>
      </c>
      <c r="H263" s="60">
        <v>0</v>
      </c>
      <c r="I263" s="61">
        <f t="shared" si="50"/>
        <v>0</v>
      </c>
      <c r="J263" s="60">
        <v>0</v>
      </c>
      <c r="K263" s="61">
        <f t="shared" si="51"/>
        <v>0</v>
      </c>
      <c r="L263" s="62"/>
      <c r="M263" s="61">
        <f t="shared" si="52"/>
        <v>0</v>
      </c>
      <c r="N263" s="63">
        <v>0</v>
      </c>
      <c r="O263" s="61">
        <f t="shared" si="53"/>
        <v>0</v>
      </c>
      <c r="P263" s="60">
        <v>0</v>
      </c>
      <c r="Q263" s="61">
        <f t="shared" si="54"/>
        <v>0</v>
      </c>
      <c r="R263" s="60">
        <v>0</v>
      </c>
      <c r="S263" s="61">
        <f t="shared" si="55"/>
        <v>0</v>
      </c>
      <c r="T263" s="60">
        <v>0</v>
      </c>
      <c r="U263" s="64">
        <f t="shared" si="56"/>
        <v>0</v>
      </c>
      <c r="V263" s="65">
        <v>0</v>
      </c>
      <c r="W263" s="66">
        <f t="shared" si="57"/>
        <v>0</v>
      </c>
      <c r="X263" s="67">
        <f t="shared" si="58"/>
        <v>0</v>
      </c>
      <c r="Y263" s="57" t="str">
        <f t="shared" si="59"/>
        <v>NIL PLEASE PURCHASE</v>
      </c>
      <c r="Z263" s="68" t="s">
        <v>1539</v>
      </c>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c r="BU263" s="8"/>
      <c r="BV263" s="8"/>
      <c r="BW263" s="8"/>
      <c r="BX263" s="8"/>
      <c r="BY263" s="8"/>
      <c r="BZ263" s="8"/>
      <c r="CA263" s="8"/>
      <c r="CB263" s="8"/>
      <c r="CC263" s="8"/>
      <c r="CD263" s="8"/>
      <c r="CE263" s="8"/>
      <c r="CF263" s="8"/>
      <c r="CG263" s="8"/>
      <c r="CH263" s="8"/>
      <c r="CI263" s="8"/>
      <c r="CJ263" s="8"/>
      <c r="CK263" s="8"/>
      <c r="CL263" s="8"/>
      <c r="CM263" s="8"/>
      <c r="CN263" s="8"/>
      <c r="CO263" s="8"/>
      <c r="CP263" s="8"/>
      <c r="CQ263" s="8"/>
      <c r="CR263" s="8"/>
      <c r="CS263" s="8"/>
      <c r="CT263" s="8"/>
      <c r="CU263" s="8"/>
      <c r="CV263" s="8"/>
      <c r="CW263" s="8"/>
      <c r="CX263" s="8"/>
      <c r="CY263" s="8"/>
      <c r="CZ263" s="8"/>
      <c r="DA263" s="8"/>
      <c r="DB263" s="8"/>
      <c r="DC263" s="8"/>
      <c r="DD263" s="8"/>
      <c r="DE263" s="8"/>
      <c r="DF263" s="8"/>
      <c r="DG263" s="8"/>
      <c r="DH263" s="8"/>
      <c r="DI263" s="8"/>
      <c r="DJ263" s="8"/>
      <c r="DK263" s="8"/>
      <c r="DL263" s="8"/>
      <c r="DM263" s="8"/>
      <c r="DN263" s="8"/>
      <c r="DO263" s="8"/>
      <c r="DP263" s="8"/>
      <c r="DQ263" s="8"/>
      <c r="DR263" s="8"/>
      <c r="DS263" s="8"/>
      <c r="DT263" s="8"/>
      <c r="DU263" s="8"/>
    </row>
    <row r="264" spans="1:125" s="1" customFormat="1" ht="20.100000000000001" customHeight="1" x14ac:dyDescent="0.25">
      <c r="A264" s="59" t="s">
        <v>494</v>
      </c>
      <c r="B264" s="84">
        <v>262</v>
      </c>
      <c r="C264" s="85" t="s">
        <v>581</v>
      </c>
      <c r="D264" s="60">
        <v>0</v>
      </c>
      <c r="E264" s="61">
        <f t="shared" si="48"/>
        <v>0</v>
      </c>
      <c r="F264" s="60">
        <v>0</v>
      </c>
      <c r="G264" s="61">
        <f t="shared" si="49"/>
        <v>0</v>
      </c>
      <c r="H264" s="60">
        <v>0</v>
      </c>
      <c r="I264" s="61">
        <f t="shared" si="50"/>
        <v>0</v>
      </c>
      <c r="J264" s="60">
        <v>0</v>
      </c>
      <c r="K264" s="61">
        <f t="shared" si="51"/>
        <v>0</v>
      </c>
      <c r="L264" s="62">
        <v>2</v>
      </c>
      <c r="M264" s="61">
        <f t="shared" si="52"/>
        <v>500</v>
      </c>
      <c r="N264" s="63">
        <v>0</v>
      </c>
      <c r="O264" s="61">
        <f t="shared" si="53"/>
        <v>0</v>
      </c>
      <c r="P264" s="60">
        <v>0</v>
      </c>
      <c r="Q264" s="61">
        <f t="shared" si="54"/>
        <v>0</v>
      </c>
      <c r="R264" s="60">
        <v>0</v>
      </c>
      <c r="S264" s="61">
        <f t="shared" si="55"/>
        <v>0</v>
      </c>
      <c r="T264" s="60">
        <v>0</v>
      </c>
      <c r="U264" s="64">
        <f t="shared" si="56"/>
        <v>0</v>
      </c>
      <c r="V264" s="65">
        <v>0</v>
      </c>
      <c r="W264" s="66">
        <f t="shared" si="57"/>
        <v>500</v>
      </c>
      <c r="X264" s="67">
        <f t="shared" si="58"/>
        <v>0.5</v>
      </c>
      <c r="Y264" s="57" t="str">
        <f t="shared" si="59"/>
        <v>STOCK</v>
      </c>
      <c r="Z264" s="68" t="s">
        <v>1538</v>
      </c>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c r="BU264" s="8"/>
      <c r="BV264" s="8"/>
      <c r="BW264" s="8"/>
      <c r="BX264" s="8"/>
      <c r="BY264" s="8"/>
      <c r="BZ264" s="8"/>
      <c r="CA264" s="8"/>
      <c r="CB264" s="8"/>
      <c r="CC264" s="8"/>
      <c r="CD264" s="8"/>
      <c r="CE264" s="8"/>
      <c r="CF264" s="8"/>
      <c r="CG264" s="8"/>
      <c r="CH264" s="8"/>
      <c r="CI264" s="8"/>
      <c r="CJ264" s="8"/>
      <c r="CK264" s="8"/>
      <c r="CL264" s="8"/>
      <c r="CM264" s="8"/>
      <c r="CN264" s="8"/>
      <c r="CO264" s="8"/>
      <c r="CP264" s="8"/>
      <c r="CQ264" s="8"/>
      <c r="CR264" s="8"/>
      <c r="CS264" s="8"/>
      <c r="CT264" s="8"/>
      <c r="CU264" s="8"/>
      <c r="CV264" s="8"/>
      <c r="CW264" s="8"/>
      <c r="CX264" s="8"/>
      <c r="CY264" s="8"/>
      <c r="CZ264" s="8"/>
      <c r="DA264" s="8"/>
      <c r="DB264" s="8"/>
      <c r="DC264" s="8"/>
      <c r="DD264" s="8"/>
      <c r="DE264" s="8"/>
      <c r="DF264" s="8"/>
      <c r="DG264" s="8"/>
      <c r="DH264" s="8"/>
      <c r="DI264" s="8"/>
      <c r="DJ264" s="8"/>
      <c r="DK264" s="8"/>
      <c r="DL264" s="8"/>
      <c r="DM264" s="8"/>
      <c r="DN264" s="8"/>
      <c r="DO264" s="8"/>
      <c r="DP264" s="8"/>
      <c r="DQ264" s="8"/>
      <c r="DR264" s="8"/>
      <c r="DS264" s="8"/>
      <c r="DT264" s="8"/>
      <c r="DU264" s="8"/>
    </row>
    <row r="265" spans="1:125" s="1" customFormat="1" ht="20.100000000000001" customHeight="1" x14ac:dyDescent="0.25">
      <c r="A265" s="59" t="s">
        <v>495</v>
      </c>
      <c r="B265" s="84">
        <v>263</v>
      </c>
      <c r="C265" s="85" t="s">
        <v>582</v>
      </c>
      <c r="D265" s="60">
        <v>0</v>
      </c>
      <c r="E265" s="61">
        <f t="shared" si="48"/>
        <v>0</v>
      </c>
      <c r="F265" s="60">
        <v>0</v>
      </c>
      <c r="G265" s="61">
        <f t="shared" si="49"/>
        <v>0</v>
      </c>
      <c r="H265" s="60">
        <v>0</v>
      </c>
      <c r="I265" s="61">
        <f t="shared" si="50"/>
        <v>0</v>
      </c>
      <c r="J265" s="60">
        <v>0</v>
      </c>
      <c r="K265" s="61">
        <f t="shared" si="51"/>
        <v>0</v>
      </c>
      <c r="L265" s="62"/>
      <c r="M265" s="61">
        <f t="shared" si="52"/>
        <v>0</v>
      </c>
      <c r="N265" s="63">
        <v>0</v>
      </c>
      <c r="O265" s="61">
        <f t="shared" si="53"/>
        <v>0</v>
      </c>
      <c r="P265" s="60">
        <v>0</v>
      </c>
      <c r="Q265" s="61">
        <f t="shared" si="54"/>
        <v>0</v>
      </c>
      <c r="R265" s="60">
        <v>0</v>
      </c>
      <c r="S265" s="61">
        <f t="shared" si="55"/>
        <v>0</v>
      </c>
      <c r="T265" s="60">
        <v>0</v>
      </c>
      <c r="U265" s="64">
        <f t="shared" si="56"/>
        <v>0</v>
      </c>
      <c r="V265" s="65">
        <v>0</v>
      </c>
      <c r="W265" s="66">
        <f t="shared" si="57"/>
        <v>0</v>
      </c>
      <c r="X265" s="67">
        <f t="shared" si="58"/>
        <v>0</v>
      </c>
      <c r="Y265" s="57" t="str">
        <f t="shared" si="59"/>
        <v>NIL PLEASE PURCHASE</v>
      </c>
      <c r="Z265" s="68" t="s">
        <v>1539</v>
      </c>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c r="BU265" s="8"/>
      <c r="BV265" s="8"/>
      <c r="BW265" s="8"/>
      <c r="BX265" s="8"/>
      <c r="BY265" s="8"/>
      <c r="BZ265" s="8"/>
      <c r="CA265" s="8"/>
      <c r="CB265" s="8"/>
      <c r="CC265" s="8"/>
      <c r="CD265" s="8"/>
      <c r="CE265" s="8"/>
      <c r="CF265" s="8"/>
      <c r="CG265" s="8"/>
      <c r="CH265" s="8"/>
      <c r="CI265" s="8"/>
      <c r="CJ265" s="8"/>
      <c r="CK265" s="8"/>
      <c r="CL265" s="8"/>
      <c r="CM265" s="8"/>
      <c r="CN265" s="8"/>
      <c r="CO265" s="8"/>
      <c r="CP265" s="8"/>
      <c r="CQ265" s="8"/>
      <c r="CR265" s="8"/>
      <c r="CS265" s="8"/>
      <c r="CT265" s="8"/>
      <c r="CU265" s="8"/>
      <c r="CV265" s="8"/>
      <c r="CW265" s="8"/>
      <c r="CX265" s="8"/>
      <c r="CY265" s="8"/>
      <c r="CZ265" s="8"/>
      <c r="DA265" s="8"/>
      <c r="DB265" s="8"/>
      <c r="DC265" s="8"/>
      <c r="DD265" s="8"/>
      <c r="DE265" s="8"/>
      <c r="DF265" s="8"/>
      <c r="DG265" s="8"/>
      <c r="DH265" s="8"/>
      <c r="DI265" s="8"/>
      <c r="DJ265" s="8"/>
      <c r="DK265" s="8"/>
      <c r="DL265" s="8"/>
      <c r="DM265" s="8"/>
      <c r="DN265" s="8"/>
      <c r="DO265" s="8"/>
      <c r="DP265" s="8"/>
      <c r="DQ265" s="8"/>
      <c r="DR265" s="8"/>
      <c r="DS265" s="8"/>
      <c r="DT265" s="8"/>
      <c r="DU265" s="8"/>
    </row>
    <row r="266" spans="1:125" s="1" customFormat="1" ht="20.100000000000001" customHeight="1" x14ac:dyDescent="0.25">
      <c r="A266" s="59" t="s">
        <v>496</v>
      </c>
      <c r="B266" s="84">
        <v>264</v>
      </c>
      <c r="C266" s="85" t="s">
        <v>583</v>
      </c>
      <c r="D266" s="60">
        <v>0</v>
      </c>
      <c r="E266" s="61">
        <f t="shared" si="48"/>
        <v>0</v>
      </c>
      <c r="F266" s="60">
        <v>0</v>
      </c>
      <c r="G266" s="61">
        <f t="shared" si="49"/>
        <v>0</v>
      </c>
      <c r="H266" s="60">
        <v>0</v>
      </c>
      <c r="I266" s="61">
        <f t="shared" si="50"/>
        <v>0</v>
      </c>
      <c r="J266" s="60">
        <v>0</v>
      </c>
      <c r="K266" s="61">
        <f t="shared" si="51"/>
        <v>0</v>
      </c>
      <c r="L266" s="62"/>
      <c r="M266" s="61">
        <f t="shared" si="52"/>
        <v>0</v>
      </c>
      <c r="N266" s="63">
        <v>0</v>
      </c>
      <c r="O266" s="61">
        <f t="shared" si="53"/>
        <v>0</v>
      </c>
      <c r="P266" s="60">
        <v>0</v>
      </c>
      <c r="Q266" s="61">
        <f t="shared" si="54"/>
        <v>0</v>
      </c>
      <c r="R266" s="60">
        <v>0</v>
      </c>
      <c r="S266" s="61">
        <f t="shared" si="55"/>
        <v>0</v>
      </c>
      <c r="T266" s="60">
        <v>0</v>
      </c>
      <c r="U266" s="64">
        <f t="shared" si="56"/>
        <v>0</v>
      </c>
      <c r="V266" s="65">
        <v>0</v>
      </c>
      <c r="W266" s="66">
        <f t="shared" si="57"/>
        <v>0</v>
      </c>
      <c r="X266" s="67">
        <f t="shared" si="58"/>
        <v>0</v>
      </c>
      <c r="Y266" s="57" t="str">
        <f t="shared" si="59"/>
        <v>NIL PLEASE PURCHASE</v>
      </c>
      <c r="Z266" s="68" t="s">
        <v>1539</v>
      </c>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c r="BU266" s="8"/>
      <c r="BV266" s="8"/>
      <c r="BW266" s="8"/>
      <c r="BX266" s="8"/>
      <c r="BY266" s="8"/>
      <c r="BZ266" s="8"/>
      <c r="CA266" s="8"/>
      <c r="CB266" s="8"/>
      <c r="CC266" s="8"/>
      <c r="CD266" s="8"/>
      <c r="CE266" s="8"/>
      <c r="CF266" s="8"/>
      <c r="CG266" s="8"/>
      <c r="CH266" s="8"/>
      <c r="CI266" s="8"/>
      <c r="CJ266" s="8"/>
      <c r="CK266" s="8"/>
      <c r="CL266" s="8"/>
      <c r="CM266" s="8"/>
      <c r="CN266" s="8"/>
      <c r="CO266" s="8"/>
      <c r="CP266" s="8"/>
      <c r="CQ266" s="8"/>
      <c r="CR266" s="8"/>
      <c r="CS266" s="8"/>
      <c r="CT266" s="8"/>
      <c r="CU266" s="8"/>
      <c r="CV266" s="8"/>
      <c r="CW266" s="8"/>
      <c r="CX266" s="8"/>
      <c r="CY266" s="8"/>
      <c r="CZ266" s="8"/>
      <c r="DA266" s="8"/>
      <c r="DB266" s="8"/>
      <c r="DC266" s="8"/>
      <c r="DD266" s="8"/>
      <c r="DE266" s="8"/>
      <c r="DF266" s="8"/>
      <c r="DG266" s="8"/>
      <c r="DH266" s="8"/>
      <c r="DI266" s="8"/>
      <c r="DJ266" s="8"/>
      <c r="DK266" s="8"/>
      <c r="DL266" s="8"/>
      <c r="DM266" s="8"/>
      <c r="DN266" s="8"/>
      <c r="DO266" s="8"/>
      <c r="DP266" s="8"/>
      <c r="DQ266" s="8"/>
      <c r="DR266" s="8"/>
      <c r="DS266" s="8"/>
      <c r="DT266" s="8"/>
      <c r="DU266" s="8"/>
    </row>
    <row r="267" spans="1:125" s="1" customFormat="1" ht="20.100000000000001" customHeight="1" x14ac:dyDescent="0.25">
      <c r="A267" s="59" t="s">
        <v>497</v>
      </c>
      <c r="B267" s="84">
        <v>265</v>
      </c>
      <c r="C267" s="85" t="s">
        <v>584</v>
      </c>
      <c r="D267" s="60">
        <v>0</v>
      </c>
      <c r="E267" s="61">
        <f t="shared" si="48"/>
        <v>0</v>
      </c>
      <c r="F267" s="60">
        <v>0</v>
      </c>
      <c r="G267" s="61">
        <f t="shared" si="49"/>
        <v>0</v>
      </c>
      <c r="H267" s="60">
        <v>0</v>
      </c>
      <c r="I267" s="61">
        <f t="shared" si="50"/>
        <v>0</v>
      </c>
      <c r="J267" s="60">
        <v>0</v>
      </c>
      <c r="K267" s="61">
        <f t="shared" si="51"/>
        <v>0</v>
      </c>
      <c r="L267" s="62"/>
      <c r="M267" s="61">
        <f t="shared" si="52"/>
        <v>0</v>
      </c>
      <c r="N267" s="63">
        <v>0</v>
      </c>
      <c r="O267" s="61">
        <f t="shared" si="53"/>
        <v>0</v>
      </c>
      <c r="P267" s="60">
        <v>0</v>
      </c>
      <c r="Q267" s="61">
        <f t="shared" si="54"/>
        <v>0</v>
      </c>
      <c r="R267" s="60">
        <v>0</v>
      </c>
      <c r="S267" s="61">
        <f t="shared" si="55"/>
        <v>0</v>
      </c>
      <c r="T267" s="60">
        <v>0</v>
      </c>
      <c r="U267" s="64">
        <f t="shared" si="56"/>
        <v>0</v>
      </c>
      <c r="V267" s="65">
        <v>0</v>
      </c>
      <c r="W267" s="66">
        <f t="shared" si="57"/>
        <v>0</v>
      </c>
      <c r="X267" s="67">
        <f t="shared" si="58"/>
        <v>0</v>
      </c>
      <c r="Y267" s="57" t="str">
        <f t="shared" si="59"/>
        <v>NIL PLEASE PURCHASE</v>
      </c>
      <c r="Z267" s="68" t="s">
        <v>1539</v>
      </c>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c r="BU267" s="8"/>
      <c r="BV267" s="8"/>
      <c r="BW267" s="8"/>
      <c r="BX267" s="8"/>
      <c r="BY267" s="8"/>
      <c r="BZ267" s="8"/>
      <c r="CA267" s="8"/>
      <c r="CB267" s="8"/>
      <c r="CC267" s="8"/>
      <c r="CD267" s="8"/>
      <c r="CE267" s="8"/>
      <c r="CF267" s="8"/>
      <c r="CG267" s="8"/>
      <c r="CH267" s="8"/>
      <c r="CI267" s="8"/>
      <c r="CJ267" s="8"/>
      <c r="CK267" s="8"/>
      <c r="CL267" s="8"/>
      <c r="CM267" s="8"/>
      <c r="CN267" s="8"/>
      <c r="CO267" s="8"/>
      <c r="CP267" s="8"/>
      <c r="CQ267" s="8"/>
      <c r="CR267" s="8"/>
      <c r="CS267" s="8"/>
      <c r="CT267" s="8"/>
      <c r="CU267" s="8"/>
      <c r="CV267" s="8"/>
      <c r="CW267" s="8"/>
      <c r="CX267" s="8"/>
      <c r="CY267" s="8"/>
      <c r="CZ267" s="8"/>
      <c r="DA267" s="8"/>
      <c r="DB267" s="8"/>
      <c r="DC267" s="8"/>
      <c r="DD267" s="8"/>
      <c r="DE267" s="8"/>
      <c r="DF267" s="8"/>
      <c r="DG267" s="8"/>
      <c r="DH267" s="8"/>
      <c r="DI267" s="8"/>
      <c r="DJ267" s="8"/>
      <c r="DK267" s="8"/>
      <c r="DL267" s="8"/>
      <c r="DM267" s="8"/>
      <c r="DN267" s="8"/>
      <c r="DO267" s="8"/>
      <c r="DP267" s="8"/>
      <c r="DQ267" s="8"/>
      <c r="DR267" s="8"/>
      <c r="DS267" s="8"/>
      <c r="DT267" s="8"/>
      <c r="DU267" s="8"/>
    </row>
    <row r="268" spans="1:125" s="1" customFormat="1" ht="20.100000000000001" customHeight="1" x14ac:dyDescent="0.25">
      <c r="A268" s="59" t="s">
        <v>498</v>
      </c>
      <c r="B268" s="84">
        <v>266</v>
      </c>
      <c r="C268" s="85" t="s">
        <v>585</v>
      </c>
      <c r="D268" s="60">
        <v>0</v>
      </c>
      <c r="E268" s="61">
        <f t="shared" si="48"/>
        <v>0</v>
      </c>
      <c r="F268" s="60">
        <v>0</v>
      </c>
      <c r="G268" s="61">
        <f t="shared" si="49"/>
        <v>0</v>
      </c>
      <c r="H268" s="60">
        <v>0</v>
      </c>
      <c r="I268" s="61">
        <f t="shared" si="50"/>
        <v>0</v>
      </c>
      <c r="J268" s="60">
        <v>0</v>
      </c>
      <c r="K268" s="61">
        <f t="shared" si="51"/>
        <v>0</v>
      </c>
      <c r="L268" s="62"/>
      <c r="M268" s="61">
        <f t="shared" si="52"/>
        <v>0</v>
      </c>
      <c r="N268" s="63">
        <v>0</v>
      </c>
      <c r="O268" s="61">
        <f t="shared" si="53"/>
        <v>0</v>
      </c>
      <c r="P268" s="60">
        <v>0</v>
      </c>
      <c r="Q268" s="61">
        <f t="shared" si="54"/>
        <v>0</v>
      </c>
      <c r="R268" s="60">
        <v>0</v>
      </c>
      <c r="S268" s="61">
        <f t="shared" si="55"/>
        <v>0</v>
      </c>
      <c r="T268" s="60">
        <v>0</v>
      </c>
      <c r="U268" s="64">
        <f t="shared" si="56"/>
        <v>0</v>
      </c>
      <c r="V268" s="65">
        <v>0</v>
      </c>
      <c r="W268" s="66">
        <f t="shared" si="57"/>
        <v>0</v>
      </c>
      <c r="X268" s="67">
        <f t="shared" si="58"/>
        <v>0</v>
      </c>
      <c r="Y268" s="57" t="str">
        <f t="shared" si="59"/>
        <v>NIL PLEASE PURCHASE</v>
      </c>
      <c r="Z268" s="68" t="s">
        <v>1539</v>
      </c>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c r="BU268" s="8"/>
      <c r="BV268" s="8"/>
      <c r="BW268" s="8"/>
      <c r="BX268" s="8"/>
      <c r="BY268" s="8"/>
      <c r="BZ268" s="8"/>
      <c r="CA268" s="8"/>
      <c r="CB268" s="8"/>
      <c r="CC268" s="8"/>
      <c r="CD268" s="8"/>
      <c r="CE268" s="8"/>
      <c r="CF268" s="8"/>
      <c r="CG268" s="8"/>
      <c r="CH268" s="8"/>
      <c r="CI268" s="8"/>
      <c r="CJ268" s="8"/>
      <c r="CK268" s="8"/>
      <c r="CL268" s="8"/>
      <c r="CM268" s="8"/>
      <c r="CN268" s="8"/>
      <c r="CO268" s="8"/>
      <c r="CP268" s="8"/>
      <c r="CQ268" s="8"/>
      <c r="CR268" s="8"/>
      <c r="CS268" s="8"/>
      <c r="CT268" s="8"/>
      <c r="CU268" s="8"/>
      <c r="CV268" s="8"/>
      <c r="CW268" s="8"/>
      <c r="CX268" s="8"/>
      <c r="CY268" s="8"/>
      <c r="CZ268" s="8"/>
      <c r="DA268" s="8"/>
      <c r="DB268" s="8"/>
      <c r="DC268" s="8"/>
      <c r="DD268" s="8"/>
      <c r="DE268" s="8"/>
      <c r="DF268" s="8"/>
      <c r="DG268" s="8"/>
      <c r="DH268" s="8"/>
      <c r="DI268" s="8"/>
      <c r="DJ268" s="8"/>
      <c r="DK268" s="8"/>
      <c r="DL268" s="8"/>
      <c r="DM268" s="8"/>
      <c r="DN268" s="8"/>
      <c r="DO268" s="8"/>
      <c r="DP268" s="8"/>
      <c r="DQ268" s="8"/>
      <c r="DR268" s="8"/>
      <c r="DS268" s="8"/>
      <c r="DT268" s="8"/>
      <c r="DU268" s="8"/>
    </row>
    <row r="269" spans="1:125" s="1" customFormat="1" ht="20.100000000000001" customHeight="1" x14ac:dyDescent="0.25">
      <c r="A269" s="59" t="s">
        <v>499</v>
      </c>
      <c r="B269" s="84">
        <v>267</v>
      </c>
      <c r="C269" s="85" t="s">
        <v>586</v>
      </c>
      <c r="D269" s="60">
        <v>0</v>
      </c>
      <c r="E269" s="61">
        <f t="shared" si="48"/>
        <v>0</v>
      </c>
      <c r="F269" s="60">
        <v>0</v>
      </c>
      <c r="G269" s="61">
        <f t="shared" si="49"/>
        <v>0</v>
      </c>
      <c r="H269" s="60">
        <v>0</v>
      </c>
      <c r="I269" s="61">
        <f t="shared" si="50"/>
        <v>0</v>
      </c>
      <c r="J269" s="60">
        <v>0</v>
      </c>
      <c r="K269" s="61">
        <f t="shared" si="51"/>
        <v>0</v>
      </c>
      <c r="L269" s="62"/>
      <c r="M269" s="61">
        <f t="shared" si="52"/>
        <v>0</v>
      </c>
      <c r="N269" s="63">
        <v>0</v>
      </c>
      <c r="O269" s="61">
        <f t="shared" si="53"/>
        <v>0</v>
      </c>
      <c r="P269" s="60">
        <v>0</v>
      </c>
      <c r="Q269" s="61">
        <f t="shared" si="54"/>
        <v>0</v>
      </c>
      <c r="R269" s="60">
        <v>0</v>
      </c>
      <c r="S269" s="61">
        <f t="shared" si="55"/>
        <v>0</v>
      </c>
      <c r="T269" s="60">
        <v>0</v>
      </c>
      <c r="U269" s="64">
        <f t="shared" si="56"/>
        <v>0</v>
      </c>
      <c r="V269" s="65">
        <v>0</v>
      </c>
      <c r="W269" s="66">
        <f t="shared" si="57"/>
        <v>0</v>
      </c>
      <c r="X269" s="67">
        <f t="shared" si="58"/>
        <v>0</v>
      </c>
      <c r="Y269" s="57" t="str">
        <f t="shared" si="59"/>
        <v>NIL PLEASE PURCHASE</v>
      </c>
      <c r="Z269" s="68" t="s">
        <v>1539</v>
      </c>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c r="BU269" s="8"/>
      <c r="BV269" s="8"/>
      <c r="BW269" s="8"/>
      <c r="BX269" s="8"/>
      <c r="BY269" s="8"/>
      <c r="BZ269" s="8"/>
      <c r="CA269" s="8"/>
      <c r="CB269" s="8"/>
      <c r="CC269" s="8"/>
      <c r="CD269" s="8"/>
      <c r="CE269" s="8"/>
      <c r="CF269" s="8"/>
      <c r="CG269" s="8"/>
      <c r="CH269" s="8"/>
      <c r="CI269" s="8"/>
      <c r="CJ269" s="8"/>
      <c r="CK269" s="8"/>
      <c r="CL269" s="8"/>
      <c r="CM269" s="8"/>
      <c r="CN269" s="8"/>
      <c r="CO269" s="8"/>
      <c r="CP269" s="8"/>
      <c r="CQ269" s="8"/>
      <c r="CR269" s="8"/>
      <c r="CS269" s="8"/>
      <c r="CT269" s="8"/>
      <c r="CU269" s="8"/>
      <c r="CV269" s="8"/>
      <c r="CW269" s="8"/>
      <c r="CX269" s="8"/>
      <c r="CY269" s="8"/>
      <c r="CZ269" s="8"/>
      <c r="DA269" s="8"/>
      <c r="DB269" s="8"/>
      <c r="DC269" s="8"/>
      <c r="DD269" s="8"/>
      <c r="DE269" s="8"/>
      <c r="DF269" s="8"/>
      <c r="DG269" s="8"/>
      <c r="DH269" s="8"/>
      <c r="DI269" s="8"/>
      <c r="DJ269" s="8"/>
      <c r="DK269" s="8"/>
      <c r="DL269" s="8"/>
      <c r="DM269" s="8"/>
      <c r="DN269" s="8"/>
      <c r="DO269" s="8"/>
      <c r="DP269" s="8"/>
      <c r="DQ269" s="8"/>
      <c r="DR269" s="8"/>
      <c r="DS269" s="8"/>
      <c r="DT269" s="8"/>
      <c r="DU269" s="8"/>
    </row>
    <row r="270" spans="1:125" s="1" customFormat="1" ht="20.100000000000001" customHeight="1" x14ac:dyDescent="0.25">
      <c r="A270" s="59" t="s">
        <v>500</v>
      </c>
      <c r="B270" s="84">
        <v>268</v>
      </c>
      <c r="C270" s="85" t="s">
        <v>587</v>
      </c>
      <c r="D270" s="60">
        <v>0</v>
      </c>
      <c r="E270" s="61">
        <f t="shared" si="48"/>
        <v>0</v>
      </c>
      <c r="F270" s="60">
        <v>0</v>
      </c>
      <c r="G270" s="61">
        <f t="shared" si="49"/>
        <v>0</v>
      </c>
      <c r="H270" s="60">
        <v>0</v>
      </c>
      <c r="I270" s="61">
        <f t="shared" si="50"/>
        <v>0</v>
      </c>
      <c r="J270" s="60">
        <v>0</v>
      </c>
      <c r="K270" s="61">
        <f t="shared" si="51"/>
        <v>0</v>
      </c>
      <c r="L270" s="62"/>
      <c r="M270" s="61">
        <f t="shared" si="52"/>
        <v>0</v>
      </c>
      <c r="N270" s="63">
        <v>1</v>
      </c>
      <c r="O270" s="61">
        <f t="shared" si="53"/>
        <v>500</v>
      </c>
      <c r="P270" s="60">
        <v>0</v>
      </c>
      <c r="Q270" s="61">
        <f t="shared" si="54"/>
        <v>0</v>
      </c>
      <c r="R270" s="60">
        <v>0</v>
      </c>
      <c r="S270" s="61">
        <f t="shared" si="55"/>
        <v>0</v>
      </c>
      <c r="T270" s="60">
        <v>0</v>
      </c>
      <c r="U270" s="64">
        <f t="shared" si="56"/>
        <v>0</v>
      </c>
      <c r="V270" s="65">
        <v>0</v>
      </c>
      <c r="W270" s="66">
        <f t="shared" si="57"/>
        <v>500</v>
      </c>
      <c r="X270" s="67">
        <f t="shared" si="58"/>
        <v>0.5</v>
      </c>
      <c r="Y270" s="57" t="str">
        <f t="shared" si="59"/>
        <v>STOCK</v>
      </c>
      <c r="Z270" s="68" t="s">
        <v>1538</v>
      </c>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c r="BU270" s="8"/>
      <c r="BV270" s="8"/>
      <c r="BW270" s="8"/>
      <c r="BX270" s="8"/>
      <c r="BY270" s="8"/>
      <c r="BZ270" s="8"/>
      <c r="CA270" s="8"/>
      <c r="CB270" s="8"/>
      <c r="CC270" s="8"/>
      <c r="CD270" s="8"/>
      <c r="CE270" s="8"/>
      <c r="CF270" s="8"/>
      <c r="CG270" s="8"/>
      <c r="CH270" s="8"/>
      <c r="CI270" s="8"/>
      <c r="CJ270" s="8"/>
      <c r="CK270" s="8"/>
      <c r="CL270" s="8"/>
      <c r="CM270" s="8"/>
      <c r="CN270" s="8"/>
      <c r="CO270" s="8"/>
      <c r="CP270" s="8"/>
      <c r="CQ270" s="8"/>
      <c r="CR270" s="8"/>
      <c r="CS270" s="8"/>
      <c r="CT270" s="8"/>
      <c r="CU270" s="8"/>
      <c r="CV270" s="8"/>
      <c r="CW270" s="8"/>
      <c r="CX270" s="8"/>
      <c r="CY270" s="8"/>
      <c r="CZ270" s="8"/>
      <c r="DA270" s="8"/>
      <c r="DB270" s="8"/>
      <c r="DC270" s="8"/>
      <c r="DD270" s="8"/>
      <c r="DE270" s="8"/>
      <c r="DF270" s="8"/>
      <c r="DG270" s="8"/>
      <c r="DH270" s="8"/>
      <c r="DI270" s="8"/>
      <c r="DJ270" s="8"/>
      <c r="DK270" s="8"/>
      <c r="DL270" s="8"/>
      <c r="DM270" s="8"/>
      <c r="DN270" s="8"/>
      <c r="DO270" s="8"/>
      <c r="DP270" s="8"/>
      <c r="DQ270" s="8"/>
      <c r="DR270" s="8"/>
      <c r="DS270" s="8"/>
      <c r="DT270" s="8"/>
      <c r="DU270" s="8"/>
    </row>
    <row r="271" spans="1:125" s="1" customFormat="1" ht="20.100000000000001" customHeight="1" x14ac:dyDescent="0.25">
      <c r="A271" s="59" t="s">
        <v>501</v>
      </c>
      <c r="B271" s="84">
        <v>269</v>
      </c>
      <c r="C271" s="85" t="s">
        <v>588</v>
      </c>
      <c r="D271" s="60">
        <v>0</v>
      </c>
      <c r="E271" s="61">
        <f t="shared" si="48"/>
        <v>0</v>
      </c>
      <c r="F271" s="60">
        <v>0</v>
      </c>
      <c r="G271" s="61">
        <f t="shared" si="49"/>
        <v>0</v>
      </c>
      <c r="H271" s="60">
        <v>0</v>
      </c>
      <c r="I271" s="61">
        <f t="shared" si="50"/>
        <v>0</v>
      </c>
      <c r="J271" s="60">
        <v>0</v>
      </c>
      <c r="K271" s="61">
        <f t="shared" si="51"/>
        <v>0</v>
      </c>
      <c r="L271" s="62"/>
      <c r="M271" s="61">
        <f t="shared" si="52"/>
        <v>0</v>
      </c>
      <c r="N271" s="63">
        <v>0</v>
      </c>
      <c r="O271" s="61">
        <f t="shared" si="53"/>
        <v>0</v>
      </c>
      <c r="P271" s="60">
        <v>0</v>
      </c>
      <c r="Q271" s="61">
        <f t="shared" si="54"/>
        <v>0</v>
      </c>
      <c r="R271" s="60">
        <v>0</v>
      </c>
      <c r="S271" s="61">
        <f t="shared" si="55"/>
        <v>0</v>
      </c>
      <c r="T271" s="60">
        <v>0</v>
      </c>
      <c r="U271" s="64">
        <f t="shared" si="56"/>
        <v>0</v>
      </c>
      <c r="V271" s="65">
        <v>0</v>
      </c>
      <c r="W271" s="66">
        <f t="shared" si="57"/>
        <v>0</v>
      </c>
      <c r="X271" s="67">
        <f t="shared" si="58"/>
        <v>0</v>
      </c>
      <c r="Y271" s="57" t="str">
        <f t="shared" si="59"/>
        <v>NIL PLEASE PURCHASE</v>
      </c>
      <c r="Z271" s="68" t="s">
        <v>1539</v>
      </c>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c r="BU271" s="8"/>
      <c r="BV271" s="8"/>
      <c r="BW271" s="8"/>
      <c r="BX271" s="8"/>
      <c r="BY271" s="8"/>
      <c r="BZ271" s="8"/>
      <c r="CA271" s="8"/>
      <c r="CB271" s="8"/>
      <c r="CC271" s="8"/>
      <c r="CD271" s="8"/>
      <c r="CE271" s="8"/>
      <c r="CF271" s="8"/>
      <c r="CG271" s="8"/>
      <c r="CH271" s="8"/>
      <c r="CI271" s="8"/>
      <c r="CJ271" s="8"/>
      <c r="CK271" s="8"/>
      <c r="CL271" s="8"/>
      <c r="CM271" s="8"/>
      <c r="CN271" s="8"/>
      <c r="CO271" s="8"/>
      <c r="CP271" s="8"/>
      <c r="CQ271" s="8"/>
      <c r="CR271" s="8"/>
      <c r="CS271" s="8"/>
      <c r="CT271" s="8"/>
      <c r="CU271" s="8"/>
      <c r="CV271" s="8"/>
      <c r="CW271" s="8"/>
      <c r="CX271" s="8"/>
      <c r="CY271" s="8"/>
      <c r="CZ271" s="8"/>
      <c r="DA271" s="8"/>
      <c r="DB271" s="8"/>
      <c r="DC271" s="8"/>
      <c r="DD271" s="8"/>
      <c r="DE271" s="8"/>
      <c r="DF271" s="8"/>
      <c r="DG271" s="8"/>
      <c r="DH271" s="8"/>
      <c r="DI271" s="8"/>
      <c r="DJ271" s="8"/>
      <c r="DK271" s="8"/>
      <c r="DL271" s="8"/>
      <c r="DM271" s="8"/>
      <c r="DN271" s="8"/>
      <c r="DO271" s="8"/>
      <c r="DP271" s="8"/>
      <c r="DQ271" s="8"/>
      <c r="DR271" s="8"/>
      <c r="DS271" s="8"/>
      <c r="DT271" s="8"/>
      <c r="DU271" s="8"/>
    </row>
    <row r="272" spans="1:125" s="1" customFormat="1" ht="20.100000000000001" customHeight="1" x14ac:dyDescent="0.25">
      <c r="A272" s="59" t="s">
        <v>502</v>
      </c>
      <c r="B272" s="84">
        <v>270</v>
      </c>
      <c r="C272" s="85" t="s">
        <v>589</v>
      </c>
      <c r="D272" s="60">
        <v>0</v>
      </c>
      <c r="E272" s="61">
        <f t="shared" si="48"/>
        <v>0</v>
      </c>
      <c r="F272" s="60">
        <v>0</v>
      </c>
      <c r="G272" s="61">
        <f t="shared" si="49"/>
        <v>0</v>
      </c>
      <c r="H272" s="60">
        <v>0</v>
      </c>
      <c r="I272" s="61">
        <f t="shared" si="50"/>
        <v>0</v>
      </c>
      <c r="J272" s="60">
        <v>0</v>
      </c>
      <c r="K272" s="61">
        <f t="shared" si="51"/>
        <v>0</v>
      </c>
      <c r="L272" s="62"/>
      <c r="M272" s="61">
        <f t="shared" si="52"/>
        <v>0</v>
      </c>
      <c r="N272" s="63">
        <v>5</v>
      </c>
      <c r="O272" s="61">
        <f t="shared" si="53"/>
        <v>2500</v>
      </c>
      <c r="P272" s="60">
        <v>0</v>
      </c>
      <c r="Q272" s="61">
        <f t="shared" si="54"/>
        <v>0</v>
      </c>
      <c r="R272" s="60">
        <v>0</v>
      </c>
      <c r="S272" s="61">
        <f t="shared" si="55"/>
        <v>0</v>
      </c>
      <c r="T272" s="60">
        <v>0</v>
      </c>
      <c r="U272" s="64">
        <f t="shared" si="56"/>
        <v>0</v>
      </c>
      <c r="V272" s="65">
        <v>0</v>
      </c>
      <c r="W272" s="66">
        <f t="shared" si="57"/>
        <v>2500</v>
      </c>
      <c r="X272" s="67">
        <f t="shared" si="58"/>
        <v>2.5</v>
      </c>
      <c r="Y272" s="57" t="str">
        <f t="shared" si="59"/>
        <v>STOCK</v>
      </c>
      <c r="Z272" s="68" t="s">
        <v>1538</v>
      </c>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c r="BU272" s="8"/>
      <c r="BV272" s="8"/>
      <c r="BW272" s="8"/>
      <c r="BX272" s="8"/>
      <c r="BY272" s="8"/>
      <c r="BZ272" s="8"/>
      <c r="CA272" s="8"/>
      <c r="CB272" s="8"/>
      <c r="CC272" s="8"/>
      <c r="CD272" s="8"/>
      <c r="CE272" s="8"/>
      <c r="CF272" s="8"/>
      <c r="CG272" s="8"/>
      <c r="CH272" s="8"/>
      <c r="CI272" s="8"/>
      <c r="CJ272" s="8"/>
      <c r="CK272" s="8"/>
      <c r="CL272" s="8"/>
      <c r="CM272" s="8"/>
      <c r="CN272" s="8"/>
      <c r="CO272" s="8"/>
      <c r="CP272" s="8"/>
      <c r="CQ272" s="8"/>
      <c r="CR272" s="8"/>
      <c r="CS272" s="8"/>
      <c r="CT272" s="8"/>
      <c r="CU272" s="8"/>
      <c r="CV272" s="8"/>
      <c r="CW272" s="8"/>
      <c r="CX272" s="8"/>
      <c r="CY272" s="8"/>
      <c r="CZ272" s="8"/>
      <c r="DA272" s="8"/>
      <c r="DB272" s="8"/>
      <c r="DC272" s="8"/>
      <c r="DD272" s="8"/>
      <c r="DE272" s="8"/>
      <c r="DF272" s="8"/>
      <c r="DG272" s="8"/>
      <c r="DH272" s="8"/>
      <c r="DI272" s="8"/>
      <c r="DJ272" s="8"/>
      <c r="DK272" s="8"/>
      <c r="DL272" s="8"/>
      <c r="DM272" s="8"/>
      <c r="DN272" s="8"/>
      <c r="DO272" s="8"/>
      <c r="DP272" s="8"/>
      <c r="DQ272" s="8"/>
      <c r="DR272" s="8"/>
      <c r="DS272" s="8"/>
      <c r="DT272" s="8"/>
      <c r="DU272" s="8"/>
    </row>
    <row r="273" spans="1:125" s="1" customFormat="1" ht="20.100000000000001" customHeight="1" x14ac:dyDescent="0.25">
      <c r="A273" s="59" t="s">
        <v>503</v>
      </c>
      <c r="B273" s="84">
        <v>271</v>
      </c>
      <c r="C273" s="85" t="s">
        <v>590</v>
      </c>
      <c r="D273" s="60">
        <v>0</v>
      </c>
      <c r="E273" s="61">
        <f t="shared" si="48"/>
        <v>0</v>
      </c>
      <c r="F273" s="60">
        <v>0</v>
      </c>
      <c r="G273" s="61">
        <f t="shared" si="49"/>
        <v>0</v>
      </c>
      <c r="H273" s="60">
        <v>0</v>
      </c>
      <c r="I273" s="61">
        <f t="shared" si="50"/>
        <v>0</v>
      </c>
      <c r="J273" s="60">
        <v>0</v>
      </c>
      <c r="K273" s="61">
        <f t="shared" si="51"/>
        <v>0</v>
      </c>
      <c r="L273" s="62"/>
      <c r="M273" s="61">
        <f t="shared" si="52"/>
        <v>0</v>
      </c>
      <c r="N273" s="63">
        <v>0</v>
      </c>
      <c r="O273" s="61">
        <f t="shared" si="53"/>
        <v>0</v>
      </c>
      <c r="P273" s="60">
        <v>0</v>
      </c>
      <c r="Q273" s="61">
        <f t="shared" si="54"/>
        <v>0</v>
      </c>
      <c r="R273" s="60">
        <v>0</v>
      </c>
      <c r="S273" s="61">
        <f t="shared" si="55"/>
        <v>0</v>
      </c>
      <c r="T273" s="60">
        <v>0</v>
      </c>
      <c r="U273" s="64">
        <f t="shared" si="56"/>
        <v>0</v>
      </c>
      <c r="V273" s="65">
        <v>0</v>
      </c>
      <c r="W273" s="66">
        <f t="shared" si="57"/>
        <v>0</v>
      </c>
      <c r="X273" s="67">
        <f t="shared" si="58"/>
        <v>0</v>
      </c>
      <c r="Y273" s="57" t="str">
        <f t="shared" si="59"/>
        <v>NIL PLEASE PURCHASE</v>
      </c>
      <c r="Z273" s="68" t="s">
        <v>1539</v>
      </c>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c r="BU273" s="8"/>
      <c r="BV273" s="8"/>
      <c r="BW273" s="8"/>
      <c r="BX273" s="8"/>
      <c r="BY273" s="8"/>
      <c r="BZ273" s="8"/>
      <c r="CA273" s="8"/>
      <c r="CB273" s="8"/>
      <c r="CC273" s="8"/>
      <c r="CD273" s="8"/>
      <c r="CE273" s="8"/>
      <c r="CF273" s="8"/>
      <c r="CG273" s="8"/>
      <c r="CH273" s="8"/>
      <c r="CI273" s="8"/>
      <c r="CJ273" s="8"/>
      <c r="CK273" s="8"/>
      <c r="CL273" s="8"/>
      <c r="CM273" s="8"/>
      <c r="CN273" s="8"/>
      <c r="CO273" s="8"/>
      <c r="CP273" s="8"/>
      <c r="CQ273" s="8"/>
      <c r="CR273" s="8"/>
      <c r="CS273" s="8"/>
      <c r="CT273" s="8"/>
      <c r="CU273" s="8"/>
      <c r="CV273" s="8"/>
      <c r="CW273" s="8"/>
      <c r="CX273" s="8"/>
      <c r="CY273" s="8"/>
      <c r="CZ273" s="8"/>
      <c r="DA273" s="8"/>
      <c r="DB273" s="8"/>
      <c r="DC273" s="8"/>
      <c r="DD273" s="8"/>
      <c r="DE273" s="8"/>
      <c r="DF273" s="8"/>
      <c r="DG273" s="8"/>
      <c r="DH273" s="8"/>
      <c r="DI273" s="8"/>
      <c r="DJ273" s="8"/>
      <c r="DK273" s="8"/>
      <c r="DL273" s="8"/>
      <c r="DM273" s="8"/>
      <c r="DN273" s="8"/>
      <c r="DO273" s="8"/>
      <c r="DP273" s="8"/>
      <c r="DQ273" s="8"/>
      <c r="DR273" s="8"/>
      <c r="DS273" s="8"/>
      <c r="DT273" s="8"/>
      <c r="DU273" s="8"/>
    </row>
    <row r="274" spans="1:125" s="1" customFormat="1" ht="20.100000000000001" customHeight="1" x14ac:dyDescent="0.25">
      <c r="A274" s="59" t="s">
        <v>504</v>
      </c>
      <c r="B274" s="84">
        <v>272</v>
      </c>
      <c r="C274" s="85" t="s">
        <v>591</v>
      </c>
      <c r="D274" s="60">
        <v>0</v>
      </c>
      <c r="E274" s="61">
        <f t="shared" si="48"/>
        <v>0</v>
      </c>
      <c r="F274" s="60">
        <v>0</v>
      </c>
      <c r="G274" s="61">
        <f t="shared" si="49"/>
        <v>0</v>
      </c>
      <c r="H274" s="60">
        <v>0</v>
      </c>
      <c r="I274" s="61">
        <f t="shared" si="50"/>
        <v>0</v>
      </c>
      <c r="J274" s="60">
        <v>0</v>
      </c>
      <c r="K274" s="61">
        <f t="shared" si="51"/>
        <v>0</v>
      </c>
      <c r="L274" s="62"/>
      <c r="M274" s="61">
        <f t="shared" si="52"/>
        <v>0</v>
      </c>
      <c r="N274" s="63">
        <v>0</v>
      </c>
      <c r="O274" s="61">
        <f t="shared" si="53"/>
        <v>0</v>
      </c>
      <c r="P274" s="60">
        <v>0</v>
      </c>
      <c r="Q274" s="61">
        <f t="shared" si="54"/>
        <v>0</v>
      </c>
      <c r="R274" s="60">
        <v>0</v>
      </c>
      <c r="S274" s="61">
        <f t="shared" si="55"/>
        <v>0</v>
      </c>
      <c r="T274" s="60">
        <v>0</v>
      </c>
      <c r="U274" s="64">
        <f t="shared" si="56"/>
        <v>0</v>
      </c>
      <c r="V274" s="65">
        <v>0</v>
      </c>
      <c r="W274" s="66">
        <f t="shared" si="57"/>
        <v>0</v>
      </c>
      <c r="X274" s="67">
        <f t="shared" si="58"/>
        <v>0</v>
      </c>
      <c r="Y274" s="57" t="str">
        <f t="shared" si="59"/>
        <v>NIL PLEASE PURCHASE</v>
      </c>
      <c r="Z274" s="68" t="s">
        <v>1539</v>
      </c>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c r="BU274" s="8"/>
      <c r="BV274" s="8"/>
      <c r="BW274" s="8"/>
      <c r="BX274" s="8"/>
      <c r="BY274" s="8"/>
      <c r="BZ274" s="8"/>
      <c r="CA274" s="8"/>
      <c r="CB274" s="8"/>
      <c r="CC274" s="8"/>
      <c r="CD274" s="8"/>
      <c r="CE274" s="8"/>
      <c r="CF274" s="8"/>
      <c r="CG274" s="8"/>
      <c r="CH274" s="8"/>
      <c r="CI274" s="8"/>
      <c r="CJ274" s="8"/>
      <c r="CK274" s="8"/>
      <c r="CL274" s="8"/>
      <c r="CM274" s="8"/>
      <c r="CN274" s="8"/>
      <c r="CO274" s="8"/>
      <c r="CP274" s="8"/>
      <c r="CQ274" s="8"/>
      <c r="CR274" s="8"/>
      <c r="CS274" s="8"/>
      <c r="CT274" s="8"/>
      <c r="CU274" s="8"/>
      <c r="CV274" s="8"/>
      <c r="CW274" s="8"/>
      <c r="CX274" s="8"/>
      <c r="CY274" s="8"/>
      <c r="CZ274" s="8"/>
      <c r="DA274" s="8"/>
      <c r="DB274" s="8"/>
      <c r="DC274" s="8"/>
      <c r="DD274" s="8"/>
      <c r="DE274" s="8"/>
      <c r="DF274" s="8"/>
      <c r="DG274" s="8"/>
      <c r="DH274" s="8"/>
      <c r="DI274" s="8"/>
      <c r="DJ274" s="8"/>
      <c r="DK274" s="8"/>
      <c r="DL274" s="8"/>
      <c r="DM274" s="8"/>
      <c r="DN274" s="8"/>
      <c r="DO274" s="8"/>
      <c r="DP274" s="8"/>
      <c r="DQ274" s="8"/>
      <c r="DR274" s="8"/>
      <c r="DS274" s="8"/>
      <c r="DT274" s="8"/>
      <c r="DU274" s="8"/>
    </row>
    <row r="275" spans="1:125" s="1" customFormat="1" ht="20.100000000000001" customHeight="1" x14ac:dyDescent="0.25">
      <c r="A275" s="59" t="s">
        <v>505</v>
      </c>
      <c r="B275" s="84">
        <v>273</v>
      </c>
      <c r="C275" s="85" t="s">
        <v>592</v>
      </c>
      <c r="D275" s="60">
        <v>0</v>
      </c>
      <c r="E275" s="61">
        <f t="shared" si="48"/>
        <v>0</v>
      </c>
      <c r="F275" s="60">
        <v>0</v>
      </c>
      <c r="G275" s="61">
        <f t="shared" si="49"/>
        <v>0</v>
      </c>
      <c r="H275" s="60">
        <v>0</v>
      </c>
      <c r="I275" s="61">
        <f t="shared" si="50"/>
        <v>0</v>
      </c>
      <c r="J275" s="60">
        <v>0</v>
      </c>
      <c r="K275" s="61">
        <f t="shared" si="51"/>
        <v>0</v>
      </c>
      <c r="L275" s="62"/>
      <c r="M275" s="61">
        <f t="shared" si="52"/>
        <v>0</v>
      </c>
      <c r="N275" s="63">
        <v>4</v>
      </c>
      <c r="O275" s="61">
        <f t="shared" si="53"/>
        <v>2000</v>
      </c>
      <c r="P275" s="60">
        <v>0</v>
      </c>
      <c r="Q275" s="61">
        <f t="shared" si="54"/>
        <v>0</v>
      </c>
      <c r="R275" s="60">
        <v>0</v>
      </c>
      <c r="S275" s="61">
        <f t="shared" si="55"/>
        <v>0</v>
      </c>
      <c r="T275" s="60">
        <v>0</v>
      </c>
      <c r="U275" s="64">
        <f t="shared" si="56"/>
        <v>0</v>
      </c>
      <c r="V275" s="65">
        <v>0</v>
      </c>
      <c r="W275" s="66">
        <f t="shared" si="57"/>
        <v>2000</v>
      </c>
      <c r="X275" s="67">
        <f t="shared" si="58"/>
        <v>2</v>
      </c>
      <c r="Y275" s="57" t="str">
        <f t="shared" si="59"/>
        <v>STOCK</v>
      </c>
      <c r="Z275" s="68" t="s">
        <v>1538</v>
      </c>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c r="BU275" s="8"/>
      <c r="BV275" s="8"/>
      <c r="BW275" s="8"/>
      <c r="BX275" s="8"/>
      <c r="BY275" s="8"/>
      <c r="BZ275" s="8"/>
      <c r="CA275" s="8"/>
      <c r="CB275" s="8"/>
      <c r="CC275" s="8"/>
      <c r="CD275" s="8"/>
      <c r="CE275" s="8"/>
      <c r="CF275" s="8"/>
      <c r="CG275" s="8"/>
      <c r="CH275" s="8"/>
      <c r="CI275" s="8"/>
      <c r="CJ275" s="8"/>
      <c r="CK275" s="8"/>
      <c r="CL275" s="8"/>
      <c r="CM275" s="8"/>
      <c r="CN275" s="8"/>
      <c r="CO275" s="8"/>
      <c r="CP275" s="8"/>
      <c r="CQ275" s="8"/>
      <c r="CR275" s="8"/>
      <c r="CS275" s="8"/>
      <c r="CT275" s="8"/>
      <c r="CU275" s="8"/>
      <c r="CV275" s="8"/>
      <c r="CW275" s="8"/>
      <c r="CX275" s="8"/>
      <c r="CY275" s="8"/>
      <c r="CZ275" s="8"/>
      <c r="DA275" s="8"/>
      <c r="DB275" s="8"/>
      <c r="DC275" s="8"/>
      <c r="DD275" s="8"/>
      <c r="DE275" s="8"/>
      <c r="DF275" s="8"/>
      <c r="DG275" s="8"/>
      <c r="DH275" s="8"/>
      <c r="DI275" s="8"/>
      <c r="DJ275" s="8"/>
      <c r="DK275" s="8"/>
      <c r="DL275" s="8"/>
      <c r="DM275" s="8"/>
      <c r="DN275" s="8"/>
      <c r="DO275" s="8"/>
      <c r="DP275" s="8"/>
      <c r="DQ275" s="8"/>
      <c r="DR275" s="8"/>
      <c r="DS275" s="8"/>
      <c r="DT275" s="8"/>
      <c r="DU275" s="8"/>
    </row>
    <row r="276" spans="1:125" s="1" customFormat="1" ht="20.100000000000001" customHeight="1" x14ac:dyDescent="0.25">
      <c r="A276" s="59" t="s">
        <v>506</v>
      </c>
      <c r="B276" s="84">
        <v>274</v>
      </c>
      <c r="C276" s="85" t="s">
        <v>593</v>
      </c>
      <c r="D276" s="60">
        <v>0</v>
      </c>
      <c r="E276" s="61">
        <f t="shared" si="48"/>
        <v>0</v>
      </c>
      <c r="F276" s="60">
        <v>0</v>
      </c>
      <c r="G276" s="61">
        <f t="shared" si="49"/>
        <v>0</v>
      </c>
      <c r="H276" s="60">
        <v>0</v>
      </c>
      <c r="I276" s="61">
        <f t="shared" si="50"/>
        <v>0</v>
      </c>
      <c r="J276" s="60">
        <v>0</v>
      </c>
      <c r="K276" s="61">
        <f t="shared" si="51"/>
        <v>0</v>
      </c>
      <c r="L276" s="62"/>
      <c r="M276" s="61">
        <f t="shared" si="52"/>
        <v>0</v>
      </c>
      <c r="N276" s="63">
        <v>0</v>
      </c>
      <c r="O276" s="61">
        <f t="shared" si="53"/>
        <v>0</v>
      </c>
      <c r="P276" s="60">
        <v>0</v>
      </c>
      <c r="Q276" s="61">
        <f t="shared" si="54"/>
        <v>0</v>
      </c>
      <c r="R276" s="60">
        <v>0</v>
      </c>
      <c r="S276" s="61">
        <f t="shared" si="55"/>
        <v>0</v>
      </c>
      <c r="T276" s="60">
        <v>0</v>
      </c>
      <c r="U276" s="64">
        <f t="shared" si="56"/>
        <v>0</v>
      </c>
      <c r="V276" s="65">
        <v>0</v>
      </c>
      <c r="W276" s="66">
        <f t="shared" si="57"/>
        <v>0</v>
      </c>
      <c r="X276" s="67">
        <f t="shared" si="58"/>
        <v>0</v>
      </c>
      <c r="Y276" s="57" t="str">
        <f t="shared" si="59"/>
        <v>NIL PLEASE PURCHASE</v>
      </c>
      <c r="Z276" s="68" t="s">
        <v>1539</v>
      </c>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c r="BU276" s="8"/>
      <c r="BV276" s="8"/>
      <c r="BW276" s="8"/>
      <c r="BX276" s="8"/>
      <c r="BY276" s="8"/>
      <c r="BZ276" s="8"/>
      <c r="CA276" s="8"/>
      <c r="CB276" s="8"/>
      <c r="CC276" s="8"/>
      <c r="CD276" s="8"/>
      <c r="CE276" s="8"/>
      <c r="CF276" s="8"/>
      <c r="CG276" s="8"/>
      <c r="CH276" s="8"/>
      <c r="CI276" s="8"/>
      <c r="CJ276" s="8"/>
      <c r="CK276" s="8"/>
      <c r="CL276" s="8"/>
      <c r="CM276" s="8"/>
      <c r="CN276" s="8"/>
      <c r="CO276" s="8"/>
      <c r="CP276" s="8"/>
      <c r="CQ276" s="8"/>
      <c r="CR276" s="8"/>
      <c r="CS276" s="8"/>
      <c r="CT276" s="8"/>
      <c r="CU276" s="8"/>
      <c r="CV276" s="8"/>
      <c r="CW276" s="8"/>
      <c r="CX276" s="8"/>
      <c r="CY276" s="8"/>
      <c r="CZ276" s="8"/>
      <c r="DA276" s="8"/>
      <c r="DB276" s="8"/>
      <c r="DC276" s="8"/>
      <c r="DD276" s="8"/>
      <c r="DE276" s="8"/>
      <c r="DF276" s="8"/>
      <c r="DG276" s="8"/>
      <c r="DH276" s="8"/>
      <c r="DI276" s="8"/>
      <c r="DJ276" s="8"/>
      <c r="DK276" s="8"/>
      <c r="DL276" s="8"/>
      <c r="DM276" s="8"/>
      <c r="DN276" s="8"/>
      <c r="DO276" s="8"/>
      <c r="DP276" s="8"/>
      <c r="DQ276" s="8"/>
      <c r="DR276" s="8"/>
      <c r="DS276" s="8"/>
      <c r="DT276" s="8"/>
      <c r="DU276" s="8"/>
    </row>
    <row r="277" spans="1:125" s="1" customFormat="1" ht="20.100000000000001" customHeight="1" x14ac:dyDescent="0.25">
      <c r="A277" s="59" t="s">
        <v>507</v>
      </c>
      <c r="B277" s="84">
        <v>275</v>
      </c>
      <c r="C277" s="85" t="s">
        <v>594</v>
      </c>
      <c r="D277" s="60">
        <v>0</v>
      </c>
      <c r="E277" s="61">
        <f t="shared" si="48"/>
        <v>0</v>
      </c>
      <c r="F277" s="60">
        <v>0</v>
      </c>
      <c r="G277" s="61">
        <f t="shared" si="49"/>
        <v>0</v>
      </c>
      <c r="H277" s="60">
        <v>0</v>
      </c>
      <c r="I277" s="61">
        <f t="shared" si="50"/>
        <v>0</v>
      </c>
      <c r="J277" s="60">
        <v>0</v>
      </c>
      <c r="K277" s="61">
        <f t="shared" si="51"/>
        <v>0</v>
      </c>
      <c r="L277" s="62"/>
      <c r="M277" s="61">
        <f t="shared" si="52"/>
        <v>0</v>
      </c>
      <c r="N277" s="63">
        <v>0</v>
      </c>
      <c r="O277" s="61">
        <f t="shared" si="53"/>
        <v>0</v>
      </c>
      <c r="P277" s="60">
        <v>0</v>
      </c>
      <c r="Q277" s="61">
        <f t="shared" si="54"/>
        <v>0</v>
      </c>
      <c r="R277" s="60">
        <v>0</v>
      </c>
      <c r="S277" s="61">
        <f t="shared" si="55"/>
        <v>0</v>
      </c>
      <c r="T277" s="60">
        <v>0</v>
      </c>
      <c r="U277" s="64">
        <f t="shared" si="56"/>
        <v>0</v>
      </c>
      <c r="V277" s="65">
        <v>0</v>
      </c>
      <c r="W277" s="66">
        <f t="shared" si="57"/>
        <v>0</v>
      </c>
      <c r="X277" s="67">
        <f t="shared" si="58"/>
        <v>0</v>
      </c>
      <c r="Y277" s="57" t="str">
        <f t="shared" si="59"/>
        <v>NIL PLEASE PURCHASE</v>
      </c>
      <c r="Z277" s="68" t="s">
        <v>1539</v>
      </c>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c r="BU277" s="8"/>
      <c r="BV277" s="8"/>
      <c r="BW277" s="8"/>
      <c r="BX277" s="8"/>
      <c r="BY277" s="8"/>
      <c r="BZ277" s="8"/>
      <c r="CA277" s="8"/>
      <c r="CB277" s="8"/>
      <c r="CC277" s="8"/>
      <c r="CD277" s="8"/>
      <c r="CE277" s="8"/>
      <c r="CF277" s="8"/>
      <c r="CG277" s="8"/>
      <c r="CH277" s="8"/>
      <c r="CI277" s="8"/>
      <c r="CJ277" s="8"/>
      <c r="CK277" s="8"/>
      <c r="CL277" s="8"/>
      <c r="CM277" s="8"/>
      <c r="CN277" s="8"/>
      <c r="CO277" s="8"/>
      <c r="CP277" s="8"/>
      <c r="CQ277" s="8"/>
      <c r="CR277" s="8"/>
      <c r="CS277" s="8"/>
      <c r="CT277" s="8"/>
      <c r="CU277" s="8"/>
      <c r="CV277" s="8"/>
      <c r="CW277" s="8"/>
      <c r="CX277" s="8"/>
      <c r="CY277" s="8"/>
      <c r="CZ277" s="8"/>
      <c r="DA277" s="8"/>
      <c r="DB277" s="8"/>
      <c r="DC277" s="8"/>
      <c r="DD277" s="8"/>
      <c r="DE277" s="8"/>
      <c r="DF277" s="8"/>
      <c r="DG277" s="8"/>
      <c r="DH277" s="8"/>
      <c r="DI277" s="8"/>
      <c r="DJ277" s="8"/>
      <c r="DK277" s="8"/>
      <c r="DL277" s="8"/>
      <c r="DM277" s="8"/>
      <c r="DN277" s="8"/>
      <c r="DO277" s="8"/>
      <c r="DP277" s="8"/>
      <c r="DQ277" s="8"/>
      <c r="DR277" s="8"/>
      <c r="DS277" s="8"/>
      <c r="DT277" s="8"/>
      <c r="DU277" s="8"/>
    </row>
    <row r="278" spans="1:125" s="1" customFormat="1" ht="20.100000000000001" customHeight="1" x14ac:dyDescent="0.25">
      <c r="A278" s="59" t="s">
        <v>508</v>
      </c>
      <c r="B278" s="84">
        <v>276</v>
      </c>
      <c r="C278" s="85" t="s">
        <v>595</v>
      </c>
      <c r="D278" s="60">
        <v>0</v>
      </c>
      <c r="E278" s="61">
        <f t="shared" si="48"/>
        <v>0</v>
      </c>
      <c r="F278" s="60">
        <v>0</v>
      </c>
      <c r="G278" s="61">
        <f t="shared" si="49"/>
        <v>0</v>
      </c>
      <c r="H278" s="60">
        <v>0</v>
      </c>
      <c r="I278" s="61">
        <f t="shared" si="50"/>
        <v>0</v>
      </c>
      <c r="J278" s="60">
        <v>1</v>
      </c>
      <c r="K278" s="61">
        <f t="shared" si="51"/>
        <v>100</v>
      </c>
      <c r="L278" s="62"/>
      <c r="M278" s="61">
        <f t="shared" si="52"/>
        <v>0</v>
      </c>
      <c r="N278" s="63">
        <v>0</v>
      </c>
      <c r="O278" s="61">
        <f t="shared" si="53"/>
        <v>0</v>
      </c>
      <c r="P278" s="60">
        <v>0</v>
      </c>
      <c r="Q278" s="61">
        <f t="shared" si="54"/>
        <v>0</v>
      </c>
      <c r="R278" s="60">
        <v>0</v>
      </c>
      <c r="S278" s="61">
        <f t="shared" si="55"/>
        <v>0</v>
      </c>
      <c r="T278" s="60">
        <v>0</v>
      </c>
      <c r="U278" s="64">
        <f t="shared" si="56"/>
        <v>0</v>
      </c>
      <c r="V278" s="65">
        <v>0</v>
      </c>
      <c r="W278" s="66">
        <f t="shared" si="57"/>
        <v>100</v>
      </c>
      <c r="X278" s="67">
        <f t="shared" si="58"/>
        <v>0.1</v>
      </c>
      <c r="Y278" s="57" t="str">
        <f t="shared" si="59"/>
        <v>STOCK</v>
      </c>
      <c r="Z278" s="68" t="s">
        <v>1538</v>
      </c>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c r="BU278" s="8"/>
      <c r="BV278" s="8"/>
      <c r="BW278" s="8"/>
      <c r="BX278" s="8"/>
      <c r="BY278" s="8"/>
      <c r="BZ278" s="8"/>
      <c r="CA278" s="8"/>
      <c r="CB278" s="8"/>
      <c r="CC278" s="8"/>
      <c r="CD278" s="8"/>
      <c r="CE278" s="8"/>
      <c r="CF278" s="8"/>
      <c r="CG278" s="8"/>
      <c r="CH278" s="8"/>
      <c r="CI278" s="8"/>
      <c r="CJ278" s="8"/>
      <c r="CK278" s="8"/>
      <c r="CL278" s="8"/>
      <c r="CM278" s="8"/>
      <c r="CN278" s="8"/>
      <c r="CO278" s="8"/>
      <c r="CP278" s="8"/>
      <c r="CQ278" s="8"/>
      <c r="CR278" s="8"/>
      <c r="CS278" s="8"/>
      <c r="CT278" s="8"/>
      <c r="CU278" s="8"/>
      <c r="CV278" s="8"/>
      <c r="CW278" s="8"/>
      <c r="CX278" s="8"/>
      <c r="CY278" s="8"/>
      <c r="CZ278" s="8"/>
      <c r="DA278" s="8"/>
      <c r="DB278" s="8"/>
      <c r="DC278" s="8"/>
      <c r="DD278" s="8"/>
      <c r="DE278" s="8"/>
      <c r="DF278" s="8"/>
      <c r="DG278" s="8"/>
      <c r="DH278" s="8"/>
      <c r="DI278" s="8"/>
      <c r="DJ278" s="8"/>
      <c r="DK278" s="8"/>
      <c r="DL278" s="8"/>
      <c r="DM278" s="8"/>
      <c r="DN278" s="8"/>
      <c r="DO278" s="8"/>
      <c r="DP278" s="8"/>
      <c r="DQ278" s="8"/>
      <c r="DR278" s="8"/>
      <c r="DS278" s="8"/>
      <c r="DT278" s="8"/>
      <c r="DU278" s="8"/>
    </row>
    <row r="279" spans="1:125" s="1" customFormat="1" ht="20.100000000000001" customHeight="1" x14ac:dyDescent="0.25">
      <c r="A279" s="59" t="s">
        <v>509</v>
      </c>
      <c r="B279" s="84">
        <v>277</v>
      </c>
      <c r="C279" s="85" t="s">
        <v>596</v>
      </c>
      <c r="D279" s="60">
        <v>0</v>
      </c>
      <c r="E279" s="61">
        <f t="shared" si="48"/>
        <v>0</v>
      </c>
      <c r="F279" s="60">
        <v>0</v>
      </c>
      <c r="G279" s="61">
        <f t="shared" si="49"/>
        <v>0</v>
      </c>
      <c r="H279" s="60">
        <v>0</v>
      </c>
      <c r="I279" s="61">
        <f t="shared" si="50"/>
        <v>0</v>
      </c>
      <c r="J279" s="60">
        <v>0</v>
      </c>
      <c r="K279" s="61">
        <f t="shared" si="51"/>
        <v>0</v>
      </c>
      <c r="L279" s="62"/>
      <c r="M279" s="61">
        <f t="shared" si="52"/>
        <v>0</v>
      </c>
      <c r="N279" s="63">
        <v>2</v>
      </c>
      <c r="O279" s="61">
        <f t="shared" si="53"/>
        <v>1000</v>
      </c>
      <c r="P279" s="60">
        <v>0</v>
      </c>
      <c r="Q279" s="61">
        <f t="shared" si="54"/>
        <v>0</v>
      </c>
      <c r="R279" s="60">
        <v>0</v>
      </c>
      <c r="S279" s="61">
        <f t="shared" si="55"/>
        <v>0</v>
      </c>
      <c r="T279" s="60">
        <v>0</v>
      </c>
      <c r="U279" s="64">
        <f t="shared" si="56"/>
        <v>0</v>
      </c>
      <c r="V279" s="65">
        <v>0</v>
      </c>
      <c r="W279" s="66">
        <f t="shared" si="57"/>
        <v>1000</v>
      </c>
      <c r="X279" s="67">
        <f t="shared" si="58"/>
        <v>1</v>
      </c>
      <c r="Y279" s="57" t="str">
        <f t="shared" si="59"/>
        <v>STOCK</v>
      </c>
      <c r="Z279" s="68" t="s">
        <v>1538</v>
      </c>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c r="BU279" s="8"/>
      <c r="BV279" s="8"/>
      <c r="BW279" s="8"/>
      <c r="BX279" s="8"/>
      <c r="BY279" s="8"/>
      <c r="BZ279" s="8"/>
      <c r="CA279" s="8"/>
      <c r="CB279" s="8"/>
      <c r="CC279" s="8"/>
      <c r="CD279" s="8"/>
      <c r="CE279" s="8"/>
      <c r="CF279" s="8"/>
      <c r="CG279" s="8"/>
      <c r="CH279" s="8"/>
      <c r="CI279" s="8"/>
      <c r="CJ279" s="8"/>
      <c r="CK279" s="8"/>
      <c r="CL279" s="8"/>
      <c r="CM279" s="8"/>
      <c r="CN279" s="8"/>
      <c r="CO279" s="8"/>
      <c r="CP279" s="8"/>
      <c r="CQ279" s="8"/>
      <c r="CR279" s="8"/>
      <c r="CS279" s="8"/>
      <c r="CT279" s="8"/>
      <c r="CU279" s="8"/>
      <c r="CV279" s="8"/>
      <c r="CW279" s="8"/>
      <c r="CX279" s="8"/>
      <c r="CY279" s="8"/>
      <c r="CZ279" s="8"/>
      <c r="DA279" s="8"/>
      <c r="DB279" s="8"/>
      <c r="DC279" s="8"/>
      <c r="DD279" s="8"/>
      <c r="DE279" s="8"/>
      <c r="DF279" s="8"/>
      <c r="DG279" s="8"/>
      <c r="DH279" s="8"/>
      <c r="DI279" s="8"/>
      <c r="DJ279" s="8"/>
      <c r="DK279" s="8"/>
      <c r="DL279" s="8"/>
      <c r="DM279" s="8"/>
      <c r="DN279" s="8"/>
      <c r="DO279" s="8"/>
      <c r="DP279" s="8"/>
      <c r="DQ279" s="8"/>
      <c r="DR279" s="8"/>
      <c r="DS279" s="8"/>
      <c r="DT279" s="8"/>
      <c r="DU279" s="8"/>
    </row>
    <row r="280" spans="1:125" s="1" customFormat="1" ht="20.100000000000001" customHeight="1" x14ac:dyDescent="0.25">
      <c r="A280" s="59" t="s">
        <v>510</v>
      </c>
      <c r="B280" s="84">
        <v>278</v>
      </c>
      <c r="C280" s="85" t="s">
        <v>597</v>
      </c>
      <c r="D280" s="60">
        <v>0</v>
      </c>
      <c r="E280" s="61">
        <f t="shared" si="48"/>
        <v>0</v>
      </c>
      <c r="F280" s="60">
        <v>0</v>
      </c>
      <c r="G280" s="61">
        <f t="shared" si="49"/>
        <v>0</v>
      </c>
      <c r="H280" s="60">
        <v>0</v>
      </c>
      <c r="I280" s="61">
        <f t="shared" si="50"/>
        <v>0</v>
      </c>
      <c r="J280" s="60">
        <v>0</v>
      </c>
      <c r="K280" s="61">
        <f t="shared" si="51"/>
        <v>0</v>
      </c>
      <c r="L280" s="62"/>
      <c r="M280" s="61">
        <f t="shared" si="52"/>
        <v>0</v>
      </c>
      <c r="N280" s="63">
        <v>1</v>
      </c>
      <c r="O280" s="61">
        <f t="shared" si="53"/>
        <v>500</v>
      </c>
      <c r="P280" s="60">
        <v>0</v>
      </c>
      <c r="Q280" s="61">
        <f t="shared" si="54"/>
        <v>0</v>
      </c>
      <c r="R280" s="60">
        <v>0</v>
      </c>
      <c r="S280" s="61">
        <f t="shared" si="55"/>
        <v>0</v>
      </c>
      <c r="T280" s="60">
        <v>0</v>
      </c>
      <c r="U280" s="64">
        <f t="shared" si="56"/>
        <v>0</v>
      </c>
      <c r="V280" s="65">
        <v>0</v>
      </c>
      <c r="W280" s="66">
        <f t="shared" si="57"/>
        <v>500</v>
      </c>
      <c r="X280" s="67">
        <f t="shared" si="58"/>
        <v>0.5</v>
      </c>
      <c r="Y280" s="57" t="str">
        <f t="shared" si="59"/>
        <v>STOCK</v>
      </c>
      <c r="Z280" s="68" t="s">
        <v>1538</v>
      </c>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c r="BU280" s="8"/>
      <c r="BV280" s="8"/>
      <c r="BW280" s="8"/>
      <c r="BX280" s="8"/>
      <c r="BY280" s="8"/>
      <c r="BZ280" s="8"/>
      <c r="CA280" s="8"/>
      <c r="CB280" s="8"/>
      <c r="CC280" s="8"/>
      <c r="CD280" s="8"/>
      <c r="CE280" s="8"/>
      <c r="CF280" s="8"/>
      <c r="CG280" s="8"/>
      <c r="CH280" s="8"/>
      <c r="CI280" s="8"/>
      <c r="CJ280" s="8"/>
      <c r="CK280" s="8"/>
      <c r="CL280" s="8"/>
      <c r="CM280" s="8"/>
      <c r="CN280" s="8"/>
      <c r="CO280" s="8"/>
      <c r="CP280" s="8"/>
      <c r="CQ280" s="8"/>
      <c r="CR280" s="8"/>
      <c r="CS280" s="8"/>
      <c r="CT280" s="8"/>
      <c r="CU280" s="8"/>
      <c r="CV280" s="8"/>
      <c r="CW280" s="8"/>
      <c r="CX280" s="8"/>
      <c r="CY280" s="8"/>
      <c r="CZ280" s="8"/>
      <c r="DA280" s="8"/>
      <c r="DB280" s="8"/>
      <c r="DC280" s="8"/>
      <c r="DD280" s="8"/>
      <c r="DE280" s="8"/>
      <c r="DF280" s="8"/>
      <c r="DG280" s="8"/>
      <c r="DH280" s="8"/>
      <c r="DI280" s="8"/>
      <c r="DJ280" s="8"/>
      <c r="DK280" s="8"/>
      <c r="DL280" s="8"/>
      <c r="DM280" s="8"/>
      <c r="DN280" s="8"/>
      <c r="DO280" s="8"/>
      <c r="DP280" s="8"/>
      <c r="DQ280" s="8"/>
      <c r="DR280" s="8"/>
      <c r="DS280" s="8"/>
      <c r="DT280" s="8"/>
      <c r="DU280" s="8"/>
    </row>
    <row r="281" spans="1:125" s="1" customFormat="1" ht="20.100000000000001" customHeight="1" x14ac:dyDescent="0.25">
      <c r="A281" s="59" t="s">
        <v>511</v>
      </c>
      <c r="B281" s="84">
        <v>279</v>
      </c>
      <c r="C281" s="85" t="s">
        <v>598</v>
      </c>
      <c r="D281" s="60">
        <v>0</v>
      </c>
      <c r="E281" s="61">
        <f t="shared" si="48"/>
        <v>0</v>
      </c>
      <c r="F281" s="60">
        <v>0</v>
      </c>
      <c r="G281" s="61">
        <f t="shared" si="49"/>
        <v>0</v>
      </c>
      <c r="H281" s="60">
        <v>0</v>
      </c>
      <c r="I281" s="61">
        <f t="shared" si="50"/>
        <v>0</v>
      </c>
      <c r="J281" s="60">
        <v>0</v>
      </c>
      <c r="K281" s="61">
        <f t="shared" si="51"/>
        <v>0</v>
      </c>
      <c r="L281" s="62"/>
      <c r="M281" s="61">
        <f t="shared" si="52"/>
        <v>0</v>
      </c>
      <c r="N281" s="63">
        <v>1</v>
      </c>
      <c r="O281" s="61">
        <f t="shared" si="53"/>
        <v>500</v>
      </c>
      <c r="P281" s="60">
        <v>0</v>
      </c>
      <c r="Q281" s="61">
        <f t="shared" si="54"/>
        <v>0</v>
      </c>
      <c r="R281" s="60">
        <v>0</v>
      </c>
      <c r="S281" s="61">
        <f t="shared" si="55"/>
        <v>0</v>
      </c>
      <c r="T281" s="60">
        <v>0</v>
      </c>
      <c r="U281" s="64">
        <f t="shared" si="56"/>
        <v>0</v>
      </c>
      <c r="V281" s="65">
        <v>0</v>
      </c>
      <c r="W281" s="66">
        <f t="shared" si="57"/>
        <v>500</v>
      </c>
      <c r="X281" s="67">
        <f t="shared" si="58"/>
        <v>0.5</v>
      </c>
      <c r="Y281" s="57" t="str">
        <f t="shared" si="59"/>
        <v>STOCK</v>
      </c>
      <c r="Z281" s="68" t="s">
        <v>1538</v>
      </c>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c r="BU281" s="8"/>
      <c r="BV281" s="8"/>
      <c r="BW281" s="8"/>
      <c r="BX281" s="8"/>
      <c r="BY281" s="8"/>
      <c r="BZ281" s="8"/>
      <c r="CA281" s="8"/>
      <c r="CB281" s="8"/>
      <c r="CC281" s="8"/>
      <c r="CD281" s="8"/>
      <c r="CE281" s="8"/>
      <c r="CF281" s="8"/>
      <c r="CG281" s="8"/>
      <c r="CH281" s="8"/>
      <c r="CI281" s="8"/>
      <c r="CJ281" s="8"/>
      <c r="CK281" s="8"/>
      <c r="CL281" s="8"/>
      <c r="CM281" s="8"/>
      <c r="CN281" s="8"/>
      <c r="CO281" s="8"/>
      <c r="CP281" s="8"/>
      <c r="CQ281" s="8"/>
      <c r="CR281" s="8"/>
      <c r="CS281" s="8"/>
      <c r="CT281" s="8"/>
      <c r="CU281" s="8"/>
      <c r="CV281" s="8"/>
      <c r="CW281" s="8"/>
      <c r="CX281" s="8"/>
      <c r="CY281" s="8"/>
      <c r="CZ281" s="8"/>
      <c r="DA281" s="8"/>
      <c r="DB281" s="8"/>
      <c r="DC281" s="8"/>
      <c r="DD281" s="8"/>
      <c r="DE281" s="8"/>
      <c r="DF281" s="8"/>
      <c r="DG281" s="8"/>
      <c r="DH281" s="8"/>
      <c r="DI281" s="8"/>
      <c r="DJ281" s="8"/>
      <c r="DK281" s="8"/>
      <c r="DL281" s="8"/>
      <c r="DM281" s="8"/>
      <c r="DN281" s="8"/>
      <c r="DO281" s="8"/>
      <c r="DP281" s="8"/>
      <c r="DQ281" s="8"/>
      <c r="DR281" s="8"/>
      <c r="DS281" s="8"/>
      <c r="DT281" s="8"/>
      <c r="DU281" s="8"/>
    </row>
    <row r="282" spans="1:125" s="1" customFormat="1" ht="20.100000000000001" customHeight="1" x14ac:dyDescent="0.25">
      <c r="A282" s="59" t="s">
        <v>512</v>
      </c>
      <c r="B282" s="84">
        <v>280</v>
      </c>
      <c r="C282" s="85" t="s">
        <v>599</v>
      </c>
      <c r="D282" s="60">
        <v>0</v>
      </c>
      <c r="E282" s="61">
        <f t="shared" si="48"/>
        <v>0</v>
      </c>
      <c r="F282" s="60">
        <v>0</v>
      </c>
      <c r="G282" s="61">
        <f t="shared" si="49"/>
        <v>0</v>
      </c>
      <c r="H282" s="60">
        <v>0</v>
      </c>
      <c r="I282" s="61">
        <f t="shared" si="50"/>
        <v>0</v>
      </c>
      <c r="J282" s="60">
        <v>0</v>
      </c>
      <c r="K282" s="61">
        <f t="shared" si="51"/>
        <v>0</v>
      </c>
      <c r="L282" s="62"/>
      <c r="M282" s="61">
        <f t="shared" si="52"/>
        <v>0</v>
      </c>
      <c r="N282" s="63">
        <v>2</v>
      </c>
      <c r="O282" s="61">
        <f t="shared" si="53"/>
        <v>1000</v>
      </c>
      <c r="P282" s="60">
        <v>0</v>
      </c>
      <c r="Q282" s="61">
        <f t="shared" si="54"/>
        <v>0</v>
      </c>
      <c r="R282" s="60">
        <v>0</v>
      </c>
      <c r="S282" s="61">
        <f t="shared" si="55"/>
        <v>0</v>
      </c>
      <c r="T282" s="60">
        <v>0</v>
      </c>
      <c r="U282" s="64">
        <f t="shared" si="56"/>
        <v>0</v>
      </c>
      <c r="V282" s="65">
        <v>0</v>
      </c>
      <c r="W282" s="66">
        <f t="shared" si="57"/>
        <v>1000</v>
      </c>
      <c r="X282" s="67">
        <f t="shared" si="58"/>
        <v>1</v>
      </c>
      <c r="Y282" s="57" t="str">
        <f t="shared" si="59"/>
        <v>STOCK</v>
      </c>
      <c r="Z282" s="68" t="s">
        <v>1538</v>
      </c>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c r="BU282" s="8"/>
      <c r="BV282" s="8"/>
      <c r="BW282" s="8"/>
      <c r="BX282" s="8"/>
      <c r="BY282" s="8"/>
      <c r="BZ282" s="8"/>
      <c r="CA282" s="8"/>
      <c r="CB282" s="8"/>
      <c r="CC282" s="8"/>
      <c r="CD282" s="8"/>
      <c r="CE282" s="8"/>
      <c r="CF282" s="8"/>
      <c r="CG282" s="8"/>
      <c r="CH282" s="8"/>
      <c r="CI282" s="8"/>
      <c r="CJ282" s="8"/>
      <c r="CK282" s="8"/>
      <c r="CL282" s="8"/>
      <c r="CM282" s="8"/>
      <c r="CN282" s="8"/>
      <c r="CO282" s="8"/>
      <c r="CP282" s="8"/>
      <c r="CQ282" s="8"/>
      <c r="CR282" s="8"/>
      <c r="CS282" s="8"/>
      <c r="CT282" s="8"/>
      <c r="CU282" s="8"/>
      <c r="CV282" s="8"/>
      <c r="CW282" s="8"/>
      <c r="CX282" s="8"/>
      <c r="CY282" s="8"/>
      <c r="CZ282" s="8"/>
      <c r="DA282" s="8"/>
      <c r="DB282" s="8"/>
      <c r="DC282" s="8"/>
      <c r="DD282" s="8"/>
      <c r="DE282" s="8"/>
      <c r="DF282" s="8"/>
      <c r="DG282" s="8"/>
      <c r="DH282" s="8"/>
      <c r="DI282" s="8"/>
      <c r="DJ282" s="8"/>
      <c r="DK282" s="8"/>
      <c r="DL282" s="8"/>
      <c r="DM282" s="8"/>
      <c r="DN282" s="8"/>
      <c r="DO282" s="8"/>
      <c r="DP282" s="8"/>
      <c r="DQ282" s="8"/>
      <c r="DR282" s="8"/>
      <c r="DS282" s="8"/>
      <c r="DT282" s="8"/>
      <c r="DU282" s="8"/>
    </row>
    <row r="283" spans="1:125" s="1" customFormat="1" ht="20.100000000000001" customHeight="1" x14ac:dyDescent="0.25">
      <c r="A283" s="59" t="s">
        <v>513</v>
      </c>
      <c r="B283" s="84">
        <v>281</v>
      </c>
      <c r="C283" s="85" t="s">
        <v>600</v>
      </c>
      <c r="D283" s="60">
        <v>0</v>
      </c>
      <c r="E283" s="61">
        <f t="shared" si="48"/>
        <v>0</v>
      </c>
      <c r="F283" s="60">
        <v>0</v>
      </c>
      <c r="G283" s="61">
        <f t="shared" si="49"/>
        <v>0</v>
      </c>
      <c r="H283" s="60">
        <v>0</v>
      </c>
      <c r="I283" s="61">
        <f t="shared" si="50"/>
        <v>0</v>
      </c>
      <c r="J283" s="60">
        <v>0</v>
      </c>
      <c r="K283" s="61">
        <f t="shared" si="51"/>
        <v>0</v>
      </c>
      <c r="L283" s="62"/>
      <c r="M283" s="61">
        <f t="shared" si="52"/>
        <v>0</v>
      </c>
      <c r="N283" s="63">
        <v>2</v>
      </c>
      <c r="O283" s="61">
        <f t="shared" si="53"/>
        <v>1000</v>
      </c>
      <c r="P283" s="60">
        <v>0</v>
      </c>
      <c r="Q283" s="61">
        <f t="shared" si="54"/>
        <v>0</v>
      </c>
      <c r="R283" s="60">
        <v>0</v>
      </c>
      <c r="S283" s="61">
        <f t="shared" si="55"/>
        <v>0</v>
      </c>
      <c r="T283" s="60">
        <v>0</v>
      </c>
      <c r="U283" s="64">
        <f t="shared" si="56"/>
        <v>0</v>
      </c>
      <c r="V283" s="65">
        <v>0</v>
      </c>
      <c r="W283" s="66">
        <f t="shared" si="57"/>
        <v>1000</v>
      </c>
      <c r="X283" s="67">
        <f t="shared" si="58"/>
        <v>1</v>
      </c>
      <c r="Y283" s="57" t="str">
        <f t="shared" si="59"/>
        <v>STOCK</v>
      </c>
      <c r="Z283" s="68" t="s">
        <v>1538</v>
      </c>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c r="BU283" s="8"/>
      <c r="BV283" s="8"/>
      <c r="BW283" s="8"/>
      <c r="BX283" s="8"/>
      <c r="BY283" s="8"/>
      <c r="BZ283" s="8"/>
      <c r="CA283" s="8"/>
      <c r="CB283" s="8"/>
      <c r="CC283" s="8"/>
      <c r="CD283" s="8"/>
      <c r="CE283" s="8"/>
      <c r="CF283" s="8"/>
      <c r="CG283" s="8"/>
      <c r="CH283" s="8"/>
      <c r="CI283" s="8"/>
      <c r="CJ283" s="8"/>
      <c r="CK283" s="8"/>
      <c r="CL283" s="8"/>
      <c r="CM283" s="8"/>
      <c r="CN283" s="8"/>
      <c r="CO283" s="8"/>
      <c r="CP283" s="8"/>
      <c r="CQ283" s="8"/>
      <c r="CR283" s="8"/>
      <c r="CS283" s="8"/>
      <c r="CT283" s="8"/>
      <c r="CU283" s="8"/>
      <c r="CV283" s="8"/>
      <c r="CW283" s="8"/>
      <c r="CX283" s="8"/>
      <c r="CY283" s="8"/>
      <c r="CZ283" s="8"/>
      <c r="DA283" s="8"/>
      <c r="DB283" s="8"/>
      <c r="DC283" s="8"/>
      <c r="DD283" s="8"/>
      <c r="DE283" s="8"/>
      <c r="DF283" s="8"/>
      <c r="DG283" s="8"/>
      <c r="DH283" s="8"/>
      <c r="DI283" s="8"/>
      <c r="DJ283" s="8"/>
      <c r="DK283" s="8"/>
      <c r="DL283" s="8"/>
      <c r="DM283" s="8"/>
      <c r="DN283" s="8"/>
      <c r="DO283" s="8"/>
      <c r="DP283" s="8"/>
      <c r="DQ283" s="8"/>
      <c r="DR283" s="8"/>
      <c r="DS283" s="8"/>
      <c r="DT283" s="8"/>
      <c r="DU283" s="8"/>
    </row>
    <row r="284" spans="1:125" s="1" customFormat="1" ht="20.100000000000001" customHeight="1" x14ac:dyDescent="0.25">
      <c r="A284" s="59" t="s">
        <v>514</v>
      </c>
      <c r="B284" s="84">
        <v>282</v>
      </c>
      <c r="C284" s="85" t="s">
        <v>601</v>
      </c>
      <c r="D284" s="60">
        <v>0</v>
      </c>
      <c r="E284" s="61">
        <f t="shared" si="48"/>
        <v>0</v>
      </c>
      <c r="F284" s="60">
        <v>0</v>
      </c>
      <c r="G284" s="61">
        <f t="shared" si="49"/>
        <v>0</v>
      </c>
      <c r="H284" s="60">
        <v>0</v>
      </c>
      <c r="I284" s="61">
        <f t="shared" si="50"/>
        <v>0</v>
      </c>
      <c r="J284" s="60">
        <v>0</v>
      </c>
      <c r="K284" s="61">
        <f t="shared" si="51"/>
        <v>0</v>
      </c>
      <c r="L284" s="62"/>
      <c r="M284" s="61">
        <f t="shared" si="52"/>
        <v>0</v>
      </c>
      <c r="N284" s="63">
        <v>4</v>
      </c>
      <c r="O284" s="61">
        <f t="shared" si="53"/>
        <v>2000</v>
      </c>
      <c r="P284" s="60">
        <v>0</v>
      </c>
      <c r="Q284" s="61">
        <f t="shared" si="54"/>
        <v>0</v>
      </c>
      <c r="R284" s="60">
        <v>0</v>
      </c>
      <c r="S284" s="61">
        <f t="shared" si="55"/>
        <v>0</v>
      </c>
      <c r="T284" s="60">
        <v>0</v>
      </c>
      <c r="U284" s="64">
        <f t="shared" si="56"/>
        <v>0</v>
      </c>
      <c r="V284" s="65">
        <v>0</v>
      </c>
      <c r="W284" s="66">
        <f t="shared" si="57"/>
        <v>2000</v>
      </c>
      <c r="X284" s="67">
        <f t="shared" si="58"/>
        <v>2</v>
      </c>
      <c r="Y284" s="57" t="str">
        <f t="shared" si="59"/>
        <v>STOCK</v>
      </c>
      <c r="Z284" s="68" t="s">
        <v>1538</v>
      </c>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c r="BU284" s="8"/>
      <c r="BV284" s="8"/>
      <c r="BW284" s="8"/>
      <c r="BX284" s="8"/>
      <c r="BY284" s="8"/>
      <c r="BZ284" s="8"/>
      <c r="CA284" s="8"/>
      <c r="CB284" s="8"/>
      <c r="CC284" s="8"/>
      <c r="CD284" s="8"/>
      <c r="CE284" s="8"/>
      <c r="CF284" s="8"/>
      <c r="CG284" s="8"/>
      <c r="CH284" s="8"/>
      <c r="CI284" s="8"/>
      <c r="CJ284" s="8"/>
      <c r="CK284" s="8"/>
      <c r="CL284" s="8"/>
      <c r="CM284" s="8"/>
      <c r="CN284" s="8"/>
      <c r="CO284" s="8"/>
      <c r="CP284" s="8"/>
      <c r="CQ284" s="8"/>
      <c r="CR284" s="8"/>
      <c r="CS284" s="8"/>
      <c r="CT284" s="8"/>
      <c r="CU284" s="8"/>
      <c r="CV284" s="8"/>
      <c r="CW284" s="8"/>
      <c r="CX284" s="8"/>
      <c r="CY284" s="8"/>
      <c r="CZ284" s="8"/>
      <c r="DA284" s="8"/>
      <c r="DB284" s="8"/>
      <c r="DC284" s="8"/>
      <c r="DD284" s="8"/>
      <c r="DE284" s="8"/>
      <c r="DF284" s="8"/>
      <c r="DG284" s="8"/>
      <c r="DH284" s="8"/>
      <c r="DI284" s="8"/>
      <c r="DJ284" s="8"/>
      <c r="DK284" s="8"/>
      <c r="DL284" s="8"/>
      <c r="DM284" s="8"/>
      <c r="DN284" s="8"/>
      <c r="DO284" s="8"/>
      <c r="DP284" s="8"/>
      <c r="DQ284" s="8"/>
      <c r="DR284" s="8"/>
      <c r="DS284" s="8"/>
      <c r="DT284" s="8"/>
      <c r="DU284" s="8"/>
    </row>
    <row r="285" spans="1:125" s="1" customFormat="1" ht="20.100000000000001" customHeight="1" x14ac:dyDescent="0.25">
      <c r="A285" s="59" t="s">
        <v>515</v>
      </c>
      <c r="B285" s="84">
        <v>283</v>
      </c>
      <c r="C285" s="85" t="s">
        <v>602</v>
      </c>
      <c r="D285" s="60">
        <v>0</v>
      </c>
      <c r="E285" s="61">
        <f t="shared" si="48"/>
        <v>0</v>
      </c>
      <c r="F285" s="60">
        <v>0</v>
      </c>
      <c r="G285" s="61">
        <f t="shared" si="49"/>
        <v>0</v>
      </c>
      <c r="H285" s="60">
        <v>0</v>
      </c>
      <c r="I285" s="61">
        <f t="shared" si="50"/>
        <v>0</v>
      </c>
      <c r="J285" s="60">
        <v>0</v>
      </c>
      <c r="K285" s="61">
        <f t="shared" si="51"/>
        <v>0</v>
      </c>
      <c r="L285" s="62"/>
      <c r="M285" s="61">
        <f t="shared" si="52"/>
        <v>0</v>
      </c>
      <c r="N285" s="63">
        <v>0</v>
      </c>
      <c r="O285" s="61">
        <f t="shared" si="53"/>
        <v>0</v>
      </c>
      <c r="P285" s="60">
        <v>0</v>
      </c>
      <c r="Q285" s="61">
        <f t="shared" si="54"/>
        <v>0</v>
      </c>
      <c r="R285" s="60">
        <v>0</v>
      </c>
      <c r="S285" s="61">
        <f t="shared" si="55"/>
        <v>0</v>
      </c>
      <c r="T285" s="60">
        <v>0</v>
      </c>
      <c r="U285" s="64">
        <f t="shared" si="56"/>
        <v>0</v>
      </c>
      <c r="V285" s="65">
        <v>0</v>
      </c>
      <c r="W285" s="66">
        <f t="shared" si="57"/>
        <v>0</v>
      </c>
      <c r="X285" s="67">
        <f t="shared" si="58"/>
        <v>0</v>
      </c>
      <c r="Y285" s="57" t="str">
        <f t="shared" si="59"/>
        <v>NIL PLEASE PURCHASE</v>
      </c>
      <c r="Z285" s="68" t="s">
        <v>1539</v>
      </c>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c r="BU285" s="8"/>
      <c r="BV285" s="8"/>
      <c r="BW285" s="8"/>
      <c r="BX285" s="8"/>
      <c r="BY285" s="8"/>
      <c r="BZ285" s="8"/>
      <c r="CA285" s="8"/>
      <c r="CB285" s="8"/>
      <c r="CC285" s="8"/>
      <c r="CD285" s="8"/>
      <c r="CE285" s="8"/>
      <c r="CF285" s="8"/>
      <c r="CG285" s="8"/>
      <c r="CH285" s="8"/>
      <c r="CI285" s="8"/>
      <c r="CJ285" s="8"/>
      <c r="CK285" s="8"/>
      <c r="CL285" s="8"/>
      <c r="CM285" s="8"/>
      <c r="CN285" s="8"/>
      <c r="CO285" s="8"/>
      <c r="CP285" s="8"/>
      <c r="CQ285" s="8"/>
      <c r="CR285" s="8"/>
      <c r="CS285" s="8"/>
      <c r="CT285" s="8"/>
      <c r="CU285" s="8"/>
      <c r="CV285" s="8"/>
      <c r="CW285" s="8"/>
      <c r="CX285" s="8"/>
      <c r="CY285" s="8"/>
      <c r="CZ285" s="8"/>
      <c r="DA285" s="8"/>
      <c r="DB285" s="8"/>
      <c r="DC285" s="8"/>
      <c r="DD285" s="8"/>
      <c r="DE285" s="8"/>
      <c r="DF285" s="8"/>
      <c r="DG285" s="8"/>
      <c r="DH285" s="8"/>
      <c r="DI285" s="8"/>
      <c r="DJ285" s="8"/>
      <c r="DK285" s="8"/>
      <c r="DL285" s="8"/>
      <c r="DM285" s="8"/>
      <c r="DN285" s="8"/>
      <c r="DO285" s="8"/>
      <c r="DP285" s="8"/>
      <c r="DQ285" s="8"/>
      <c r="DR285" s="8"/>
      <c r="DS285" s="8"/>
      <c r="DT285" s="8"/>
      <c r="DU285" s="8"/>
    </row>
    <row r="286" spans="1:125" s="1" customFormat="1" ht="20.100000000000001" customHeight="1" x14ac:dyDescent="0.25">
      <c r="A286" s="59" t="s">
        <v>516</v>
      </c>
      <c r="B286" s="84">
        <v>284</v>
      </c>
      <c r="C286" s="85" t="s">
        <v>603</v>
      </c>
      <c r="D286" s="60">
        <v>0</v>
      </c>
      <c r="E286" s="61">
        <f t="shared" si="48"/>
        <v>0</v>
      </c>
      <c r="F286" s="60">
        <v>0</v>
      </c>
      <c r="G286" s="61">
        <f t="shared" si="49"/>
        <v>0</v>
      </c>
      <c r="H286" s="60">
        <v>0</v>
      </c>
      <c r="I286" s="61">
        <f t="shared" si="50"/>
        <v>0</v>
      </c>
      <c r="J286" s="60">
        <v>0</v>
      </c>
      <c r="K286" s="61">
        <f t="shared" si="51"/>
        <v>0</v>
      </c>
      <c r="L286" s="62"/>
      <c r="M286" s="61">
        <f t="shared" si="52"/>
        <v>0</v>
      </c>
      <c r="N286" s="63">
        <v>0</v>
      </c>
      <c r="O286" s="61">
        <f t="shared" si="53"/>
        <v>0</v>
      </c>
      <c r="P286" s="60">
        <v>0</v>
      </c>
      <c r="Q286" s="61">
        <f t="shared" si="54"/>
        <v>0</v>
      </c>
      <c r="R286" s="60">
        <v>0</v>
      </c>
      <c r="S286" s="61">
        <f t="shared" si="55"/>
        <v>0</v>
      </c>
      <c r="T286" s="60">
        <v>0</v>
      </c>
      <c r="U286" s="64">
        <f t="shared" si="56"/>
        <v>0</v>
      </c>
      <c r="V286" s="65">
        <v>0</v>
      </c>
      <c r="W286" s="66">
        <f t="shared" si="57"/>
        <v>0</v>
      </c>
      <c r="X286" s="67">
        <f t="shared" si="58"/>
        <v>0</v>
      </c>
      <c r="Y286" s="57" t="str">
        <f t="shared" si="59"/>
        <v>NIL PLEASE PURCHASE</v>
      </c>
      <c r="Z286" s="68" t="s">
        <v>1539</v>
      </c>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c r="BU286" s="8"/>
      <c r="BV286" s="8"/>
      <c r="BW286" s="8"/>
      <c r="BX286" s="8"/>
      <c r="BY286" s="8"/>
      <c r="BZ286" s="8"/>
      <c r="CA286" s="8"/>
      <c r="CB286" s="8"/>
      <c r="CC286" s="8"/>
      <c r="CD286" s="8"/>
      <c r="CE286" s="8"/>
      <c r="CF286" s="8"/>
      <c r="CG286" s="8"/>
      <c r="CH286" s="8"/>
      <c r="CI286" s="8"/>
      <c r="CJ286" s="8"/>
      <c r="CK286" s="8"/>
      <c r="CL286" s="8"/>
      <c r="CM286" s="8"/>
      <c r="CN286" s="8"/>
      <c r="CO286" s="8"/>
      <c r="CP286" s="8"/>
      <c r="CQ286" s="8"/>
      <c r="CR286" s="8"/>
      <c r="CS286" s="8"/>
      <c r="CT286" s="8"/>
      <c r="CU286" s="8"/>
      <c r="CV286" s="8"/>
      <c r="CW286" s="8"/>
      <c r="CX286" s="8"/>
      <c r="CY286" s="8"/>
      <c r="CZ286" s="8"/>
      <c r="DA286" s="8"/>
      <c r="DB286" s="8"/>
      <c r="DC286" s="8"/>
      <c r="DD286" s="8"/>
      <c r="DE286" s="8"/>
      <c r="DF286" s="8"/>
      <c r="DG286" s="8"/>
      <c r="DH286" s="8"/>
      <c r="DI286" s="8"/>
      <c r="DJ286" s="8"/>
      <c r="DK286" s="8"/>
      <c r="DL286" s="8"/>
      <c r="DM286" s="8"/>
      <c r="DN286" s="8"/>
      <c r="DO286" s="8"/>
      <c r="DP286" s="8"/>
      <c r="DQ286" s="8"/>
      <c r="DR286" s="8"/>
      <c r="DS286" s="8"/>
      <c r="DT286" s="8"/>
      <c r="DU286" s="8"/>
    </row>
    <row r="287" spans="1:125" s="1" customFormat="1" ht="20.100000000000001" customHeight="1" x14ac:dyDescent="0.25">
      <c r="A287" s="59" t="s">
        <v>517</v>
      </c>
      <c r="B287" s="84">
        <v>285</v>
      </c>
      <c r="C287" s="85" t="s">
        <v>604</v>
      </c>
      <c r="D287" s="60">
        <v>0</v>
      </c>
      <c r="E287" s="61">
        <f t="shared" si="48"/>
        <v>0</v>
      </c>
      <c r="F287" s="60">
        <v>0</v>
      </c>
      <c r="G287" s="61">
        <f t="shared" si="49"/>
        <v>0</v>
      </c>
      <c r="H287" s="60">
        <v>0</v>
      </c>
      <c r="I287" s="61">
        <f t="shared" si="50"/>
        <v>0</v>
      </c>
      <c r="J287" s="60">
        <v>0</v>
      </c>
      <c r="K287" s="61">
        <f t="shared" si="51"/>
        <v>0</v>
      </c>
      <c r="L287" s="62"/>
      <c r="M287" s="61">
        <f t="shared" si="52"/>
        <v>0</v>
      </c>
      <c r="N287" s="63">
        <v>7</v>
      </c>
      <c r="O287" s="61">
        <f t="shared" si="53"/>
        <v>3500</v>
      </c>
      <c r="P287" s="60">
        <v>0</v>
      </c>
      <c r="Q287" s="61">
        <f t="shared" si="54"/>
        <v>0</v>
      </c>
      <c r="R287" s="60">
        <v>0</v>
      </c>
      <c r="S287" s="61">
        <f t="shared" si="55"/>
        <v>0</v>
      </c>
      <c r="T287" s="60">
        <v>0</v>
      </c>
      <c r="U287" s="64">
        <f t="shared" si="56"/>
        <v>0</v>
      </c>
      <c r="V287" s="65">
        <v>0</v>
      </c>
      <c r="W287" s="66">
        <f t="shared" si="57"/>
        <v>3500</v>
      </c>
      <c r="X287" s="67">
        <f t="shared" si="58"/>
        <v>3.5</v>
      </c>
      <c r="Y287" s="57" t="str">
        <f t="shared" si="59"/>
        <v>STOCK</v>
      </c>
      <c r="Z287" s="68" t="s">
        <v>1538</v>
      </c>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c r="BU287" s="8"/>
      <c r="BV287" s="8"/>
      <c r="BW287" s="8"/>
      <c r="BX287" s="8"/>
      <c r="BY287" s="8"/>
      <c r="BZ287" s="8"/>
      <c r="CA287" s="8"/>
      <c r="CB287" s="8"/>
      <c r="CC287" s="8"/>
      <c r="CD287" s="8"/>
      <c r="CE287" s="8"/>
      <c r="CF287" s="8"/>
      <c r="CG287" s="8"/>
      <c r="CH287" s="8"/>
      <c r="CI287" s="8"/>
      <c r="CJ287" s="8"/>
      <c r="CK287" s="8"/>
      <c r="CL287" s="8"/>
      <c r="CM287" s="8"/>
      <c r="CN287" s="8"/>
      <c r="CO287" s="8"/>
      <c r="CP287" s="8"/>
      <c r="CQ287" s="8"/>
      <c r="CR287" s="8"/>
      <c r="CS287" s="8"/>
      <c r="CT287" s="8"/>
      <c r="CU287" s="8"/>
      <c r="CV287" s="8"/>
      <c r="CW287" s="8"/>
      <c r="CX287" s="8"/>
      <c r="CY287" s="8"/>
      <c r="CZ287" s="8"/>
      <c r="DA287" s="8"/>
      <c r="DB287" s="8"/>
      <c r="DC287" s="8"/>
      <c r="DD287" s="8"/>
      <c r="DE287" s="8"/>
      <c r="DF287" s="8"/>
      <c r="DG287" s="8"/>
      <c r="DH287" s="8"/>
      <c r="DI287" s="8"/>
      <c r="DJ287" s="8"/>
      <c r="DK287" s="8"/>
      <c r="DL287" s="8"/>
      <c r="DM287" s="8"/>
      <c r="DN287" s="8"/>
      <c r="DO287" s="8"/>
      <c r="DP287" s="8"/>
      <c r="DQ287" s="8"/>
      <c r="DR287" s="8"/>
      <c r="DS287" s="8"/>
      <c r="DT287" s="8"/>
      <c r="DU287" s="8"/>
    </row>
    <row r="288" spans="1:125" s="1" customFormat="1" ht="20.100000000000001" customHeight="1" x14ac:dyDescent="0.25">
      <c r="A288" s="59" t="s">
        <v>518</v>
      </c>
      <c r="B288" s="84">
        <v>286</v>
      </c>
      <c r="C288" s="85" t="s">
        <v>605</v>
      </c>
      <c r="D288" s="60">
        <v>0</v>
      </c>
      <c r="E288" s="61">
        <f t="shared" si="48"/>
        <v>0</v>
      </c>
      <c r="F288" s="60">
        <v>0</v>
      </c>
      <c r="G288" s="61">
        <f t="shared" si="49"/>
        <v>0</v>
      </c>
      <c r="H288" s="60">
        <v>0</v>
      </c>
      <c r="I288" s="61">
        <f t="shared" si="50"/>
        <v>0</v>
      </c>
      <c r="J288" s="60">
        <v>0</v>
      </c>
      <c r="K288" s="61">
        <f t="shared" si="51"/>
        <v>0</v>
      </c>
      <c r="L288" s="62"/>
      <c r="M288" s="61">
        <f t="shared" si="52"/>
        <v>0</v>
      </c>
      <c r="N288" s="63">
        <v>0</v>
      </c>
      <c r="O288" s="61">
        <f t="shared" si="53"/>
        <v>0</v>
      </c>
      <c r="P288" s="60">
        <v>0</v>
      </c>
      <c r="Q288" s="61">
        <f t="shared" si="54"/>
        <v>0</v>
      </c>
      <c r="R288" s="60">
        <v>0</v>
      </c>
      <c r="S288" s="61">
        <f t="shared" si="55"/>
        <v>0</v>
      </c>
      <c r="T288" s="60">
        <v>0</v>
      </c>
      <c r="U288" s="64">
        <f t="shared" si="56"/>
        <v>0</v>
      </c>
      <c r="V288" s="65">
        <v>0</v>
      </c>
      <c r="W288" s="66">
        <f t="shared" si="57"/>
        <v>0</v>
      </c>
      <c r="X288" s="67">
        <f t="shared" si="58"/>
        <v>0</v>
      </c>
      <c r="Y288" s="57" t="str">
        <f t="shared" si="59"/>
        <v>NIL PLEASE PURCHASE</v>
      </c>
      <c r="Z288" s="68" t="s">
        <v>1539</v>
      </c>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c r="BU288" s="8"/>
      <c r="BV288" s="8"/>
      <c r="BW288" s="8"/>
      <c r="BX288" s="8"/>
      <c r="BY288" s="8"/>
      <c r="BZ288" s="8"/>
      <c r="CA288" s="8"/>
      <c r="CB288" s="8"/>
      <c r="CC288" s="8"/>
      <c r="CD288" s="8"/>
      <c r="CE288" s="8"/>
      <c r="CF288" s="8"/>
      <c r="CG288" s="8"/>
      <c r="CH288" s="8"/>
      <c r="CI288" s="8"/>
      <c r="CJ288" s="8"/>
      <c r="CK288" s="8"/>
      <c r="CL288" s="8"/>
      <c r="CM288" s="8"/>
      <c r="CN288" s="8"/>
      <c r="CO288" s="8"/>
      <c r="CP288" s="8"/>
      <c r="CQ288" s="8"/>
      <c r="CR288" s="8"/>
      <c r="CS288" s="8"/>
      <c r="CT288" s="8"/>
      <c r="CU288" s="8"/>
      <c r="CV288" s="8"/>
      <c r="CW288" s="8"/>
      <c r="CX288" s="8"/>
      <c r="CY288" s="8"/>
      <c r="CZ288" s="8"/>
      <c r="DA288" s="8"/>
      <c r="DB288" s="8"/>
      <c r="DC288" s="8"/>
      <c r="DD288" s="8"/>
      <c r="DE288" s="8"/>
      <c r="DF288" s="8"/>
      <c r="DG288" s="8"/>
      <c r="DH288" s="8"/>
      <c r="DI288" s="8"/>
      <c r="DJ288" s="8"/>
      <c r="DK288" s="8"/>
      <c r="DL288" s="8"/>
      <c r="DM288" s="8"/>
      <c r="DN288" s="8"/>
      <c r="DO288" s="8"/>
      <c r="DP288" s="8"/>
      <c r="DQ288" s="8"/>
      <c r="DR288" s="8"/>
      <c r="DS288" s="8"/>
      <c r="DT288" s="8"/>
      <c r="DU288" s="8"/>
    </row>
    <row r="289" spans="1:125" s="1" customFormat="1" ht="20.100000000000001" customHeight="1" x14ac:dyDescent="0.25">
      <c r="A289" s="59" t="s">
        <v>519</v>
      </c>
      <c r="B289" s="84">
        <v>287</v>
      </c>
      <c r="C289" s="85" t="s">
        <v>606</v>
      </c>
      <c r="D289" s="60">
        <v>0</v>
      </c>
      <c r="E289" s="61">
        <f t="shared" si="48"/>
        <v>0</v>
      </c>
      <c r="F289" s="60">
        <v>0</v>
      </c>
      <c r="G289" s="61">
        <f t="shared" si="49"/>
        <v>0</v>
      </c>
      <c r="H289" s="60">
        <v>0</v>
      </c>
      <c r="I289" s="61">
        <f t="shared" si="50"/>
        <v>0</v>
      </c>
      <c r="J289" s="60">
        <v>0</v>
      </c>
      <c r="K289" s="61">
        <f t="shared" si="51"/>
        <v>0</v>
      </c>
      <c r="L289" s="62"/>
      <c r="M289" s="61">
        <f t="shared" si="52"/>
        <v>0</v>
      </c>
      <c r="N289" s="63">
        <v>0</v>
      </c>
      <c r="O289" s="61">
        <f t="shared" si="53"/>
        <v>0</v>
      </c>
      <c r="P289" s="60">
        <v>0</v>
      </c>
      <c r="Q289" s="61">
        <f t="shared" si="54"/>
        <v>0</v>
      </c>
      <c r="R289" s="60">
        <v>0</v>
      </c>
      <c r="S289" s="61">
        <f t="shared" si="55"/>
        <v>0</v>
      </c>
      <c r="T289" s="60">
        <v>0</v>
      </c>
      <c r="U289" s="64">
        <f t="shared" si="56"/>
        <v>0</v>
      </c>
      <c r="V289" s="65">
        <v>0</v>
      </c>
      <c r="W289" s="66">
        <f t="shared" si="57"/>
        <v>0</v>
      </c>
      <c r="X289" s="67">
        <f t="shared" si="58"/>
        <v>0</v>
      </c>
      <c r="Y289" s="57" t="str">
        <f t="shared" si="59"/>
        <v>NIL PLEASE PURCHASE</v>
      </c>
      <c r="Z289" s="68" t="s">
        <v>1539</v>
      </c>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c r="BU289" s="8"/>
      <c r="BV289" s="8"/>
      <c r="BW289" s="8"/>
      <c r="BX289" s="8"/>
      <c r="BY289" s="8"/>
      <c r="BZ289" s="8"/>
      <c r="CA289" s="8"/>
      <c r="CB289" s="8"/>
      <c r="CC289" s="8"/>
      <c r="CD289" s="8"/>
      <c r="CE289" s="8"/>
      <c r="CF289" s="8"/>
      <c r="CG289" s="8"/>
      <c r="CH289" s="8"/>
      <c r="CI289" s="8"/>
      <c r="CJ289" s="8"/>
      <c r="CK289" s="8"/>
      <c r="CL289" s="8"/>
      <c r="CM289" s="8"/>
      <c r="CN289" s="8"/>
      <c r="CO289" s="8"/>
      <c r="CP289" s="8"/>
      <c r="CQ289" s="8"/>
      <c r="CR289" s="8"/>
      <c r="CS289" s="8"/>
      <c r="CT289" s="8"/>
      <c r="CU289" s="8"/>
      <c r="CV289" s="8"/>
      <c r="CW289" s="8"/>
      <c r="CX289" s="8"/>
      <c r="CY289" s="8"/>
      <c r="CZ289" s="8"/>
      <c r="DA289" s="8"/>
      <c r="DB289" s="8"/>
      <c r="DC289" s="8"/>
      <c r="DD289" s="8"/>
      <c r="DE289" s="8"/>
      <c r="DF289" s="8"/>
      <c r="DG289" s="8"/>
      <c r="DH289" s="8"/>
      <c r="DI289" s="8"/>
      <c r="DJ289" s="8"/>
      <c r="DK289" s="8"/>
      <c r="DL289" s="8"/>
      <c r="DM289" s="8"/>
      <c r="DN289" s="8"/>
      <c r="DO289" s="8"/>
      <c r="DP289" s="8"/>
      <c r="DQ289" s="8"/>
      <c r="DR289" s="8"/>
      <c r="DS289" s="8"/>
      <c r="DT289" s="8"/>
      <c r="DU289" s="8"/>
    </row>
    <row r="290" spans="1:125" s="1" customFormat="1" ht="20.100000000000001" customHeight="1" x14ac:dyDescent="0.25">
      <c r="A290" s="59" t="s">
        <v>520</v>
      </c>
      <c r="B290" s="84">
        <v>288</v>
      </c>
      <c r="C290" s="85" t="s">
        <v>607</v>
      </c>
      <c r="D290" s="60">
        <v>0</v>
      </c>
      <c r="E290" s="61">
        <f t="shared" si="48"/>
        <v>0</v>
      </c>
      <c r="F290" s="60">
        <v>0</v>
      </c>
      <c r="G290" s="61">
        <f t="shared" si="49"/>
        <v>0</v>
      </c>
      <c r="H290" s="60">
        <v>0</v>
      </c>
      <c r="I290" s="61">
        <f t="shared" si="50"/>
        <v>0</v>
      </c>
      <c r="J290" s="60">
        <v>0</v>
      </c>
      <c r="K290" s="61">
        <f t="shared" si="51"/>
        <v>0</v>
      </c>
      <c r="L290" s="62"/>
      <c r="M290" s="61">
        <f t="shared" si="52"/>
        <v>0</v>
      </c>
      <c r="N290" s="63">
        <v>0</v>
      </c>
      <c r="O290" s="61">
        <f t="shared" si="53"/>
        <v>0</v>
      </c>
      <c r="P290" s="60">
        <v>0</v>
      </c>
      <c r="Q290" s="61">
        <f t="shared" si="54"/>
        <v>0</v>
      </c>
      <c r="R290" s="60">
        <v>0</v>
      </c>
      <c r="S290" s="61">
        <f t="shared" si="55"/>
        <v>0</v>
      </c>
      <c r="T290" s="60">
        <v>0</v>
      </c>
      <c r="U290" s="64">
        <f t="shared" si="56"/>
        <v>0</v>
      </c>
      <c r="V290" s="65">
        <v>0</v>
      </c>
      <c r="W290" s="66">
        <f t="shared" si="57"/>
        <v>0</v>
      </c>
      <c r="X290" s="67">
        <f t="shared" si="58"/>
        <v>0</v>
      </c>
      <c r="Y290" s="57" t="str">
        <f t="shared" si="59"/>
        <v>NIL PLEASE PURCHASE</v>
      </c>
      <c r="Z290" s="68" t="s">
        <v>1539</v>
      </c>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c r="BU290" s="8"/>
      <c r="BV290" s="8"/>
      <c r="BW290" s="8"/>
      <c r="BX290" s="8"/>
      <c r="BY290" s="8"/>
      <c r="BZ290" s="8"/>
      <c r="CA290" s="8"/>
      <c r="CB290" s="8"/>
      <c r="CC290" s="8"/>
      <c r="CD290" s="8"/>
      <c r="CE290" s="8"/>
      <c r="CF290" s="8"/>
      <c r="CG290" s="8"/>
      <c r="CH290" s="8"/>
      <c r="CI290" s="8"/>
      <c r="CJ290" s="8"/>
      <c r="CK290" s="8"/>
      <c r="CL290" s="8"/>
      <c r="CM290" s="8"/>
      <c r="CN290" s="8"/>
      <c r="CO290" s="8"/>
      <c r="CP290" s="8"/>
      <c r="CQ290" s="8"/>
      <c r="CR290" s="8"/>
      <c r="CS290" s="8"/>
      <c r="CT290" s="8"/>
      <c r="CU290" s="8"/>
      <c r="CV290" s="8"/>
      <c r="CW290" s="8"/>
      <c r="CX290" s="8"/>
      <c r="CY290" s="8"/>
      <c r="CZ290" s="8"/>
      <c r="DA290" s="8"/>
      <c r="DB290" s="8"/>
      <c r="DC290" s="8"/>
      <c r="DD290" s="8"/>
      <c r="DE290" s="8"/>
      <c r="DF290" s="8"/>
      <c r="DG290" s="8"/>
      <c r="DH290" s="8"/>
      <c r="DI290" s="8"/>
      <c r="DJ290" s="8"/>
      <c r="DK290" s="8"/>
      <c r="DL290" s="8"/>
      <c r="DM290" s="8"/>
      <c r="DN290" s="8"/>
      <c r="DO290" s="8"/>
      <c r="DP290" s="8"/>
      <c r="DQ290" s="8"/>
      <c r="DR290" s="8"/>
      <c r="DS290" s="8"/>
      <c r="DT290" s="8"/>
      <c r="DU290" s="8"/>
    </row>
    <row r="291" spans="1:125" s="1" customFormat="1" ht="20.100000000000001" customHeight="1" x14ac:dyDescent="0.25">
      <c r="A291" s="59" t="s">
        <v>521</v>
      </c>
      <c r="B291" s="84">
        <v>289</v>
      </c>
      <c r="C291" s="85" t="s">
        <v>608</v>
      </c>
      <c r="D291" s="60">
        <v>0</v>
      </c>
      <c r="E291" s="61">
        <f t="shared" si="48"/>
        <v>0</v>
      </c>
      <c r="F291" s="60">
        <v>0</v>
      </c>
      <c r="G291" s="61">
        <f t="shared" si="49"/>
        <v>0</v>
      </c>
      <c r="H291" s="60">
        <v>0</v>
      </c>
      <c r="I291" s="61">
        <f t="shared" si="50"/>
        <v>0</v>
      </c>
      <c r="J291" s="60">
        <v>0</v>
      </c>
      <c r="K291" s="61">
        <f t="shared" si="51"/>
        <v>0</v>
      </c>
      <c r="L291" s="62">
        <v>1</v>
      </c>
      <c r="M291" s="61">
        <f t="shared" si="52"/>
        <v>250</v>
      </c>
      <c r="N291" s="63">
        <v>0</v>
      </c>
      <c r="O291" s="61">
        <f t="shared" si="53"/>
        <v>0</v>
      </c>
      <c r="P291" s="60">
        <v>0</v>
      </c>
      <c r="Q291" s="61">
        <f t="shared" si="54"/>
        <v>0</v>
      </c>
      <c r="R291" s="60">
        <v>0</v>
      </c>
      <c r="S291" s="61">
        <f t="shared" si="55"/>
        <v>0</v>
      </c>
      <c r="T291" s="60">
        <v>0</v>
      </c>
      <c r="U291" s="64">
        <f t="shared" si="56"/>
        <v>0</v>
      </c>
      <c r="V291" s="65">
        <v>0</v>
      </c>
      <c r="W291" s="66">
        <f t="shared" si="57"/>
        <v>250</v>
      </c>
      <c r="X291" s="67">
        <f t="shared" si="58"/>
        <v>0.25</v>
      </c>
      <c r="Y291" s="57" t="str">
        <f t="shared" si="59"/>
        <v>STOCK</v>
      </c>
      <c r="Z291" s="68" t="s">
        <v>1538</v>
      </c>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c r="BU291" s="8"/>
      <c r="BV291" s="8"/>
      <c r="BW291" s="8"/>
      <c r="BX291" s="8"/>
      <c r="BY291" s="8"/>
      <c r="BZ291" s="8"/>
      <c r="CA291" s="8"/>
      <c r="CB291" s="8"/>
      <c r="CC291" s="8"/>
      <c r="CD291" s="8"/>
      <c r="CE291" s="8"/>
      <c r="CF291" s="8"/>
      <c r="CG291" s="8"/>
      <c r="CH291" s="8"/>
      <c r="CI291" s="8"/>
      <c r="CJ291" s="8"/>
      <c r="CK291" s="8"/>
      <c r="CL291" s="8"/>
      <c r="CM291" s="8"/>
      <c r="CN291" s="8"/>
      <c r="CO291" s="8"/>
      <c r="CP291" s="8"/>
      <c r="CQ291" s="8"/>
      <c r="CR291" s="8"/>
      <c r="CS291" s="8"/>
      <c r="CT291" s="8"/>
      <c r="CU291" s="8"/>
      <c r="CV291" s="8"/>
      <c r="CW291" s="8"/>
      <c r="CX291" s="8"/>
      <c r="CY291" s="8"/>
      <c r="CZ291" s="8"/>
      <c r="DA291" s="8"/>
      <c r="DB291" s="8"/>
      <c r="DC291" s="8"/>
      <c r="DD291" s="8"/>
      <c r="DE291" s="8"/>
      <c r="DF291" s="8"/>
      <c r="DG291" s="8"/>
      <c r="DH291" s="8"/>
      <c r="DI291" s="8"/>
      <c r="DJ291" s="8"/>
      <c r="DK291" s="8"/>
      <c r="DL291" s="8"/>
      <c r="DM291" s="8"/>
      <c r="DN291" s="8"/>
      <c r="DO291" s="8"/>
      <c r="DP291" s="8"/>
      <c r="DQ291" s="8"/>
      <c r="DR291" s="8"/>
      <c r="DS291" s="8"/>
      <c r="DT291" s="8"/>
      <c r="DU291" s="8"/>
    </row>
    <row r="292" spans="1:125" s="1" customFormat="1" ht="20.100000000000001" customHeight="1" x14ac:dyDescent="0.25">
      <c r="A292" s="59" t="s">
        <v>522</v>
      </c>
      <c r="B292" s="84">
        <v>290</v>
      </c>
      <c r="C292" s="85" t="s">
        <v>609</v>
      </c>
      <c r="D292" s="60">
        <v>0</v>
      </c>
      <c r="E292" s="61">
        <f t="shared" si="48"/>
        <v>0</v>
      </c>
      <c r="F292" s="60">
        <v>0</v>
      </c>
      <c r="G292" s="61">
        <f t="shared" si="49"/>
        <v>0</v>
      </c>
      <c r="H292" s="60">
        <v>0</v>
      </c>
      <c r="I292" s="61">
        <f t="shared" si="50"/>
        <v>0</v>
      </c>
      <c r="J292" s="60">
        <v>0</v>
      </c>
      <c r="K292" s="61">
        <f t="shared" si="51"/>
        <v>0</v>
      </c>
      <c r="L292" s="62"/>
      <c r="M292" s="61">
        <f t="shared" si="52"/>
        <v>0</v>
      </c>
      <c r="N292" s="63">
        <v>1</v>
      </c>
      <c r="O292" s="61">
        <f t="shared" si="53"/>
        <v>500</v>
      </c>
      <c r="P292" s="60">
        <v>0</v>
      </c>
      <c r="Q292" s="61">
        <f t="shared" si="54"/>
        <v>0</v>
      </c>
      <c r="R292" s="60">
        <v>0</v>
      </c>
      <c r="S292" s="61">
        <f t="shared" si="55"/>
        <v>0</v>
      </c>
      <c r="T292" s="60">
        <v>0</v>
      </c>
      <c r="U292" s="64">
        <f t="shared" si="56"/>
        <v>0</v>
      </c>
      <c r="V292" s="65">
        <v>0</v>
      </c>
      <c r="W292" s="66">
        <f t="shared" si="57"/>
        <v>500</v>
      </c>
      <c r="X292" s="67">
        <f t="shared" si="58"/>
        <v>0.5</v>
      </c>
      <c r="Y292" s="57" t="str">
        <f t="shared" si="59"/>
        <v>STOCK</v>
      </c>
      <c r="Z292" s="68" t="s">
        <v>1538</v>
      </c>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c r="BU292" s="8"/>
      <c r="BV292" s="8"/>
      <c r="BW292" s="8"/>
      <c r="BX292" s="8"/>
      <c r="BY292" s="8"/>
      <c r="BZ292" s="8"/>
      <c r="CA292" s="8"/>
      <c r="CB292" s="8"/>
      <c r="CC292" s="8"/>
      <c r="CD292" s="8"/>
      <c r="CE292" s="8"/>
      <c r="CF292" s="8"/>
      <c r="CG292" s="8"/>
      <c r="CH292" s="8"/>
      <c r="CI292" s="8"/>
      <c r="CJ292" s="8"/>
      <c r="CK292" s="8"/>
      <c r="CL292" s="8"/>
      <c r="CM292" s="8"/>
      <c r="CN292" s="8"/>
      <c r="CO292" s="8"/>
      <c r="CP292" s="8"/>
      <c r="CQ292" s="8"/>
      <c r="CR292" s="8"/>
      <c r="CS292" s="8"/>
      <c r="CT292" s="8"/>
      <c r="CU292" s="8"/>
      <c r="CV292" s="8"/>
      <c r="CW292" s="8"/>
      <c r="CX292" s="8"/>
      <c r="CY292" s="8"/>
      <c r="CZ292" s="8"/>
      <c r="DA292" s="8"/>
      <c r="DB292" s="8"/>
      <c r="DC292" s="8"/>
      <c r="DD292" s="8"/>
      <c r="DE292" s="8"/>
      <c r="DF292" s="8"/>
      <c r="DG292" s="8"/>
      <c r="DH292" s="8"/>
      <c r="DI292" s="8"/>
      <c r="DJ292" s="8"/>
      <c r="DK292" s="8"/>
      <c r="DL292" s="8"/>
      <c r="DM292" s="8"/>
      <c r="DN292" s="8"/>
      <c r="DO292" s="8"/>
      <c r="DP292" s="8"/>
      <c r="DQ292" s="8"/>
      <c r="DR292" s="8"/>
      <c r="DS292" s="8"/>
      <c r="DT292" s="8"/>
      <c r="DU292" s="8"/>
    </row>
    <row r="293" spans="1:125" s="1" customFormat="1" ht="20.100000000000001" customHeight="1" x14ac:dyDescent="0.25">
      <c r="A293" s="59" t="s">
        <v>523</v>
      </c>
      <c r="B293" s="84">
        <v>291</v>
      </c>
      <c r="C293" s="85" t="s">
        <v>610</v>
      </c>
      <c r="D293" s="60">
        <v>0</v>
      </c>
      <c r="E293" s="61">
        <f t="shared" si="48"/>
        <v>0</v>
      </c>
      <c r="F293" s="60">
        <v>0</v>
      </c>
      <c r="G293" s="61">
        <f t="shared" si="49"/>
        <v>0</v>
      </c>
      <c r="H293" s="60">
        <v>0</v>
      </c>
      <c r="I293" s="61">
        <f t="shared" si="50"/>
        <v>0</v>
      </c>
      <c r="J293" s="60">
        <v>0</v>
      </c>
      <c r="K293" s="61">
        <f t="shared" si="51"/>
        <v>0</v>
      </c>
      <c r="L293" s="62"/>
      <c r="M293" s="61">
        <f t="shared" si="52"/>
        <v>0</v>
      </c>
      <c r="N293" s="63">
        <v>0</v>
      </c>
      <c r="O293" s="61">
        <f t="shared" si="53"/>
        <v>0</v>
      </c>
      <c r="P293" s="60">
        <v>0</v>
      </c>
      <c r="Q293" s="61">
        <f t="shared" si="54"/>
        <v>0</v>
      </c>
      <c r="R293" s="60">
        <v>0</v>
      </c>
      <c r="S293" s="61">
        <f t="shared" si="55"/>
        <v>0</v>
      </c>
      <c r="T293" s="60">
        <v>0</v>
      </c>
      <c r="U293" s="64">
        <f t="shared" si="56"/>
        <v>0</v>
      </c>
      <c r="V293" s="65">
        <v>0</v>
      </c>
      <c r="W293" s="66">
        <f t="shared" si="57"/>
        <v>0</v>
      </c>
      <c r="X293" s="67">
        <f t="shared" si="58"/>
        <v>0</v>
      </c>
      <c r="Y293" s="57" t="str">
        <f t="shared" si="59"/>
        <v>NIL PLEASE PURCHASE</v>
      </c>
      <c r="Z293" s="68" t="s">
        <v>1539</v>
      </c>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c r="BU293" s="8"/>
      <c r="BV293" s="8"/>
      <c r="BW293" s="8"/>
      <c r="BX293" s="8"/>
      <c r="BY293" s="8"/>
      <c r="BZ293" s="8"/>
      <c r="CA293" s="8"/>
      <c r="CB293" s="8"/>
      <c r="CC293" s="8"/>
      <c r="CD293" s="8"/>
      <c r="CE293" s="8"/>
      <c r="CF293" s="8"/>
      <c r="CG293" s="8"/>
      <c r="CH293" s="8"/>
      <c r="CI293" s="8"/>
      <c r="CJ293" s="8"/>
      <c r="CK293" s="8"/>
      <c r="CL293" s="8"/>
      <c r="CM293" s="8"/>
      <c r="CN293" s="8"/>
      <c r="CO293" s="8"/>
      <c r="CP293" s="8"/>
      <c r="CQ293" s="8"/>
      <c r="CR293" s="8"/>
      <c r="CS293" s="8"/>
      <c r="CT293" s="8"/>
      <c r="CU293" s="8"/>
      <c r="CV293" s="8"/>
      <c r="CW293" s="8"/>
      <c r="CX293" s="8"/>
      <c r="CY293" s="8"/>
      <c r="CZ293" s="8"/>
      <c r="DA293" s="8"/>
      <c r="DB293" s="8"/>
      <c r="DC293" s="8"/>
      <c r="DD293" s="8"/>
      <c r="DE293" s="8"/>
      <c r="DF293" s="8"/>
      <c r="DG293" s="8"/>
      <c r="DH293" s="8"/>
      <c r="DI293" s="8"/>
      <c r="DJ293" s="8"/>
      <c r="DK293" s="8"/>
      <c r="DL293" s="8"/>
      <c r="DM293" s="8"/>
      <c r="DN293" s="8"/>
      <c r="DO293" s="8"/>
      <c r="DP293" s="8"/>
      <c r="DQ293" s="8"/>
      <c r="DR293" s="8"/>
      <c r="DS293" s="8"/>
      <c r="DT293" s="8"/>
      <c r="DU293" s="8"/>
    </row>
    <row r="294" spans="1:125" s="1" customFormat="1" ht="20.100000000000001" customHeight="1" x14ac:dyDescent="0.25">
      <c r="A294" s="59" t="s">
        <v>524</v>
      </c>
      <c r="B294" s="84">
        <v>292</v>
      </c>
      <c r="C294" s="85" t="s">
        <v>611</v>
      </c>
      <c r="D294" s="60">
        <v>0</v>
      </c>
      <c r="E294" s="61">
        <f t="shared" si="48"/>
        <v>0</v>
      </c>
      <c r="F294" s="60">
        <v>0</v>
      </c>
      <c r="G294" s="61">
        <f t="shared" si="49"/>
        <v>0</v>
      </c>
      <c r="H294" s="60">
        <v>0</v>
      </c>
      <c r="I294" s="61">
        <f t="shared" si="50"/>
        <v>0</v>
      </c>
      <c r="J294" s="60">
        <v>0</v>
      </c>
      <c r="K294" s="61">
        <f t="shared" si="51"/>
        <v>0</v>
      </c>
      <c r="L294" s="62"/>
      <c r="M294" s="61">
        <f t="shared" si="52"/>
        <v>0</v>
      </c>
      <c r="N294" s="63">
        <v>0</v>
      </c>
      <c r="O294" s="61">
        <f t="shared" si="53"/>
        <v>0</v>
      </c>
      <c r="P294" s="60">
        <v>0</v>
      </c>
      <c r="Q294" s="61">
        <f t="shared" si="54"/>
        <v>0</v>
      </c>
      <c r="R294" s="60">
        <v>0</v>
      </c>
      <c r="S294" s="61">
        <f t="shared" si="55"/>
        <v>0</v>
      </c>
      <c r="T294" s="60">
        <v>0</v>
      </c>
      <c r="U294" s="64">
        <f t="shared" si="56"/>
        <v>0</v>
      </c>
      <c r="V294" s="65">
        <v>0</v>
      </c>
      <c r="W294" s="66">
        <f t="shared" si="57"/>
        <v>0</v>
      </c>
      <c r="X294" s="67">
        <f t="shared" si="58"/>
        <v>0</v>
      </c>
      <c r="Y294" s="57" t="str">
        <f t="shared" si="59"/>
        <v>NIL PLEASE PURCHASE</v>
      </c>
      <c r="Z294" s="68" t="s">
        <v>1539</v>
      </c>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c r="BU294" s="8"/>
      <c r="BV294" s="8"/>
      <c r="BW294" s="8"/>
      <c r="BX294" s="8"/>
      <c r="BY294" s="8"/>
      <c r="BZ294" s="8"/>
      <c r="CA294" s="8"/>
      <c r="CB294" s="8"/>
      <c r="CC294" s="8"/>
      <c r="CD294" s="8"/>
      <c r="CE294" s="8"/>
      <c r="CF294" s="8"/>
      <c r="CG294" s="8"/>
      <c r="CH294" s="8"/>
      <c r="CI294" s="8"/>
      <c r="CJ294" s="8"/>
      <c r="CK294" s="8"/>
      <c r="CL294" s="8"/>
      <c r="CM294" s="8"/>
      <c r="CN294" s="8"/>
      <c r="CO294" s="8"/>
      <c r="CP294" s="8"/>
      <c r="CQ294" s="8"/>
      <c r="CR294" s="8"/>
      <c r="CS294" s="8"/>
      <c r="CT294" s="8"/>
      <c r="CU294" s="8"/>
      <c r="CV294" s="8"/>
      <c r="CW294" s="8"/>
      <c r="CX294" s="8"/>
      <c r="CY294" s="8"/>
      <c r="CZ294" s="8"/>
      <c r="DA294" s="8"/>
      <c r="DB294" s="8"/>
      <c r="DC294" s="8"/>
      <c r="DD294" s="8"/>
      <c r="DE294" s="8"/>
      <c r="DF294" s="8"/>
      <c r="DG294" s="8"/>
      <c r="DH294" s="8"/>
      <c r="DI294" s="8"/>
      <c r="DJ294" s="8"/>
      <c r="DK294" s="8"/>
      <c r="DL294" s="8"/>
      <c r="DM294" s="8"/>
      <c r="DN294" s="8"/>
      <c r="DO294" s="8"/>
      <c r="DP294" s="8"/>
      <c r="DQ294" s="8"/>
      <c r="DR294" s="8"/>
      <c r="DS294" s="8"/>
      <c r="DT294" s="8"/>
      <c r="DU294" s="8"/>
    </row>
    <row r="295" spans="1:125" s="1" customFormat="1" ht="20.100000000000001" customHeight="1" x14ac:dyDescent="0.25">
      <c r="A295" s="59" t="s">
        <v>525</v>
      </c>
      <c r="B295" s="84">
        <v>293</v>
      </c>
      <c r="C295" s="85" t="s">
        <v>612</v>
      </c>
      <c r="D295" s="60">
        <v>0</v>
      </c>
      <c r="E295" s="61">
        <f t="shared" si="48"/>
        <v>0</v>
      </c>
      <c r="F295" s="60">
        <v>0</v>
      </c>
      <c r="G295" s="61">
        <f t="shared" si="49"/>
        <v>0</v>
      </c>
      <c r="H295" s="60">
        <v>0</v>
      </c>
      <c r="I295" s="61">
        <f t="shared" si="50"/>
        <v>0</v>
      </c>
      <c r="J295" s="60">
        <v>0</v>
      </c>
      <c r="K295" s="61">
        <f t="shared" si="51"/>
        <v>0</v>
      </c>
      <c r="L295" s="62"/>
      <c r="M295" s="61">
        <f t="shared" si="52"/>
        <v>0</v>
      </c>
      <c r="N295" s="63">
        <v>0</v>
      </c>
      <c r="O295" s="61">
        <f t="shared" si="53"/>
        <v>0</v>
      </c>
      <c r="P295" s="60">
        <v>0</v>
      </c>
      <c r="Q295" s="61">
        <f t="shared" si="54"/>
        <v>0</v>
      </c>
      <c r="R295" s="60">
        <v>0</v>
      </c>
      <c r="S295" s="61">
        <f t="shared" si="55"/>
        <v>0</v>
      </c>
      <c r="T295" s="60">
        <v>0</v>
      </c>
      <c r="U295" s="64">
        <f t="shared" si="56"/>
        <v>0</v>
      </c>
      <c r="V295" s="65">
        <v>0</v>
      </c>
      <c r="W295" s="66">
        <f t="shared" si="57"/>
        <v>0</v>
      </c>
      <c r="X295" s="67">
        <f t="shared" si="58"/>
        <v>0</v>
      </c>
      <c r="Y295" s="57" t="str">
        <f t="shared" si="59"/>
        <v>NIL PLEASE PURCHASE</v>
      </c>
      <c r="Z295" s="68" t="s">
        <v>1539</v>
      </c>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c r="BU295" s="8"/>
      <c r="BV295" s="8"/>
      <c r="BW295" s="8"/>
      <c r="BX295" s="8"/>
      <c r="BY295" s="8"/>
      <c r="BZ295" s="8"/>
      <c r="CA295" s="8"/>
      <c r="CB295" s="8"/>
      <c r="CC295" s="8"/>
      <c r="CD295" s="8"/>
      <c r="CE295" s="8"/>
      <c r="CF295" s="8"/>
      <c r="CG295" s="8"/>
      <c r="CH295" s="8"/>
      <c r="CI295" s="8"/>
      <c r="CJ295" s="8"/>
      <c r="CK295" s="8"/>
      <c r="CL295" s="8"/>
      <c r="CM295" s="8"/>
      <c r="CN295" s="8"/>
      <c r="CO295" s="8"/>
      <c r="CP295" s="8"/>
      <c r="CQ295" s="8"/>
      <c r="CR295" s="8"/>
      <c r="CS295" s="8"/>
      <c r="CT295" s="8"/>
      <c r="CU295" s="8"/>
      <c r="CV295" s="8"/>
      <c r="CW295" s="8"/>
      <c r="CX295" s="8"/>
      <c r="CY295" s="8"/>
      <c r="CZ295" s="8"/>
      <c r="DA295" s="8"/>
      <c r="DB295" s="8"/>
      <c r="DC295" s="8"/>
      <c r="DD295" s="8"/>
      <c r="DE295" s="8"/>
      <c r="DF295" s="8"/>
      <c r="DG295" s="8"/>
      <c r="DH295" s="8"/>
      <c r="DI295" s="8"/>
      <c r="DJ295" s="8"/>
      <c r="DK295" s="8"/>
      <c r="DL295" s="8"/>
      <c r="DM295" s="8"/>
      <c r="DN295" s="8"/>
      <c r="DO295" s="8"/>
      <c r="DP295" s="8"/>
      <c r="DQ295" s="8"/>
      <c r="DR295" s="8"/>
      <c r="DS295" s="8"/>
      <c r="DT295" s="8"/>
      <c r="DU295" s="8"/>
    </row>
    <row r="296" spans="1:125" s="1" customFormat="1" ht="20.100000000000001" customHeight="1" x14ac:dyDescent="0.25">
      <c r="A296" s="59" t="s">
        <v>526</v>
      </c>
      <c r="B296" s="84">
        <v>294</v>
      </c>
      <c r="C296" s="85" t="s">
        <v>613</v>
      </c>
      <c r="D296" s="60">
        <v>0</v>
      </c>
      <c r="E296" s="61">
        <f t="shared" si="48"/>
        <v>0</v>
      </c>
      <c r="F296" s="60">
        <v>0</v>
      </c>
      <c r="G296" s="61">
        <f t="shared" si="49"/>
        <v>0</v>
      </c>
      <c r="H296" s="60">
        <v>0</v>
      </c>
      <c r="I296" s="61">
        <f t="shared" si="50"/>
        <v>0</v>
      </c>
      <c r="J296" s="60">
        <v>0</v>
      </c>
      <c r="K296" s="61">
        <f t="shared" si="51"/>
        <v>0</v>
      </c>
      <c r="L296" s="62"/>
      <c r="M296" s="61">
        <f t="shared" si="52"/>
        <v>0</v>
      </c>
      <c r="N296" s="63">
        <v>0</v>
      </c>
      <c r="O296" s="61">
        <f t="shared" si="53"/>
        <v>0</v>
      </c>
      <c r="P296" s="60">
        <v>0</v>
      </c>
      <c r="Q296" s="61">
        <f t="shared" si="54"/>
        <v>0</v>
      </c>
      <c r="R296" s="60">
        <v>0</v>
      </c>
      <c r="S296" s="61">
        <f t="shared" si="55"/>
        <v>0</v>
      </c>
      <c r="T296" s="60">
        <v>0</v>
      </c>
      <c r="U296" s="64">
        <f t="shared" si="56"/>
        <v>0</v>
      </c>
      <c r="V296" s="65">
        <v>0</v>
      </c>
      <c r="W296" s="66">
        <f t="shared" si="57"/>
        <v>0</v>
      </c>
      <c r="X296" s="67">
        <f t="shared" si="58"/>
        <v>0</v>
      </c>
      <c r="Y296" s="57" t="str">
        <f t="shared" si="59"/>
        <v>NIL PLEASE PURCHASE</v>
      </c>
      <c r="Z296" s="68" t="s">
        <v>1539</v>
      </c>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c r="BU296" s="8"/>
      <c r="BV296" s="8"/>
      <c r="BW296" s="8"/>
      <c r="BX296" s="8"/>
      <c r="BY296" s="8"/>
      <c r="BZ296" s="8"/>
      <c r="CA296" s="8"/>
      <c r="CB296" s="8"/>
      <c r="CC296" s="8"/>
      <c r="CD296" s="8"/>
      <c r="CE296" s="8"/>
      <c r="CF296" s="8"/>
      <c r="CG296" s="8"/>
      <c r="CH296" s="8"/>
      <c r="CI296" s="8"/>
      <c r="CJ296" s="8"/>
      <c r="CK296" s="8"/>
      <c r="CL296" s="8"/>
      <c r="CM296" s="8"/>
      <c r="CN296" s="8"/>
      <c r="CO296" s="8"/>
      <c r="CP296" s="8"/>
      <c r="CQ296" s="8"/>
      <c r="CR296" s="8"/>
      <c r="CS296" s="8"/>
      <c r="CT296" s="8"/>
      <c r="CU296" s="8"/>
      <c r="CV296" s="8"/>
      <c r="CW296" s="8"/>
      <c r="CX296" s="8"/>
      <c r="CY296" s="8"/>
      <c r="CZ296" s="8"/>
      <c r="DA296" s="8"/>
      <c r="DB296" s="8"/>
      <c r="DC296" s="8"/>
      <c r="DD296" s="8"/>
      <c r="DE296" s="8"/>
      <c r="DF296" s="8"/>
      <c r="DG296" s="8"/>
      <c r="DH296" s="8"/>
      <c r="DI296" s="8"/>
      <c r="DJ296" s="8"/>
      <c r="DK296" s="8"/>
      <c r="DL296" s="8"/>
      <c r="DM296" s="8"/>
      <c r="DN296" s="8"/>
      <c r="DO296" s="8"/>
      <c r="DP296" s="8"/>
      <c r="DQ296" s="8"/>
      <c r="DR296" s="8"/>
      <c r="DS296" s="8"/>
      <c r="DT296" s="8"/>
      <c r="DU296" s="8"/>
    </row>
    <row r="297" spans="1:125" s="1" customFormat="1" ht="20.100000000000001" customHeight="1" x14ac:dyDescent="0.25">
      <c r="A297" s="59" t="s">
        <v>527</v>
      </c>
      <c r="B297" s="84">
        <v>295</v>
      </c>
      <c r="C297" s="85" t="s">
        <v>614</v>
      </c>
      <c r="D297" s="60">
        <v>0</v>
      </c>
      <c r="E297" s="61">
        <f t="shared" si="48"/>
        <v>0</v>
      </c>
      <c r="F297" s="60">
        <v>0</v>
      </c>
      <c r="G297" s="61">
        <f t="shared" si="49"/>
        <v>0</v>
      </c>
      <c r="H297" s="60">
        <v>0</v>
      </c>
      <c r="I297" s="61">
        <f t="shared" si="50"/>
        <v>0</v>
      </c>
      <c r="J297" s="60">
        <v>1</v>
      </c>
      <c r="K297" s="61">
        <f t="shared" si="51"/>
        <v>100</v>
      </c>
      <c r="L297" s="62"/>
      <c r="M297" s="61">
        <f t="shared" si="52"/>
        <v>0</v>
      </c>
      <c r="N297" s="63">
        <v>0</v>
      </c>
      <c r="O297" s="61">
        <f t="shared" si="53"/>
        <v>0</v>
      </c>
      <c r="P297" s="60">
        <v>0</v>
      </c>
      <c r="Q297" s="61">
        <f t="shared" si="54"/>
        <v>0</v>
      </c>
      <c r="R297" s="60">
        <v>0</v>
      </c>
      <c r="S297" s="61">
        <f t="shared" si="55"/>
        <v>0</v>
      </c>
      <c r="T297" s="60">
        <v>0</v>
      </c>
      <c r="U297" s="64">
        <f t="shared" si="56"/>
        <v>0</v>
      </c>
      <c r="V297" s="65">
        <v>0</v>
      </c>
      <c r="W297" s="66">
        <f t="shared" si="57"/>
        <v>100</v>
      </c>
      <c r="X297" s="67">
        <f t="shared" si="58"/>
        <v>0.1</v>
      </c>
      <c r="Y297" s="57" t="str">
        <f t="shared" si="59"/>
        <v>STOCK</v>
      </c>
      <c r="Z297" s="68" t="s">
        <v>1538</v>
      </c>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c r="BU297" s="8"/>
      <c r="BV297" s="8"/>
      <c r="BW297" s="8"/>
      <c r="BX297" s="8"/>
      <c r="BY297" s="8"/>
      <c r="BZ297" s="8"/>
      <c r="CA297" s="8"/>
      <c r="CB297" s="8"/>
      <c r="CC297" s="8"/>
      <c r="CD297" s="8"/>
      <c r="CE297" s="8"/>
      <c r="CF297" s="8"/>
      <c r="CG297" s="8"/>
      <c r="CH297" s="8"/>
      <c r="CI297" s="8"/>
      <c r="CJ297" s="8"/>
      <c r="CK297" s="8"/>
      <c r="CL297" s="8"/>
      <c r="CM297" s="8"/>
      <c r="CN297" s="8"/>
      <c r="CO297" s="8"/>
      <c r="CP297" s="8"/>
      <c r="CQ297" s="8"/>
      <c r="CR297" s="8"/>
      <c r="CS297" s="8"/>
      <c r="CT297" s="8"/>
      <c r="CU297" s="8"/>
      <c r="CV297" s="8"/>
      <c r="CW297" s="8"/>
      <c r="CX297" s="8"/>
      <c r="CY297" s="8"/>
      <c r="CZ297" s="8"/>
      <c r="DA297" s="8"/>
      <c r="DB297" s="8"/>
      <c r="DC297" s="8"/>
      <c r="DD297" s="8"/>
      <c r="DE297" s="8"/>
      <c r="DF297" s="8"/>
      <c r="DG297" s="8"/>
      <c r="DH297" s="8"/>
      <c r="DI297" s="8"/>
      <c r="DJ297" s="8"/>
      <c r="DK297" s="8"/>
      <c r="DL297" s="8"/>
      <c r="DM297" s="8"/>
      <c r="DN297" s="8"/>
      <c r="DO297" s="8"/>
      <c r="DP297" s="8"/>
      <c r="DQ297" s="8"/>
      <c r="DR297" s="8"/>
      <c r="DS297" s="8"/>
      <c r="DT297" s="8"/>
      <c r="DU297" s="8"/>
    </row>
    <row r="298" spans="1:125" s="1" customFormat="1" ht="20.100000000000001" customHeight="1" x14ac:dyDescent="0.25">
      <c r="A298" s="59" t="s">
        <v>528</v>
      </c>
      <c r="B298" s="84">
        <v>296</v>
      </c>
      <c r="C298" s="85" t="s">
        <v>615</v>
      </c>
      <c r="D298" s="60">
        <v>0</v>
      </c>
      <c r="E298" s="61">
        <f t="shared" si="48"/>
        <v>0</v>
      </c>
      <c r="F298" s="60">
        <v>0</v>
      </c>
      <c r="G298" s="61">
        <f t="shared" si="49"/>
        <v>0</v>
      </c>
      <c r="H298" s="60">
        <v>0</v>
      </c>
      <c r="I298" s="61">
        <f t="shared" si="50"/>
        <v>0</v>
      </c>
      <c r="J298" s="60">
        <v>0</v>
      </c>
      <c r="K298" s="61">
        <f t="shared" si="51"/>
        <v>0</v>
      </c>
      <c r="L298" s="62"/>
      <c r="M298" s="61">
        <f t="shared" si="52"/>
        <v>0</v>
      </c>
      <c r="N298" s="63">
        <v>0</v>
      </c>
      <c r="O298" s="61">
        <f t="shared" si="53"/>
        <v>0</v>
      </c>
      <c r="P298" s="60">
        <v>0</v>
      </c>
      <c r="Q298" s="61">
        <f t="shared" si="54"/>
        <v>0</v>
      </c>
      <c r="R298" s="60">
        <v>0</v>
      </c>
      <c r="S298" s="61">
        <f t="shared" si="55"/>
        <v>0</v>
      </c>
      <c r="T298" s="60">
        <v>0</v>
      </c>
      <c r="U298" s="64">
        <f t="shared" si="56"/>
        <v>0</v>
      </c>
      <c r="V298" s="65">
        <v>0</v>
      </c>
      <c r="W298" s="66">
        <f t="shared" si="57"/>
        <v>0</v>
      </c>
      <c r="X298" s="67">
        <f t="shared" si="58"/>
        <v>0</v>
      </c>
      <c r="Y298" s="57" t="str">
        <f t="shared" si="59"/>
        <v>NIL PLEASE PURCHASE</v>
      </c>
      <c r="Z298" s="68" t="s">
        <v>1539</v>
      </c>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c r="BU298" s="8"/>
      <c r="BV298" s="8"/>
      <c r="BW298" s="8"/>
      <c r="BX298" s="8"/>
      <c r="BY298" s="8"/>
      <c r="BZ298" s="8"/>
      <c r="CA298" s="8"/>
      <c r="CB298" s="8"/>
      <c r="CC298" s="8"/>
      <c r="CD298" s="8"/>
      <c r="CE298" s="8"/>
      <c r="CF298" s="8"/>
      <c r="CG298" s="8"/>
      <c r="CH298" s="8"/>
      <c r="CI298" s="8"/>
      <c r="CJ298" s="8"/>
      <c r="CK298" s="8"/>
      <c r="CL298" s="8"/>
      <c r="CM298" s="8"/>
      <c r="CN298" s="8"/>
      <c r="CO298" s="8"/>
      <c r="CP298" s="8"/>
      <c r="CQ298" s="8"/>
      <c r="CR298" s="8"/>
      <c r="CS298" s="8"/>
      <c r="CT298" s="8"/>
      <c r="CU298" s="8"/>
      <c r="CV298" s="8"/>
      <c r="CW298" s="8"/>
      <c r="CX298" s="8"/>
      <c r="CY298" s="8"/>
      <c r="CZ298" s="8"/>
      <c r="DA298" s="8"/>
      <c r="DB298" s="8"/>
      <c r="DC298" s="8"/>
      <c r="DD298" s="8"/>
      <c r="DE298" s="8"/>
      <c r="DF298" s="8"/>
      <c r="DG298" s="8"/>
      <c r="DH298" s="8"/>
      <c r="DI298" s="8"/>
      <c r="DJ298" s="8"/>
      <c r="DK298" s="8"/>
      <c r="DL298" s="8"/>
      <c r="DM298" s="8"/>
      <c r="DN298" s="8"/>
      <c r="DO298" s="8"/>
      <c r="DP298" s="8"/>
      <c r="DQ298" s="8"/>
      <c r="DR298" s="8"/>
      <c r="DS298" s="8"/>
      <c r="DT298" s="8"/>
      <c r="DU298" s="8"/>
    </row>
    <row r="299" spans="1:125" s="1" customFormat="1" ht="20.100000000000001" customHeight="1" x14ac:dyDescent="0.25">
      <c r="A299" s="59" t="s">
        <v>529</v>
      </c>
      <c r="B299" s="84">
        <v>297</v>
      </c>
      <c r="C299" s="85" t="s">
        <v>616</v>
      </c>
      <c r="D299" s="60">
        <v>0</v>
      </c>
      <c r="E299" s="61">
        <f t="shared" si="48"/>
        <v>0</v>
      </c>
      <c r="F299" s="60">
        <v>0</v>
      </c>
      <c r="G299" s="61">
        <f t="shared" si="49"/>
        <v>0</v>
      </c>
      <c r="H299" s="60">
        <v>0</v>
      </c>
      <c r="I299" s="61">
        <f t="shared" si="50"/>
        <v>0</v>
      </c>
      <c r="J299" s="60">
        <v>0</v>
      </c>
      <c r="K299" s="61">
        <f t="shared" si="51"/>
        <v>0</v>
      </c>
      <c r="L299" s="62"/>
      <c r="M299" s="61">
        <f t="shared" si="52"/>
        <v>0</v>
      </c>
      <c r="N299" s="63">
        <v>0</v>
      </c>
      <c r="O299" s="61">
        <f t="shared" si="53"/>
        <v>0</v>
      </c>
      <c r="P299" s="60">
        <v>0</v>
      </c>
      <c r="Q299" s="61">
        <f t="shared" si="54"/>
        <v>0</v>
      </c>
      <c r="R299" s="60">
        <v>0</v>
      </c>
      <c r="S299" s="61">
        <f t="shared" si="55"/>
        <v>0</v>
      </c>
      <c r="T299" s="60">
        <v>0</v>
      </c>
      <c r="U299" s="64">
        <f t="shared" si="56"/>
        <v>0</v>
      </c>
      <c r="V299" s="65">
        <v>0</v>
      </c>
      <c r="W299" s="66">
        <f t="shared" si="57"/>
        <v>0</v>
      </c>
      <c r="X299" s="67">
        <f t="shared" si="58"/>
        <v>0</v>
      </c>
      <c r="Y299" s="57" t="str">
        <f t="shared" si="59"/>
        <v>NIL PLEASE PURCHASE</v>
      </c>
      <c r="Z299" s="68" t="s">
        <v>1539</v>
      </c>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c r="BU299" s="8"/>
      <c r="BV299" s="8"/>
      <c r="BW299" s="8"/>
      <c r="BX299" s="8"/>
      <c r="BY299" s="8"/>
      <c r="BZ299" s="8"/>
      <c r="CA299" s="8"/>
      <c r="CB299" s="8"/>
      <c r="CC299" s="8"/>
      <c r="CD299" s="8"/>
      <c r="CE299" s="8"/>
      <c r="CF299" s="8"/>
      <c r="CG299" s="8"/>
      <c r="CH299" s="8"/>
      <c r="CI299" s="8"/>
      <c r="CJ299" s="8"/>
      <c r="CK299" s="8"/>
      <c r="CL299" s="8"/>
      <c r="CM299" s="8"/>
      <c r="CN299" s="8"/>
      <c r="CO299" s="8"/>
      <c r="CP299" s="8"/>
      <c r="CQ299" s="8"/>
      <c r="CR299" s="8"/>
      <c r="CS299" s="8"/>
      <c r="CT299" s="8"/>
      <c r="CU299" s="8"/>
      <c r="CV299" s="8"/>
      <c r="CW299" s="8"/>
      <c r="CX299" s="8"/>
      <c r="CY299" s="8"/>
      <c r="CZ299" s="8"/>
      <c r="DA299" s="8"/>
      <c r="DB299" s="8"/>
      <c r="DC299" s="8"/>
      <c r="DD299" s="8"/>
      <c r="DE299" s="8"/>
      <c r="DF299" s="8"/>
      <c r="DG299" s="8"/>
      <c r="DH299" s="8"/>
      <c r="DI299" s="8"/>
      <c r="DJ299" s="8"/>
      <c r="DK299" s="8"/>
      <c r="DL299" s="8"/>
      <c r="DM299" s="8"/>
      <c r="DN299" s="8"/>
      <c r="DO299" s="8"/>
      <c r="DP299" s="8"/>
      <c r="DQ299" s="8"/>
      <c r="DR299" s="8"/>
      <c r="DS299" s="8"/>
      <c r="DT299" s="8"/>
      <c r="DU299" s="8"/>
    </row>
    <row r="300" spans="1:125" s="1" customFormat="1" ht="20.100000000000001" customHeight="1" x14ac:dyDescent="0.25">
      <c r="A300" s="59" t="s">
        <v>530</v>
      </c>
      <c r="B300" s="84">
        <v>298</v>
      </c>
      <c r="C300" s="85" t="s">
        <v>617</v>
      </c>
      <c r="D300" s="60">
        <v>0</v>
      </c>
      <c r="E300" s="61">
        <f t="shared" si="48"/>
        <v>0</v>
      </c>
      <c r="F300" s="60">
        <v>0</v>
      </c>
      <c r="G300" s="61">
        <f t="shared" si="49"/>
        <v>0</v>
      </c>
      <c r="H300" s="60">
        <v>0</v>
      </c>
      <c r="I300" s="61">
        <f t="shared" si="50"/>
        <v>0</v>
      </c>
      <c r="J300" s="60">
        <v>1</v>
      </c>
      <c r="K300" s="61">
        <f t="shared" si="51"/>
        <v>100</v>
      </c>
      <c r="L300" s="62"/>
      <c r="M300" s="61">
        <f t="shared" si="52"/>
        <v>0</v>
      </c>
      <c r="N300" s="63">
        <v>0</v>
      </c>
      <c r="O300" s="61">
        <f t="shared" si="53"/>
        <v>0</v>
      </c>
      <c r="P300" s="60">
        <v>0</v>
      </c>
      <c r="Q300" s="61">
        <f t="shared" si="54"/>
        <v>0</v>
      </c>
      <c r="R300" s="60">
        <v>0</v>
      </c>
      <c r="S300" s="61">
        <f t="shared" si="55"/>
        <v>0</v>
      </c>
      <c r="T300" s="60">
        <v>0</v>
      </c>
      <c r="U300" s="64">
        <f t="shared" si="56"/>
        <v>0</v>
      </c>
      <c r="V300" s="65">
        <v>0</v>
      </c>
      <c r="W300" s="66">
        <f t="shared" si="57"/>
        <v>100</v>
      </c>
      <c r="X300" s="67">
        <f t="shared" si="58"/>
        <v>0.1</v>
      </c>
      <c r="Y300" s="57" t="str">
        <f t="shared" si="59"/>
        <v>STOCK</v>
      </c>
      <c r="Z300" s="68" t="s">
        <v>1538</v>
      </c>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c r="BU300" s="8"/>
      <c r="BV300" s="8"/>
      <c r="BW300" s="8"/>
      <c r="BX300" s="8"/>
      <c r="BY300" s="8"/>
      <c r="BZ300" s="8"/>
      <c r="CA300" s="8"/>
      <c r="CB300" s="8"/>
      <c r="CC300" s="8"/>
      <c r="CD300" s="8"/>
      <c r="CE300" s="8"/>
      <c r="CF300" s="8"/>
      <c r="CG300" s="8"/>
      <c r="CH300" s="8"/>
      <c r="CI300" s="8"/>
      <c r="CJ300" s="8"/>
      <c r="CK300" s="8"/>
      <c r="CL300" s="8"/>
      <c r="CM300" s="8"/>
      <c r="CN300" s="8"/>
      <c r="CO300" s="8"/>
      <c r="CP300" s="8"/>
      <c r="CQ300" s="8"/>
      <c r="CR300" s="8"/>
      <c r="CS300" s="8"/>
      <c r="CT300" s="8"/>
      <c r="CU300" s="8"/>
      <c r="CV300" s="8"/>
      <c r="CW300" s="8"/>
      <c r="CX300" s="8"/>
      <c r="CY300" s="8"/>
      <c r="CZ300" s="8"/>
      <c r="DA300" s="8"/>
      <c r="DB300" s="8"/>
      <c r="DC300" s="8"/>
      <c r="DD300" s="8"/>
      <c r="DE300" s="8"/>
      <c r="DF300" s="8"/>
      <c r="DG300" s="8"/>
      <c r="DH300" s="8"/>
      <c r="DI300" s="8"/>
      <c r="DJ300" s="8"/>
      <c r="DK300" s="8"/>
      <c r="DL300" s="8"/>
      <c r="DM300" s="8"/>
      <c r="DN300" s="8"/>
      <c r="DO300" s="8"/>
      <c r="DP300" s="8"/>
      <c r="DQ300" s="8"/>
      <c r="DR300" s="8"/>
      <c r="DS300" s="8"/>
      <c r="DT300" s="8"/>
      <c r="DU300" s="8"/>
    </row>
    <row r="301" spans="1:125" s="1" customFormat="1" ht="20.100000000000001" customHeight="1" x14ac:dyDescent="0.25">
      <c r="A301" s="59" t="s">
        <v>531</v>
      </c>
      <c r="B301" s="84">
        <v>299</v>
      </c>
      <c r="C301" s="85" t="s">
        <v>618</v>
      </c>
      <c r="D301" s="60">
        <v>0</v>
      </c>
      <c r="E301" s="61">
        <f t="shared" si="48"/>
        <v>0</v>
      </c>
      <c r="F301" s="60">
        <v>0</v>
      </c>
      <c r="G301" s="61">
        <f t="shared" si="49"/>
        <v>0</v>
      </c>
      <c r="H301" s="60">
        <v>0</v>
      </c>
      <c r="I301" s="61">
        <f t="shared" si="50"/>
        <v>0</v>
      </c>
      <c r="J301" s="60">
        <v>0</v>
      </c>
      <c r="K301" s="61">
        <f t="shared" si="51"/>
        <v>0</v>
      </c>
      <c r="L301" s="62"/>
      <c r="M301" s="61">
        <f t="shared" si="52"/>
        <v>0</v>
      </c>
      <c r="N301" s="63">
        <v>0</v>
      </c>
      <c r="O301" s="61">
        <f t="shared" si="53"/>
        <v>0</v>
      </c>
      <c r="P301" s="60">
        <v>0</v>
      </c>
      <c r="Q301" s="61">
        <f t="shared" si="54"/>
        <v>0</v>
      </c>
      <c r="R301" s="60">
        <v>0</v>
      </c>
      <c r="S301" s="61">
        <f t="shared" si="55"/>
        <v>0</v>
      </c>
      <c r="T301" s="60">
        <v>0</v>
      </c>
      <c r="U301" s="64">
        <f t="shared" si="56"/>
        <v>0</v>
      </c>
      <c r="V301" s="65">
        <v>0</v>
      </c>
      <c r="W301" s="66">
        <f t="shared" si="57"/>
        <v>0</v>
      </c>
      <c r="X301" s="67">
        <f t="shared" si="58"/>
        <v>0</v>
      </c>
      <c r="Y301" s="57" t="str">
        <f t="shared" si="59"/>
        <v>NIL PLEASE PURCHASE</v>
      </c>
      <c r="Z301" s="68" t="s">
        <v>1539</v>
      </c>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c r="BU301" s="8"/>
      <c r="BV301" s="8"/>
      <c r="BW301" s="8"/>
      <c r="BX301" s="8"/>
      <c r="BY301" s="8"/>
      <c r="BZ301" s="8"/>
      <c r="CA301" s="8"/>
      <c r="CB301" s="8"/>
      <c r="CC301" s="8"/>
      <c r="CD301" s="8"/>
      <c r="CE301" s="8"/>
      <c r="CF301" s="8"/>
      <c r="CG301" s="8"/>
      <c r="CH301" s="8"/>
      <c r="CI301" s="8"/>
      <c r="CJ301" s="8"/>
      <c r="CK301" s="8"/>
      <c r="CL301" s="8"/>
      <c r="CM301" s="8"/>
      <c r="CN301" s="8"/>
      <c r="CO301" s="8"/>
      <c r="CP301" s="8"/>
      <c r="CQ301" s="8"/>
      <c r="CR301" s="8"/>
      <c r="CS301" s="8"/>
      <c r="CT301" s="8"/>
      <c r="CU301" s="8"/>
      <c r="CV301" s="8"/>
      <c r="CW301" s="8"/>
      <c r="CX301" s="8"/>
      <c r="CY301" s="8"/>
      <c r="CZ301" s="8"/>
      <c r="DA301" s="8"/>
      <c r="DB301" s="8"/>
      <c r="DC301" s="8"/>
      <c r="DD301" s="8"/>
      <c r="DE301" s="8"/>
      <c r="DF301" s="8"/>
      <c r="DG301" s="8"/>
      <c r="DH301" s="8"/>
      <c r="DI301" s="8"/>
      <c r="DJ301" s="8"/>
      <c r="DK301" s="8"/>
      <c r="DL301" s="8"/>
      <c r="DM301" s="8"/>
      <c r="DN301" s="8"/>
      <c r="DO301" s="8"/>
      <c r="DP301" s="8"/>
      <c r="DQ301" s="8"/>
      <c r="DR301" s="8"/>
      <c r="DS301" s="8"/>
      <c r="DT301" s="8"/>
      <c r="DU301" s="8"/>
    </row>
    <row r="302" spans="1:125" s="1" customFormat="1" ht="20.100000000000001" customHeight="1" x14ac:dyDescent="0.25">
      <c r="A302" s="59" t="s">
        <v>532</v>
      </c>
      <c r="B302" s="84">
        <v>300</v>
      </c>
      <c r="C302" s="85" t="s">
        <v>619</v>
      </c>
      <c r="D302" s="60">
        <v>0</v>
      </c>
      <c r="E302" s="61">
        <f t="shared" si="48"/>
        <v>0</v>
      </c>
      <c r="F302" s="60">
        <v>0</v>
      </c>
      <c r="G302" s="61">
        <f t="shared" si="49"/>
        <v>0</v>
      </c>
      <c r="H302" s="60">
        <v>0</v>
      </c>
      <c r="I302" s="61">
        <f t="shared" si="50"/>
        <v>0</v>
      </c>
      <c r="J302" s="60">
        <v>0</v>
      </c>
      <c r="K302" s="61">
        <f t="shared" si="51"/>
        <v>0</v>
      </c>
      <c r="L302" s="62">
        <v>1</v>
      </c>
      <c r="M302" s="61">
        <f t="shared" si="52"/>
        <v>250</v>
      </c>
      <c r="N302" s="63">
        <v>0</v>
      </c>
      <c r="O302" s="61">
        <f t="shared" si="53"/>
        <v>0</v>
      </c>
      <c r="P302" s="60">
        <v>0</v>
      </c>
      <c r="Q302" s="61">
        <f t="shared" si="54"/>
        <v>0</v>
      </c>
      <c r="R302" s="60">
        <v>0</v>
      </c>
      <c r="S302" s="61">
        <f t="shared" si="55"/>
        <v>0</v>
      </c>
      <c r="T302" s="60">
        <v>0</v>
      </c>
      <c r="U302" s="64">
        <f t="shared" si="56"/>
        <v>0</v>
      </c>
      <c r="V302" s="65">
        <v>0</v>
      </c>
      <c r="W302" s="66">
        <f t="shared" si="57"/>
        <v>250</v>
      </c>
      <c r="X302" s="67">
        <f t="shared" si="58"/>
        <v>0.25</v>
      </c>
      <c r="Y302" s="57" t="str">
        <f t="shared" si="59"/>
        <v>STOCK</v>
      </c>
      <c r="Z302" s="68" t="s">
        <v>1538</v>
      </c>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c r="BU302" s="8"/>
      <c r="BV302" s="8"/>
      <c r="BW302" s="8"/>
      <c r="BX302" s="8"/>
      <c r="BY302" s="8"/>
      <c r="BZ302" s="8"/>
      <c r="CA302" s="8"/>
      <c r="CB302" s="8"/>
      <c r="CC302" s="8"/>
      <c r="CD302" s="8"/>
      <c r="CE302" s="8"/>
      <c r="CF302" s="8"/>
      <c r="CG302" s="8"/>
      <c r="CH302" s="8"/>
      <c r="CI302" s="8"/>
      <c r="CJ302" s="8"/>
      <c r="CK302" s="8"/>
      <c r="CL302" s="8"/>
      <c r="CM302" s="8"/>
      <c r="CN302" s="8"/>
      <c r="CO302" s="8"/>
      <c r="CP302" s="8"/>
      <c r="CQ302" s="8"/>
      <c r="CR302" s="8"/>
      <c r="CS302" s="8"/>
      <c r="CT302" s="8"/>
      <c r="CU302" s="8"/>
      <c r="CV302" s="8"/>
      <c r="CW302" s="8"/>
      <c r="CX302" s="8"/>
      <c r="CY302" s="8"/>
      <c r="CZ302" s="8"/>
      <c r="DA302" s="8"/>
      <c r="DB302" s="8"/>
      <c r="DC302" s="8"/>
      <c r="DD302" s="8"/>
      <c r="DE302" s="8"/>
      <c r="DF302" s="8"/>
      <c r="DG302" s="8"/>
      <c r="DH302" s="8"/>
      <c r="DI302" s="8"/>
      <c r="DJ302" s="8"/>
      <c r="DK302" s="8"/>
      <c r="DL302" s="8"/>
      <c r="DM302" s="8"/>
      <c r="DN302" s="8"/>
      <c r="DO302" s="8"/>
      <c r="DP302" s="8"/>
      <c r="DQ302" s="8"/>
      <c r="DR302" s="8"/>
      <c r="DS302" s="8"/>
      <c r="DT302" s="8"/>
      <c r="DU302" s="8"/>
    </row>
    <row r="303" spans="1:125" s="1" customFormat="1" ht="20.100000000000001" customHeight="1" x14ac:dyDescent="0.25">
      <c r="A303" s="59" t="s">
        <v>533</v>
      </c>
      <c r="B303" s="84">
        <v>301</v>
      </c>
      <c r="C303" s="85" t="s">
        <v>620</v>
      </c>
      <c r="D303" s="60">
        <v>0</v>
      </c>
      <c r="E303" s="61">
        <f t="shared" si="48"/>
        <v>0</v>
      </c>
      <c r="F303" s="60">
        <v>0</v>
      </c>
      <c r="G303" s="61">
        <f t="shared" si="49"/>
        <v>0</v>
      </c>
      <c r="H303" s="60">
        <v>0</v>
      </c>
      <c r="I303" s="61">
        <f t="shared" si="50"/>
        <v>0</v>
      </c>
      <c r="J303" s="60">
        <v>0</v>
      </c>
      <c r="K303" s="61">
        <f t="shared" si="51"/>
        <v>0</v>
      </c>
      <c r="L303" s="62"/>
      <c r="M303" s="61">
        <f t="shared" si="52"/>
        <v>0</v>
      </c>
      <c r="N303" s="63">
        <v>1</v>
      </c>
      <c r="O303" s="61">
        <f t="shared" si="53"/>
        <v>500</v>
      </c>
      <c r="P303" s="60">
        <v>0</v>
      </c>
      <c r="Q303" s="61">
        <f t="shared" si="54"/>
        <v>0</v>
      </c>
      <c r="R303" s="60">
        <v>0</v>
      </c>
      <c r="S303" s="61">
        <f t="shared" si="55"/>
        <v>0</v>
      </c>
      <c r="T303" s="60">
        <v>0</v>
      </c>
      <c r="U303" s="64">
        <f t="shared" si="56"/>
        <v>0</v>
      </c>
      <c r="V303" s="65">
        <v>0</v>
      </c>
      <c r="W303" s="66">
        <f t="shared" si="57"/>
        <v>500</v>
      </c>
      <c r="X303" s="67">
        <f t="shared" si="58"/>
        <v>0.5</v>
      </c>
      <c r="Y303" s="57" t="str">
        <f t="shared" si="59"/>
        <v>STOCK</v>
      </c>
      <c r="Z303" s="68" t="s">
        <v>1538</v>
      </c>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c r="BU303" s="8"/>
      <c r="BV303" s="8"/>
      <c r="BW303" s="8"/>
      <c r="BX303" s="8"/>
      <c r="BY303" s="8"/>
      <c r="BZ303" s="8"/>
      <c r="CA303" s="8"/>
      <c r="CB303" s="8"/>
      <c r="CC303" s="8"/>
      <c r="CD303" s="8"/>
      <c r="CE303" s="8"/>
      <c r="CF303" s="8"/>
      <c r="CG303" s="8"/>
      <c r="CH303" s="8"/>
      <c r="CI303" s="8"/>
      <c r="CJ303" s="8"/>
      <c r="CK303" s="8"/>
      <c r="CL303" s="8"/>
      <c r="CM303" s="8"/>
      <c r="CN303" s="8"/>
      <c r="CO303" s="8"/>
      <c r="CP303" s="8"/>
      <c r="CQ303" s="8"/>
      <c r="CR303" s="8"/>
      <c r="CS303" s="8"/>
      <c r="CT303" s="8"/>
      <c r="CU303" s="8"/>
      <c r="CV303" s="8"/>
      <c r="CW303" s="8"/>
      <c r="CX303" s="8"/>
      <c r="CY303" s="8"/>
      <c r="CZ303" s="8"/>
      <c r="DA303" s="8"/>
      <c r="DB303" s="8"/>
      <c r="DC303" s="8"/>
      <c r="DD303" s="8"/>
      <c r="DE303" s="8"/>
      <c r="DF303" s="8"/>
      <c r="DG303" s="8"/>
      <c r="DH303" s="8"/>
      <c r="DI303" s="8"/>
      <c r="DJ303" s="8"/>
      <c r="DK303" s="8"/>
      <c r="DL303" s="8"/>
      <c r="DM303" s="8"/>
      <c r="DN303" s="8"/>
      <c r="DO303" s="8"/>
      <c r="DP303" s="8"/>
      <c r="DQ303" s="8"/>
      <c r="DR303" s="8"/>
      <c r="DS303" s="8"/>
      <c r="DT303" s="8"/>
      <c r="DU303" s="8"/>
    </row>
    <row r="304" spans="1:125" s="1" customFormat="1" ht="20.100000000000001" customHeight="1" x14ac:dyDescent="0.25">
      <c r="A304" s="59" t="s">
        <v>534</v>
      </c>
      <c r="B304" s="84">
        <v>302</v>
      </c>
      <c r="C304" s="85" t="s">
        <v>621</v>
      </c>
      <c r="D304" s="60">
        <v>0</v>
      </c>
      <c r="E304" s="61">
        <f t="shared" si="48"/>
        <v>0</v>
      </c>
      <c r="F304" s="60">
        <v>0</v>
      </c>
      <c r="G304" s="61">
        <f t="shared" si="49"/>
        <v>0</v>
      </c>
      <c r="H304" s="60">
        <v>0</v>
      </c>
      <c r="I304" s="61">
        <f t="shared" si="50"/>
        <v>0</v>
      </c>
      <c r="J304" s="60">
        <v>0</v>
      </c>
      <c r="K304" s="61">
        <f t="shared" si="51"/>
        <v>0</v>
      </c>
      <c r="L304" s="62"/>
      <c r="M304" s="61">
        <f t="shared" si="52"/>
        <v>0</v>
      </c>
      <c r="N304" s="63">
        <v>0</v>
      </c>
      <c r="O304" s="61">
        <f t="shared" si="53"/>
        <v>0</v>
      </c>
      <c r="P304" s="60">
        <v>0</v>
      </c>
      <c r="Q304" s="61">
        <f t="shared" si="54"/>
        <v>0</v>
      </c>
      <c r="R304" s="60">
        <v>0</v>
      </c>
      <c r="S304" s="61">
        <f t="shared" si="55"/>
        <v>0</v>
      </c>
      <c r="T304" s="60">
        <v>0</v>
      </c>
      <c r="U304" s="64">
        <f t="shared" si="56"/>
        <v>0</v>
      </c>
      <c r="V304" s="65">
        <v>0</v>
      </c>
      <c r="W304" s="66">
        <f t="shared" si="57"/>
        <v>0</v>
      </c>
      <c r="X304" s="67">
        <f t="shared" si="58"/>
        <v>0</v>
      </c>
      <c r="Y304" s="57" t="str">
        <f t="shared" si="59"/>
        <v>NIL PLEASE PURCHASE</v>
      </c>
      <c r="Z304" s="68" t="s">
        <v>1539</v>
      </c>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c r="BU304" s="8"/>
      <c r="BV304" s="8"/>
      <c r="BW304" s="8"/>
      <c r="BX304" s="8"/>
      <c r="BY304" s="8"/>
      <c r="BZ304" s="8"/>
      <c r="CA304" s="8"/>
      <c r="CB304" s="8"/>
      <c r="CC304" s="8"/>
      <c r="CD304" s="8"/>
      <c r="CE304" s="8"/>
      <c r="CF304" s="8"/>
      <c r="CG304" s="8"/>
      <c r="CH304" s="8"/>
      <c r="CI304" s="8"/>
      <c r="CJ304" s="8"/>
      <c r="CK304" s="8"/>
      <c r="CL304" s="8"/>
      <c r="CM304" s="8"/>
      <c r="CN304" s="8"/>
      <c r="CO304" s="8"/>
      <c r="CP304" s="8"/>
      <c r="CQ304" s="8"/>
      <c r="CR304" s="8"/>
      <c r="CS304" s="8"/>
      <c r="CT304" s="8"/>
      <c r="CU304" s="8"/>
      <c r="CV304" s="8"/>
      <c r="CW304" s="8"/>
      <c r="CX304" s="8"/>
      <c r="CY304" s="8"/>
      <c r="CZ304" s="8"/>
      <c r="DA304" s="8"/>
      <c r="DB304" s="8"/>
      <c r="DC304" s="8"/>
      <c r="DD304" s="8"/>
      <c r="DE304" s="8"/>
      <c r="DF304" s="8"/>
      <c r="DG304" s="8"/>
      <c r="DH304" s="8"/>
      <c r="DI304" s="8"/>
      <c r="DJ304" s="8"/>
      <c r="DK304" s="8"/>
      <c r="DL304" s="8"/>
      <c r="DM304" s="8"/>
      <c r="DN304" s="8"/>
      <c r="DO304" s="8"/>
      <c r="DP304" s="8"/>
      <c r="DQ304" s="8"/>
      <c r="DR304" s="8"/>
      <c r="DS304" s="8"/>
      <c r="DT304" s="8"/>
      <c r="DU304" s="8"/>
    </row>
    <row r="305" spans="1:125" s="1" customFormat="1" ht="20.100000000000001" customHeight="1" x14ac:dyDescent="0.25">
      <c r="A305" s="59" t="s">
        <v>535</v>
      </c>
      <c r="B305" s="84">
        <v>303</v>
      </c>
      <c r="C305" s="85" t="s">
        <v>622</v>
      </c>
      <c r="D305" s="60">
        <v>0</v>
      </c>
      <c r="E305" s="61">
        <f t="shared" si="48"/>
        <v>0</v>
      </c>
      <c r="F305" s="60">
        <v>0</v>
      </c>
      <c r="G305" s="61">
        <f t="shared" si="49"/>
        <v>0</v>
      </c>
      <c r="H305" s="60">
        <v>0</v>
      </c>
      <c r="I305" s="61">
        <f t="shared" si="50"/>
        <v>0</v>
      </c>
      <c r="J305" s="60">
        <v>0</v>
      </c>
      <c r="K305" s="61">
        <f t="shared" si="51"/>
        <v>0</v>
      </c>
      <c r="L305" s="62"/>
      <c r="M305" s="61">
        <f t="shared" si="52"/>
        <v>0</v>
      </c>
      <c r="N305" s="63">
        <v>0</v>
      </c>
      <c r="O305" s="61">
        <f t="shared" si="53"/>
        <v>0</v>
      </c>
      <c r="P305" s="60">
        <v>0</v>
      </c>
      <c r="Q305" s="61">
        <f t="shared" si="54"/>
        <v>0</v>
      </c>
      <c r="R305" s="60">
        <v>0</v>
      </c>
      <c r="S305" s="61">
        <f t="shared" si="55"/>
        <v>0</v>
      </c>
      <c r="T305" s="60">
        <v>0</v>
      </c>
      <c r="U305" s="64">
        <f t="shared" si="56"/>
        <v>0</v>
      </c>
      <c r="V305" s="65">
        <v>0</v>
      </c>
      <c r="W305" s="66">
        <f t="shared" si="57"/>
        <v>0</v>
      </c>
      <c r="X305" s="67">
        <f t="shared" si="58"/>
        <v>0</v>
      </c>
      <c r="Y305" s="57" t="str">
        <f t="shared" si="59"/>
        <v>NIL PLEASE PURCHASE</v>
      </c>
      <c r="Z305" s="68" t="s">
        <v>1539</v>
      </c>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c r="BU305" s="8"/>
      <c r="BV305" s="8"/>
      <c r="BW305" s="8"/>
      <c r="BX305" s="8"/>
      <c r="BY305" s="8"/>
      <c r="BZ305" s="8"/>
      <c r="CA305" s="8"/>
      <c r="CB305" s="8"/>
      <c r="CC305" s="8"/>
      <c r="CD305" s="8"/>
      <c r="CE305" s="8"/>
      <c r="CF305" s="8"/>
      <c r="CG305" s="8"/>
      <c r="CH305" s="8"/>
      <c r="CI305" s="8"/>
      <c r="CJ305" s="8"/>
      <c r="CK305" s="8"/>
      <c r="CL305" s="8"/>
      <c r="CM305" s="8"/>
      <c r="CN305" s="8"/>
      <c r="CO305" s="8"/>
      <c r="CP305" s="8"/>
      <c r="CQ305" s="8"/>
      <c r="CR305" s="8"/>
      <c r="CS305" s="8"/>
      <c r="CT305" s="8"/>
      <c r="CU305" s="8"/>
      <c r="CV305" s="8"/>
      <c r="CW305" s="8"/>
      <c r="CX305" s="8"/>
      <c r="CY305" s="8"/>
      <c r="CZ305" s="8"/>
      <c r="DA305" s="8"/>
      <c r="DB305" s="8"/>
      <c r="DC305" s="8"/>
      <c r="DD305" s="8"/>
      <c r="DE305" s="8"/>
      <c r="DF305" s="8"/>
      <c r="DG305" s="8"/>
      <c r="DH305" s="8"/>
      <c r="DI305" s="8"/>
      <c r="DJ305" s="8"/>
      <c r="DK305" s="8"/>
      <c r="DL305" s="8"/>
      <c r="DM305" s="8"/>
      <c r="DN305" s="8"/>
      <c r="DO305" s="8"/>
      <c r="DP305" s="8"/>
      <c r="DQ305" s="8"/>
      <c r="DR305" s="8"/>
      <c r="DS305" s="8"/>
      <c r="DT305" s="8"/>
      <c r="DU305" s="8"/>
    </row>
    <row r="306" spans="1:125" s="1" customFormat="1" ht="20.100000000000001" customHeight="1" x14ac:dyDescent="0.25">
      <c r="A306" s="59" t="s">
        <v>536</v>
      </c>
      <c r="B306" s="84">
        <v>304</v>
      </c>
      <c r="C306" s="85" t="s">
        <v>623</v>
      </c>
      <c r="D306" s="60">
        <v>0</v>
      </c>
      <c r="E306" s="61">
        <f t="shared" si="48"/>
        <v>0</v>
      </c>
      <c r="F306" s="60">
        <v>0</v>
      </c>
      <c r="G306" s="61">
        <f t="shared" si="49"/>
        <v>0</v>
      </c>
      <c r="H306" s="60">
        <v>0</v>
      </c>
      <c r="I306" s="61">
        <f t="shared" si="50"/>
        <v>0</v>
      </c>
      <c r="J306" s="60">
        <v>0</v>
      </c>
      <c r="K306" s="61">
        <f t="shared" si="51"/>
        <v>0</v>
      </c>
      <c r="L306" s="62"/>
      <c r="M306" s="61">
        <f t="shared" si="52"/>
        <v>0</v>
      </c>
      <c r="N306" s="63">
        <v>0</v>
      </c>
      <c r="O306" s="61">
        <f t="shared" si="53"/>
        <v>0</v>
      </c>
      <c r="P306" s="60">
        <v>0</v>
      </c>
      <c r="Q306" s="61">
        <f t="shared" si="54"/>
        <v>0</v>
      </c>
      <c r="R306" s="60">
        <v>0</v>
      </c>
      <c r="S306" s="61">
        <f t="shared" si="55"/>
        <v>0</v>
      </c>
      <c r="T306" s="60">
        <v>0</v>
      </c>
      <c r="U306" s="64">
        <f t="shared" si="56"/>
        <v>0</v>
      </c>
      <c r="V306" s="65">
        <v>0</v>
      </c>
      <c r="W306" s="66">
        <f t="shared" si="57"/>
        <v>0</v>
      </c>
      <c r="X306" s="67">
        <f t="shared" si="58"/>
        <v>0</v>
      </c>
      <c r="Y306" s="57" t="str">
        <f t="shared" si="59"/>
        <v>NIL PLEASE PURCHASE</v>
      </c>
      <c r="Z306" s="68" t="s">
        <v>1539</v>
      </c>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c r="BU306" s="8"/>
      <c r="BV306" s="8"/>
      <c r="BW306" s="8"/>
      <c r="BX306" s="8"/>
      <c r="BY306" s="8"/>
      <c r="BZ306" s="8"/>
      <c r="CA306" s="8"/>
      <c r="CB306" s="8"/>
      <c r="CC306" s="8"/>
      <c r="CD306" s="8"/>
      <c r="CE306" s="8"/>
      <c r="CF306" s="8"/>
      <c r="CG306" s="8"/>
      <c r="CH306" s="8"/>
      <c r="CI306" s="8"/>
      <c r="CJ306" s="8"/>
      <c r="CK306" s="8"/>
      <c r="CL306" s="8"/>
      <c r="CM306" s="8"/>
      <c r="CN306" s="8"/>
      <c r="CO306" s="8"/>
      <c r="CP306" s="8"/>
      <c r="CQ306" s="8"/>
      <c r="CR306" s="8"/>
      <c r="CS306" s="8"/>
      <c r="CT306" s="8"/>
      <c r="CU306" s="8"/>
      <c r="CV306" s="8"/>
      <c r="CW306" s="8"/>
      <c r="CX306" s="8"/>
      <c r="CY306" s="8"/>
      <c r="CZ306" s="8"/>
      <c r="DA306" s="8"/>
      <c r="DB306" s="8"/>
      <c r="DC306" s="8"/>
      <c r="DD306" s="8"/>
      <c r="DE306" s="8"/>
      <c r="DF306" s="8"/>
      <c r="DG306" s="8"/>
      <c r="DH306" s="8"/>
      <c r="DI306" s="8"/>
      <c r="DJ306" s="8"/>
      <c r="DK306" s="8"/>
      <c r="DL306" s="8"/>
      <c r="DM306" s="8"/>
      <c r="DN306" s="8"/>
      <c r="DO306" s="8"/>
      <c r="DP306" s="8"/>
      <c r="DQ306" s="8"/>
      <c r="DR306" s="8"/>
      <c r="DS306" s="8"/>
      <c r="DT306" s="8"/>
      <c r="DU306" s="8"/>
    </row>
    <row r="307" spans="1:125" s="1" customFormat="1" ht="20.100000000000001" customHeight="1" x14ac:dyDescent="0.25">
      <c r="A307" s="59" t="s">
        <v>537</v>
      </c>
      <c r="B307" s="84">
        <v>305</v>
      </c>
      <c r="C307" s="85" t="s">
        <v>624</v>
      </c>
      <c r="D307" s="60">
        <v>0</v>
      </c>
      <c r="E307" s="61">
        <f t="shared" si="48"/>
        <v>0</v>
      </c>
      <c r="F307" s="60">
        <v>0</v>
      </c>
      <c r="G307" s="61">
        <f t="shared" si="49"/>
        <v>0</v>
      </c>
      <c r="H307" s="60">
        <v>0</v>
      </c>
      <c r="I307" s="61">
        <f t="shared" si="50"/>
        <v>0</v>
      </c>
      <c r="J307" s="60">
        <v>0</v>
      </c>
      <c r="K307" s="61">
        <f t="shared" si="51"/>
        <v>0</v>
      </c>
      <c r="L307" s="62"/>
      <c r="M307" s="61">
        <f t="shared" si="52"/>
        <v>0</v>
      </c>
      <c r="N307" s="63">
        <v>0</v>
      </c>
      <c r="O307" s="61">
        <f t="shared" si="53"/>
        <v>0</v>
      </c>
      <c r="P307" s="60">
        <v>0</v>
      </c>
      <c r="Q307" s="61">
        <f t="shared" si="54"/>
        <v>0</v>
      </c>
      <c r="R307" s="60">
        <v>0</v>
      </c>
      <c r="S307" s="61">
        <f t="shared" si="55"/>
        <v>0</v>
      </c>
      <c r="T307" s="60">
        <v>0</v>
      </c>
      <c r="U307" s="64">
        <f t="shared" si="56"/>
        <v>0</v>
      </c>
      <c r="V307" s="65">
        <v>0</v>
      </c>
      <c r="W307" s="66">
        <f t="shared" si="57"/>
        <v>0</v>
      </c>
      <c r="X307" s="67">
        <f t="shared" si="58"/>
        <v>0</v>
      </c>
      <c r="Y307" s="57" t="str">
        <f t="shared" si="59"/>
        <v>NIL PLEASE PURCHASE</v>
      </c>
      <c r="Z307" s="68" t="s">
        <v>1539</v>
      </c>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c r="BU307" s="8"/>
      <c r="BV307" s="8"/>
      <c r="BW307" s="8"/>
      <c r="BX307" s="8"/>
      <c r="BY307" s="8"/>
      <c r="BZ307" s="8"/>
      <c r="CA307" s="8"/>
      <c r="CB307" s="8"/>
      <c r="CC307" s="8"/>
      <c r="CD307" s="8"/>
      <c r="CE307" s="8"/>
      <c r="CF307" s="8"/>
      <c r="CG307" s="8"/>
      <c r="CH307" s="8"/>
      <c r="CI307" s="8"/>
      <c r="CJ307" s="8"/>
      <c r="CK307" s="8"/>
      <c r="CL307" s="8"/>
      <c r="CM307" s="8"/>
      <c r="CN307" s="8"/>
      <c r="CO307" s="8"/>
      <c r="CP307" s="8"/>
      <c r="CQ307" s="8"/>
      <c r="CR307" s="8"/>
      <c r="CS307" s="8"/>
      <c r="CT307" s="8"/>
      <c r="CU307" s="8"/>
      <c r="CV307" s="8"/>
      <c r="CW307" s="8"/>
      <c r="CX307" s="8"/>
      <c r="CY307" s="8"/>
      <c r="CZ307" s="8"/>
      <c r="DA307" s="8"/>
      <c r="DB307" s="8"/>
      <c r="DC307" s="8"/>
      <c r="DD307" s="8"/>
      <c r="DE307" s="8"/>
      <c r="DF307" s="8"/>
      <c r="DG307" s="8"/>
      <c r="DH307" s="8"/>
      <c r="DI307" s="8"/>
      <c r="DJ307" s="8"/>
      <c r="DK307" s="8"/>
      <c r="DL307" s="8"/>
      <c r="DM307" s="8"/>
      <c r="DN307" s="8"/>
      <c r="DO307" s="8"/>
      <c r="DP307" s="8"/>
      <c r="DQ307" s="8"/>
      <c r="DR307" s="8"/>
      <c r="DS307" s="8"/>
      <c r="DT307" s="8"/>
      <c r="DU307" s="8"/>
    </row>
    <row r="308" spans="1:125" s="1" customFormat="1" ht="20.100000000000001" customHeight="1" x14ac:dyDescent="0.25">
      <c r="A308" s="59" t="s">
        <v>538</v>
      </c>
      <c r="B308" s="84">
        <v>306</v>
      </c>
      <c r="C308" s="85" t="s">
        <v>625</v>
      </c>
      <c r="D308" s="60">
        <v>0</v>
      </c>
      <c r="E308" s="61">
        <f t="shared" si="48"/>
        <v>0</v>
      </c>
      <c r="F308" s="60">
        <v>0</v>
      </c>
      <c r="G308" s="61">
        <f t="shared" si="49"/>
        <v>0</v>
      </c>
      <c r="H308" s="60">
        <v>0</v>
      </c>
      <c r="I308" s="61">
        <f t="shared" si="50"/>
        <v>0</v>
      </c>
      <c r="J308" s="60">
        <v>0</v>
      </c>
      <c r="K308" s="61">
        <f t="shared" si="51"/>
        <v>0</v>
      </c>
      <c r="L308" s="62"/>
      <c r="M308" s="61">
        <f t="shared" si="52"/>
        <v>0</v>
      </c>
      <c r="N308" s="63">
        <v>0</v>
      </c>
      <c r="O308" s="61">
        <f t="shared" si="53"/>
        <v>0</v>
      </c>
      <c r="P308" s="60">
        <v>0</v>
      </c>
      <c r="Q308" s="61">
        <f t="shared" si="54"/>
        <v>0</v>
      </c>
      <c r="R308" s="60">
        <v>0</v>
      </c>
      <c r="S308" s="61">
        <f t="shared" si="55"/>
        <v>0</v>
      </c>
      <c r="T308" s="60">
        <v>0</v>
      </c>
      <c r="U308" s="64">
        <f t="shared" si="56"/>
        <v>0</v>
      </c>
      <c r="V308" s="65">
        <v>0</v>
      </c>
      <c r="W308" s="66">
        <f t="shared" si="57"/>
        <v>0</v>
      </c>
      <c r="X308" s="67">
        <f t="shared" si="58"/>
        <v>0</v>
      </c>
      <c r="Y308" s="57" t="str">
        <f t="shared" si="59"/>
        <v>NIL PLEASE PURCHASE</v>
      </c>
      <c r="Z308" s="68" t="s">
        <v>1539</v>
      </c>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c r="BU308" s="8"/>
      <c r="BV308" s="8"/>
      <c r="BW308" s="8"/>
      <c r="BX308" s="8"/>
      <c r="BY308" s="8"/>
      <c r="BZ308" s="8"/>
      <c r="CA308" s="8"/>
      <c r="CB308" s="8"/>
      <c r="CC308" s="8"/>
      <c r="CD308" s="8"/>
      <c r="CE308" s="8"/>
      <c r="CF308" s="8"/>
      <c r="CG308" s="8"/>
      <c r="CH308" s="8"/>
      <c r="CI308" s="8"/>
      <c r="CJ308" s="8"/>
      <c r="CK308" s="8"/>
      <c r="CL308" s="8"/>
      <c r="CM308" s="8"/>
      <c r="CN308" s="8"/>
      <c r="CO308" s="8"/>
      <c r="CP308" s="8"/>
      <c r="CQ308" s="8"/>
      <c r="CR308" s="8"/>
      <c r="CS308" s="8"/>
      <c r="CT308" s="8"/>
      <c r="CU308" s="8"/>
      <c r="CV308" s="8"/>
      <c r="CW308" s="8"/>
      <c r="CX308" s="8"/>
      <c r="CY308" s="8"/>
      <c r="CZ308" s="8"/>
      <c r="DA308" s="8"/>
      <c r="DB308" s="8"/>
      <c r="DC308" s="8"/>
      <c r="DD308" s="8"/>
      <c r="DE308" s="8"/>
      <c r="DF308" s="8"/>
      <c r="DG308" s="8"/>
      <c r="DH308" s="8"/>
      <c r="DI308" s="8"/>
      <c r="DJ308" s="8"/>
      <c r="DK308" s="8"/>
      <c r="DL308" s="8"/>
      <c r="DM308" s="8"/>
      <c r="DN308" s="8"/>
      <c r="DO308" s="8"/>
      <c r="DP308" s="8"/>
      <c r="DQ308" s="8"/>
      <c r="DR308" s="8"/>
      <c r="DS308" s="8"/>
      <c r="DT308" s="8"/>
      <c r="DU308" s="8"/>
    </row>
    <row r="309" spans="1:125" s="1" customFormat="1" ht="20.100000000000001" customHeight="1" x14ac:dyDescent="0.25">
      <c r="A309" s="59" t="s">
        <v>539</v>
      </c>
      <c r="B309" s="84">
        <v>307</v>
      </c>
      <c r="C309" s="85" t="s">
        <v>626</v>
      </c>
      <c r="D309" s="60">
        <v>0</v>
      </c>
      <c r="E309" s="61">
        <f t="shared" si="48"/>
        <v>0</v>
      </c>
      <c r="F309" s="60">
        <v>0</v>
      </c>
      <c r="G309" s="61">
        <f t="shared" si="49"/>
        <v>0</v>
      </c>
      <c r="H309" s="60">
        <v>0</v>
      </c>
      <c r="I309" s="61">
        <f t="shared" si="50"/>
        <v>0</v>
      </c>
      <c r="J309" s="60">
        <v>0</v>
      </c>
      <c r="K309" s="61">
        <f t="shared" si="51"/>
        <v>0</v>
      </c>
      <c r="L309" s="62"/>
      <c r="M309" s="61">
        <f t="shared" si="52"/>
        <v>0</v>
      </c>
      <c r="N309" s="63">
        <v>0</v>
      </c>
      <c r="O309" s="61">
        <f t="shared" si="53"/>
        <v>0</v>
      </c>
      <c r="P309" s="60">
        <v>0</v>
      </c>
      <c r="Q309" s="61">
        <f t="shared" si="54"/>
        <v>0</v>
      </c>
      <c r="R309" s="60">
        <v>0</v>
      </c>
      <c r="S309" s="61">
        <f t="shared" si="55"/>
        <v>0</v>
      </c>
      <c r="T309" s="60">
        <v>0</v>
      </c>
      <c r="U309" s="64">
        <f t="shared" si="56"/>
        <v>0</v>
      </c>
      <c r="V309" s="65">
        <v>0</v>
      </c>
      <c r="W309" s="66">
        <f t="shared" si="57"/>
        <v>0</v>
      </c>
      <c r="X309" s="67">
        <f t="shared" si="58"/>
        <v>0</v>
      </c>
      <c r="Y309" s="57" t="str">
        <f t="shared" si="59"/>
        <v>NIL PLEASE PURCHASE</v>
      </c>
      <c r="Z309" s="68" t="s">
        <v>1539</v>
      </c>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c r="BU309" s="8"/>
      <c r="BV309" s="8"/>
      <c r="BW309" s="8"/>
      <c r="BX309" s="8"/>
      <c r="BY309" s="8"/>
      <c r="BZ309" s="8"/>
      <c r="CA309" s="8"/>
      <c r="CB309" s="8"/>
      <c r="CC309" s="8"/>
      <c r="CD309" s="8"/>
      <c r="CE309" s="8"/>
      <c r="CF309" s="8"/>
      <c r="CG309" s="8"/>
      <c r="CH309" s="8"/>
      <c r="CI309" s="8"/>
      <c r="CJ309" s="8"/>
      <c r="CK309" s="8"/>
      <c r="CL309" s="8"/>
      <c r="CM309" s="8"/>
      <c r="CN309" s="8"/>
      <c r="CO309" s="8"/>
      <c r="CP309" s="8"/>
      <c r="CQ309" s="8"/>
      <c r="CR309" s="8"/>
      <c r="CS309" s="8"/>
      <c r="CT309" s="8"/>
      <c r="CU309" s="8"/>
      <c r="CV309" s="8"/>
      <c r="CW309" s="8"/>
      <c r="CX309" s="8"/>
      <c r="CY309" s="8"/>
      <c r="CZ309" s="8"/>
      <c r="DA309" s="8"/>
      <c r="DB309" s="8"/>
      <c r="DC309" s="8"/>
      <c r="DD309" s="8"/>
      <c r="DE309" s="8"/>
      <c r="DF309" s="8"/>
      <c r="DG309" s="8"/>
      <c r="DH309" s="8"/>
      <c r="DI309" s="8"/>
      <c r="DJ309" s="8"/>
      <c r="DK309" s="8"/>
      <c r="DL309" s="8"/>
      <c r="DM309" s="8"/>
      <c r="DN309" s="8"/>
      <c r="DO309" s="8"/>
      <c r="DP309" s="8"/>
      <c r="DQ309" s="8"/>
      <c r="DR309" s="8"/>
      <c r="DS309" s="8"/>
      <c r="DT309" s="8"/>
      <c r="DU309" s="8"/>
    </row>
    <row r="310" spans="1:125" s="1" customFormat="1" ht="20.100000000000001" customHeight="1" x14ac:dyDescent="0.25">
      <c r="A310" s="59" t="s">
        <v>540</v>
      </c>
      <c r="B310" s="84">
        <v>308</v>
      </c>
      <c r="C310" s="85" t="s">
        <v>627</v>
      </c>
      <c r="D310" s="60">
        <v>0</v>
      </c>
      <c r="E310" s="61">
        <f t="shared" si="48"/>
        <v>0</v>
      </c>
      <c r="F310" s="60">
        <v>0</v>
      </c>
      <c r="G310" s="61">
        <f t="shared" si="49"/>
        <v>0</v>
      </c>
      <c r="H310" s="60">
        <v>0</v>
      </c>
      <c r="I310" s="61">
        <f t="shared" si="50"/>
        <v>0</v>
      </c>
      <c r="J310" s="60">
        <v>0</v>
      </c>
      <c r="K310" s="61">
        <f t="shared" si="51"/>
        <v>0</v>
      </c>
      <c r="L310" s="62"/>
      <c r="M310" s="61">
        <f t="shared" si="52"/>
        <v>0</v>
      </c>
      <c r="N310" s="63">
        <v>0</v>
      </c>
      <c r="O310" s="61">
        <f t="shared" si="53"/>
        <v>0</v>
      </c>
      <c r="P310" s="60">
        <v>0</v>
      </c>
      <c r="Q310" s="61">
        <f t="shared" si="54"/>
        <v>0</v>
      </c>
      <c r="R310" s="60">
        <v>0</v>
      </c>
      <c r="S310" s="61">
        <f t="shared" si="55"/>
        <v>0</v>
      </c>
      <c r="T310" s="60">
        <v>0</v>
      </c>
      <c r="U310" s="64">
        <f t="shared" si="56"/>
        <v>0</v>
      </c>
      <c r="V310" s="65">
        <v>0</v>
      </c>
      <c r="W310" s="66">
        <f t="shared" si="57"/>
        <v>0</v>
      </c>
      <c r="X310" s="67">
        <f t="shared" si="58"/>
        <v>0</v>
      </c>
      <c r="Y310" s="57" t="str">
        <f t="shared" si="59"/>
        <v>NIL PLEASE PURCHASE</v>
      </c>
      <c r="Z310" s="68" t="s">
        <v>1539</v>
      </c>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c r="BU310" s="8"/>
      <c r="BV310" s="8"/>
      <c r="BW310" s="8"/>
      <c r="BX310" s="8"/>
      <c r="BY310" s="8"/>
      <c r="BZ310" s="8"/>
      <c r="CA310" s="8"/>
      <c r="CB310" s="8"/>
      <c r="CC310" s="8"/>
      <c r="CD310" s="8"/>
      <c r="CE310" s="8"/>
      <c r="CF310" s="8"/>
      <c r="CG310" s="8"/>
      <c r="CH310" s="8"/>
      <c r="CI310" s="8"/>
      <c r="CJ310" s="8"/>
      <c r="CK310" s="8"/>
      <c r="CL310" s="8"/>
      <c r="CM310" s="8"/>
      <c r="CN310" s="8"/>
      <c r="CO310" s="8"/>
      <c r="CP310" s="8"/>
      <c r="CQ310" s="8"/>
      <c r="CR310" s="8"/>
      <c r="CS310" s="8"/>
      <c r="CT310" s="8"/>
      <c r="CU310" s="8"/>
      <c r="CV310" s="8"/>
      <c r="CW310" s="8"/>
      <c r="CX310" s="8"/>
      <c r="CY310" s="8"/>
      <c r="CZ310" s="8"/>
      <c r="DA310" s="8"/>
      <c r="DB310" s="8"/>
      <c r="DC310" s="8"/>
      <c r="DD310" s="8"/>
      <c r="DE310" s="8"/>
      <c r="DF310" s="8"/>
      <c r="DG310" s="8"/>
      <c r="DH310" s="8"/>
      <c r="DI310" s="8"/>
      <c r="DJ310" s="8"/>
      <c r="DK310" s="8"/>
      <c r="DL310" s="8"/>
      <c r="DM310" s="8"/>
      <c r="DN310" s="8"/>
      <c r="DO310" s="8"/>
      <c r="DP310" s="8"/>
      <c r="DQ310" s="8"/>
      <c r="DR310" s="8"/>
      <c r="DS310" s="8"/>
      <c r="DT310" s="8"/>
      <c r="DU310" s="8"/>
    </row>
    <row r="311" spans="1:125" s="1" customFormat="1" ht="20.100000000000001" customHeight="1" x14ac:dyDescent="0.25">
      <c r="A311" s="59" t="s">
        <v>541</v>
      </c>
      <c r="B311" s="84">
        <v>309</v>
      </c>
      <c r="C311" s="85" t="s">
        <v>628</v>
      </c>
      <c r="D311" s="60">
        <v>0</v>
      </c>
      <c r="E311" s="61">
        <f t="shared" si="48"/>
        <v>0</v>
      </c>
      <c r="F311" s="60">
        <v>0</v>
      </c>
      <c r="G311" s="61">
        <f t="shared" si="49"/>
        <v>0</v>
      </c>
      <c r="H311" s="60">
        <v>0</v>
      </c>
      <c r="I311" s="61">
        <f t="shared" si="50"/>
        <v>0</v>
      </c>
      <c r="J311" s="60">
        <v>0</v>
      </c>
      <c r="K311" s="61">
        <f t="shared" si="51"/>
        <v>0</v>
      </c>
      <c r="L311" s="62">
        <v>4</v>
      </c>
      <c r="M311" s="61">
        <v>1000</v>
      </c>
      <c r="N311" s="63">
        <v>0</v>
      </c>
      <c r="O311" s="61">
        <f t="shared" si="53"/>
        <v>0</v>
      </c>
      <c r="P311" s="60">
        <v>0</v>
      </c>
      <c r="Q311" s="61">
        <f t="shared" si="54"/>
        <v>0</v>
      </c>
      <c r="R311" s="60">
        <v>0</v>
      </c>
      <c r="S311" s="61">
        <f t="shared" si="55"/>
        <v>0</v>
      </c>
      <c r="T311" s="60">
        <v>0</v>
      </c>
      <c r="U311" s="64">
        <f t="shared" si="56"/>
        <v>0</v>
      </c>
      <c r="V311" s="65">
        <v>0</v>
      </c>
      <c r="W311" s="66">
        <f t="shared" si="57"/>
        <v>1000</v>
      </c>
      <c r="X311" s="67">
        <f t="shared" si="58"/>
        <v>1</v>
      </c>
      <c r="Y311" s="57" t="str">
        <f t="shared" si="59"/>
        <v>STOCK</v>
      </c>
      <c r="Z311" s="68" t="s">
        <v>1538</v>
      </c>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c r="BU311" s="8"/>
      <c r="BV311" s="8"/>
      <c r="BW311" s="8"/>
      <c r="BX311" s="8"/>
      <c r="BY311" s="8"/>
      <c r="BZ311" s="8"/>
      <c r="CA311" s="8"/>
      <c r="CB311" s="8"/>
      <c r="CC311" s="8"/>
      <c r="CD311" s="8"/>
      <c r="CE311" s="8"/>
      <c r="CF311" s="8"/>
      <c r="CG311" s="8"/>
      <c r="CH311" s="8"/>
      <c r="CI311" s="8"/>
      <c r="CJ311" s="8"/>
      <c r="CK311" s="8"/>
      <c r="CL311" s="8"/>
      <c r="CM311" s="8"/>
      <c r="CN311" s="8"/>
      <c r="CO311" s="8"/>
      <c r="CP311" s="8"/>
      <c r="CQ311" s="8"/>
      <c r="CR311" s="8"/>
      <c r="CS311" s="8"/>
      <c r="CT311" s="8"/>
      <c r="CU311" s="8"/>
      <c r="CV311" s="8"/>
      <c r="CW311" s="8"/>
      <c r="CX311" s="8"/>
      <c r="CY311" s="8"/>
      <c r="CZ311" s="8"/>
      <c r="DA311" s="8"/>
      <c r="DB311" s="8"/>
      <c r="DC311" s="8"/>
      <c r="DD311" s="8"/>
      <c r="DE311" s="8"/>
      <c r="DF311" s="8"/>
      <c r="DG311" s="8"/>
      <c r="DH311" s="8"/>
      <c r="DI311" s="8"/>
      <c r="DJ311" s="8"/>
      <c r="DK311" s="8"/>
      <c r="DL311" s="8"/>
      <c r="DM311" s="8"/>
      <c r="DN311" s="8"/>
      <c r="DO311" s="8"/>
      <c r="DP311" s="8"/>
      <c r="DQ311" s="8"/>
      <c r="DR311" s="8"/>
      <c r="DS311" s="8"/>
      <c r="DT311" s="8"/>
      <c r="DU311" s="8"/>
    </row>
    <row r="312" spans="1:125" s="8" customFormat="1" ht="20.100000000000001" customHeight="1" x14ac:dyDescent="0.25">
      <c r="A312" s="59" t="s">
        <v>897</v>
      </c>
      <c r="B312" s="84">
        <v>310</v>
      </c>
      <c r="C312" s="85" t="s">
        <v>629</v>
      </c>
      <c r="D312" s="60">
        <v>0</v>
      </c>
      <c r="E312" s="61">
        <f t="shared" si="48"/>
        <v>0</v>
      </c>
      <c r="F312" s="60">
        <v>0</v>
      </c>
      <c r="G312" s="61">
        <f t="shared" si="49"/>
        <v>0</v>
      </c>
      <c r="H312" s="60">
        <v>0</v>
      </c>
      <c r="I312" s="61">
        <f t="shared" si="50"/>
        <v>0</v>
      </c>
      <c r="J312" s="60">
        <v>0</v>
      </c>
      <c r="K312" s="61">
        <f t="shared" si="51"/>
        <v>0</v>
      </c>
      <c r="L312" s="62"/>
      <c r="M312" s="61">
        <f t="shared" si="52"/>
        <v>0</v>
      </c>
      <c r="N312" s="63">
        <v>1</v>
      </c>
      <c r="O312" s="61">
        <f t="shared" si="53"/>
        <v>500</v>
      </c>
      <c r="P312" s="60">
        <v>0</v>
      </c>
      <c r="Q312" s="61">
        <f t="shared" si="54"/>
        <v>0</v>
      </c>
      <c r="R312" s="60">
        <v>0</v>
      </c>
      <c r="S312" s="61">
        <f t="shared" si="55"/>
        <v>0</v>
      </c>
      <c r="T312" s="60">
        <v>0</v>
      </c>
      <c r="U312" s="64">
        <f t="shared" si="56"/>
        <v>0</v>
      </c>
      <c r="V312" s="65">
        <v>0</v>
      </c>
      <c r="W312" s="66">
        <f t="shared" si="57"/>
        <v>500</v>
      </c>
      <c r="X312" s="67">
        <f t="shared" si="58"/>
        <v>0.5</v>
      </c>
      <c r="Y312" s="57" t="str">
        <f t="shared" si="59"/>
        <v>STOCK</v>
      </c>
      <c r="Z312" s="68" t="s">
        <v>1538</v>
      </c>
    </row>
    <row r="313" spans="1:125" s="8" customFormat="1" ht="20.100000000000001" customHeight="1" x14ac:dyDescent="0.25">
      <c r="A313" s="59" t="s">
        <v>898</v>
      </c>
      <c r="B313" s="84">
        <v>311</v>
      </c>
      <c r="C313" s="85" t="s">
        <v>630</v>
      </c>
      <c r="D313" s="60">
        <v>0</v>
      </c>
      <c r="E313" s="61">
        <f t="shared" si="48"/>
        <v>0</v>
      </c>
      <c r="F313" s="60">
        <v>0</v>
      </c>
      <c r="G313" s="61">
        <f t="shared" si="49"/>
        <v>0</v>
      </c>
      <c r="H313" s="60">
        <v>0</v>
      </c>
      <c r="I313" s="61">
        <f t="shared" si="50"/>
        <v>0</v>
      </c>
      <c r="J313" s="60">
        <v>0</v>
      </c>
      <c r="K313" s="61">
        <f t="shared" si="51"/>
        <v>0</v>
      </c>
      <c r="L313" s="62"/>
      <c r="M313" s="61">
        <f t="shared" si="52"/>
        <v>0</v>
      </c>
      <c r="N313" s="63">
        <v>1</v>
      </c>
      <c r="O313" s="61">
        <f t="shared" si="53"/>
        <v>500</v>
      </c>
      <c r="P313" s="60">
        <v>0</v>
      </c>
      <c r="Q313" s="61">
        <f t="shared" si="54"/>
        <v>0</v>
      </c>
      <c r="R313" s="60">
        <v>0</v>
      </c>
      <c r="S313" s="61">
        <f t="shared" si="55"/>
        <v>0</v>
      </c>
      <c r="T313" s="60">
        <v>0</v>
      </c>
      <c r="U313" s="64">
        <f t="shared" si="56"/>
        <v>0</v>
      </c>
      <c r="V313" s="65">
        <v>0</v>
      </c>
      <c r="W313" s="66">
        <f t="shared" si="57"/>
        <v>500</v>
      </c>
      <c r="X313" s="67">
        <f t="shared" si="58"/>
        <v>0.5</v>
      </c>
      <c r="Y313" s="57" t="str">
        <f t="shared" si="59"/>
        <v>STOCK</v>
      </c>
      <c r="Z313" s="68" t="s">
        <v>1538</v>
      </c>
    </row>
    <row r="314" spans="1:125" s="8" customFormat="1" ht="20.100000000000001" customHeight="1" x14ac:dyDescent="0.25">
      <c r="A314" s="59" t="s">
        <v>899</v>
      </c>
      <c r="B314" s="84">
        <v>312</v>
      </c>
      <c r="C314" s="85" t="s">
        <v>631</v>
      </c>
      <c r="D314" s="60">
        <v>0</v>
      </c>
      <c r="E314" s="61">
        <f t="shared" si="48"/>
        <v>0</v>
      </c>
      <c r="F314" s="60">
        <v>0</v>
      </c>
      <c r="G314" s="61">
        <f t="shared" si="49"/>
        <v>0</v>
      </c>
      <c r="H314" s="60">
        <v>0</v>
      </c>
      <c r="I314" s="61">
        <f t="shared" si="50"/>
        <v>0</v>
      </c>
      <c r="J314" s="60">
        <v>0</v>
      </c>
      <c r="K314" s="61">
        <f t="shared" si="51"/>
        <v>0</v>
      </c>
      <c r="L314" s="62"/>
      <c r="M314" s="61">
        <f t="shared" si="52"/>
        <v>0</v>
      </c>
      <c r="N314" s="63">
        <v>1</v>
      </c>
      <c r="O314" s="61">
        <f t="shared" si="53"/>
        <v>500</v>
      </c>
      <c r="P314" s="60">
        <v>0</v>
      </c>
      <c r="Q314" s="61">
        <f t="shared" si="54"/>
        <v>0</v>
      </c>
      <c r="R314" s="60">
        <v>0</v>
      </c>
      <c r="S314" s="61">
        <f t="shared" si="55"/>
        <v>0</v>
      </c>
      <c r="T314" s="60">
        <v>0</v>
      </c>
      <c r="U314" s="64">
        <f t="shared" si="56"/>
        <v>0</v>
      </c>
      <c r="V314" s="65">
        <v>0</v>
      </c>
      <c r="W314" s="66">
        <f t="shared" si="57"/>
        <v>500</v>
      </c>
      <c r="X314" s="67">
        <f t="shared" si="58"/>
        <v>0.5</v>
      </c>
      <c r="Y314" s="57" t="str">
        <f t="shared" si="59"/>
        <v>STOCK</v>
      </c>
      <c r="Z314" s="68" t="s">
        <v>1538</v>
      </c>
    </row>
    <row r="315" spans="1:125" s="8" customFormat="1" ht="20.100000000000001" customHeight="1" x14ac:dyDescent="0.25">
      <c r="A315" s="59" t="s">
        <v>900</v>
      </c>
      <c r="B315" s="84">
        <v>313</v>
      </c>
      <c r="C315" s="85" t="s">
        <v>632</v>
      </c>
      <c r="D315" s="60">
        <v>0</v>
      </c>
      <c r="E315" s="61">
        <f t="shared" si="48"/>
        <v>0</v>
      </c>
      <c r="F315" s="60">
        <v>0</v>
      </c>
      <c r="G315" s="61">
        <f t="shared" si="49"/>
        <v>0</v>
      </c>
      <c r="H315" s="60">
        <v>0</v>
      </c>
      <c r="I315" s="61">
        <f t="shared" si="50"/>
        <v>0</v>
      </c>
      <c r="J315" s="60">
        <v>0</v>
      </c>
      <c r="K315" s="61">
        <f t="shared" si="51"/>
        <v>0</v>
      </c>
      <c r="L315" s="62"/>
      <c r="M315" s="61">
        <f t="shared" si="52"/>
        <v>0</v>
      </c>
      <c r="N315" s="63">
        <v>0</v>
      </c>
      <c r="O315" s="61">
        <f t="shared" si="53"/>
        <v>0</v>
      </c>
      <c r="P315" s="60">
        <v>0</v>
      </c>
      <c r="Q315" s="61">
        <f t="shared" si="54"/>
        <v>0</v>
      </c>
      <c r="R315" s="60">
        <v>0</v>
      </c>
      <c r="S315" s="61">
        <f t="shared" si="55"/>
        <v>0</v>
      </c>
      <c r="T315" s="60">
        <v>0</v>
      </c>
      <c r="U315" s="64">
        <f t="shared" si="56"/>
        <v>0</v>
      </c>
      <c r="V315" s="65">
        <v>0</v>
      </c>
      <c r="W315" s="66">
        <f t="shared" si="57"/>
        <v>0</v>
      </c>
      <c r="X315" s="67">
        <f t="shared" si="58"/>
        <v>0</v>
      </c>
      <c r="Y315" s="57" t="str">
        <f t="shared" si="59"/>
        <v>NIL PLEASE PURCHASE</v>
      </c>
      <c r="Z315" s="68" t="s">
        <v>1539</v>
      </c>
    </row>
    <row r="316" spans="1:125" s="8" customFormat="1" ht="20.100000000000001" customHeight="1" x14ac:dyDescent="0.25">
      <c r="A316" s="59" t="s">
        <v>901</v>
      </c>
      <c r="B316" s="84">
        <v>314</v>
      </c>
      <c r="C316" s="85" t="s">
        <v>633</v>
      </c>
      <c r="D316" s="60">
        <v>0</v>
      </c>
      <c r="E316" s="61">
        <f t="shared" si="48"/>
        <v>0</v>
      </c>
      <c r="F316" s="60">
        <v>0</v>
      </c>
      <c r="G316" s="61">
        <f t="shared" si="49"/>
        <v>0</v>
      </c>
      <c r="H316" s="60">
        <v>0</v>
      </c>
      <c r="I316" s="61">
        <f t="shared" si="50"/>
        <v>0</v>
      </c>
      <c r="J316" s="60">
        <v>0</v>
      </c>
      <c r="K316" s="61">
        <f t="shared" si="51"/>
        <v>0</v>
      </c>
      <c r="L316" s="62"/>
      <c r="M316" s="61">
        <f t="shared" si="52"/>
        <v>0</v>
      </c>
      <c r="N316" s="63">
        <v>3</v>
      </c>
      <c r="O316" s="61">
        <f t="shared" si="53"/>
        <v>1500</v>
      </c>
      <c r="P316" s="60">
        <v>0</v>
      </c>
      <c r="Q316" s="61">
        <f t="shared" si="54"/>
        <v>0</v>
      </c>
      <c r="R316" s="60">
        <v>0</v>
      </c>
      <c r="S316" s="61">
        <f t="shared" si="55"/>
        <v>0</v>
      </c>
      <c r="T316" s="60">
        <v>0</v>
      </c>
      <c r="U316" s="64">
        <f t="shared" si="56"/>
        <v>0</v>
      </c>
      <c r="V316" s="65">
        <v>0</v>
      </c>
      <c r="W316" s="66">
        <f t="shared" si="57"/>
        <v>1500</v>
      </c>
      <c r="X316" s="67">
        <f t="shared" si="58"/>
        <v>1.5</v>
      </c>
      <c r="Y316" s="57" t="str">
        <f t="shared" si="59"/>
        <v>STOCK</v>
      </c>
      <c r="Z316" s="68" t="s">
        <v>1538</v>
      </c>
    </row>
    <row r="317" spans="1:125" s="8" customFormat="1" ht="20.100000000000001" customHeight="1" x14ac:dyDescent="0.25">
      <c r="A317" s="59" t="s">
        <v>902</v>
      </c>
      <c r="B317" s="84">
        <v>315</v>
      </c>
      <c r="C317" s="85" t="s">
        <v>634</v>
      </c>
      <c r="D317" s="60">
        <v>0</v>
      </c>
      <c r="E317" s="61">
        <f t="shared" si="48"/>
        <v>0</v>
      </c>
      <c r="F317" s="60">
        <v>0</v>
      </c>
      <c r="G317" s="61">
        <f t="shared" si="49"/>
        <v>0</v>
      </c>
      <c r="H317" s="60">
        <v>0</v>
      </c>
      <c r="I317" s="61">
        <f t="shared" si="50"/>
        <v>0</v>
      </c>
      <c r="J317" s="60">
        <v>0</v>
      </c>
      <c r="K317" s="61">
        <f t="shared" si="51"/>
        <v>0</v>
      </c>
      <c r="L317" s="62"/>
      <c r="M317" s="61">
        <f t="shared" si="52"/>
        <v>0</v>
      </c>
      <c r="N317" s="63">
        <v>0</v>
      </c>
      <c r="O317" s="61">
        <f t="shared" si="53"/>
        <v>0</v>
      </c>
      <c r="P317" s="60">
        <v>0</v>
      </c>
      <c r="Q317" s="61">
        <f t="shared" si="54"/>
        <v>0</v>
      </c>
      <c r="R317" s="60">
        <v>0</v>
      </c>
      <c r="S317" s="61">
        <f t="shared" si="55"/>
        <v>0</v>
      </c>
      <c r="T317" s="60">
        <v>0</v>
      </c>
      <c r="U317" s="64">
        <f t="shared" si="56"/>
        <v>0</v>
      </c>
      <c r="V317" s="65">
        <v>0</v>
      </c>
      <c r="W317" s="66">
        <f t="shared" si="57"/>
        <v>0</v>
      </c>
      <c r="X317" s="67">
        <f t="shared" si="58"/>
        <v>0</v>
      </c>
      <c r="Y317" s="57" t="str">
        <f t="shared" si="59"/>
        <v>NIL PLEASE PURCHASE</v>
      </c>
      <c r="Z317" s="68" t="s">
        <v>1539</v>
      </c>
    </row>
    <row r="318" spans="1:125" s="8" customFormat="1" ht="20.100000000000001" customHeight="1" x14ac:dyDescent="0.25">
      <c r="A318" s="59" t="s">
        <v>903</v>
      </c>
      <c r="B318" s="84">
        <v>316</v>
      </c>
      <c r="C318" s="85" t="s">
        <v>635</v>
      </c>
      <c r="D318" s="60">
        <v>0</v>
      </c>
      <c r="E318" s="61">
        <f t="shared" si="48"/>
        <v>0</v>
      </c>
      <c r="F318" s="60">
        <v>0</v>
      </c>
      <c r="G318" s="61">
        <f t="shared" si="49"/>
        <v>0</v>
      </c>
      <c r="H318" s="60">
        <v>0</v>
      </c>
      <c r="I318" s="61">
        <f t="shared" si="50"/>
        <v>0</v>
      </c>
      <c r="J318" s="60">
        <v>0</v>
      </c>
      <c r="K318" s="61">
        <f t="shared" si="51"/>
        <v>0</v>
      </c>
      <c r="L318" s="62"/>
      <c r="M318" s="61">
        <f t="shared" si="52"/>
        <v>0</v>
      </c>
      <c r="N318" s="63">
        <v>1</v>
      </c>
      <c r="O318" s="61">
        <f t="shared" si="53"/>
        <v>500</v>
      </c>
      <c r="P318" s="60">
        <v>0</v>
      </c>
      <c r="Q318" s="61">
        <f t="shared" si="54"/>
        <v>0</v>
      </c>
      <c r="R318" s="60">
        <v>0</v>
      </c>
      <c r="S318" s="61">
        <f t="shared" si="55"/>
        <v>0</v>
      </c>
      <c r="T318" s="60">
        <v>0</v>
      </c>
      <c r="U318" s="64">
        <f t="shared" si="56"/>
        <v>0</v>
      </c>
      <c r="V318" s="65">
        <v>0</v>
      </c>
      <c r="W318" s="66">
        <f t="shared" si="57"/>
        <v>500</v>
      </c>
      <c r="X318" s="67">
        <f t="shared" si="58"/>
        <v>0.5</v>
      </c>
      <c r="Y318" s="57" t="str">
        <f t="shared" si="59"/>
        <v>STOCK</v>
      </c>
      <c r="Z318" s="68" t="s">
        <v>1538</v>
      </c>
    </row>
    <row r="319" spans="1:125" s="8" customFormat="1" ht="20.100000000000001" customHeight="1" x14ac:dyDescent="0.25">
      <c r="A319" s="59" t="s">
        <v>904</v>
      </c>
      <c r="B319" s="84">
        <v>317</v>
      </c>
      <c r="C319" s="85" t="s">
        <v>636</v>
      </c>
      <c r="D319" s="60">
        <v>0</v>
      </c>
      <c r="E319" s="61">
        <f t="shared" si="48"/>
        <v>0</v>
      </c>
      <c r="F319" s="60">
        <v>0</v>
      </c>
      <c r="G319" s="61">
        <f t="shared" si="49"/>
        <v>0</v>
      </c>
      <c r="H319" s="60">
        <v>0</v>
      </c>
      <c r="I319" s="61">
        <f t="shared" si="50"/>
        <v>0</v>
      </c>
      <c r="J319" s="60">
        <v>0</v>
      </c>
      <c r="K319" s="61">
        <f t="shared" si="51"/>
        <v>0</v>
      </c>
      <c r="L319" s="62"/>
      <c r="M319" s="61">
        <f t="shared" si="52"/>
        <v>0</v>
      </c>
      <c r="N319" s="63">
        <v>1</v>
      </c>
      <c r="O319" s="61">
        <f t="shared" si="53"/>
        <v>500</v>
      </c>
      <c r="P319" s="60">
        <v>0</v>
      </c>
      <c r="Q319" s="61">
        <f t="shared" si="54"/>
        <v>0</v>
      </c>
      <c r="R319" s="60">
        <v>0</v>
      </c>
      <c r="S319" s="61">
        <f t="shared" si="55"/>
        <v>0</v>
      </c>
      <c r="T319" s="60">
        <v>0</v>
      </c>
      <c r="U319" s="64">
        <f t="shared" si="56"/>
        <v>0</v>
      </c>
      <c r="V319" s="65">
        <v>0</v>
      </c>
      <c r="W319" s="66">
        <f t="shared" si="57"/>
        <v>500</v>
      </c>
      <c r="X319" s="67">
        <f t="shared" si="58"/>
        <v>0.5</v>
      </c>
      <c r="Y319" s="57" t="str">
        <f t="shared" si="59"/>
        <v>STOCK</v>
      </c>
      <c r="Z319" s="68" t="s">
        <v>1538</v>
      </c>
    </row>
    <row r="320" spans="1:125" s="8" customFormat="1" ht="20.100000000000001" customHeight="1" x14ac:dyDescent="0.25">
      <c r="A320" s="59" t="s">
        <v>905</v>
      </c>
      <c r="B320" s="84">
        <v>318</v>
      </c>
      <c r="C320" s="85" t="s">
        <v>637</v>
      </c>
      <c r="D320" s="60">
        <v>0</v>
      </c>
      <c r="E320" s="61">
        <f t="shared" si="48"/>
        <v>0</v>
      </c>
      <c r="F320" s="60">
        <v>0</v>
      </c>
      <c r="G320" s="61">
        <f t="shared" si="49"/>
        <v>0</v>
      </c>
      <c r="H320" s="60">
        <v>0</v>
      </c>
      <c r="I320" s="61">
        <f t="shared" si="50"/>
        <v>0</v>
      </c>
      <c r="J320" s="60">
        <v>0</v>
      </c>
      <c r="K320" s="61">
        <f t="shared" si="51"/>
        <v>0</v>
      </c>
      <c r="L320" s="62"/>
      <c r="M320" s="61">
        <f t="shared" si="52"/>
        <v>0</v>
      </c>
      <c r="N320" s="63">
        <v>0</v>
      </c>
      <c r="O320" s="61">
        <f t="shared" si="53"/>
        <v>0</v>
      </c>
      <c r="P320" s="60">
        <v>0</v>
      </c>
      <c r="Q320" s="61">
        <f t="shared" si="54"/>
        <v>0</v>
      </c>
      <c r="R320" s="60">
        <v>0</v>
      </c>
      <c r="S320" s="61">
        <f t="shared" si="55"/>
        <v>0</v>
      </c>
      <c r="T320" s="60">
        <v>0</v>
      </c>
      <c r="U320" s="64">
        <f t="shared" si="56"/>
        <v>0</v>
      </c>
      <c r="V320" s="65">
        <v>0</v>
      </c>
      <c r="W320" s="66">
        <f t="shared" si="57"/>
        <v>0</v>
      </c>
      <c r="X320" s="67">
        <f t="shared" si="58"/>
        <v>0</v>
      </c>
      <c r="Y320" s="57" t="str">
        <f t="shared" si="59"/>
        <v>NIL PLEASE PURCHASE</v>
      </c>
      <c r="Z320" s="68" t="s">
        <v>1539</v>
      </c>
    </row>
    <row r="321" spans="1:26" s="8" customFormat="1" ht="20.100000000000001" customHeight="1" x14ac:dyDescent="0.25">
      <c r="A321" s="59" t="s">
        <v>906</v>
      </c>
      <c r="B321" s="84">
        <v>319</v>
      </c>
      <c r="C321" s="85" t="s">
        <v>638</v>
      </c>
      <c r="D321" s="60">
        <v>0</v>
      </c>
      <c r="E321" s="61">
        <f t="shared" si="48"/>
        <v>0</v>
      </c>
      <c r="F321" s="60">
        <v>0</v>
      </c>
      <c r="G321" s="61">
        <f t="shared" si="49"/>
        <v>0</v>
      </c>
      <c r="H321" s="60">
        <v>0</v>
      </c>
      <c r="I321" s="61">
        <f t="shared" si="50"/>
        <v>0</v>
      </c>
      <c r="J321" s="60">
        <v>0</v>
      </c>
      <c r="K321" s="61">
        <f t="shared" si="51"/>
        <v>0</v>
      </c>
      <c r="L321" s="62"/>
      <c r="M321" s="61">
        <f t="shared" si="52"/>
        <v>0</v>
      </c>
      <c r="N321" s="63">
        <v>1</v>
      </c>
      <c r="O321" s="61">
        <f t="shared" si="53"/>
        <v>500</v>
      </c>
      <c r="P321" s="60">
        <v>0</v>
      </c>
      <c r="Q321" s="61">
        <f t="shared" si="54"/>
        <v>0</v>
      </c>
      <c r="R321" s="60">
        <v>0</v>
      </c>
      <c r="S321" s="61">
        <f t="shared" si="55"/>
        <v>0</v>
      </c>
      <c r="T321" s="60">
        <v>0</v>
      </c>
      <c r="U321" s="64">
        <f t="shared" si="56"/>
        <v>0</v>
      </c>
      <c r="V321" s="65">
        <v>0</v>
      </c>
      <c r="W321" s="66">
        <f t="shared" si="57"/>
        <v>500</v>
      </c>
      <c r="X321" s="67">
        <f t="shared" si="58"/>
        <v>0.5</v>
      </c>
      <c r="Y321" s="57" t="str">
        <f t="shared" si="59"/>
        <v>STOCK</v>
      </c>
      <c r="Z321" s="68" t="s">
        <v>1538</v>
      </c>
    </row>
    <row r="322" spans="1:26" s="8" customFormat="1" ht="20.100000000000001" customHeight="1" x14ac:dyDescent="0.25">
      <c r="A322" s="59" t="s">
        <v>907</v>
      </c>
      <c r="B322" s="84">
        <v>320</v>
      </c>
      <c r="C322" s="85" t="s">
        <v>639</v>
      </c>
      <c r="D322" s="60">
        <v>0</v>
      </c>
      <c r="E322" s="61">
        <f t="shared" si="48"/>
        <v>0</v>
      </c>
      <c r="F322" s="60">
        <v>0</v>
      </c>
      <c r="G322" s="61">
        <f t="shared" si="49"/>
        <v>0</v>
      </c>
      <c r="H322" s="60">
        <v>0</v>
      </c>
      <c r="I322" s="61">
        <f t="shared" si="50"/>
        <v>0</v>
      </c>
      <c r="J322" s="60">
        <v>0</v>
      </c>
      <c r="K322" s="61">
        <f t="shared" si="51"/>
        <v>0</v>
      </c>
      <c r="L322" s="62"/>
      <c r="M322" s="61">
        <f t="shared" si="52"/>
        <v>0</v>
      </c>
      <c r="N322" s="63">
        <v>0</v>
      </c>
      <c r="O322" s="61">
        <f t="shared" si="53"/>
        <v>0</v>
      </c>
      <c r="P322" s="60">
        <v>0</v>
      </c>
      <c r="Q322" s="61">
        <f t="shared" si="54"/>
        <v>0</v>
      </c>
      <c r="R322" s="60">
        <v>0</v>
      </c>
      <c r="S322" s="61">
        <f t="shared" si="55"/>
        <v>0</v>
      </c>
      <c r="T322" s="60">
        <v>0</v>
      </c>
      <c r="U322" s="64">
        <f t="shared" si="56"/>
        <v>0</v>
      </c>
      <c r="V322" s="65">
        <v>0</v>
      </c>
      <c r="W322" s="66">
        <f t="shared" si="57"/>
        <v>0</v>
      </c>
      <c r="X322" s="67">
        <f t="shared" si="58"/>
        <v>0</v>
      </c>
      <c r="Y322" s="57" t="str">
        <f t="shared" si="59"/>
        <v>NIL PLEASE PURCHASE</v>
      </c>
      <c r="Z322" s="68" t="s">
        <v>1539</v>
      </c>
    </row>
    <row r="323" spans="1:26" s="8" customFormat="1" ht="20.100000000000001" customHeight="1" x14ac:dyDescent="0.25">
      <c r="A323" s="59" t="s">
        <v>908</v>
      </c>
      <c r="B323" s="84">
        <v>321</v>
      </c>
      <c r="C323" s="85" t="s">
        <v>640</v>
      </c>
      <c r="D323" s="60">
        <v>0</v>
      </c>
      <c r="E323" s="61">
        <f t="shared" si="48"/>
        <v>0</v>
      </c>
      <c r="F323" s="60">
        <v>0</v>
      </c>
      <c r="G323" s="61">
        <f t="shared" si="49"/>
        <v>0</v>
      </c>
      <c r="H323" s="60">
        <v>0</v>
      </c>
      <c r="I323" s="61">
        <f t="shared" si="50"/>
        <v>0</v>
      </c>
      <c r="J323" s="60">
        <v>0</v>
      </c>
      <c r="K323" s="61">
        <f t="shared" si="51"/>
        <v>0</v>
      </c>
      <c r="L323" s="62">
        <v>1</v>
      </c>
      <c r="M323" s="61">
        <f t="shared" si="52"/>
        <v>250</v>
      </c>
      <c r="N323" s="63">
        <v>1</v>
      </c>
      <c r="O323" s="61">
        <f t="shared" si="53"/>
        <v>500</v>
      </c>
      <c r="P323" s="60">
        <v>0</v>
      </c>
      <c r="Q323" s="61">
        <f t="shared" si="54"/>
        <v>0</v>
      </c>
      <c r="R323" s="60">
        <v>0</v>
      </c>
      <c r="S323" s="61">
        <f t="shared" si="55"/>
        <v>0</v>
      </c>
      <c r="T323" s="60">
        <v>0</v>
      </c>
      <c r="U323" s="64">
        <f t="shared" si="56"/>
        <v>0</v>
      </c>
      <c r="V323" s="65">
        <v>0</v>
      </c>
      <c r="W323" s="66">
        <f t="shared" si="57"/>
        <v>750</v>
      </c>
      <c r="X323" s="67">
        <f t="shared" si="58"/>
        <v>0.75</v>
      </c>
      <c r="Y323" s="57" t="str">
        <f t="shared" si="59"/>
        <v>STOCK</v>
      </c>
      <c r="Z323" s="68" t="s">
        <v>1538</v>
      </c>
    </row>
    <row r="324" spans="1:26" s="8" customFormat="1" ht="20.100000000000001" customHeight="1" x14ac:dyDescent="0.25">
      <c r="A324" s="59" t="s">
        <v>909</v>
      </c>
      <c r="B324" s="84">
        <v>322</v>
      </c>
      <c r="C324" s="85" t="s">
        <v>641</v>
      </c>
      <c r="D324" s="60">
        <v>0</v>
      </c>
      <c r="E324" s="61">
        <f t="shared" ref="E324:E387" si="60">D324*10</f>
        <v>0</v>
      </c>
      <c r="F324" s="60">
        <v>0</v>
      </c>
      <c r="G324" s="61">
        <f t="shared" ref="G324:G387" si="61">F324*25</f>
        <v>0</v>
      </c>
      <c r="H324" s="60">
        <v>0</v>
      </c>
      <c r="I324" s="61">
        <f t="shared" ref="I324:I387" si="62">H324*50</f>
        <v>0</v>
      </c>
      <c r="J324" s="60">
        <v>0</v>
      </c>
      <c r="K324" s="61">
        <f t="shared" ref="K324:K387" si="63">J324*100</f>
        <v>0</v>
      </c>
      <c r="L324" s="62"/>
      <c r="M324" s="61">
        <f t="shared" ref="M324:M387" si="64">L324*250</f>
        <v>0</v>
      </c>
      <c r="N324" s="63">
        <v>1</v>
      </c>
      <c r="O324" s="61">
        <f t="shared" ref="O324:O387" si="65">N324*500</f>
        <v>500</v>
      </c>
      <c r="P324" s="60">
        <v>0</v>
      </c>
      <c r="Q324" s="61">
        <f t="shared" ref="Q324:Q387" si="66">P324*1000</f>
        <v>0</v>
      </c>
      <c r="R324" s="60">
        <v>0</v>
      </c>
      <c r="S324" s="61">
        <f t="shared" ref="S324:S387" si="67">R324*2500</f>
        <v>0</v>
      </c>
      <c r="T324" s="60">
        <v>0</v>
      </c>
      <c r="U324" s="64">
        <f t="shared" ref="U324:U387" si="68">T324*5000</f>
        <v>0</v>
      </c>
      <c r="V324" s="65">
        <v>0</v>
      </c>
      <c r="W324" s="66">
        <f t="shared" ref="W324:W387" si="69">E324+G324+I324+K324+M324+O324+Q324+S324+U324</f>
        <v>500</v>
      </c>
      <c r="X324" s="67">
        <f t="shared" ref="X324:X387" si="70">SUM(W324:W324)/1000</f>
        <v>0.5</v>
      </c>
      <c r="Y324" s="57" t="str">
        <f t="shared" ref="Y324:Y387" si="71">IF(W324=0,("NIL PLEASE PURCHASE"),("STOCK"))</f>
        <v>STOCK</v>
      </c>
      <c r="Z324" s="68" t="s">
        <v>1538</v>
      </c>
    </row>
    <row r="325" spans="1:26" s="8" customFormat="1" ht="20.100000000000001" customHeight="1" x14ac:dyDescent="0.25">
      <c r="A325" s="59" t="s">
        <v>910</v>
      </c>
      <c r="B325" s="84">
        <v>323</v>
      </c>
      <c r="C325" s="85" t="s">
        <v>642</v>
      </c>
      <c r="D325" s="60">
        <v>0</v>
      </c>
      <c r="E325" s="61">
        <f t="shared" si="60"/>
        <v>0</v>
      </c>
      <c r="F325" s="60">
        <v>0</v>
      </c>
      <c r="G325" s="61">
        <f t="shared" si="61"/>
        <v>0</v>
      </c>
      <c r="H325" s="60">
        <v>0</v>
      </c>
      <c r="I325" s="61">
        <f t="shared" si="62"/>
        <v>0</v>
      </c>
      <c r="J325" s="60">
        <v>0</v>
      </c>
      <c r="K325" s="61">
        <f t="shared" si="63"/>
        <v>0</v>
      </c>
      <c r="L325" s="62"/>
      <c r="M325" s="61">
        <f t="shared" si="64"/>
        <v>0</v>
      </c>
      <c r="N325" s="63">
        <v>2</v>
      </c>
      <c r="O325" s="61">
        <f t="shared" si="65"/>
        <v>1000</v>
      </c>
      <c r="P325" s="60">
        <v>0</v>
      </c>
      <c r="Q325" s="61">
        <f t="shared" si="66"/>
        <v>0</v>
      </c>
      <c r="R325" s="60">
        <v>0</v>
      </c>
      <c r="S325" s="61">
        <f t="shared" si="67"/>
        <v>0</v>
      </c>
      <c r="T325" s="60">
        <v>0</v>
      </c>
      <c r="U325" s="64">
        <f t="shared" si="68"/>
        <v>0</v>
      </c>
      <c r="V325" s="65">
        <v>0</v>
      </c>
      <c r="W325" s="66">
        <f t="shared" si="69"/>
        <v>1000</v>
      </c>
      <c r="X325" s="67">
        <f t="shared" si="70"/>
        <v>1</v>
      </c>
      <c r="Y325" s="57" t="str">
        <f t="shared" si="71"/>
        <v>STOCK</v>
      </c>
      <c r="Z325" s="68" t="s">
        <v>1538</v>
      </c>
    </row>
    <row r="326" spans="1:26" s="8" customFormat="1" ht="20.100000000000001" customHeight="1" x14ac:dyDescent="0.25">
      <c r="A326" s="59" t="s">
        <v>911</v>
      </c>
      <c r="B326" s="84">
        <v>324</v>
      </c>
      <c r="C326" s="85" t="s">
        <v>643</v>
      </c>
      <c r="D326" s="60">
        <v>0</v>
      </c>
      <c r="E326" s="61">
        <f t="shared" si="60"/>
        <v>0</v>
      </c>
      <c r="F326" s="60">
        <v>0</v>
      </c>
      <c r="G326" s="61">
        <f t="shared" si="61"/>
        <v>0</v>
      </c>
      <c r="H326" s="60">
        <v>0</v>
      </c>
      <c r="I326" s="61">
        <f t="shared" si="62"/>
        <v>0</v>
      </c>
      <c r="J326" s="60">
        <v>0</v>
      </c>
      <c r="K326" s="61">
        <f t="shared" si="63"/>
        <v>0</v>
      </c>
      <c r="L326" s="62"/>
      <c r="M326" s="61">
        <f t="shared" si="64"/>
        <v>0</v>
      </c>
      <c r="N326" s="63">
        <v>0</v>
      </c>
      <c r="O326" s="61">
        <f t="shared" si="65"/>
        <v>0</v>
      </c>
      <c r="P326" s="60">
        <v>0</v>
      </c>
      <c r="Q326" s="61">
        <f t="shared" si="66"/>
        <v>0</v>
      </c>
      <c r="R326" s="60">
        <v>7</v>
      </c>
      <c r="S326" s="61">
        <f t="shared" si="67"/>
        <v>17500</v>
      </c>
      <c r="T326" s="60">
        <v>0</v>
      </c>
      <c r="U326" s="64">
        <f t="shared" si="68"/>
        <v>0</v>
      </c>
      <c r="V326" s="65">
        <v>0</v>
      </c>
      <c r="W326" s="66">
        <f t="shared" si="69"/>
        <v>17500</v>
      </c>
      <c r="X326" s="67">
        <f t="shared" si="70"/>
        <v>17.5</v>
      </c>
      <c r="Y326" s="57" t="str">
        <f t="shared" si="71"/>
        <v>STOCK</v>
      </c>
      <c r="Z326" s="68" t="s">
        <v>1538</v>
      </c>
    </row>
    <row r="327" spans="1:26" s="8" customFormat="1" ht="20.100000000000001" customHeight="1" x14ac:dyDescent="0.25">
      <c r="A327" s="59" t="s">
        <v>912</v>
      </c>
      <c r="B327" s="84">
        <v>325</v>
      </c>
      <c r="C327" s="85" t="s">
        <v>644</v>
      </c>
      <c r="D327" s="60">
        <v>0</v>
      </c>
      <c r="E327" s="61">
        <f t="shared" si="60"/>
        <v>0</v>
      </c>
      <c r="F327" s="60">
        <v>0</v>
      </c>
      <c r="G327" s="61">
        <f t="shared" si="61"/>
        <v>0</v>
      </c>
      <c r="H327" s="60">
        <v>0</v>
      </c>
      <c r="I327" s="61">
        <f t="shared" si="62"/>
        <v>0</v>
      </c>
      <c r="J327" s="60">
        <v>0</v>
      </c>
      <c r="K327" s="61">
        <f t="shared" si="63"/>
        <v>0</v>
      </c>
      <c r="L327" s="62"/>
      <c r="M327" s="61">
        <f t="shared" si="64"/>
        <v>0</v>
      </c>
      <c r="N327" s="63">
        <v>0</v>
      </c>
      <c r="O327" s="61">
        <f t="shared" si="65"/>
        <v>0</v>
      </c>
      <c r="P327" s="60">
        <v>0</v>
      </c>
      <c r="Q327" s="61">
        <f t="shared" si="66"/>
        <v>0</v>
      </c>
      <c r="R327" s="60">
        <v>0</v>
      </c>
      <c r="S327" s="61">
        <f t="shared" si="67"/>
        <v>0</v>
      </c>
      <c r="T327" s="60">
        <v>0</v>
      </c>
      <c r="U327" s="64">
        <f t="shared" si="68"/>
        <v>0</v>
      </c>
      <c r="V327" s="65">
        <v>0</v>
      </c>
      <c r="W327" s="66">
        <f t="shared" si="69"/>
        <v>0</v>
      </c>
      <c r="X327" s="67">
        <f t="shared" si="70"/>
        <v>0</v>
      </c>
      <c r="Y327" s="57" t="str">
        <f t="shared" si="71"/>
        <v>NIL PLEASE PURCHASE</v>
      </c>
      <c r="Z327" s="68" t="s">
        <v>1539</v>
      </c>
    </row>
    <row r="328" spans="1:26" s="8" customFormat="1" ht="20.100000000000001" customHeight="1" x14ac:dyDescent="0.25">
      <c r="A328" s="59" t="s">
        <v>913</v>
      </c>
      <c r="B328" s="84">
        <v>326</v>
      </c>
      <c r="C328" s="85" t="s">
        <v>645</v>
      </c>
      <c r="D328" s="60">
        <v>0</v>
      </c>
      <c r="E328" s="61">
        <f t="shared" si="60"/>
        <v>0</v>
      </c>
      <c r="F328" s="60">
        <v>0</v>
      </c>
      <c r="G328" s="61">
        <f t="shared" si="61"/>
        <v>0</v>
      </c>
      <c r="H328" s="60">
        <v>0</v>
      </c>
      <c r="I328" s="61">
        <f t="shared" si="62"/>
        <v>0</v>
      </c>
      <c r="J328" s="60">
        <v>0</v>
      </c>
      <c r="K328" s="61">
        <f t="shared" si="63"/>
        <v>0</v>
      </c>
      <c r="L328" s="62"/>
      <c r="M328" s="61">
        <f t="shared" si="64"/>
        <v>0</v>
      </c>
      <c r="N328" s="63">
        <v>0</v>
      </c>
      <c r="O328" s="61">
        <f t="shared" si="65"/>
        <v>0</v>
      </c>
      <c r="P328" s="60">
        <v>0</v>
      </c>
      <c r="Q328" s="61">
        <f t="shared" si="66"/>
        <v>0</v>
      </c>
      <c r="R328" s="60">
        <v>0</v>
      </c>
      <c r="S328" s="61">
        <f t="shared" si="67"/>
        <v>0</v>
      </c>
      <c r="T328" s="60">
        <v>0</v>
      </c>
      <c r="U328" s="64">
        <f t="shared" si="68"/>
        <v>0</v>
      </c>
      <c r="V328" s="65">
        <v>0</v>
      </c>
      <c r="W328" s="66">
        <f t="shared" si="69"/>
        <v>0</v>
      </c>
      <c r="X328" s="67">
        <f t="shared" si="70"/>
        <v>0</v>
      </c>
      <c r="Y328" s="57" t="str">
        <f t="shared" si="71"/>
        <v>NIL PLEASE PURCHASE</v>
      </c>
      <c r="Z328" s="68" t="s">
        <v>1539</v>
      </c>
    </row>
    <row r="329" spans="1:26" s="8" customFormat="1" ht="20.100000000000001" customHeight="1" x14ac:dyDescent="0.25">
      <c r="A329" s="59" t="s">
        <v>914</v>
      </c>
      <c r="B329" s="84">
        <v>327</v>
      </c>
      <c r="C329" s="85" t="s">
        <v>646</v>
      </c>
      <c r="D329" s="60">
        <v>0</v>
      </c>
      <c r="E329" s="61">
        <f t="shared" si="60"/>
        <v>0</v>
      </c>
      <c r="F329" s="60">
        <v>0</v>
      </c>
      <c r="G329" s="61">
        <f t="shared" si="61"/>
        <v>0</v>
      </c>
      <c r="H329" s="60">
        <v>0</v>
      </c>
      <c r="I329" s="61">
        <f t="shared" si="62"/>
        <v>0</v>
      </c>
      <c r="J329" s="60">
        <v>0</v>
      </c>
      <c r="K329" s="61">
        <f t="shared" si="63"/>
        <v>0</v>
      </c>
      <c r="L329" s="62"/>
      <c r="M329" s="61">
        <f t="shared" si="64"/>
        <v>0</v>
      </c>
      <c r="N329" s="63">
        <v>0</v>
      </c>
      <c r="O329" s="61">
        <f t="shared" si="65"/>
        <v>0</v>
      </c>
      <c r="P329" s="60">
        <v>0</v>
      </c>
      <c r="Q329" s="61">
        <f t="shared" si="66"/>
        <v>0</v>
      </c>
      <c r="R329" s="60">
        <v>0</v>
      </c>
      <c r="S329" s="61">
        <f t="shared" si="67"/>
        <v>0</v>
      </c>
      <c r="T329" s="60">
        <v>0</v>
      </c>
      <c r="U329" s="64">
        <f t="shared" si="68"/>
        <v>0</v>
      </c>
      <c r="V329" s="65">
        <v>0</v>
      </c>
      <c r="W329" s="66">
        <f t="shared" si="69"/>
        <v>0</v>
      </c>
      <c r="X329" s="67">
        <f t="shared" si="70"/>
        <v>0</v>
      </c>
      <c r="Y329" s="57" t="str">
        <f t="shared" si="71"/>
        <v>NIL PLEASE PURCHASE</v>
      </c>
      <c r="Z329" s="68" t="s">
        <v>1539</v>
      </c>
    </row>
    <row r="330" spans="1:26" s="8" customFormat="1" ht="20.100000000000001" customHeight="1" x14ac:dyDescent="0.25">
      <c r="A330" s="59" t="s">
        <v>915</v>
      </c>
      <c r="B330" s="84">
        <v>328</v>
      </c>
      <c r="C330" s="85" t="s">
        <v>647</v>
      </c>
      <c r="D330" s="60">
        <v>0</v>
      </c>
      <c r="E330" s="61">
        <f t="shared" si="60"/>
        <v>0</v>
      </c>
      <c r="F330" s="60">
        <v>0</v>
      </c>
      <c r="G330" s="61">
        <f t="shared" si="61"/>
        <v>0</v>
      </c>
      <c r="H330" s="60">
        <v>0</v>
      </c>
      <c r="I330" s="61">
        <f t="shared" si="62"/>
        <v>0</v>
      </c>
      <c r="J330" s="60">
        <v>0</v>
      </c>
      <c r="K330" s="61">
        <f t="shared" si="63"/>
        <v>0</v>
      </c>
      <c r="L330" s="62"/>
      <c r="M330" s="61">
        <f t="shared" si="64"/>
        <v>0</v>
      </c>
      <c r="N330" s="63">
        <v>0</v>
      </c>
      <c r="O330" s="61">
        <f t="shared" si="65"/>
        <v>0</v>
      </c>
      <c r="P330" s="60">
        <v>0</v>
      </c>
      <c r="Q330" s="61">
        <f t="shared" si="66"/>
        <v>0</v>
      </c>
      <c r="R330" s="60">
        <v>0</v>
      </c>
      <c r="S330" s="61">
        <f t="shared" si="67"/>
        <v>0</v>
      </c>
      <c r="T330" s="60">
        <v>0</v>
      </c>
      <c r="U330" s="64">
        <f t="shared" si="68"/>
        <v>0</v>
      </c>
      <c r="V330" s="65">
        <v>0</v>
      </c>
      <c r="W330" s="66">
        <f t="shared" si="69"/>
        <v>0</v>
      </c>
      <c r="X330" s="67">
        <f t="shared" si="70"/>
        <v>0</v>
      </c>
      <c r="Y330" s="57" t="str">
        <f t="shared" si="71"/>
        <v>NIL PLEASE PURCHASE</v>
      </c>
      <c r="Z330" s="68" t="s">
        <v>1539</v>
      </c>
    </row>
    <row r="331" spans="1:26" s="8" customFormat="1" ht="20.100000000000001" customHeight="1" x14ac:dyDescent="0.25">
      <c r="A331" s="59" t="s">
        <v>916</v>
      </c>
      <c r="B331" s="84">
        <v>329</v>
      </c>
      <c r="C331" s="85" t="s">
        <v>648</v>
      </c>
      <c r="D331" s="60">
        <v>0</v>
      </c>
      <c r="E331" s="61">
        <f t="shared" si="60"/>
        <v>0</v>
      </c>
      <c r="F331" s="60">
        <v>0</v>
      </c>
      <c r="G331" s="61">
        <f t="shared" si="61"/>
        <v>0</v>
      </c>
      <c r="H331" s="60">
        <v>0</v>
      </c>
      <c r="I331" s="61">
        <f t="shared" si="62"/>
        <v>0</v>
      </c>
      <c r="J331" s="60">
        <v>0</v>
      </c>
      <c r="K331" s="61">
        <f t="shared" si="63"/>
        <v>0</v>
      </c>
      <c r="L331" s="62"/>
      <c r="M331" s="61">
        <f t="shared" si="64"/>
        <v>0</v>
      </c>
      <c r="N331" s="63">
        <v>0</v>
      </c>
      <c r="O331" s="61">
        <f t="shared" si="65"/>
        <v>0</v>
      </c>
      <c r="P331" s="60">
        <v>0</v>
      </c>
      <c r="Q331" s="61">
        <f t="shared" si="66"/>
        <v>0</v>
      </c>
      <c r="R331" s="60">
        <v>0</v>
      </c>
      <c r="S331" s="61">
        <f t="shared" si="67"/>
        <v>0</v>
      </c>
      <c r="T331" s="60">
        <v>0</v>
      </c>
      <c r="U331" s="64">
        <f t="shared" si="68"/>
        <v>0</v>
      </c>
      <c r="V331" s="65">
        <v>0</v>
      </c>
      <c r="W331" s="66">
        <f t="shared" si="69"/>
        <v>0</v>
      </c>
      <c r="X331" s="67">
        <f t="shared" si="70"/>
        <v>0</v>
      </c>
      <c r="Y331" s="57" t="str">
        <f t="shared" si="71"/>
        <v>NIL PLEASE PURCHASE</v>
      </c>
      <c r="Z331" s="68" t="s">
        <v>1539</v>
      </c>
    </row>
    <row r="332" spans="1:26" s="8" customFormat="1" ht="20.100000000000001" customHeight="1" x14ac:dyDescent="0.25">
      <c r="A332" s="59" t="s">
        <v>917</v>
      </c>
      <c r="B332" s="84">
        <v>330</v>
      </c>
      <c r="C332" s="85" t="s">
        <v>649</v>
      </c>
      <c r="D332" s="60">
        <v>0</v>
      </c>
      <c r="E332" s="61">
        <f t="shared" si="60"/>
        <v>0</v>
      </c>
      <c r="F332" s="60">
        <v>0</v>
      </c>
      <c r="G332" s="61">
        <f t="shared" si="61"/>
        <v>0</v>
      </c>
      <c r="H332" s="60">
        <v>0</v>
      </c>
      <c r="I332" s="61">
        <f t="shared" si="62"/>
        <v>0</v>
      </c>
      <c r="J332" s="60">
        <v>0</v>
      </c>
      <c r="K332" s="61">
        <f t="shared" si="63"/>
        <v>0</v>
      </c>
      <c r="L332" s="62"/>
      <c r="M332" s="61">
        <f t="shared" si="64"/>
        <v>0</v>
      </c>
      <c r="N332" s="63">
        <v>0</v>
      </c>
      <c r="O332" s="61">
        <f t="shared" si="65"/>
        <v>0</v>
      </c>
      <c r="P332" s="60">
        <v>0</v>
      </c>
      <c r="Q332" s="61">
        <f t="shared" si="66"/>
        <v>0</v>
      </c>
      <c r="R332" s="60">
        <v>0</v>
      </c>
      <c r="S332" s="61">
        <f t="shared" si="67"/>
        <v>0</v>
      </c>
      <c r="T332" s="60">
        <v>0</v>
      </c>
      <c r="U332" s="64">
        <f t="shared" si="68"/>
        <v>0</v>
      </c>
      <c r="V332" s="65">
        <v>0</v>
      </c>
      <c r="W332" s="66">
        <f t="shared" si="69"/>
        <v>0</v>
      </c>
      <c r="X332" s="67">
        <f t="shared" si="70"/>
        <v>0</v>
      </c>
      <c r="Y332" s="57" t="str">
        <f t="shared" si="71"/>
        <v>NIL PLEASE PURCHASE</v>
      </c>
      <c r="Z332" s="68" t="s">
        <v>1539</v>
      </c>
    </row>
    <row r="333" spans="1:26" s="8" customFormat="1" ht="20.100000000000001" customHeight="1" x14ac:dyDescent="0.25">
      <c r="A333" s="59" t="s">
        <v>918</v>
      </c>
      <c r="B333" s="84">
        <v>331</v>
      </c>
      <c r="C333" s="85" t="s">
        <v>650</v>
      </c>
      <c r="D333" s="60">
        <v>0</v>
      </c>
      <c r="E333" s="61">
        <f t="shared" si="60"/>
        <v>0</v>
      </c>
      <c r="F333" s="60">
        <v>0</v>
      </c>
      <c r="G333" s="61">
        <f t="shared" si="61"/>
        <v>0</v>
      </c>
      <c r="H333" s="60">
        <v>0</v>
      </c>
      <c r="I333" s="61">
        <f t="shared" si="62"/>
        <v>0</v>
      </c>
      <c r="J333" s="60">
        <v>0</v>
      </c>
      <c r="K333" s="61">
        <f t="shared" si="63"/>
        <v>0</v>
      </c>
      <c r="L333" s="62"/>
      <c r="M333" s="61">
        <f t="shared" si="64"/>
        <v>0</v>
      </c>
      <c r="N333" s="63">
        <v>0</v>
      </c>
      <c r="O333" s="61">
        <f t="shared" si="65"/>
        <v>0</v>
      </c>
      <c r="P333" s="60">
        <v>0</v>
      </c>
      <c r="Q333" s="61">
        <f t="shared" si="66"/>
        <v>0</v>
      </c>
      <c r="R333" s="60">
        <v>0</v>
      </c>
      <c r="S333" s="61">
        <f t="shared" si="67"/>
        <v>0</v>
      </c>
      <c r="T333" s="60">
        <v>0</v>
      </c>
      <c r="U333" s="64">
        <f t="shared" si="68"/>
        <v>0</v>
      </c>
      <c r="V333" s="65">
        <v>0</v>
      </c>
      <c r="W333" s="66">
        <f t="shared" si="69"/>
        <v>0</v>
      </c>
      <c r="X333" s="67">
        <f t="shared" si="70"/>
        <v>0</v>
      </c>
      <c r="Y333" s="57" t="str">
        <f t="shared" si="71"/>
        <v>NIL PLEASE PURCHASE</v>
      </c>
      <c r="Z333" s="68" t="s">
        <v>1539</v>
      </c>
    </row>
    <row r="334" spans="1:26" s="8" customFormat="1" ht="20.100000000000001" customHeight="1" x14ac:dyDescent="0.25">
      <c r="A334" s="59" t="s">
        <v>919</v>
      </c>
      <c r="B334" s="84">
        <v>332</v>
      </c>
      <c r="C334" s="85" t="s">
        <v>651</v>
      </c>
      <c r="D334" s="60">
        <v>0</v>
      </c>
      <c r="E334" s="61">
        <f t="shared" si="60"/>
        <v>0</v>
      </c>
      <c r="F334" s="60">
        <v>0</v>
      </c>
      <c r="G334" s="61">
        <f t="shared" si="61"/>
        <v>0</v>
      </c>
      <c r="H334" s="60">
        <v>0</v>
      </c>
      <c r="I334" s="61">
        <f t="shared" si="62"/>
        <v>0</v>
      </c>
      <c r="J334" s="60">
        <v>0</v>
      </c>
      <c r="K334" s="61">
        <f t="shared" si="63"/>
        <v>0</v>
      </c>
      <c r="L334" s="62"/>
      <c r="M334" s="61">
        <f t="shared" si="64"/>
        <v>0</v>
      </c>
      <c r="N334" s="63">
        <v>2</v>
      </c>
      <c r="O334" s="61">
        <f t="shared" si="65"/>
        <v>1000</v>
      </c>
      <c r="P334" s="60">
        <v>0</v>
      </c>
      <c r="Q334" s="61">
        <f t="shared" si="66"/>
        <v>0</v>
      </c>
      <c r="R334" s="60">
        <v>0</v>
      </c>
      <c r="S334" s="61">
        <f t="shared" si="67"/>
        <v>0</v>
      </c>
      <c r="T334" s="60">
        <v>0</v>
      </c>
      <c r="U334" s="64">
        <f t="shared" si="68"/>
        <v>0</v>
      </c>
      <c r="V334" s="65">
        <v>0</v>
      </c>
      <c r="W334" s="66">
        <f t="shared" si="69"/>
        <v>1000</v>
      </c>
      <c r="X334" s="67">
        <f t="shared" si="70"/>
        <v>1</v>
      </c>
      <c r="Y334" s="57" t="str">
        <f t="shared" si="71"/>
        <v>STOCK</v>
      </c>
      <c r="Z334" s="68" t="s">
        <v>1538</v>
      </c>
    </row>
    <row r="335" spans="1:26" s="8" customFormat="1" ht="20.100000000000001" customHeight="1" x14ac:dyDescent="0.25">
      <c r="A335" s="59" t="s">
        <v>920</v>
      </c>
      <c r="B335" s="84">
        <v>333</v>
      </c>
      <c r="C335" s="85" t="s">
        <v>652</v>
      </c>
      <c r="D335" s="60">
        <v>0</v>
      </c>
      <c r="E335" s="61">
        <f t="shared" si="60"/>
        <v>0</v>
      </c>
      <c r="F335" s="60">
        <v>0</v>
      </c>
      <c r="G335" s="61">
        <f t="shared" si="61"/>
        <v>0</v>
      </c>
      <c r="H335" s="60">
        <v>0</v>
      </c>
      <c r="I335" s="61">
        <f t="shared" si="62"/>
        <v>0</v>
      </c>
      <c r="J335" s="60">
        <v>0</v>
      </c>
      <c r="K335" s="61">
        <f t="shared" si="63"/>
        <v>0</v>
      </c>
      <c r="L335" s="62"/>
      <c r="M335" s="61">
        <f t="shared" si="64"/>
        <v>0</v>
      </c>
      <c r="N335" s="63">
        <v>0</v>
      </c>
      <c r="O335" s="61">
        <f t="shared" si="65"/>
        <v>0</v>
      </c>
      <c r="P335" s="60">
        <v>0</v>
      </c>
      <c r="Q335" s="61">
        <f t="shared" si="66"/>
        <v>0</v>
      </c>
      <c r="R335" s="60">
        <v>0</v>
      </c>
      <c r="S335" s="61">
        <f t="shared" si="67"/>
        <v>0</v>
      </c>
      <c r="T335" s="60">
        <v>0</v>
      </c>
      <c r="U335" s="64">
        <f t="shared" si="68"/>
        <v>0</v>
      </c>
      <c r="V335" s="65">
        <v>0</v>
      </c>
      <c r="W335" s="66">
        <f t="shared" si="69"/>
        <v>0</v>
      </c>
      <c r="X335" s="67">
        <f t="shared" si="70"/>
        <v>0</v>
      </c>
      <c r="Y335" s="57" t="str">
        <f t="shared" si="71"/>
        <v>NIL PLEASE PURCHASE</v>
      </c>
      <c r="Z335" s="68" t="s">
        <v>1539</v>
      </c>
    </row>
    <row r="336" spans="1:26" s="8" customFormat="1" ht="20.100000000000001" customHeight="1" x14ac:dyDescent="0.25">
      <c r="A336" s="59" t="s">
        <v>921</v>
      </c>
      <c r="B336" s="84">
        <v>334</v>
      </c>
      <c r="C336" s="85" t="s">
        <v>653</v>
      </c>
      <c r="D336" s="60">
        <v>0</v>
      </c>
      <c r="E336" s="61">
        <f t="shared" si="60"/>
        <v>0</v>
      </c>
      <c r="F336" s="60">
        <v>0</v>
      </c>
      <c r="G336" s="61">
        <f t="shared" si="61"/>
        <v>0</v>
      </c>
      <c r="H336" s="60">
        <v>0</v>
      </c>
      <c r="I336" s="61">
        <f t="shared" si="62"/>
        <v>0</v>
      </c>
      <c r="J336" s="60">
        <v>0</v>
      </c>
      <c r="K336" s="61">
        <f t="shared" si="63"/>
        <v>0</v>
      </c>
      <c r="L336" s="62"/>
      <c r="M336" s="61">
        <f t="shared" si="64"/>
        <v>0</v>
      </c>
      <c r="N336" s="63">
        <v>0</v>
      </c>
      <c r="O336" s="61">
        <f t="shared" si="65"/>
        <v>0</v>
      </c>
      <c r="P336" s="60">
        <v>0</v>
      </c>
      <c r="Q336" s="61">
        <f t="shared" si="66"/>
        <v>0</v>
      </c>
      <c r="R336" s="60">
        <v>0</v>
      </c>
      <c r="S336" s="61">
        <f t="shared" si="67"/>
        <v>0</v>
      </c>
      <c r="T336" s="60">
        <v>0</v>
      </c>
      <c r="U336" s="64">
        <f t="shared" si="68"/>
        <v>0</v>
      </c>
      <c r="V336" s="65">
        <v>0</v>
      </c>
      <c r="W336" s="66">
        <f t="shared" si="69"/>
        <v>0</v>
      </c>
      <c r="X336" s="67">
        <f t="shared" si="70"/>
        <v>0</v>
      </c>
      <c r="Y336" s="57" t="str">
        <f t="shared" si="71"/>
        <v>NIL PLEASE PURCHASE</v>
      </c>
      <c r="Z336" s="68" t="s">
        <v>1539</v>
      </c>
    </row>
    <row r="337" spans="1:26" s="8" customFormat="1" ht="20.100000000000001" customHeight="1" x14ac:dyDescent="0.25">
      <c r="A337" s="59" t="s">
        <v>922</v>
      </c>
      <c r="B337" s="84">
        <v>335</v>
      </c>
      <c r="C337" s="85" t="s">
        <v>654</v>
      </c>
      <c r="D337" s="60">
        <v>0</v>
      </c>
      <c r="E337" s="61">
        <f t="shared" si="60"/>
        <v>0</v>
      </c>
      <c r="F337" s="60">
        <v>0</v>
      </c>
      <c r="G337" s="61">
        <f t="shared" si="61"/>
        <v>0</v>
      </c>
      <c r="H337" s="60">
        <v>0</v>
      </c>
      <c r="I337" s="61">
        <f t="shared" si="62"/>
        <v>0</v>
      </c>
      <c r="J337" s="60">
        <v>0</v>
      </c>
      <c r="K337" s="61">
        <f t="shared" si="63"/>
        <v>0</v>
      </c>
      <c r="L337" s="62"/>
      <c r="M337" s="61">
        <f t="shared" si="64"/>
        <v>0</v>
      </c>
      <c r="N337" s="63">
        <v>0</v>
      </c>
      <c r="O337" s="61">
        <f t="shared" si="65"/>
        <v>0</v>
      </c>
      <c r="P337" s="60">
        <v>0</v>
      </c>
      <c r="Q337" s="61">
        <f t="shared" si="66"/>
        <v>0</v>
      </c>
      <c r="R337" s="60">
        <v>0</v>
      </c>
      <c r="S337" s="61">
        <f t="shared" si="67"/>
        <v>0</v>
      </c>
      <c r="T337" s="60">
        <v>0</v>
      </c>
      <c r="U337" s="64">
        <f t="shared" si="68"/>
        <v>0</v>
      </c>
      <c r="V337" s="65">
        <v>0</v>
      </c>
      <c r="W337" s="66">
        <f t="shared" si="69"/>
        <v>0</v>
      </c>
      <c r="X337" s="67">
        <f t="shared" si="70"/>
        <v>0</v>
      </c>
      <c r="Y337" s="57" t="str">
        <f t="shared" si="71"/>
        <v>NIL PLEASE PURCHASE</v>
      </c>
      <c r="Z337" s="68" t="s">
        <v>1539</v>
      </c>
    </row>
    <row r="338" spans="1:26" s="8" customFormat="1" ht="20.100000000000001" customHeight="1" x14ac:dyDescent="0.25">
      <c r="A338" s="59" t="s">
        <v>923</v>
      </c>
      <c r="B338" s="84">
        <v>336</v>
      </c>
      <c r="C338" s="85" t="s">
        <v>655</v>
      </c>
      <c r="D338" s="60">
        <v>0</v>
      </c>
      <c r="E338" s="61">
        <f t="shared" si="60"/>
        <v>0</v>
      </c>
      <c r="F338" s="60">
        <v>0</v>
      </c>
      <c r="G338" s="61">
        <f t="shared" si="61"/>
        <v>0</v>
      </c>
      <c r="H338" s="60">
        <v>0</v>
      </c>
      <c r="I338" s="61">
        <f t="shared" si="62"/>
        <v>0</v>
      </c>
      <c r="J338" s="60">
        <v>0</v>
      </c>
      <c r="K338" s="61">
        <f t="shared" si="63"/>
        <v>0</v>
      </c>
      <c r="L338" s="62"/>
      <c r="M338" s="61">
        <f t="shared" si="64"/>
        <v>0</v>
      </c>
      <c r="N338" s="63">
        <v>0</v>
      </c>
      <c r="O338" s="61">
        <f t="shared" si="65"/>
        <v>0</v>
      </c>
      <c r="P338" s="60">
        <v>0</v>
      </c>
      <c r="Q338" s="61">
        <f t="shared" si="66"/>
        <v>0</v>
      </c>
      <c r="R338" s="60">
        <v>0</v>
      </c>
      <c r="S338" s="61">
        <f t="shared" si="67"/>
        <v>0</v>
      </c>
      <c r="T338" s="60">
        <v>0</v>
      </c>
      <c r="U338" s="64">
        <f t="shared" si="68"/>
        <v>0</v>
      </c>
      <c r="V338" s="65">
        <v>0</v>
      </c>
      <c r="W338" s="66">
        <f t="shared" si="69"/>
        <v>0</v>
      </c>
      <c r="X338" s="67">
        <f t="shared" si="70"/>
        <v>0</v>
      </c>
      <c r="Y338" s="57" t="str">
        <f t="shared" si="71"/>
        <v>NIL PLEASE PURCHASE</v>
      </c>
      <c r="Z338" s="68" t="s">
        <v>1539</v>
      </c>
    </row>
    <row r="339" spans="1:26" s="8" customFormat="1" ht="20.100000000000001" customHeight="1" x14ac:dyDescent="0.25">
      <c r="A339" s="59" t="s">
        <v>924</v>
      </c>
      <c r="B339" s="84">
        <v>337</v>
      </c>
      <c r="C339" s="96" t="s">
        <v>656</v>
      </c>
      <c r="D339" s="60">
        <v>0</v>
      </c>
      <c r="E339" s="61">
        <f t="shared" si="60"/>
        <v>0</v>
      </c>
      <c r="F339" s="60">
        <v>0</v>
      </c>
      <c r="G339" s="61">
        <f t="shared" si="61"/>
        <v>0</v>
      </c>
      <c r="H339" s="60">
        <v>0</v>
      </c>
      <c r="I339" s="61">
        <f t="shared" si="62"/>
        <v>0</v>
      </c>
      <c r="J339" s="60">
        <v>0</v>
      </c>
      <c r="K339" s="61">
        <f t="shared" si="63"/>
        <v>0</v>
      </c>
      <c r="L339" s="62"/>
      <c r="M339" s="61">
        <f t="shared" si="64"/>
        <v>0</v>
      </c>
      <c r="N339" s="63">
        <v>0</v>
      </c>
      <c r="O339" s="61">
        <f t="shared" si="65"/>
        <v>0</v>
      </c>
      <c r="P339" s="60">
        <v>0</v>
      </c>
      <c r="Q339" s="61">
        <f t="shared" si="66"/>
        <v>0</v>
      </c>
      <c r="R339" s="60">
        <v>0</v>
      </c>
      <c r="S339" s="61">
        <f t="shared" si="67"/>
        <v>0</v>
      </c>
      <c r="T339" s="60">
        <v>0</v>
      </c>
      <c r="U339" s="64">
        <f t="shared" si="68"/>
        <v>0</v>
      </c>
      <c r="V339" s="65">
        <v>0</v>
      </c>
      <c r="W339" s="66">
        <f t="shared" si="69"/>
        <v>0</v>
      </c>
      <c r="X339" s="67">
        <f t="shared" si="70"/>
        <v>0</v>
      </c>
      <c r="Y339" s="57" t="str">
        <f t="shared" si="71"/>
        <v>NIL PLEASE PURCHASE</v>
      </c>
      <c r="Z339" s="68" t="s">
        <v>1539</v>
      </c>
    </row>
    <row r="340" spans="1:26" s="8" customFormat="1" ht="20.100000000000001" customHeight="1" x14ac:dyDescent="0.25">
      <c r="A340" s="59" t="s">
        <v>925</v>
      </c>
      <c r="B340" s="84">
        <v>338</v>
      </c>
      <c r="C340" s="85" t="s">
        <v>657</v>
      </c>
      <c r="D340" s="60">
        <v>0</v>
      </c>
      <c r="E340" s="61">
        <f t="shared" si="60"/>
        <v>0</v>
      </c>
      <c r="F340" s="60">
        <v>0</v>
      </c>
      <c r="G340" s="61">
        <f t="shared" si="61"/>
        <v>0</v>
      </c>
      <c r="H340" s="60">
        <v>0</v>
      </c>
      <c r="I340" s="61">
        <f t="shared" si="62"/>
        <v>0</v>
      </c>
      <c r="J340" s="60">
        <v>0</v>
      </c>
      <c r="K340" s="61">
        <f t="shared" si="63"/>
        <v>0</v>
      </c>
      <c r="L340" s="62"/>
      <c r="M340" s="61">
        <f t="shared" si="64"/>
        <v>0</v>
      </c>
      <c r="N340" s="63">
        <v>0</v>
      </c>
      <c r="O340" s="61">
        <f t="shared" si="65"/>
        <v>0</v>
      </c>
      <c r="P340" s="60">
        <v>0</v>
      </c>
      <c r="Q340" s="61">
        <f t="shared" si="66"/>
        <v>0</v>
      </c>
      <c r="R340" s="60">
        <v>0</v>
      </c>
      <c r="S340" s="61">
        <f t="shared" si="67"/>
        <v>0</v>
      </c>
      <c r="T340" s="60">
        <v>0</v>
      </c>
      <c r="U340" s="64">
        <f t="shared" si="68"/>
        <v>0</v>
      </c>
      <c r="V340" s="65">
        <v>0</v>
      </c>
      <c r="W340" s="66">
        <f t="shared" si="69"/>
        <v>0</v>
      </c>
      <c r="X340" s="67">
        <f t="shared" si="70"/>
        <v>0</v>
      </c>
      <c r="Y340" s="57" t="str">
        <f t="shared" si="71"/>
        <v>NIL PLEASE PURCHASE</v>
      </c>
      <c r="Z340" s="68" t="s">
        <v>1539</v>
      </c>
    </row>
    <row r="341" spans="1:26" s="8" customFormat="1" ht="20.100000000000001" customHeight="1" x14ac:dyDescent="0.25">
      <c r="A341" s="59" t="s">
        <v>926</v>
      </c>
      <c r="B341" s="84">
        <v>339</v>
      </c>
      <c r="C341" s="85" t="s">
        <v>658</v>
      </c>
      <c r="D341" s="60">
        <v>0</v>
      </c>
      <c r="E341" s="61">
        <f t="shared" si="60"/>
        <v>0</v>
      </c>
      <c r="F341" s="60">
        <v>0</v>
      </c>
      <c r="G341" s="61">
        <f t="shared" si="61"/>
        <v>0</v>
      </c>
      <c r="H341" s="60">
        <v>0</v>
      </c>
      <c r="I341" s="61">
        <f t="shared" si="62"/>
        <v>0</v>
      </c>
      <c r="J341" s="60">
        <v>0</v>
      </c>
      <c r="K341" s="61">
        <f t="shared" si="63"/>
        <v>0</v>
      </c>
      <c r="L341" s="62"/>
      <c r="M341" s="61">
        <f t="shared" si="64"/>
        <v>0</v>
      </c>
      <c r="N341" s="63">
        <v>0</v>
      </c>
      <c r="O341" s="61">
        <f t="shared" si="65"/>
        <v>0</v>
      </c>
      <c r="P341" s="60">
        <v>0</v>
      </c>
      <c r="Q341" s="61">
        <f t="shared" si="66"/>
        <v>0</v>
      </c>
      <c r="R341" s="60">
        <v>0</v>
      </c>
      <c r="S341" s="61">
        <f t="shared" si="67"/>
        <v>0</v>
      </c>
      <c r="T341" s="60">
        <v>0</v>
      </c>
      <c r="U341" s="64">
        <f t="shared" si="68"/>
        <v>0</v>
      </c>
      <c r="V341" s="65">
        <v>0</v>
      </c>
      <c r="W341" s="66">
        <f t="shared" si="69"/>
        <v>0</v>
      </c>
      <c r="X341" s="67">
        <f t="shared" si="70"/>
        <v>0</v>
      </c>
      <c r="Y341" s="57" t="str">
        <f t="shared" si="71"/>
        <v>NIL PLEASE PURCHASE</v>
      </c>
      <c r="Z341" s="68" t="s">
        <v>1539</v>
      </c>
    </row>
    <row r="342" spans="1:26" s="8" customFormat="1" ht="20.100000000000001" customHeight="1" x14ac:dyDescent="0.25">
      <c r="A342" s="59" t="s">
        <v>927</v>
      </c>
      <c r="B342" s="84">
        <v>340</v>
      </c>
      <c r="C342" s="85" t="s">
        <v>659</v>
      </c>
      <c r="D342" s="60">
        <v>0</v>
      </c>
      <c r="E342" s="61">
        <f t="shared" si="60"/>
        <v>0</v>
      </c>
      <c r="F342" s="60">
        <v>0</v>
      </c>
      <c r="G342" s="61">
        <f t="shared" si="61"/>
        <v>0</v>
      </c>
      <c r="H342" s="60">
        <v>0</v>
      </c>
      <c r="I342" s="61">
        <f t="shared" si="62"/>
        <v>0</v>
      </c>
      <c r="J342" s="60">
        <v>0</v>
      </c>
      <c r="K342" s="61">
        <f t="shared" si="63"/>
        <v>0</v>
      </c>
      <c r="L342" s="62"/>
      <c r="M342" s="61">
        <f t="shared" si="64"/>
        <v>0</v>
      </c>
      <c r="N342" s="63">
        <v>0</v>
      </c>
      <c r="O342" s="61">
        <f t="shared" si="65"/>
        <v>0</v>
      </c>
      <c r="P342" s="60">
        <v>0</v>
      </c>
      <c r="Q342" s="61">
        <f t="shared" si="66"/>
        <v>0</v>
      </c>
      <c r="R342" s="60">
        <v>0</v>
      </c>
      <c r="S342" s="61">
        <f t="shared" si="67"/>
        <v>0</v>
      </c>
      <c r="T342" s="60">
        <v>0</v>
      </c>
      <c r="U342" s="64">
        <f t="shared" si="68"/>
        <v>0</v>
      </c>
      <c r="V342" s="65">
        <v>0</v>
      </c>
      <c r="W342" s="66">
        <f t="shared" si="69"/>
        <v>0</v>
      </c>
      <c r="X342" s="67">
        <f t="shared" si="70"/>
        <v>0</v>
      </c>
      <c r="Y342" s="57" t="str">
        <f t="shared" si="71"/>
        <v>NIL PLEASE PURCHASE</v>
      </c>
      <c r="Z342" s="68" t="s">
        <v>1539</v>
      </c>
    </row>
    <row r="343" spans="1:26" s="8" customFormat="1" ht="20.100000000000001" customHeight="1" x14ac:dyDescent="0.25">
      <c r="A343" s="59" t="s">
        <v>928</v>
      </c>
      <c r="B343" s="84">
        <v>341</v>
      </c>
      <c r="C343" s="85" t="s">
        <v>660</v>
      </c>
      <c r="D343" s="60">
        <v>0</v>
      </c>
      <c r="E343" s="61">
        <f t="shared" si="60"/>
        <v>0</v>
      </c>
      <c r="F343" s="60">
        <v>0</v>
      </c>
      <c r="G343" s="61">
        <f t="shared" si="61"/>
        <v>0</v>
      </c>
      <c r="H343" s="60">
        <v>0</v>
      </c>
      <c r="I343" s="61">
        <f t="shared" si="62"/>
        <v>0</v>
      </c>
      <c r="J343" s="60">
        <v>0</v>
      </c>
      <c r="K343" s="61">
        <f t="shared" si="63"/>
        <v>0</v>
      </c>
      <c r="L343" s="62"/>
      <c r="M343" s="61">
        <f t="shared" si="64"/>
        <v>0</v>
      </c>
      <c r="N343" s="63">
        <v>0</v>
      </c>
      <c r="O343" s="61">
        <f t="shared" si="65"/>
        <v>0</v>
      </c>
      <c r="P343" s="60">
        <v>0</v>
      </c>
      <c r="Q343" s="61">
        <f t="shared" si="66"/>
        <v>0</v>
      </c>
      <c r="R343" s="60">
        <v>0</v>
      </c>
      <c r="S343" s="61">
        <f t="shared" si="67"/>
        <v>0</v>
      </c>
      <c r="T343" s="60">
        <v>0</v>
      </c>
      <c r="U343" s="64">
        <f t="shared" si="68"/>
        <v>0</v>
      </c>
      <c r="V343" s="65">
        <v>0</v>
      </c>
      <c r="W343" s="66">
        <f t="shared" si="69"/>
        <v>0</v>
      </c>
      <c r="X343" s="67">
        <f t="shared" si="70"/>
        <v>0</v>
      </c>
      <c r="Y343" s="57" t="str">
        <f t="shared" si="71"/>
        <v>NIL PLEASE PURCHASE</v>
      </c>
      <c r="Z343" s="68" t="s">
        <v>1539</v>
      </c>
    </row>
    <row r="344" spans="1:26" s="8" customFormat="1" ht="20.100000000000001" customHeight="1" x14ac:dyDescent="0.25">
      <c r="A344" s="59" t="s">
        <v>929</v>
      </c>
      <c r="B344" s="84">
        <v>342</v>
      </c>
      <c r="C344" s="85" t="s">
        <v>661</v>
      </c>
      <c r="D344" s="60">
        <v>0</v>
      </c>
      <c r="E344" s="61">
        <f t="shared" si="60"/>
        <v>0</v>
      </c>
      <c r="F344" s="60">
        <v>0</v>
      </c>
      <c r="G344" s="61">
        <f t="shared" si="61"/>
        <v>0</v>
      </c>
      <c r="H344" s="60">
        <v>0</v>
      </c>
      <c r="I344" s="61">
        <f t="shared" si="62"/>
        <v>0</v>
      </c>
      <c r="J344" s="60">
        <v>0</v>
      </c>
      <c r="K344" s="61">
        <f t="shared" si="63"/>
        <v>0</v>
      </c>
      <c r="L344" s="62"/>
      <c r="M344" s="61">
        <f t="shared" si="64"/>
        <v>0</v>
      </c>
      <c r="N344" s="63">
        <v>0</v>
      </c>
      <c r="O344" s="61">
        <f t="shared" si="65"/>
        <v>0</v>
      </c>
      <c r="P344" s="60">
        <v>0</v>
      </c>
      <c r="Q344" s="61">
        <f t="shared" si="66"/>
        <v>0</v>
      </c>
      <c r="R344" s="60">
        <v>0</v>
      </c>
      <c r="S344" s="61">
        <f t="shared" si="67"/>
        <v>0</v>
      </c>
      <c r="T344" s="60">
        <v>0</v>
      </c>
      <c r="U344" s="64">
        <f t="shared" si="68"/>
        <v>0</v>
      </c>
      <c r="V344" s="65">
        <v>0</v>
      </c>
      <c r="W344" s="66">
        <f t="shared" si="69"/>
        <v>0</v>
      </c>
      <c r="X344" s="67">
        <f t="shared" si="70"/>
        <v>0</v>
      </c>
      <c r="Y344" s="57" t="str">
        <f t="shared" si="71"/>
        <v>NIL PLEASE PURCHASE</v>
      </c>
      <c r="Z344" s="68" t="s">
        <v>1539</v>
      </c>
    </row>
    <row r="345" spans="1:26" s="8" customFormat="1" ht="20.100000000000001" customHeight="1" x14ac:dyDescent="0.25">
      <c r="A345" s="59" t="s">
        <v>930</v>
      </c>
      <c r="B345" s="84">
        <v>343</v>
      </c>
      <c r="C345" s="85" t="s">
        <v>662</v>
      </c>
      <c r="D345" s="60">
        <v>0</v>
      </c>
      <c r="E345" s="61">
        <f t="shared" si="60"/>
        <v>0</v>
      </c>
      <c r="F345" s="60">
        <v>0</v>
      </c>
      <c r="G345" s="61">
        <f t="shared" si="61"/>
        <v>0</v>
      </c>
      <c r="H345" s="60">
        <v>0</v>
      </c>
      <c r="I345" s="61">
        <f t="shared" si="62"/>
        <v>0</v>
      </c>
      <c r="J345" s="60">
        <v>0</v>
      </c>
      <c r="K345" s="61">
        <f t="shared" si="63"/>
        <v>0</v>
      </c>
      <c r="L345" s="62"/>
      <c r="M345" s="61">
        <f t="shared" si="64"/>
        <v>0</v>
      </c>
      <c r="N345" s="63">
        <v>0</v>
      </c>
      <c r="O345" s="61">
        <f t="shared" si="65"/>
        <v>0</v>
      </c>
      <c r="P345" s="60">
        <v>0</v>
      </c>
      <c r="Q345" s="61">
        <f t="shared" si="66"/>
        <v>0</v>
      </c>
      <c r="R345" s="60">
        <v>0</v>
      </c>
      <c r="S345" s="61">
        <f t="shared" si="67"/>
        <v>0</v>
      </c>
      <c r="T345" s="60">
        <v>0</v>
      </c>
      <c r="U345" s="64">
        <f t="shared" si="68"/>
        <v>0</v>
      </c>
      <c r="V345" s="65">
        <v>0</v>
      </c>
      <c r="W345" s="66">
        <f t="shared" si="69"/>
        <v>0</v>
      </c>
      <c r="X345" s="67">
        <f t="shared" si="70"/>
        <v>0</v>
      </c>
      <c r="Y345" s="57" t="str">
        <f t="shared" si="71"/>
        <v>NIL PLEASE PURCHASE</v>
      </c>
      <c r="Z345" s="68" t="s">
        <v>1539</v>
      </c>
    </row>
    <row r="346" spans="1:26" s="8" customFormat="1" ht="20.100000000000001" customHeight="1" x14ac:dyDescent="0.25">
      <c r="A346" s="59" t="s">
        <v>931</v>
      </c>
      <c r="B346" s="84">
        <v>344</v>
      </c>
      <c r="C346" s="85" t="s">
        <v>663</v>
      </c>
      <c r="D346" s="60">
        <v>0</v>
      </c>
      <c r="E346" s="61">
        <f t="shared" si="60"/>
        <v>0</v>
      </c>
      <c r="F346" s="60">
        <v>0</v>
      </c>
      <c r="G346" s="61">
        <f t="shared" si="61"/>
        <v>0</v>
      </c>
      <c r="H346" s="60">
        <v>0</v>
      </c>
      <c r="I346" s="61">
        <f t="shared" si="62"/>
        <v>0</v>
      </c>
      <c r="J346" s="60">
        <v>0</v>
      </c>
      <c r="K346" s="61">
        <f t="shared" si="63"/>
        <v>0</v>
      </c>
      <c r="L346" s="62"/>
      <c r="M346" s="61">
        <f t="shared" si="64"/>
        <v>0</v>
      </c>
      <c r="N346" s="63">
        <v>0</v>
      </c>
      <c r="O346" s="61">
        <f t="shared" si="65"/>
        <v>0</v>
      </c>
      <c r="P346" s="60">
        <v>0</v>
      </c>
      <c r="Q346" s="61">
        <f t="shared" si="66"/>
        <v>0</v>
      </c>
      <c r="R346" s="60">
        <v>0</v>
      </c>
      <c r="S346" s="61">
        <f t="shared" si="67"/>
        <v>0</v>
      </c>
      <c r="T346" s="60">
        <v>0</v>
      </c>
      <c r="U346" s="64">
        <f t="shared" si="68"/>
        <v>0</v>
      </c>
      <c r="V346" s="65">
        <v>0</v>
      </c>
      <c r="W346" s="66">
        <f t="shared" si="69"/>
        <v>0</v>
      </c>
      <c r="X346" s="67">
        <f t="shared" si="70"/>
        <v>0</v>
      </c>
      <c r="Y346" s="57" t="str">
        <f t="shared" si="71"/>
        <v>NIL PLEASE PURCHASE</v>
      </c>
      <c r="Z346" s="68" t="s">
        <v>1539</v>
      </c>
    </row>
    <row r="347" spans="1:26" s="8" customFormat="1" ht="20.100000000000001" customHeight="1" x14ac:dyDescent="0.25">
      <c r="A347" s="59" t="s">
        <v>932</v>
      </c>
      <c r="B347" s="84">
        <v>345</v>
      </c>
      <c r="C347" s="85" t="s">
        <v>664</v>
      </c>
      <c r="D347" s="60">
        <v>0</v>
      </c>
      <c r="E347" s="61">
        <f t="shared" si="60"/>
        <v>0</v>
      </c>
      <c r="F347" s="60">
        <v>0</v>
      </c>
      <c r="G347" s="61">
        <f t="shared" si="61"/>
        <v>0</v>
      </c>
      <c r="H347" s="60">
        <v>0</v>
      </c>
      <c r="I347" s="61">
        <f t="shared" si="62"/>
        <v>0</v>
      </c>
      <c r="J347" s="60">
        <v>0</v>
      </c>
      <c r="K347" s="61">
        <f t="shared" si="63"/>
        <v>0</v>
      </c>
      <c r="L347" s="62"/>
      <c r="M347" s="61">
        <f t="shared" si="64"/>
        <v>0</v>
      </c>
      <c r="N347" s="63">
        <v>0</v>
      </c>
      <c r="O347" s="61">
        <f t="shared" si="65"/>
        <v>0</v>
      </c>
      <c r="P347" s="60">
        <v>0</v>
      </c>
      <c r="Q347" s="61">
        <f t="shared" si="66"/>
        <v>0</v>
      </c>
      <c r="R347" s="60">
        <v>0</v>
      </c>
      <c r="S347" s="61">
        <f t="shared" si="67"/>
        <v>0</v>
      </c>
      <c r="T347" s="60">
        <v>0</v>
      </c>
      <c r="U347" s="64">
        <f t="shared" si="68"/>
        <v>0</v>
      </c>
      <c r="V347" s="65">
        <v>0</v>
      </c>
      <c r="W347" s="66">
        <f t="shared" si="69"/>
        <v>0</v>
      </c>
      <c r="X347" s="67">
        <f t="shared" si="70"/>
        <v>0</v>
      </c>
      <c r="Y347" s="57" t="str">
        <f t="shared" si="71"/>
        <v>NIL PLEASE PURCHASE</v>
      </c>
      <c r="Z347" s="68" t="s">
        <v>1539</v>
      </c>
    </row>
    <row r="348" spans="1:26" s="8" customFormat="1" ht="20.100000000000001" customHeight="1" x14ac:dyDescent="0.25">
      <c r="A348" s="59" t="s">
        <v>933</v>
      </c>
      <c r="B348" s="84">
        <v>346</v>
      </c>
      <c r="C348" s="85" t="s">
        <v>665</v>
      </c>
      <c r="D348" s="60">
        <v>0</v>
      </c>
      <c r="E348" s="61">
        <f t="shared" si="60"/>
        <v>0</v>
      </c>
      <c r="F348" s="60">
        <v>0</v>
      </c>
      <c r="G348" s="61">
        <f t="shared" si="61"/>
        <v>0</v>
      </c>
      <c r="H348" s="60">
        <v>0</v>
      </c>
      <c r="I348" s="61">
        <f t="shared" si="62"/>
        <v>0</v>
      </c>
      <c r="J348" s="60">
        <v>0</v>
      </c>
      <c r="K348" s="61">
        <f t="shared" si="63"/>
        <v>0</v>
      </c>
      <c r="L348" s="62"/>
      <c r="M348" s="61">
        <f t="shared" si="64"/>
        <v>0</v>
      </c>
      <c r="N348" s="63">
        <v>1</v>
      </c>
      <c r="O348" s="61">
        <f t="shared" si="65"/>
        <v>500</v>
      </c>
      <c r="P348" s="60">
        <v>0</v>
      </c>
      <c r="Q348" s="61">
        <f t="shared" si="66"/>
        <v>0</v>
      </c>
      <c r="R348" s="60">
        <v>0</v>
      </c>
      <c r="S348" s="61">
        <f t="shared" si="67"/>
        <v>0</v>
      </c>
      <c r="T348" s="60">
        <v>0</v>
      </c>
      <c r="U348" s="64">
        <f t="shared" si="68"/>
        <v>0</v>
      </c>
      <c r="V348" s="65">
        <v>0</v>
      </c>
      <c r="W348" s="66">
        <f t="shared" si="69"/>
        <v>500</v>
      </c>
      <c r="X348" s="67">
        <f t="shared" si="70"/>
        <v>0.5</v>
      </c>
      <c r="Y348" s="57" t="str">
        <f t="shared" si="71"/>
        <v>STOCK</v>
      </c>
      <c r="Z348" s="68" t="s">
        <v>1538</v>
      </c>
    </row>
    <row r="349" spans="1:26" s="8" customFormat="1" ht="20.100000000000001" customHeight="1" x14ac:dyDescent="0.25">
      <c r="A349" s="59" t="s">
        <v>934</v>
      </c>
      <c r="B349" s="84">
        <v>347</v>
      </c>
      <c r="C349" s="85" t="s">
        <v>666</v>
      </c>
      <c r="D349" s="60">
        <v>0</v>
      </c>
      <c r="E349" s="61">
        <f t="shared" si="60"/>
        <v>0</v>
      </c>
      <c r="F349" s="60">
        <v>0</v>
      </c>
      <c r="G349" s="61">
        <f t="shared" si="61"/>
        <v>0</v>
      </c>
      <c r="H349" s="60">
        <v>0</v>
      </c>
      <c r="I349" s="61">
        <f t="shared" si="62"/>
        <v>0</v>
      </c>
      <c r="J349" s="60">
        <v>0</v>
      </c>
      <c r="K349" s="61">
        <f t="shared" si="63"/>
        <v>0</v>
      </c>
      <c r="L349" s="62"/>
      <c r="M349" s="61">
        <f t="shared" si="64"/>
        <v>0</v>
      </c>
      <c r="N349" s="63">
        <v>0</v>
      </c>
      <c r="O349" s="61">
        <f t="shared" si="65"/>
        <v>0</v>
      </c>
      <c r="P349" s="60">
        <v>0</v>
      </c>
      <c r="Q349" s="61">
        <f t="shared" si="66"/>
        <v>0</v>
      </c>
      <c r="R349" s="60">
        <v>0</v>
      </c>
      <c r="S349" s="61">
        <f t="shared" si="67"/>
        <v>0</v>
      </c>
      <c r="T349" s="60">
        <v>0</v>
      </c>
      <c r="U349" s="64">
        <f t="shared" si="68"/>
        <v>0</v>
      </c>
      <c r="V349" s="65">
        <v>0</v>
      </c>
      <c r="W349" s="66">
        <f t="shared" si="69"/>
        <v>0</v>
      </c>
      <c r="X349" s="67">
        <f t="shared" si="70"/>
        <v>0</v>
      </c>
      <c r="Y349" s="57" t="str">
        <f t="shared" si="71"/>
        <v>NIL PLEASE PURCHASE</v>
      </c>
      <c r="Z349" s="68" t="s">
        <v>1539</v>
      </c>
    </row>
    <row r="350" spans="1:26" s="8" customFormat="1" ht="20.100000000000001" customHeight="1" x14ac:dyDescent="0.25">
      <c r="A350" s="59" t="s">
        <v>935</v>
      </c>
      <c r="B350" s="84">
        <v>348</v>
      </c>
      <c r="C350" s="85" t="s">
        <v>667</v>
      </c>
      <c r="D350" s="60">
        <v>0</v>
      </c>
      <c r="E350" s="61">
        <f t="shared" si="60"/>
        <v>0</v>
      </c>
      <c r="F350" s="60">
        <v>0</v>
      </c>
      <c r="G350" s="61">
        <f t="shared" si="61"/>
        <v>0</v>
      </c>
      <c r="H350" s="60">
        <v>0</v>
      </c>
      <c r="I350" s="61">
        <f t="shared" si="62"/>
        <v>0</v>
      </c>
      <c r="J350" s="60">
        <v>0</v>
      </c>
      <c r="K350" s="61">
        <f t="shared" si="63"/>
        <v>0</v>
      </c>
      <c r="L350" s="62"/>
      <c r="M350" s="61">
        <f t="shared" si="64"/>
        <v>0</v>
      </c>
      <c r="N350" s="63">
        <v>0</v>
      </c>
      <c r="O350" s="61">
        <f t="shared" si="65"/>
        <v>0</v>
      </c>
      <c r="P350" s="60">
        <v>0</v>
      </c>
      <c r="Q350" s="61">
        <f t="shared" si="66"/>
        <v>0</v>
      </c>
      <c r="R350" s="60">
        <v>0</v>
      </c>
      <c r="S350" s="61">
        <f t="shared" si="67"/>
        <v>0</v>
      </c>
      <c r="T350" s="60">
        <v>0</v>
      </c>
      <c r="U350" s="64">
        <f t="shared" si="68"/>
        <v>0</v>
      </c>
      <c r="V350" s="65">
        <v>0</v>
      </c>
      <c r="W350" s="66">
        <f t="shared" si="69"/>
        <v>0</v>
      </c>
      <c r="X350" s="67">
        <f t="shared" si="70"/>
        <v>0</v>
      </c>
      <c r="Y350" s="57" t="str">
        <f t="shared" si="71"/>
        <v>NIL PLEASE PURCHASE</v>
      </c>
      <c r="Z350" s="68" t="s">
        <v>1539</v>
      </c>
    </row>
    <row r="351" spans="1:26" s="8" customFormat="1" ht="20.100000000000001" customHeight="1" x14ac:dyDescent="0.25">
      <c r="A351" s="59" t="s">
        <v>936</v>
      </c>
      <c r="B351" s="84">
        <v>349</v>
      </c>
      <c r="C351" s="85" t="s">
        <v>668</v>
      </c>
      <c r="D351" s="60">
        <v>0</v>
      </c>
      <c r="E351" s="61">
        <f t="shared" si="60"/>
        <v>0</v>
      </c>
      <c r="F351" s="60">
        <v>0</v>
      </c>
      <c r="G351" s="61">
        <f t="shared" si="61"/>
        <v>0</v>
      </c>
      <c r="H351" s="60">
        <v>0</v>
      </c>
      <c r="I351" s="61">
        <f t="shared" si="62"/>
        <v>0</v>
      </c>
      <c r="J351" s="60">
        <v>0</v>
      </c>
      <c r="K351" s="61">
        <f t="shared" si="63"/>
        <v>0</v>
      </c>
      <c r="L351" s="62"/>
      <c r="M351" s="61">
        <f t="shared" si="64"/>
        <v>0</v>
      </c>
      <c r="N351" s="63">
        <v>13</v>
      </c>
      <c r="O351" s="61">
        <f t="shared" si="65"/>
        <v>6500</v>
      </c>
      <c r="P351" s="60">
        <v>0</v>
      </c>
      <c r="Q351" s="61">
        <f t="shared" si="66"/>
        <v>0</v>
      </c>
      <c r="R351" s="60">
        <v>0</v>
      </c>
      <c r="S351" s="61">
        <f t="shared" si="67"/>
        <v>0</v>
      </c>
      <c r="T351" s="60">
        <v>0</v>
      </c>
      <c r="U351" s="64">
        <f t="shared" si="68"/>
        <v>0</v>
      </c>
      <c r="V351" s="65">
        <v>0</v>
      </c>
      <c r="W351" s="66">
        <f t="shared" si="69"/>
        <v>6500</v>
      </c>
      <c r="X351" s="67">
        <f t="shared" si="70"/>
        <v>6.5</v>
      </c>
      <c r="Y351" s="57" t="str">
        <f t="shared" si="71"/>
        <v>STOCK</v>
      </c>
      <c r="Z351" s="68" t="s">
        <v>1538</v>
      </c>
    </row>
    <row r="352" spans="1:26" s="8" customFormat="1" ht="20.100000000000001" customHeight="1" x14ac:dyDescent="0.25">
      <c r="A352" s="59" t="s">
        <v>937</v>
      </c>
      <c r="B352" s="84">
        <v>350</v>
      </c>
      <c r="C352" s="85" t="s">
        <v>669</v>
      </c>
      <c r="D352" s="60">
        <v>0</v>
      </c>
      <c r="E352" s="61">
        <f t="shared" si="60"/>
        <v>0</v>
      </c>
      <c r="F352" s="60">
        <v>0</v>
      </c>
      <c r="G352" s="61">
        <f t="shared" si="61"/>
        <v>0</v>
      </c>
      <c r="H352" s="60">
        <v>0</v>
      </c>
      <c r="I352" s="61">
        <f t="shared" si="62"/>
        <v>0</v>
      </c>
      <c r="J352" s="60">
        <v>0</v>
      </c>
      <c r="K352" s="61">
        <f t="shared" si="63"/>
        <v>0</v>
      </c>
      <c r="L352" s="62"/>
      <c r="M352" s="61">
        <f t="shared" si="64"/>
        <v>0</v>
      </c>
      <c r="N352" s="63">
        <v>1</v>
      </c>
      <c r="O352" s="61">
        <f t="shared" si="65"/>
        <v>500</v>
      </c>
      <c r="P352" s="60">
        <v>0</v>
      </c>
      <c r="Q352" s="61">
        <f t="shared" si="66"/>
        <v>0</v>
      </c>
      <c r="R352" s="60">
        <v>0</v>
      </c>
      <c r="S352" s="61">
        <f t="shared" si="67"/>
        <v>0</v>
      </c>
      <c r="T352" s="60">
        <v>0</v>
      </c>
      <c r="U352" s="64">
        <f t="shared" si="68"/>
        <v>0</v>
      </c>
      <c r="V352" s="65">
        <v>0</v>
      </c>
      <c r="W352" s="66">
        <f t="shared" si="69"/>
        <v>500</v>
      </c>
      <c r="X352" s="67">
        <f t="shared" si="70"/>
        <v>0.5</v>
      </c>
      <c r="Y352" s="57" t="str">
        <f t="shared" si="71"/>
        <v>STOCK</v>
      </c>
      <c r="Z352" s="68" t="s">
        <v>1538</v>
      </c>
    </row>
    <row r="353" spans="1:26" s="8" customFormat="1" ht="20.100000000000001" customHeight="1" x14ac:dyDescent="0.25">
      <c r="A353" s="59" t="s">
        <v>938</v>
      </c>
      <c r="B353" s="84">
        <v>351</v>
      </c>
      <c r="C353" s="85" t="s">
        <v>670</v>
      </c>
      <c r="D353" s="60">
        <v>0</v>
      </c>
      <c r="E353" s="61">
        <f t="shared" si="60"/>
        <v>0</v>
      </c>
      <c r="F353" s="60">
        <v>0</v>
      </c>
      <c r="G353" s="61">
        <f t="shared" si="61"/>
        <v>0</v>
      </c>
      <c r="H353" s="60">
        <v>0</v>
      </c>
      <c r="I353" s="61">
        <f t="shared" si="62"/>
        <v>0</v>
      </c>
      <c r="J353" s="60">
        <v>0</v>
      </c>
      <c r="K353" s="61">
        <f t="shared" si="63"/>
        <v>0</v>
      </c>
      <c r="L353" s="62"/>
      <c r="M353" s="61">
        <f t="shared" si="64"/>
        <v>0</v>
      </c>
      <c r="N353" s="63">
        <v>0</v>
      </c>
      <c r="O353" s="61">
        <f t="shared" si="65"/>
        <v>0</v>
      </c>
      <c r="P353" s="60">
        <v>0</v>
      </c>
      <c r="Q353" s="61">
        <f t="shared" si="66"/>
        <v>0</v>
      </c>
      <c r="R353" s="60">
        <v>0</v>
      </c>
      <c r="S353" s="61">
        <f t="shared" si="67"/>
        <v>0</v>
      </c>
      <c r="T353" s="60">
        <v>0</v>
      </c>
      <c r="U353" s="64">
        <f t="shared" si="68"/>
        <v>0</v>
      </c>
      <c r="V353" s="65">
        <v>0</v>
      </c>
      <c r="W353" s="66">
        <f t="shared" si="69"/>
        <v>0</v>
      </c>
      <c r="X353" s="67">
        <f t="shared" si="70"/>
        <v>0</v>
      </c>
      <c r="Y353" s="57" t="str">
        <f t="shared" si="71"/>
        <v>NIL PLEASE PURCHASE</v>
      </c>
      <c r="Z353" s="68" t="s">
        <v>1539</v>
      </c>
    </row>
    <row r="354" spans="1:26" s="8" customFormat="1" ht="20.100000000000001" customHeight="1" x14ac:dyDescent="0.25">
      <c r="A354" s="59" t="s">
        <v>939</v>
      </c>
      <c r="B354" s="84">
        <v>352</v>
      </c>
      <c r="C354" s="85" t="s">
        <v>671</v>
      </c>
      <c r="D354" s="60">
        <v>0</v>
      </c>
      <c r="E354" s="61">
        <f t="shared" si="60"/>
        <v>0</v>
      </c>
      <c r="F354" s="60">
        <v>0</v>
      </c>
      <c r="G354" s="61">
        <f t="shared" si="61"/>
        <v>0</v>
      </c>
      <c r="H354" s="60">
        <v>0</v>
      </c>
      <c r="I354" s="61">
        <f t="shared" si="62"/>
        <v>0</v>
      </c>
      <c r="J354" s="60">
        <v>0</v>
      </c>
      <c r="K354" s="61">
        <f t="shared" si="63"/>
        <v>0</v>
      </c>
      <c r="L354" s="62"/>
      <c r="M354" s="61">
        <f t="shared" si="64"/>
        <v>0</v>
      </c>
      <c r="N354" s="63">
        <v>17</v>
      </c>
      <c r="O354" s="61">
        <f t="shared" si="65"/>
        <v>8500</v>
      </c>
      <c r="P354" s="60">
        <v>0</v>
      </c>
      <c r="Q354" s="61">
        <f t="shared" si="66"/>
        <v>0</v>
      </c>
      <c r="R354" s="60">
        <v>0</v>
      </c>
      <c r="S354" s="61">
        <f t="shared" si="67"/>
        <v>0</v>
      </c>
      <c r="T354" s="60">
        <v>0</v>
      </c>
      <c r="U354" s="64">
        <f t="shared" si="68"/>
        <v>0</v>
      </c>
      <c r="V354" s="65">
        <v>0</v>
      </c>
      <c r="W354" s="66">
        <f t="shared" si="69"/>
        <v>8500</v>
      </c>
      <c r="X354" s="67">
        <f t="shared" si="70"/>
        <v>8.5</v>
      </c>
      <c r="Y354" s="57" t="str">
        <f t="shared" si="71"/>
        <v>STOCK</v>
      </c>
      <c r="Z354" s="68" t="s">
        <v>1538</v>
      </c>
    </row>
    <row r="355" spans="1:26" s="8" customFormat="1" ht="20.100000000000001" customHeight="1" x14ac:dyDescent="0.25">
      <c r="A355" s="59" t="s">
        <v>940</v>
      </c>
      <c r="B355" s="84">
        <v>353</v>
      </c>
      <c r="C355" s="85" t="s">
        <v>672</v>
      </c>
      <c r="D355" s="60">
        <v>0</v>
      </c>
      <c r="E355" s="61">
        <f t="shared" si="60"/>
        <v>0</v>
      </c>
      <c r="F355" s="60">
        <v>0</v>
      </c>
      <c r="G355" s="61">
        <f t="shared" si="61"/>
        <v>0</v>
      </c>
      <c r="H355" s="60">
        <v>0</v>
      </c>
      <c r="I355" s="61">
        <f t="shared" si="62"/>
        <v>0</v>
      </c>
      <c r="J355" s="60">
        <v>0</v>
      </c>
      <c r="K355" s="61">
        <f t="shared" si="63"/>
        <v>0</v>
      </c>
      <c r="L355" s="62"/>
      <c r="M355" s="61">
        <f t="shared" si="64"/>
        <v>0</v>
      </c>
      <c r="N355" s="63">
        <v>6</v>
      </c>
      <c r="O355" s="61">
        <f t="shared" si="65"/>
        <v>3000</v>
      </c>
      <c r="P355" s="60">
        <v>0</v>
      </c>
      <c r="Q355" s="61">
        <f t="shared" si="66"/>
        <v>0</v>
      </c>
      <c r="R355" s="60">
        <v>0</v>
      </c>
      <c r="S355" s="61">
        <f t="shared" si="67"/>
        <v>0</v>
      </c>
      <c r="T355" s="60">
        <v>0</v>
      </c>
      <c r="U355" s="64">
        <f t="shared" si="68"/>
        <v>0</v>
      </c>
      <c r="V355" s="65">
        <v>0</v>
      </c>
      <c r="W355" s="66">
        <f t="shared" si="69"/>
        <v>3000</v>
      </c>
      <c r="X355" s="67">
        <f t="shared" si="70"/>
        <v>3</v>
      </c>
      <c r="Y355" s="57" t="str">
        <f t="shared" si="71"/>
        <v>STOCK</v>
      </c>
      <c r="Z355" s="68" t="s">
        <v>1538</v>
      </c>
    </row>
    <row r="356" spans="1:26" s="8" customFormat="1" ht="20.100000000000001" customHeight="1" x14ac:dyDescent="0.25">
      <c r="A356" s="59" t="s">
        <v>941</v>
      </c>
      <c r="B356" s="84">
        <v>354</v>
      </c>
      <c r="C356" s="85" t="s">
        <v>673</v>
      </c>
      <c r="D356" s="60">
        <v>0</v>
      </c>
      <c r="E356" s="61">
        <f t="shared" si="60"/>
        <v>0</v>
      </c>
      <c r="F356" s="60">
        <v>0</v>
      </c>
      <c r="G356" s="61">
        <f t="shared" si="61"/>
        <v>0</v>
      </c>
      <c r="H356" s="60">
        <v>0</v>
      </c>
      <c r="I356" s="61">
        <f t="shared" si="62"/>
        <v>0</v>
      </c>
      <c r="J356" s="60">
        <v>0</v>
      </c>
      <c r="K356" s="61">
        <f t="shared" si="63"/>
        <v>0</v>
      </c>
      <c r="L356" s="62"/>
      <c r="M356" s="61">
        <f t="shared" si="64"/>
        <v>0</v>
      </c>
      <c r="N356" s="63">
        <v>4</v>
      </c>
      <c r="O356" s="61">
        <f t="shared" si="65"/>
        <v>2000</v>
      </c>
      <c r="P356" s="60">
        <v>0</v>
      </c>
      <c r="Q356" s="61">
        <f t="shared" si="66"/>
        <v>0</v>
      </c>
      <c r="R356" s="60">
        <v>0</v>
      </c>
      <c r="S356" s="61">
        <f t="shared" si="67"/>
        <v>0</v>
      </c>
      <c r="T356" s="60">
        <v>0</v>
      </c>
      <c r="U356" s="64">
        <f t="shared" si="68"/>
        <v>0</v>
      </c>
      <c r="V356" s="65">
        <v>0</v>
      </c>
      <c r="W356" s="66">
        <f t="shared" si="69"/>
        <v>2000</v>
      </c>
      <c r="X356" s="67">
        <f t="shared" si="70"/>
        <v>2</v>
      </c>
      <c r="Y356" s="57" t="str">
        <f t="shared" si="71"/>
        <v>STOCK</v>
      </c>
      <c r="Z356" s="68" t="s">
        <v>1538</v>
      </c>
    </row>
    <row r="357" spans="1:26" s="8" customFormat="1" ht="20.100000000000001" customHeight="1" x14ac:dyDescent="0.25">
      <c r="A357" s="59" t="s">
        <v>942</v>
      </c>
      <c r="B357" s="84">
        <v>355</v>
      </c>
      <c r="C357" s="85" t="s">
        <v>674</v>
      </c>
      <c r="D357" s="60">
        <v>0</v>
      </c>
      <c r="E357" s="61">
        <f t="shared" si="60"/>
        <v>0</v>
      </c>
      <c r="F357" s="60">
        <v>0</v>
      </c>
      <c r="G357" s="61">
        <f t="shared" si="61"/>
        <v>0</v>
      </c>
      <c r="H357" s="60">
        <v>0</v>
      </c>
      <c r="I357" s="61">
        <f t="shared" si="62"/>
        <v>0</v>
      </c>
      <c r="J357" s="60">
        <v>0</v>
      </c>
      <c r="K357" s="61">
        <f t="shared" si="63"/>
        <v>0</v>
      </c>
      <c r="L357" s="62"/>
      <c r="M357" s="61">
        <f t="shared" si="64"/>
        <v>0</v>
      </c>
      <c r="N357" s="63">
        <v>0</v>
      </c>
      <c r="O357" s="61">
        <f t="shared" si="65"/>
        <v>0</v>
      </c>
      <c r="P357" s="60">
        <v>0</v>
      </c>
      <c r="Q357" s="61">
        <f t="shared" si="66"/>
        <v>0</v>
      </c>
      <c r="R357" s="60">
        <v>0</v>
      </c>
      <c r="S357" s="61">
        <f t="shared" si="67"/>
        <v>0</v>
      </c>
      <c r="T357" s="60">
        <v>0</v>
      </c>
      <c r="U357" s="64">
        <f t="shared" si="68"/>
        <v>0</v>
      </c>
      <c r="V357" s="65">
        <v>0</v>
      </c>
      <c r="W357" s="66">
        <f t="shared" si="69"/>
        <v>0</v>
      </c>
      <c r="X357" s="67">
        <f t="shared" si="70"/>
        <v>0</v>
      </c>
      <c r="Y357" s="57" t="str">
        <f t="shared" si="71"/>
        <v>NIL PLEASE PURCHASE</v>
      </c>
      <c r="Z357" s="68" t="s">
        <v>1539</v>
      </c>
    </row>
    <row r="358" spans="1:26" s="8" customFormat="1" ht="20.100000000000001" customHeight="1" x14ac:dyDescent="0.25">
      <c r="A358" s="59" t="s">
        <v>943</v>
      </c>
      <c r="B358" s="84">
        <v>356</v>
      </c>
      <c r="C358" s="85" t="s">
        <v>675</v>
      </c>
      <c r="D358" s="60">
        <v>0</v>
      </c>
      <c r="E358" s="61">
        <f t="shared" si="60"/>
        <v>0</v>
      </c>
      <c r="F358" s="60">
        <v>0</v>
      </c>
      <c r="G358" s="61">
        <f t="shared" si="61"/>
        <v>0</v>
      </c>
      <c r="H358" s="60">
        <v>0</v>
      </c>
      <c r="I358" s="61">
        <f t="shared" si="62"/>
        <v>0</v>
      </c>
      <c r="J358" s="60">
        <v>0</v>
      </c>
      <c r="K358" s="61">
        <f t="shared" si="63"/>
        <v>0</v>
      </c>
      <c r="L358" s="62"/>
      <c r="M358" s="61">
        <f t="shared" si="64"/>
        <v>0</v>
      </c>
      <c r="N358" s="63">
        <v>0</v>
      </c>
      <c r="O358" s="61">
        <f t="shared" si="65"/>
        <v>0</v>
      </c>
      <c r="P358" s="60">
        <v>0</v>
      </c>
      <c r="Q358" s="61">
        <f t="shared" si="66"/>
        <v>0</v>
      </c>
      <c r="R358" s="60">
        <v>0</v>
      </c>
      <c r="S358" s="61">
        <f t="shared" si="67"/>
        <v>0</v>
      </c>
      <c r="T358" s="60">
        <v>0</v>
      </c>
      <c r="U358" s="64">
        <f t="shared" si="68"/>
        <v>0</v>
      </c>
      <c r="V358" s="65">
        <v>0</v>
      </c>
      <c r="W358" s="66">
        <f t="shared" si="69"/>
        <v>0</v>
      </c>
      <c r="X358" s="67">
        <f t="shared" si="70"/>
        <v>0</v>
      </c>
      <c r="Y358" s="57" t="str">
        <f t="shared" si="71"/>
        <v>NIL PLEASE PURCHASE</v>
      </c>
      <c r="Z358" s="68" t="s">
        <v>1539</v>
      </c>
    </row>
    <row r="359" spans="1:26" s="8" customFormat="1" ht="20.100000000000001" customHeight="1" x14ac:dyDescent="0.25">
      <c r="A359" s="59" t="s">
        <v>944</v>
      </c>
      <c r="B359" s="84">
        <v>357</v>
      </c>
      <c r="C359" s="85" t="s">
        <v>676</v>
      </c>
      <c r="D359" s="60">
        <v>0</v>
      </c>
      <c r="E359" s="61">
        <f t="shared" si="60"/>
        <v>0</v>
      </c>
      <c r="F359" s="60">
        <v>0</v>
      </c>
      <c r="G359" s="61">
        <f t="shared" si="61"/>
        <v>0</v>
      </c>
      <c r="H359" s="60">
        <v>0</v>
      </c>
      <c r="I359" s="61">
        <f t="shared" si="62"/>
        <v>0</v>
      </c>
      <c r="J359" s="60">
        <v>1</v>
      </c>
      <c r="K359" s="61">
        <f t="shared" si="63"/>
        <v>100</v>
      </c>
      <c r="L359" s="62"/>
      <c r="M359" s="61">
        <f t="shared" si="64"/>
        <v>0</v>
      </c>
      <c r="N359" s="63">
        <v>5</v>
      </c>
      <c r="O359" s="61">
        <f t="shared" si="65"/>
        <v>2500</v>
      </c>
      <c r="P359" s="60">
        <v>0</v>
      </c>
      <c r="Q359" s="61">
        <f t="shared" si="66"/>
        <v>0</v>
      </c>
      <c r="R359" s="60">
        <v>0</v>
      </c>
      <c r="S359" s="61">
        <f t="shared" si="67"/>
        <v>0</v>
      </c>
      <c r="T359" s="60">
        <v>0</v>
      </c>
      <c r="U359" s="64">
        <f t="shared" si="68"/>
        <v>0</v>
      </c>
      <c r="V359" s="65">
        <v>0</v>
      </c>
      <c r="W359" s="66">
        <f t="shared" si="69"/>
        <v>2600</v>
      </c>
      <c r="X359" s="67">
        <f t="shared" si="70"/>
        <v>2.6</v>
      </c>
      <c r="Y359" s="57" t="str">
        <f t="shared" si="71"/>
        <v>STOCK</v>
      </c>
      <c r="Z359" s="68" t="s">
        <v>1538</v>
      </c>
    </row>
    <row r="360" spans="1:26" s="8" customFormat="1" ht="20.100000000000001" customHeight="1" x14ac:dyDescent="0.25">
      <c r="A360" s="59" t="s">
        <v>945</v>
      </c>
      <c r="B360" s="84">
        <v>358</v>
      </c>
      <c r="C360" s="85" t="s">
        <v>677</v>
      </c>
      <c r="D360" s="60">
        <v>0</v>
      </c>
      <c r="E360" s="61">
        <f t="shared" si="60"/>
        <v>0</v>
      </c>
      <c r="F360" s="60">
        <v>0</v>
      </c>
      <c r="G360" s="61">
        <f t="shared" si="61"/>
        <v>0</v>
      </c>
      <c r="H360" s="60">
        <v>0</v>
      </c>
      <c r="I360" s="61">
        <f t="shared" si="62"/>
        <v>0</v>
      </c>
      <c r="J360" s="60">
        <v>0</v>
      </c>
      <c r="K360" s="61">
        <f t="shared" si="63"/>
        <v>0</v>
      </c>
      <c r="L360" s="62"/>
      <c r="M360" s="61">
        <f t="shared" si="64"/>
        <v>0</v>
      </c>
      <c r="N360" s="63">
        <v>2</v>
      </c>
      <c r="O360" s="61">
        <f t="shared" si="65"/>
        <v>1000</v>
      </c>
      <c r="P360" s="60">
        <v>0</v>
      </c>
      <c r="Q360" s="61">
        <f t="shared" si="66"/>
        <v>0</v>
      </c>
      <c r="R360" s="60">
        <v>0</v>
      </c>
      <c r="S360" s="61">
        <f t="shared" si="67"/>
        <v>0</v>
      </c>
      <c r="T360" s="60">
        <v>0</v>
      </c>
      <c r="U360" s="64">
        <f t="shared" si="68"/>
        <v>0</v>
      </c>
      <c r="V360" s="65">
        <v>0</v>
      </c>
      <c r="W360" s="66">
        <f t="shared" si="69"/>
        <v>1000</v>
      </c>
      <c r="X360" s="67">
        <f t="shared" si="70"/>
        <v>1</v>
      </c>
      <c r="Y360" s="57" t="str">
        <f t="shared" si="71"/>
        <v>STOCK</v>
      </c>
      <c r="Z360" s="68" t="s">
        <v>1538</v>
      </c>
    </row>
    <row r="361" spans="1:26" s="8" customFormat="1" ht="20.100000000000001" customHeight="1" x14ac:dyDescent="0.25">
      <c r="A361" s="59" t="s">
        <v>946</v>
      </c>
      <c r="B361" s="84">
        <v>359</v>
      </c>
      <c r="C361" s="85" t="s">
        <v>678</v>
      </c>
      <c r="D361" s="60">
        <v>0</v>
      </c>
      <c r="E361" s="61">
        <f t="shared" si="60"/>
        <v>0</v>
      </c>
      <c r="F361" s="60">
        <v>0</v>
      </c>
      <c r="G361" s="61">
        <f t="shared" si="61"/>
        <v>0</v>
      </c>
      <c r="H361" s="60">
        <v>0</v>
      </c>
      <c r="I361" s="61">
        <f t="shared" si="62"/>
        <v>0</v>
      </c>
      <c r="J361" s="60">
        <v>0</v>
      </c>
      <c r="K361" s="61">
        <f t="shared" si="63"/>
        <v>0</v>
      </c>
      <c r="L361" s="62"/>
      <c r="M361" s="61">
        <f t="shared" si="64"/>
        <v>0</v>
      </c>
      <c r="N361" s="63">
        <v>1</v>
      </c>
      <c r="O361" s="61">
        <f t="shared" si="65"/>
        <v>500</v>
      </c>
      <c r="P361" s="60">
        <v>0</v>
      </c>
      <c r="Q361" s="61">
        <f t="shared" si="66"/>
        <v>0</v>
      </c>
      <c r="R361" s="60">
        <v>0</v>
      </c>
      <c r="S361" s="61">
        <f t="shared" si="67"/>
        <v>0</v>
      </c>
      <c r="T361" s="60">
        <v>0</v>
      </c>
      <c r="U361" s="64">
        <f t="shared" si="68"/>
        <v>0</v>
      </c>
      <c r="V361" s="65">
        <v>0</v>
      </c>
      <c r="W361" s="66">
        <f t="shared" si="69"/>
        <v>500</v>
      </c>
      <c r="X361" s="67">
        <f t="shared" si="70"/>
        <v>0.5</v>
      </c>
      <c r="Y361" s="57" t="str">
        <f t="shared" si="71"/>
        <v>STOCK</v>
      </c>
      <c r="Z361" s="68" t="s">
        <v>1539</v>
      </c>
    </row>
    <row r="362" spans="1:26" s="8" customFormat="1" ht="20.100000000000001" customHeight="1" x14ac:dyDescent="0.25">
      <c r="A362" s="59" t="s">
        <v>947</v>
      </c>
      <c r="B362" s="84">
        <v>360</v>
      </c>
      <c r="C362" s="85" t="s">
        <v>679</v>
      </c>
      <c r="D362" s="60">
        <v>0</v>
      </c>
      <c r="E362" s="61">
        <f t="shared" si="60"/>
        <v>0</v>
      </c>
      <c r="F362" s="60">
        <v>0</v>
      </c>
      <c r="G362" s="61">
        <f t="shared" si="61"/>
        <v>0</v>
      </c>
      <c r="H362" s="60">
        <v>0</v>
      </c>
      <c r="I362" s="61">
        <f t="shared" si="62"/>
        <v>0</v>
      </c>
      <c r="J362" s="60">
        <v>0</v>
      </c>
      <c r="K362" s="61">
        <f t="shared" si="63"/>
        <v>0</v>
      </c>
      <c r="L362" s="62"/>
      <c r="M362" s="61">
        <f t="shared" si="64"/>
        <v>0</v>
      </c>
      <c r="N362" s="63">
        <v>3</v>
      </c>
      <c r="O362" s="61">
        <f t="shared" si="65"/>
        <v>1500</v>
      </c>
      <c r="P362" s="60">
        <v>0</v>
      </c>
      <c r="Q362" s="61">
        <f t="shared" si="66"/>
        <v>0</v>
      </c>
      <c r="R362" s="60">
        <v>0</v>
      </c>
      <c r="S362" s="61">
        <f t="shared" si="67"/>
        <v>0</v>
      </c>
      <c r="T362" s="60">
        <v>0</v>
      </c>
      <c r="U362" s="64">
        <f t="shared" si="68"/>
        <v>0</v>
      </c>
      <c r="V362" s="65">
        <v>0</v>
      </c>
      <c r="W362" s="66">
        <f t="shared" si="69"/>
        <v>1500</v>
      </c>
      <c r="X362" s="67">
        <f t="shared" si="70"/>
        <v>1.5</v>
      </c>
      <c r="Y362" s="57" t="str">
        <f t="shared" si="71"/>
        <v>STOCK</v>
      </c>
      <c r="Z362" s="68" t="s">
        <v>1538</v>
      </c>
    </row>
    <row r="363" spans="1:26" s="8" customFormat="1" ht="20.100000000000001" customHeight="1" x14ac:dyDescent="0.25">
      <c r="A363" s="59" t="s">
        <v>948</v>
      </c>
      <c r="B363" s="84">
        <v>361</v>
      </c>
      <c r="C363" s="85" t="s">
        <v>680</v>
      </c>
      <c r="D363" s="60">
        <v>0</v>
      </c>
      <c r="E363" s="61">
        <f t="shared" si="60"/>
        <v>0</v>
      </c>
      <c r="F363" s="60">
        <v>0</v>
      </c>
      <c r="G363" s="61">
        <f t="shared" si="61"/>
        <v>0</v>
      </c>
      <c r="H363" s="60">
        <v>0</v>
      </c>
      <c r="I363" s="61">
        <f t="shared" si="62"/>
        <v>0</v>
      </c>
      <c r="J363" s="60">
        <v>0</v>
      </c>
      <c r="K363" s="61">
        <f t="shared" si="63"/>
        <v>0</v>
      </c>
      <c r="L363" s="62"/>
      <c r="M363" s="61">
        <f t="shared" si="64"/>
        <v>0</v>
      </c>
      <c r="N363" s="63">
        <v>5</v>
      </c>
      <c r="O363" s="61">
        <f t="shared" si="65"/>
        <v>2500</v>
      </c>
      <c r="P363" s="60">
        <v>0</v>
      </c>
      <c r="Q363" s="61">
        <f t="shared" si="66"/>
        <v>0</v>
      </c>
      <c r="R363" s="60">
        <v>0</v>
      </c>
      <c r="S363" s="61">
        <f t="shared" si="67"/>
        <v>0</v>
      </c>
      <c r="T363" s="60">
        <v>0</v>
      </c>
      <c r="U363" s="64">
        <f t="shared" si="68"/>
        <v>0</v>
      </c>
      <c r="V363" s="65">
        <v>0</v>
      </c>
      <c r="W363" s="66">
        <f t="shared" si="69"/>
        <v>2500</v>
      </c>
      <c r="X363" s="67">
        <f t="shared" si="70"/>
        <v>2.5</v>
      </c>
      <c r="Y363" s="57" t="str">
        <f t="shared" si="71"/>
        <v>STOCK</v>
      </c>
      <c r="Z363" s="68" t="s">
        <v>1538</v>
      </c>
    </row>
    <row r="364" spans="1:26" s="8" customFormat="1" ht="20.100000000000001" customHeight="1" x14ac:dyDescent="0.25">
      <c r="A364" s="59" t="s">
        <v>949</v>
      </c>
      <c r="B364" s="84">
        <v>362</v>
      </c>
      <c r="C364" s="85" t="s">
        <v>681</v>
      </c>
      <c r="D364" s="60">
        <v>0</v>
      </c>
      <c r="E364" s="61">
        <f t="shared" si="60"/>
        <v>0</v>
      </c>
      <c r="F364" s="60">
        <v>0</v>
      </c>
      <c r="G364" s="61">
        <f t="shared" si="61"/>
        <v>0</v>
      </c>
      <c r="H364" s="60">
        <v>0</v>
      </c>
      <c r="I364" s="61">
        <f t="shared" si="62"/>
        <v>0</v>
      </c>
      <c r="J364" s="60">
        <v>0</v>
      </c>
      <c r="K364" s="61">
        <f t="shared" si="63"/>
        <v>0</v>
      </c>
      <c r="L364" s="62"/>
      <c r="M364" s="61">
        <f t="shared" si="64"/>
        <v>0</v>
      </c>
      <c r="N364" s="63">
        <v>2</v>
      </c>
      <c r="O364" s="61">
        <f t="shared" si="65"/>
        <v>1000</v>
      </c>
      <c r="P364" s="60">
        <v>0</v>
      </c>
      <c r="Q364" s="61">
        <f t="shared" si="66"/>
        <v>0</v>
      </c>
      <c r="R364" s="60">
        <v>0</v>
      </c>
      <c r="S364" s="61">
        <f t="shared" si="67"/>
        <v>0</v>
      </c>
      <c r="T364" s="60">
        <v>0</v>
      </c>
      <c r="U364" s="64">
        <f t="shared" si="68"/>
        <v>0</v>
      </c>
      <c r="V364" s="65">
        <v>0</v>
      </c>
      <c r="W364" s="66">
        <f t="shared" si="69"/>
        <v>1000</v>
      </c>
      <c r="X364" s="67">
        <f t="shared" si="70"/>
        <v>1</v>
      </c>
      <c r="Y364" s="57" t="str">
        <f t="shared" si="71"/>
        <v>STOCK</v>
      </c>
      <c r="Z364" s="68" t="s">
        <v>1538</v>
      </c>
    </row>
    <row r="365" spans="1:26" s="8" customFormat="1" ht="20.100000000000001" customHeight="1" x14ac:dyDescent="0.25">
      <c r="A365" s="59" t="s">
        <v>950</v>
      </c>
      <c r="B365" s="84">
        <v>363</v>
      </c>
      <c r="C365" s="85" t="s">
        <v>682</v>
      </c>
      <c r="D365" s="60">
        <v>0</v>
      </c>
      <c r="E365" s="61">
        <f t="shared" si="60"/>
        <v>0</v>
      </c>
      <c r="F365" s="60">
        <v>0</v>
      </c>
      <c r="G365" s="61">
        <f t="shared" si="61"/>
        <v>0</v>
      </c>
      <c r="H365" s="60">
        <v>0</v>
      </c>
      <c r="I365" s="61">
        <f t="shared" si="62"/>
        <v>0</v>
      </c>
      <c r="J365" s="60">
        <v>0</v>
      </c>
      <c r="K365" s="61">
        <f t="shared" si="63"/>
        <v>0</v>
      </c>
      <c r="L365" s="62"/>
      <c r="M365" s="61">
        <f t="shared" si="64"/>
        <v>0</v>
      </c>
      <c r="N365" s="63">
        <v>1</v>
      </c>
      <c r="O365" s="61">
        <f t="shared" si="65"/>
        <v>500</v>
      </c>
      <c r="P365" s="60">
        <v>0</v>
      </c>
      <c r="Q365" s="61">
        <f t="shared" si="66"/>
        <v>0</v>
      </c>
      <c r="R365" s="60">
        <v>0</v>
      </c>
      <c r="S365" s="61">
        <f t="shared" si="67"/>
        <v>0</v>
      </c>
      <c r="T365" s="60">
        <v>0</v>
      </c>
      <c r="U365" s="64">
        <f t="shared" si="68"/>
        <v>0</v>
      </c>
      <c r="V365" s="65">
        <v>0</v>
      </c>
      <c r="W365" s="66">
        <f t="shared" si="69"/>
        <v>500</v>
      </c>
      <c r="X365" s="67">
        <f t="shared" si="70"/>
        <v>0.5</v>
      </c>
      <c r="Y365" s="57" t="str">
        <f t="shared" si="71"/>
        <v>STOCK</v>
      </c>
      <c r="Z365" s="68" t="s">
        <v>1538</v>
      </c>
    </row>
    <row r="366" spans="1:26" s="8" customFormat="1" ht="20.100000000000001" customHeight="1" x14ac:dyDescent="0.25">
      <c r="A366" s="59" t="s">
        <v>951</v>
      </c>
      <c r="B366" s="84">
        <v>364</v>
      </c>
      <c r="C366" s="85" t="s">
        <v>683</v>
      </c>
      <c r="D366" s="60">
        <v>0</v>
      </c>
      <c r="E366" s="61">
        <f t="shared" si="60"/>
        <v>0</v>
      </c>
      <c r="F366" s="60">
        <v>0</v>
      </c>
      <c r="G366" s="61">
        <f t="shared" si="61"/>
        <v>0</v>
      </c>
      <c r="H366" s="60">
        <v>0</v>
      </c>
      <c r="I366" s="61">
        <f t="shared" si="62"/>
        <v>0</v>
      </c>
      <c r="J366" s="60">
        <v>0</v>
      </c>
      <c r="K366" s="61">
        <f t="shared" si="63"/>
        <v>0</v>
      </c>
      <c r="L366" s="62"/>
      <c r="M366" s="61">
        <f t="shared" si="64"/>
        <v>0</v>
      </c>
      <c r="N366" s="63">
        <v>0</v>
      </c>
      <c r="O366" s="61">
        <f t="shared" si="65"/>
        <v>0</v>
      </c>
      <c r="P366" s="60">
        <v>0</v>
      </c>
      <c r="Q366" s="61">
        <f t="shared" si="66"/>
        <v>0</v>
      </c>
      <c r="R366" s="60">
        <v>0</v>
      </c>
      <c r="S366" s="61">
        <f t="shared" si="67"/>
        <v>0</v>
      </c>
      <c r="T366" s="60">
        <v>0</v>
      </c>
      <c r="U366" s="64">
        <f t="shared" si="68"/>
        <v>0</v>
      </c>
      <c r="V366" s="65">
        <v>0</v>
      </c>
      <c r="W366" s="66">
        <f t="shared" si="69"/>
        <v>0</v>
      </c>
      <c r="X366" s="67">
        <f t="shared" si="70"/>
        <v>0</v>
      </c>
      <c r="Y366" s="57" t="str">
        <f t="shared" si="71"/>
        <v>NIL PLEASE PURCHASE</v>
      </c>
      <c r="Z366" s="68" t="s">
        <v>1539</v>
      </c>
    </row>
    <row r="367" spans="1:26" s="8" customFormat="1" ht="20.100000000000001" customHeight="1" x14ac:dyDescent="0.25">
      <c r="A367" s="59" t="s">
        <v>952</v>
      </c>
      <c r="B367" s="84">
        <v>365</v>
      </c>
      <c r="C367" s="85" t="s">
        <v>684</v>
      </c>
      <c r="D367" s="60">
        <v>0</v>
      </c>
      <c r="E367" s="61">
        <f t="shared" si="60"/>
        <v>0</v>
      </c>
      <c r="F367" s="60">
        <v>0</v>
      </c>
      <c r="G367" s="61">
        <f t="shared" si="61"/>
        <v>0</v>
      </c>
      <c r="H367" s="60">
        <v>0</v>
      </c>
      <c r="I367" s="61">
        <f t="shared" si="62"/>
        <v>0</v>
      </c>
      <c r="J367" s="60">
        <v>0</v>
      </c>
      <c r="K367" s="61">
        <f t="shared" si="63"/>
        <v>0</v>
      </c>
      <c r="L367" s="62"/>
      <c r="M367" s="61">
        <f t="shared" si="64"/>
        <v>0</v>
      </c>
      <c r="N367" s="63">
        <v>0</v>
      </c>
      <c r="O367" s="61">
        <f t="shared" si="65"/>
        <v>0</v>
      </c>
      <c r="P367" s="60">
        <v>0</v>
      </c>
      <c r="Q367" s="61">
        <f t="shared" si="66"/>
        <v>0</v>
      </c>
      <c r="R367" s="60">
        <v>0</v>
      </c>
      <c r="S367" s="61">
        <f t="shared" si="67"/>
        <v>0</v>
      </c>
      <c r="T367" s="60">
        <v>0</v>
      </c>
      <c r="U367" s="64">
        <f t="shared" si="68"/>
        <v>0</v>
      </c>
      <c r="V367" s="65">
        <v>0</v>
      </c>
      <c r="W367" s="66">
        <f t="shared" si="69"/>
        <v>0</v>
      </c>
      <c r="X367" s="67">
        <f t="shared" si="70"/>
        <v>0</v>
      </c>
      <c r="Y367" s="57" t="str">
        <f t="shared" si="71"/>
        <v>NIL PLEASE PURCHASE</v>
      </c>
      <c r="Z367" s="68" t="s">
        <v>1539</v>
      </c>
    </row>
    <row r="368" spans="1:26" s="8" customFormat="1" ht="20.100000000000001" customHeight="1" x14ac:dyDescent="0.25">
      <c r="A368" s="59" t="s">
        <v>953</v>
      </c>
      <c r="B368" s="84">
        <v>366</v>
      </c>
      <c r="C368" s="85" t="s">
        <v>685</v>
      </c>
      <c r="D368" s="60">
        <v>0</v>
      </c>
      <c r="E368" s="61">
        <f t="shared" si="60"/>
        <v>0</v>
      </c>
      <c r="F368" s="60">
        <v>0</v>
      </c>
      <c r="G368" s="61">
        <f t="shared" si="61"/>
        <v>0</v>
      </c>
      <c r="H368" s="60">
        <v>0</v>
      </c>
      <c r="I368" s="61">
        <f t="shared" si="62"/>
        <v>0</v>
      </c>
      <c r="J368" s="60">
        <v>0</v>
      </c>
      <c r="K368" s="61">
        <f t="shared" si="63"/>
        <v>0</v>
      </c>
      <c r="L368" s="62"/>
      <c r="M368" s="61">
        <f t="shared" si="64"/>
        <v>0</v>
      </c>
      <c r="N368" s="63">
        <v>0</v>
      </c>
      <c r="O368" s="61">
        <f t="shared" si="65"/>
        <v>0</v>
      </c>
      <c r="P368" s="60">
        <v>0</v>
      </c>
      <c r="Q368" s="61">
        <f t="shared" si="66"/>
        <v>0</v>
      </c>
      <c r="R368" s="60">
        <v>0</v>
      </c>
      <c r="S368" s="61">
        <f t="shared" si="67"/>
        <v>0</v>
      </c>
      <c r="T368" s="60">
        <v>0</v>
      </c>
      <c r="U368" s="64">
        <f t="shared" si="68"/>
        <v>0</v>
      </c>
      <c r="V368" s="65">
        <v>0</v>
      </c>
      <c r="W368" s="66">
        <f t="shared" si="69"/>
        <v>0</v>
      </c>
      <c r="X368" s="67">
        <f t="shared" si="70"/>
        <v>0</v>
      </c>
      <c r="Y368" s="57" t="str">
        <f t="shared" si="71"/>
        <v>NIL PLEASE PURCHASE</v>
      </c>
      <c r="Z368" s="68" t="s">
        <v>1539</v>
      </c>
    </row>
    <row r="369" spans="1:26" s="8" customFormat="1" ht="20.100000000000001" customHeight="1" x14ac:dyDescent="0.25">
      <c r="A369" s="59" t="s">
        <v>954</v>
      </c>
      <c r="B369" s="84">
        <v>367</v>
      </c>
      <c r="C369" s="85" t="s">
        <v>686</v>
      </c>
      <c r="D369" s="60">
        <v>0</v>
      </c>
      <c r="E369" s="61">
        <f t="shared" si="60"/>
        <v>0</v>
      </c>
      <c r="F369" s="60">
        <v>0</v>
      </c>
      <c r="G369" s="61">
        <f t="shared" si="61"/>
        <v>0</v>
      </c>
      <c r="H369" s="60">
        <v>0</v>
      </c>
      <c r="I369" s="61">
        <f t="shared" si="62"/>
        <v>0</v>
      </c>
      <c r="J369" s="60">
        <v>0</v>
      </c>
      <c r="K369" s="61">
        <f t="shared" si="63"/>
        <v>0</v>
      </c>
      <c r="L369" s="62"/>
      <c r="M369" s="61">
        <f t="shared" si="64"/>
        <v>0</v>
      </c>
      <c r="N369" s="63">
        <v>2</v>
      </c>
      <c r="O369" s="61">
        <f t="shared" si="65"/>
        <v>1000</v>
      </c>
      <c r="P369" s="60">
        <v>0</v>
      </c>
      <c r="Q369" s="61">
        <f t="shared" si="66"/>
        <v>0</v>
      </c>
      <c r="R369" s="60">
        <v>0</v>
      </c>
      <c r="S369" s="61">
        <f t="shared" si="67"/>
        <v>0</v>
      </c>
      <c r="T369" s="60">
        <v>0</v>
      </c>
      <c r="U369" s="64">
        <f t="shared" si="68"/>
        <v>0</v>
      </c>
      <c r="V369" s="65">
        <v>0</v>
      </c>
      <c r="W369" s="66">
        <f t="shared" si="69"/>
        <v>1000</v>
      </c>
      <c r="X369" s="67">
        <f t="shared" si="70"/>
        <v>1</v>
      </c>
      <c r="Y369" s="57" t="str">
        <f t="shared" si="71"/>
        <v>STOCK</v>
      </c>
      <c r="Z369" s="68" t="s">
        <v>1538</v>
      </c>
    </row>
    <row r="370" spans="1:26" s="8" customFormat="1" ht="20.100000000000001" customHeight="1" x14ac:dyDescent="0.25">
      <c r="A370" s="59" t="s">
        <v>955</v>
      </c>
      <c r="B370" s="84">
        <v>368</v>
      </c>
      <c r="C370" s="85" t="s">
        <v>687</v>
      </c>
      <c r="D370" s="60">
        <v>0</v>
      </c>
      <c r="E370" s="61">
        <f t="shared" si="60"/>
        <v>0</v>
      </c>
      <c r="F370" s="60">
        <v>0</v>
      </c>
      <c r="G370" s="61">
        <f t="shared" si="61"/>
        <v>0</v>
      </c>
      <c r="H370" s="60">
        <v>0</v>
      </c>
      <c r="I370" s="61">
        <f t="shared" si="62"/>
        <v>0</v>
      </c>
      <c r="J370" s="60">
        <v>0</v>
      </c>
      <c r="K370" s="61">
        <f t="shared" si="63"/>
        <v>0</v>
      </c>
      <c r="L370" s="62"/>
      <c r="M370" s="61">
        <f t="shared" si="64"/>
        <v>0</v>
      </c>
      <c r="N370" s="63">
        <v>0</v>
      </c>
      <c r="O370" s="61">
        <f t="shared" si="65"/>
        <v>0</v>
      </c>
      <c r="P370" s="60">
        <v>0</v>
      </c>
      <c r="Q370" s="61">
        <f t="shared" si="66"/>
        <v>0</v>
      </c>
      <c r="R370" s="60">
        <v>0</v>
      </c>
      <c r="S370" s="61">
        <f t="shared" si="67"/>
        <v>0</v>
      </c>
      <c r="T370" s="60">
        <v>0</v>
      </c>
      <c r="U370" s="64">
        <f t="shared" si="68"/>
        <v>0</v>
      </c>
      <c r="V370" s="65">
        <v>0</v>
      </c>
      <c r="W370" s="66">
        <f t="shared" si="69"/>
        <v>0</v>
      </c>
      <c r="X370" s="67">
        <f t="shared" si="70"/>
        <v>0</v>
      </c>
      <c r="Y370" s="57" t="str">
        <f t="shared" si="71"/>
        <v>NIL PLEASE PURCHASE</v>
      </c>
      <c r="Z370" s="68" t="s">
        <v>1539</v>
      </c>
    </row>
    <row r="371" spans="1:26" s="8" customFormat="1" ht="20.100000000000001" customHeight="1" x14ac:dyDescent="0.25">
      <c r="A371" s="59" t="s">
        <v>956</v>
      </c>
      <c r="B371" s="84">
        <v>369</v>
      </c>
      <c r="C371" s="85" t="s">
        <v>688</v>
      </c>
      <c r="D371" s="60">
        <v>0</v>
      </c>
      <c r="E371" s="61">
        <f t="shared" si="60"/>
        <v>0</v>
      </c>
      <c r="F371" s="60">
        <v>0</v>
      </c>
      <c r="G371" s="61">
        <f t="shared" si="61"/>
        <v>0</v>
      </c>
      <c r="H371" s="60">
        <v>0</v>
      </c>
      <c r="I371" s="61">
        <f t="shared" si="62"/>
        <v>0</v>
      </c>
      <c r="J371" s="60">
        <v>3</v>
      </c>
      <c r="K371" s="61">
        <f t="shared" si="63"/>
        <v>300</v>
      </c>
      <c r="L371" s="62"/>
      <c r="M371" s="61">
        <f t="shared" si="64"/>
        <v>0</v>
      </c>
      <c r="N371" s="63">
        <v>0</v>
      </c>
      <c r="O371" s="61">
        <f t="shared" si="65"/>
        <v>0</v>
      </c>
      <c r="P371" s="60">
        <v>0</v>
      </c>
      <c r="Q371" s="61">
        <f t="shared" si="66"/>
        <v>0</v>
      </c>
      <c r="R371" s="60">
        <v>0</v>
      </c>
      <c r="S371" s="61">
        <f t="shared" si="67"/>
        <v>0</v>
      </c>
      <c r="T371" s="60">
        <v>0</v>
      </c>
      <c r="U371" s="64">
        <f t="shared" si="68"/>
        <v>0</v>
      </c>
      <c r="V371" s="65">
        <v>0</v>
      </c>
      <c r="W371" s="66">
        <f t="shared" si="69"/>
        <v>300</v>
      </c>
      <c r="X371" s="67">
        <f t="shared" si="70"/>
        <v>0.3</v>
      </c>
      <c r="Y371" s="57" t="str">
        <f t="shared" si="71"/>
        <v>STOCK</v>
      </c>
      <c r="Z371" s="68" t="s">
        <v>1538</v>
      </c>
    </row>
    <row r="372" spans="1:26" s="8" customFormat="1" ht="20.100000000000001" customHeight="1" x14ac:dyDescent="0.25">
      <c r="A372" s="59" t="s">
        <v>957</v>
      </c>
      <c r="B372" s="84">
        <v>370</v>
      </c>
      <c r="C372" s="85" t="s">
        <v>689</v>
      </c>
      <c r="D372" s="60">
        <v>0</v>
      </c>
      <c r="E372" s="61">
        <f t="shared" si="60"/>
        <v>0</v>
      </c>
      <c r="F372" s="60">
        <v>0</v>
      </c>
      <c r="G372" s="61">
        <f t="shared" si="61"/>
        <v>0</v>
      </c>
      <c r="H372" s="60">
        <v>0</v>
      </c>
      <c r="I372" s="61">
        <f t="shared" si="62"/>
        <v>0</v>
      </c>
      <c r="J372" s="60">
        <v>0</v>
      </c>
      <c r="K372" s="61">
        <f t="shared" si="63"/>
        <v>0</v>
      </c>
      <c r="L372" s="62"/>
      <c r="M372" s="61">
        <f t="shared" si="64"/>
        <v>0</v>
      </c>
      <c r="N372" s="63">
        <v>1</v>
      </c>
      <c r="O372" s="61">
        <f t="shared" si="65"/>
        <v>500</v>
      </c>
      <c r="P372" s="60">
        <v>0</v>
      </c>
      <c r="Q372" s="61">
        <f t="shared" si="66"/>
        <v>0</v>
      </c>
      <c r="R372" s="60">
        <v>0</v>
      </c>
      <c r="S372" s="61">
        <f t="shared" si="67"/>
        <v>0</v>
      </c>
      <c r="T372" s="60">
        <v>0</v>
      </c>
      <c r="U372" s="64">
        <f t="shared" si="68"/>
        <v>0</v>
      </c>
      <c r="V372" s="65">
        <v>0</v>
      </c>
      <c r="W372" s="66">
        <f t="shared" si="69"/>
        <v>500</v>
      </c>
      <c r="X372" s="67">
        <f t="shared" si="70"/>
        <v>0.5</v>
      </c>
      <c r="Y372" s="57" t="str">
        <f t="shared" si="71"/>
        <v>STOCK</v>
      </c>
      <c r="Z372" s="68" t="s">
        <v>1538</v>
      </c>
    </row>
    <row r="373" spans="1:26" s="8" customFormat="1" ht="20.100000000000001" customHeight="1" x14ac:dyDescent="0.25">
      <c r="A373" s="59" t="s">
        <v>958</v>
      </c>
      <c r="B373" s="84">
        <v>371</v>
      </c>
      <c r="C373" s="85" t="s">
        <v>690</v>
      </c>
      <c r="D373" s="60">
        <v>0</v>
      </c>
      <c r="E373" s="61">
        <f t="shared" si="60"/>
        <v>0</v>
      </c>
      <c r="F373" s="60">
        <v>0</v>
      </c>
      <c r="G373" s="61">
        <f t="shared" si="61"/>
        <v>0</v>
      </c>
      <c r="H373" s="60">
        <v>0</v>
      </c>
      <c r="I373" s="61">
        <f t="shared" si="62"/>
        <v>0</v>
      </c>
      <c r="J373" s="60">
        <v>0</v>
      </c>
      <c r="K373" s="61">
        <f t="shared" si="63"/>
        <v>0</v>
      </c>
      <c r="L373" s="62"/>
      <c r="M373" s="61">
        <f t="shared" si="64"/>
        <v>0</v>
      </c>
      <c r="N373" s="63">
        <v>0</v>
      </c>
      <c r="O373" s="61">
        <f t="shared" si="65"/>
        <v>0</v>
      </c>
      <c r="P373" s="60">
        <v>0</v>
      </c>
      <c r="Q373" s="61">
        <f t="shared" si="66"/>
        <v>0</v>
      </c>
      <c r="R373" s="60">
        <v>0</v>
      </c>
      <c r="S373" s="61">
        <f t="shared" si="67"/>
        <v>0</v>
      </c>
      <c r="T373" s="60">
        <v>0</v>
      </c>
      <c r="U373" s="64">
        <f t="shared" si="68"/>
        <v>0</v>
      </c>
      <c r="V373" s="65">
        <v>0</v>
      </c>
      <c r="W373" s="66">
        <f t="shared" si="69"/>
        <v>0</v>
      </c>
      <c r="X373" s="67">
        <f t="shared" si="70"/>
        <v>0</v>
      </c>
      <c r="Y373" s="57" t="str">
        <f t="shared" si="71"/>
        <v>NIL PLEASE PURCHASE</v>
      </c>
      <c r="Z373" s="68" t="s">
        <v>1539</v>
      </c>
    </row>
    <row r="374" spans="1:26" s="8" customFormat="1" ht="20.100000000000001" customHeight="1" x14ac:dyDescent="0.25">
      <c r="A374" s="59" t="s">
        <v>959</v>
      </c>
      <c r="B374" s="84">
        <v>372</v>
      </c>
      <c r="C374" s="85" t="s">
        <v>691</v>
      </c>
      <c r="D374" s="60">
        <v>0</v>
      </c>
      <c r="E374" s="61">
        <f t="shared" si="60"/>
        <v>0</v>
      </c>
      <c r="F374" s="60">
        <v>0</v>
      </c>
      <c r="G374" s="61">
        <f t="shared" si="61"/>
        <v>0</v>
      </c>
      <c r="H374" s="60">
        <v>0</v>
      </c>
      <c r="I374" s="61">
        <f t="shared" si="62"/>
        <v>0</v>
      </c>
      <c r="J374" s="60">
        <v>0</v>
      </c>
      <c r="K374" s="61">
        <f t="shared" si="63"/>
        <v>0</v>
      </c>
      <c r="L374" s="62"/>
      <c r="M374" s="61">
        <f t="shared" si="64"/>
        <v>0</v>
      </c>
      <c r="N374" s="63">
        <v>0</v>
      </c>
      <c r="O374" s="61">
        <f t="shared" si="65"/>
        <v>0</v>
      </c>
      <c r="P374" s="60">
        <v>0</v>
      </c>
      <c r="Q374" s="61">
        <f t="shared" si="66"/>
        <v>0</v>
      </c>
      <c r="R374" s="60">
        <v>0</v>
      </c>
      <c r="S374" s="61">
        <f t="shared" si="67"/>
        <v>0</v>
      </c>
      <c r="T374" s="60">
        <v>0</v>
      </c>
      <c r="U374" s="64">
        <f t="shared" si="68"/>
        <v>0</v>
      </c>
      <c r="V374" s="65">
        <v>0</v>
      </c>
      <c r="W374" s="66">
        <f t="shared" si="69"/>
        <v>0</v>
      </c>
      <c r="X374" s="67">
        <f t="shared" si="70"/>
        <v>0</v>
      </c>
      <c r="Y374" s="57" t="str">
        <f t="shared" si="71"/>
        <v>NIL PLEASE PURCHASE</v>
      </c>
      <c r="Z374" s="68" t="s">
        <v>1539</v>
      </c>
    </row>
    <row r="375" spans="1:26" s="8" customFormat="1" ht="20.100000000000001" customHeight="1" x14ac:dyDescent="0.25">
      <c r="A375" s="59" t="s">
        <v>960</v>
      </c>
      <c r="B375" s="84">
        <v>373</v>
      </c>
      <c r="C375" s="85" t="s">
        <v>692</v>
      </c>
      <c r="D375" s="60">
        <v>0</v>
      </c>
      <c r="E375" s="61">
        <f t="shared" si="60"/>
        <v>0</v>
      </c>
      <c r="F375" s="60">
        <v>0</v>
      </c>
      <c r="G375" s="61">
        <f t="shared" si="61"/>
        <v>0</v>
      </c>
      <c r="H375" s="60">
        <v>0</v>
      </c>
      <c r="I375" s="61">
        <f t="shared" si="62"/>
        <v>0</v>
      </c>
      <c r="J375" s="60">
        <v>0</v>
      </c>
      <c r="K375" s="61">
        <f t="shared" si="63"/>
        <v>0</v>
      </c>
      <c r="L375" s="62"/>
      <c r="M375" s="61">
        <f t="shared" si="64"/>
        <v>0</v>
      </c>
      <c r="N375" s="63">
        <v>15</v>
      </c>
      <c r="O375" s="61">
        <f t="shared" si="65"/>
        <v>7500</v>
      </c>
      <c r="P375" s="60">
        <v>0</v>
      </c>
      <c r="Q375" s="61">
        <f t="shared" si="66"/>
        <v>0</v>
      </c>
      <c r="R375" s="60">
        <v>0</v>
      </c>
      <c r="S375" s="61">
        <f t="shared" si="67"/>
        <v>0</v>
      </c>
      <c r="T375" s="60">
        <v>0</v>
      </c>
      <c r="U375" s="64">
        <f t="shared" si="68"/>
        <v>0</v>
      </c>
      <c r="V375" s="65">
        <v>0</v>
      </c>
      <c r="W375" s="66">
        <f t="shared" si="69"/>
        <v>7500</v>
      </c>
      <c r="X375" s="67">
        <f t="shared" si="70"/>
        <v>7.5</v>
      </c>
      <c r="Y375" s="57" t="str">
        <f t="shared" si="71"/>
        <v>STOCK</v>
      </c>
      <c r="Z375" s="68" t="s">
        <v>1538</v>
      </c>
    </row>
    <row r="376" spans="1:26" s="8" customFormat="1" ht="20.100000000000001" customHeight="1" x14ac:dyDescent="0.25">
      <c r="A376" s="59" t="s">
        <v>961</v>
      </c>
      <c r="B376" s="84">
        <v>374</v>
      </c>
      <c r="C376" s="85" t="s">
        <v>693</v>
      </c>
      <c r="D376" s="60">
        <v>0</v>
      </c>
      <c r="E376" s="61">
        <f t="shared" si="60"/>
        <v>0</v>
      </c>
      <c r="F376" s="60">
        <v>0</v>
      </c>
      <c r="G376" s="61">
        <f t="shared" si="61"/>
        <v>0</v>
      </c>
      <c r="H376" s="60">
        <v>0</v>
      </c>
      <c r="I376" s="61">
        <f t="shared" si="62"/>
        <v>0</v>
      </c>
      <c r="J376" s="60">
        <v>0</v>
      </c>
      <c r="K376" s="61">
        <f t="shared" si="63"/>
        <v>0</v>
      </c>
      <c r="L376" s="62"/>
      <c r="M376" s="61">
        <f t="shared" si="64"/>
        <v>0</v>
      </c>
      <c r="N376" s="63">
        <v>0</v>
      </c>
      <c r="O376" s="61">
        <f t="shared" si="65"/>
        <v>0</v>
      </c>
      <c r="P376" s="60">
        <v>0</v>
      </c>
      <c r="Q376" s="61">
        <f t="shared" si="66"/>
        <v>0</v>
      </c>
      <c r="R376" s="60">
        <v>0</v>
      </c>
      <c r="S376" s="61">
        <f t="shared" si="67"/>
        <v>0</v>
      </c>
      <c r="T376" s="60">
        <v>0</v>
      </c>
      <c r="U376" s="64">
        <f t="shared" si="68"/>
        <v>0</v>
      </c>
      <c r="V376" s="65">
        <v>0</v>
      </c>
      <c r="W376" s="66">
        <f t="shared" si="69"/>
        <v>0</v>
      </c>
      <c r="X376" s="67">
        <f t="shared" si="70"/>
        <v>0</v>
      </c>
      <c r="Y376" s="57" t="str">
        <f t="shared" si="71"/>
        <v>NIL PLEASE PURCHASE</v>
      </c>
      <c r="Z376" s="68" t="s">
        <v>1539</v>
      </c>
    </row>
    <row r="377" spans="1:26" s="8" customFormat="1" ht="20.100000000000001" customHeight="1" x14ac:dyDescent="0.25">
      <c r="A377" s="59" t="s">
        <v>962</v>
      </c>
      <c r="B377" s="84">
        <v>375</v>
      </c>
      <c r="C377" s="85" t="s">
        <v>694</v>
      </c>
      <c r="D377" s="60">
        <v>0</v>
      </c>
      <c r="E377" s="61">
        <f t="shared" si="60"/>
        <v>0</v>
      </c>
      <c r="F377" s="60">
        <v>0</v>
      </c>
      <c r="G377" s="61">
        <f t="shared" si="61"/>
        <v>0</v>
      </c>
      <c r="H377" s="60">
        <v>0</v>
      </c>
      <c r="I377" s="61">
        <f t="shared" si="62"/>
        <v>0</v>
      </c>
      <c r="J377" s="60">
        <v>0</v>
      </c>
      <c r="K377" s="61">
        <f t="shared" si="63"/>
        <v>0</v>
      </c>
      <c r="L377" s="62"/>
      <c r="M377" s="61">
        <f t="shared" si="64"/>
        <v>0</v>
      </c>
      <c r="N377" s="63">
        <v>0</v>
      </c>
      <c r="O377" s="61">
        <f t="shared" si="65"/>
        <v>0</v>
      </c>
      <c r="P377" s="60">
        <v>0</v>
      </c>
      <c r="Q377" s="61">
        <f t="shared" si="66"/>
        <v>0</v>
      </c>
      <c r="R377" s="60">
        <v>0</v>
      </c>
      <c r="S377" s="61">
        <f t="shared" si="67"/>
        <v>0</v>
      </c>
      <c r="T377" s="60">
        <v>0</v>
      </c>
      <c r="U377" s="64">
        <f t="shared" si="68"/>
        <v>0</v>
      </c>
      <c r="V377" s="65">
        <v>0</v>
      </c>
      <c r="W377" s="66">
        <f t="shared" si="69"/>
        <v>0</v>
      </c>
      <c r="X377" s="67">
        <f t="shared" si="70"/>
        <v>0</v>
      </c>
      <c r="Y377" s="57" t="str">
        <f t="shared" si="71"/>
        <v>NIL PLEASE PURCHASE</v>
      </c>
      <c r="Z377" s="68" t="s">
        <v>1539</v>
      </c>
    </row>
    <row r="378" spans="1:26" s="8" customFormat="1" ht="20.100000000000001" customHeight="1" x14ac:dyDescent="0.25">
      <c r="A378" s="59" t="s">
        <v>963</v>
      </c>
      <c r="B378" s="84">
        <v>376</v>
      </c>
      <c r="C378" s="85" t="s">
        <v>695</v>
      </c>
      <c r="D378" s="60">
        <v>0</v>
      </c>
      <c r="E378" s="61">
        <f t="shared" si="60"/>
        <v>0</v>
      </c>
      <c r="F378" s="60">
        <v>0</v>
      </c>
      <c r="G378" s="61">
        <f t="shared" si="61"/>
        <v>0</v>
      </c>
      <c r="H378" s="60">
        <v>0</v>
      </c>
      <c r="I378" s="61">
        <f t="shared" si="62"/>
        <v>0</v>
      </c>
      <c r="J378" s="60">
        <v>0</v>
      </c>
      <c r="K378" s="61">
        <f t="shared" si="63"/>
        <v>0</v>
      </c>
      <c r="L378" s="62"/>
      <c r="M378" s="61">
        <f t="shared" si="64"/>
        <v>0</v>
      </c>
      <c r="N378" s="63">
        <v>0</v>
      </c>
      <c r="O378" s="61">
        <f t="shared" si="65"/>
        <v>0</v>
      </c>
      <c r="P378" s="60">
        <v>0</v>
      </c>
      <c r="Q378" s="61">
        <f t="shared" si="66"/>
        <v>0</v>
      </c>
      <c r="R378" s="60">
        <v>0</v>
      </c>
      <c r="S378" s="61">
        <f t="shared" si="67"/>
        <v>0</v>
      </c>
      <c r="T378" s="60">
        <v>0</v>
      </c>
      <c r="U378" s="64">
        <f t="shared" si="68"/>
        <v>0</v>
      </c>
      <c r="V378" s="65">
        <v>0</v>
      </c>
      <c r="W378" s="66">
        <f t="shared" si="69"/>
        <v>0</v>
      </c>
      <c r="X378" s="67">
        <f t="shared" si="70"/>
        <v>0</v>
      </c>
      <c r="Y378" s="57" t="str">
        <f t="shared" si="71"/>
        <v>NIL PLEASE PURCHASE</v>
      </c>
      <c r="Z378" s="68" t="s">
        <v>1539</v>
      </c>
    </row>
    <row r="379" spans="1:26" s="8" customFormat="1" ht="20.100000000000001" customHeight="1" x14ac:dyDescent="0.25">
      <c r="A379" s="59" t="s">
        <v>964</v>
      </c>
      <c r="B379" s="84">
        <v>377</v>
      </c>
      <c r="C379" s="85" t="s">
        <v>696</v>
      </c>
      <c r="D379" s="60">
        <v>0</v>
      </c>
      <c r="E379" s="61">
        <f t="shared" si="60"/>
        <v>0</v>
      </c>
      <c r="F379" s="60">
        <v>0</v>
      </c>
      <c r="G379" s="61">
        <f t="shared" si="61"/>
        <v>0</v>
      </c>
      <c r="H379" s="60">
        <v>0</v>
      </c>
      <c r="I379" s="61">
        <f t="shared" si="62"/>
        <v>0</v>
      </c>
      <c r="J379" s="60">
        <v>0</v>
      </c>
      <c r="K379" s="61">
        <f t="shared" si="63"/>
        <v>0</v>
      </c>
      <c r="L379" s="62"/>
      <c r="M379" s="61">
        <f t="shared" si="64"/>
        <v>0</v>
      </c>
      <c r="N379" s="63">
        <v>0</v>
      </c>
      <c r="O379" s="61">
        <f t="shared" si="65"/>
        <v>0</v>
      </c>
      <c r="P379" s="60">
        <v>0</v>
      </c>
      <c r="Q379" s="61">
        <f t="shared" si="66"/>
        <v>0</v>
      </c>
      <c r="R379" s="60">
        <v>0</v>
      </c>
      <c r="S379" s="61">
        <f t="shared" si="67"/>
        <v>0</v>
      </c>
      <c r="T379" s="60">
        <v>0</v>
      </c>
      <c r="U379" s="64">
        <f t="shared" si="68"/>
        <v>0</v>
      </c>
      <c r="V379" s="65">
        <v>0</v>
      </c>
      <c r="W379" s="66">
        <f t="shared" si="69"/>
        <v>0</v>
      </c>
      <c r="X379" s="67">
        <f t="shared" si="70"/>
        <v>0</v>
      </c>
      <c r="Y379" s="57" t="str">
        <f t="shared" si="71"/>
        <v>NIL PLEASE PURCHASE</v>
      </c>
      <c r="Z379" s="68" t="s">
        <v>1539</v>
      </c>
    </row>
    <row r="380" spans="1:26" s="8" customFormat="1" ht="20.100000000000001" customHeight="1" x14ac:dyDescent="0.25">
      <c r="A380" s="59" t="s">
        <v>965</v>
      </c>
      <c r="B380" s="84">
        <v>378</v>
      </c>
      <c r="C380" s="85" t="s">
        <v>697</v>
      </c>
      <c r="D380" s="60">
        <v>0</v>
      </c>
      <c r="E380" s="61">
        <f t="shared" si="60"/>
        <v>0</v>
      </c>
      <c r="F380" s="60">
        <v>0</v>
      </c>
      <c r="G380" s="61">
        <f t="shared" si="61"/>
        <v>0</v>
      </c>
      <c r="H380" s="60">
        <v>0</v>
      </c>
      <c r="I380" s="61">
        <f t="shared" si="62"/>
        <v>0</v>
      </c>
      <c r="J380" s="60">
        <v>0</v>
      </c>
      <c r="K380" s="61">
        <f t="shared" si="63"/>
        <v>0</v>
      </c>
      <c r="L380" s="62"/>
      <c r="M380" s="61">
        <f t="shared" si="64"/>
        <v>0</v>
      </c>
      <c r="N380" s="63">
        <v>0</v>
      </c>
      <c r="O380" s="61">
        <f t="shared" si="65"/>
        <v>0</v>
      </c>
      <c r="P380" s="60">
        <v>0</v>
      </c>
      <c r="Q380" s="61">
        <f t="shared" si="66"/>
        <v>0</v>
      </c>
      <c r="R380" s="60">
        <v>0</v>
      </c>
      <c r="S380" s="61">
        <f t="shared" si="67"/>
        <v>0</v>
      </c>
      <c r="T380" s="60">
        <v>0</v>
      </c>
      <c r="U380" s="64">
        <f t="shared" si="68"/>
        <v>0</v>
      </c>
      <c r="V380" s="65">
        <v>0</v>
      </c>
      <c r="W380" s="66">
        <f t="shared" si="69"/>
        <v>0</v>
      </c>
      <c r="X380" s="67">
        <f t="shared" si="70"/>
        <v>0</v>
      </c>
      <c r="Y380" s="57" t="str">
        <f t="shared" si="71"/>
        <v>NIL PLEASE PURCHASE</v>
      </c>
      <c r="Z380" s="68" t="s">
        <v>1539</v>
      </c>
    </row>
    <row r="381" spans="1:26" s="8" customFormat="1" ht="20.100000000000001" customHeight="1" x14ac:dyDescent="0.25">
      <c r="A381" s="59" t="s">
        <v>966</v>
      </c>
      <c r="B381" s="84">
        <v>379</v>
      </c>
      <c r="C381" s="85" t="s">
        <v>698</v>
      </c>
      <c r="D381" s="60">
        <v>0</v>
      </c>
      <c r="E381" s="61">
        <f t="shared" si="60"/>
        <v>0</v>
      </c>
      <c r="F381" s="60">
        <v>0</v>
      </c>
      <c r="G381" s="61">
        <f t="shared" si="61"/>
        <v>0</v>
      </c>
      <c r="H381" s="60">
        <v>0</v>
      </c>
      <c r="I381" s="61">
        <f t="shared" si="62"/>
        <v>0</v>
      </c>
      <c r="J381" s="60">
        <v>0</v>
      </c>
      <c r="K381" s="61">
        <f t="shared" si="63"/>
        <v>0</v>
      </c>
      <c r="L381" s="62"/>
      <c r="M381" s="61">
        <f t="shared" si="64"/>
        <v>0</v>
      </c>
      <c r="N381" s="63">
        <v>0</v>
      </c>
      <c r="O381" s="61">
        <f t="shared" si="65"/>
        <v>0</v>
      </c>
      <c r="P381" s="60">
        <v>0</v>
      </c>
      <c r="Q381" s="61">
        <f t="shared" si="66"/>
        <v>0</v>
      </c>
      <c r="R381" s="60">
        <v>0</v>
      </c>
      <c r="S381" s="61">
        <f t="shared" si="67"/>
        <v>0</v>
      </c>
      <c r="T381" s="60">
        <v>0</v>
      </c>
      <c r="U381" s="64">
        <f t="shared" si="68"/>
        <v>0</v>
      </c>
      <c r="V381" s="65">
        <v>0</v>
      </c>
      <c r="W381" s="66">
        <f t="shared" si="69"/>
        <v>0</v>
      </c>
      <c r="X381" s="67">
        <f t="shared" si="70"/>
        <v>0</v>
      </c>
      <c r="Y381" s="57" t="str">
        <f t="shared" si="71"/>
        <v>NIL PLEASE PURCHASE</v>
      </c>
      <c r="Z381" s="68" t="s">
        <v>1539</v>
      </c>
    </row>
    <row r="382" spans="1:26" s="8" customFormat="1" ht="20.100000000000001" customHeight="1" x14ac:dyDescent="0.25">
      <c r="A382" s="59" t="s">
        <v>967</v>
      </c>
      <c r="B382" s="84">
        <v>380</v>
      </c>
      <c r="C382" s="85" t="s">
        <v>699</v>
      </c>
      <c r="D382" s="60">
        <v>0</v>
      </c>
      <c r="E382" s="61">
        <f t="shared" si="60"/>
        <v>0</v>
      </c>
      <c r="F382" s="60">
        <v>0</v>
      </c>
      <c r="G382" s="61">
        <f t="shared" si="61"/>
        <v>0</v>
      </c>
      <c r="H382" s="60">
        <v>0</v>
      </c>
      <c r="I382" s="61">
        <f t="shared" si="62"/>
        <v>0</v>
      </c>
      <c r="J382" s="60">
        <v>0</v>
      </c>
      <c r="K382" s="61">
        <f t="shared" si="63"/>
        <v>0</v>
      </c>
      <c r="L382" s="62"/>
      <c r="M382" s="61">
        <f t="shared" si="64"/>
        <v>0</v>
      </c>
      <c r="N382" s="63">
        <v>0</v>
      </c>
      <c r="O382" s="61">
        <f t="shared" si="65"/>
        <v>0</v>
      </c>
      <c r="P382" s="60">
        <v>0</v>
      </c>
      <c r="Q382" s="61">
        <f t="shared" si="66"/>
        <v>0</v>
      </c>
      <c r="R382" s="60">
        <v>0</v>
      </c>
      <c r="S382" s="61">
        <f t="shared" si="67"/>
        <v>0</v>
      </c>
      <c r="T382" s="60">
        <v>0</v>
      </c>
      <c r="U382" s="64">
        <f t="shared" si="68"/>
        <v>0</v>
      </c>
      <c r="V382" s="65">
        <v>0</v>
      </c>
      <c r="W382" s="66">
        <f t="shared" si="69"/>
        <v>0</v>
      </c>
      <c r="X382" s="67">
        <f t="shared" si="70"/>
        <v>0</v>
      </c>
      <c r="Y382" s="57" t="str">
        <f t="shared" si="71"/>
        <v>NIL PLEASE PURCHASE</v>
      </c>
      <c r="Z382" s="68" t="s">
        <v>1539</v>
      </c>
    </row>
    <row r="383" spans="1:26" s="8" customFormat="1" ht="20.100000000000001" customHeight="1" x14ac:dyDescent="0.25">
      <c r="A383" s="59" t="s">
        <v>968</v>
      </c>
      <c r="B383" s="84">
        <v>381</v>
      </c>
      <c r="C383" s="85" t="s">
        <v>700</v>
      </c>
      <c r="D383" s="60">
        <v>0</v>
      </c>
      <c r="E383" s="61">
        <f t="shared" si="60"/>
        <v>0</v>
      </c>
      <c r="F383" s="60">
        <v>0</v>
      </c>
      <c r="G383" s="61">
        <f t="shared" si="61"/>
        <v>0</v>
      </c>
      <c r="H383" s="60">
        <v>0</v>
      </c>
      <c r="I383" s="61">
        <f t="shared" si="62"/>
        <v>0</v>
      </c>
      <c r="J383" s="60">
        <v>0</v>
      </c>
      <c r="K383" s="61">
        <f t="shared" si="63"/>
        <v>0</v>
      </c>
      <c r="L383" s="62"/>
      <c r="M383" s="61">
        <f t="shared" si="64"/>
        <v>0</v>
      </c>
      <c r="N383" s="63">
        <v>0</v>
      </c>
      <c r="O383" s="61">
        <f t="shared" si="65"/>
        <v>0</v>
      </c>
      <c r="P383" s="60">
        <v>0</v>
      </c>
      <c r="Q383" s="61">
        <f t="shared" si="66"/>
        <v>0</v>
      </c>
      <c r="R383" s="60">
        <v>0</v>
      </c>
      <c r="S383" s="61">
        <f t="shared" si="67"/>
        <v>0</v>
      </c>
      <c r="T383" s="60">
        <v>0</v>
      </c>
      <c r="U383" s="64">
        <f t="shared" si="68"/>
        <v>0</v>
      </c>
      <c r="V383" s="65">
        <v>0</v>
      </c>
      <c r="W383" s="66">
        <f t="shared" si="69"/>
        <v>0</v>
      </c>
      <c r="X383" s="67">
        <f t="shared" si="70"/>
        <v>0</v>
      </c>
      <c r="Y383" s="57" t="str">
        <f t="shared" si="71"/>
        <v>NIL PLEASE PURCHASE</v>
      </c>
      <c r="Z383" s="68" t="s">
        <v>1539</v>
      </c>
    </row>
    <row r="384" spans="1:26" s="8" customFormat="1" ht="20.100000000000001" customHeight="1" x14ac:dyDescent="0.25">
      <c r="A384" s="59" t="s">
        <v>969</v>
      </c>
      <c r="B384" s="84">
        <v>382</v>
      </c>
      <c r="C384" s="85" t="s">
        <v>701</v>
      </c>
      <c r="D384" s="60">
        <v>0</v>
      </c>
      <c r="E384" s="61">
        <f t="shared" si="60"/>
        <v>0</v>
      </c>
      <c r="F384" s="60">
        <v>0</v>
      </c>
      <c r="G384" s="61">
        <f t="shared" si="61"/>
        <v>0</v>
      </c>
      <c r="H384" s="60">
        <v>0</v>
      </c>
      <c r="I384" s="61">
        <f t="shared" si="62"/>
        <v>0</v>
      </c>
      <c r="J384" s="60">
        <v>0</v>
      </c>
      <c r="K384" s="61">
        <f t="shared" si="63"/>
        <v>0</v>
      </c>
      <c r="L384" s="62"/>
      <c r="M384" s="61">
        <f t="shared" si="64"/>
        <v>0</v>
      </c>
      <c r="N384" s="63">
        <v>0</v>
      </c>
      <c r="O384" s="61">
        <f t="shared" si="65"/>
        <v>0</v>
      </c>
      <c r="P384" s="60">
        <v>0</v>
      </c>
      <c r="Q384" s="61">
        <f t="shared" si="66"/>
        <v>0</v>
      </c>
      <c r="R384" s="60">
        <v>0</v>
      </c>
      <c r="S384" s="61">
        <f t="shared" si="67"/>
        <v>0</v>
      </c>
      <c r="T384" s="60">
        <v>0</v>
      </c>
      <c r="U384" s="64">
        <f t="shared" si="68"/>
        <v>0</v>
      </c>
      <c r="V384" s="65">
        <v>0</v>
      </c>
      <c r="W384" s="66">
        <f t="shared" si="69"/>
        <v>0</v>
      </c>
      <c r="X384" s="67">
        <f t="shared" si="70"/>
        <v>0</v>
      </c>
      <c r="Y384" s="57" t="str">
        <f t="shared" si="71"/>
        <v>NIL PLEASE PURCHASE</v>
      </c>
      <c r="Z384" s="68" t="s">
        <v>1539</v>
      </c>
    </row>
    <row r="385" spans="1:26" s="8" customFormat="1" ht="20.100000000000001" customHeight="1" x14ac:dyDescent="0.25">
      <c r="A385" s="59" t="s">
        <v>970</v>
      </c>
      <c r="B385" s="84">
        <v>383</v>
      </c>
      <c r="C385" s="85" t="s">
        <v>702</v>
      </c>
      <c r="D385" s="60">
        <v>0</v>
      </c>
      <c r="E385" s="61">
        <f t="shared" si="60"/>
        <v>0</v>
      </c>
      <c r="F385" s="60">
        <v>0</v>
      </c>
      <c r="G385" s="61">
        <f t="shared" si="61"/>
        <v>0</v>
      </c>
      <c r="H385" s="60">
        <v>0</v>
      </c>
      <c r="I385" s="61">
        <f t="shared" si="62"/>
        <v>0</v>
      </c>
      <c r="J385" s="60">
        <v>0</v>
      </c>
      <c r="K385" s="61">
        <f t="shared" si="63"/>
        <v>0</v>
      </c>
      <c r="L385" s="62"/>
      <c r="M385" s="61">
        <f t="shared" si="64"/>
        <v>0</v>
      </c>
      <c r="N385" s="63">
        <v>0</v>
      </c>
      <c r="O385" s="61">
        <f t="shared" si="65"/>
        <v>0</v>
      </c>
      <c r="P385" s="60">
        <v>0</v>
      </c>
      <c r="Q385" s="61">
        <f t="shared" si="66"/>
        <v>0</v>
      </c>
      <c r="R385" s="60">
        <v>0</v>
      </c>
      <c r="S385" s="61">
        <f t="shared" si="67"/>
        <v>0</v>
      </c>
      <c r="T385" s="60">
        <v>0</v>
      </c>
      <c r="U385" s="64">
        <f t="shared" si="68"/>
        <v>0</v>
      </c>
      <c r="V385" s="65">
        <v>0</v>
      </c>
      <c r="W385" s="66">
        <f t="shared" si="69"/>
        <v>0</v>
      </c>
      <c r="X385" s="67">
        <f t="shared" si="70"/>
        <v>0</v>
      </c>
      <c r="Y385" s="57" t="str">
        <f t="shared" si="71"/>
        <v>NIL PLEASE PURCHASE</v>
      </c>
      <c r="Z385" s="68" t="s">
        <v>1539</v>
      </c>
    </row>
    <row r="386" spans="1:26" s="8" customFormat="1" ht="20.100000000000001" customHeight="1" x14ac:dyDescent="0.25">
      <c r="A386" s="59" t="s">
        <v>971</v>
      </c>
      <c r="B386" s="84">
        <v>384</v>
      </c>
      <c r="C386" s="85" t="s">
        <v>703</v>
      </c>
      <c r="D386" s="60">
        <v>0</v>
      </c>
      <c r="E386" s="61">
        <f t="shared" si="60"/>
        <v>0</v>
      </c>
      <c r="F386" s="60">
        <v>0</v>
      </c>
      <c r="G386" s="61">
        <f t="shared" si="61"/>
        <v>0</v>
      </c>
      <c r="H386" s="60">
        <v>0</v>
      </c>
      <c r="I386" s="61">
        <f t="shared" si="62"/>
        <v>0</v>
      </c>
      <c r="J386" s="60">
        <v>0</v>
      </c>
      <c r="K386" s="61">
        <f t="shared" si="63"/>
        <v>0</v>
      </c>
      <c r="L386" s="62"/>
      <c r="M386" s="61">
        <f t="shared" si="64"/>
        <v>0</v>
      </c>
      <c r="N386" s="63">
        <v>0</v>
      </c>
      <c r="O386" s="61">
        <f t="shared" si="65"/>
        <v>0</v>
      </c>
      <c r="P386" s="60">
        <v>0</v>
      </c>
      <c r="Q386" s="61">
        <f t="shared" si="66"/>
        <v>0</v>
      </c>
      <c r="R386" s="60">
        <v>0</v>
      </c>
      <c r="S386" s="61">
        <f t="shared" si="67"/>
        <v>0</v>
      </c>
      <c r="T386" s="60">
        <v>0</v>
      </c>
      <c r="U386" s="64">
        <f t="shared" si="68"/>
        <v>0</v>
      </c>
      <c r="V386" s="65">
        <v>0</v>
      </c>
      <c r="W386" s="66">
        <f t="shared" si="69"/>
        <v>0</v>
      </c>
      <c r="X386" s="67">
        <f t="shared" si="70"/>
        <v>0</v>
      </c>
      <c r="Y386" s="57" t="str">
        <f t="shared" si="71"/>
        <v>NIL PLEASE PURCHASE</v>
      </c>
      <c r="Z386" s="68" t="s">
        <v>1539</v>
      </c>
    </row>
    <row r="387" spans="1:26" s="8" customFormat="1" ht="20.100000000000001" customHeight="1" x14ac:dyDescent="0.25">
      <c r="A387" s="59" t="s">
        <v>972</v>
      </c>
      <c r="B387" s="84">
        <v>385</v>
      </c>
      <c r="C387" s="85" t="s">
        <v>704</v>
      </c>
      <c r="D387" s="60">
        <v>0</v>
      </c>
      <c r="E387" s="61">
        <f t="shared" si="60"/>
        <v>0</v>
      </c>
      <c r="F387" s="60">
        <v>0</v>
      </c>
      <c r="G387" s="61">
        <f t="shared" si="61"/>
        <v>0</v>
      </c>
      <c r="H387" s="60">
        <v>0</v>
      </c>
      <c r="I387" s="61">
        <f t="shared" si="62"/>
        <v>0</v>
      </c>
      <c r="J387" s="60">
        <v>0</v>
      </c>
      <c r="K387" s="61">
        <f t="shared" si="63"/>
        <v>0</v>
      </c>
      <c r="L387" s="62"/>
      <c r="M387" s="61">
        <f t="shared" si="64"/>
        <v>0</v>
      </c>
      <c r="N387" s="63">
        <v>0</v>
      </c>
      <c r="O387" s="61">
        <f t="shared" si="65"/>
        <v>0</v>
      </c>
      <c r="P387" s="60">
        <v>0</v>
      </c>
      <c r="Q387" s="61">
        <f t="shared" si="66"/>
        <v>0</v>
      </c>
      <c r="R387" s="60">
        <v>0</v>
      </c>
      <c r="S387" s="61">
        <f t="shared" si="67"/>
        <v>0</v>
      </c>
      <c r="T387" s="60">
        <v>0</v>
      </c>
      <c r="U387" s="64">
        <f t="shared" si="68"/>
        <v>0</v>
      </c>
      <c r="V387" s="65">
        <v>0</v>
      </c>
      <c r="W387" s="66">
        <f t="shared" si="69"/>
        <v>0</v>
      </c>
      <c r="X387" s="67">
        <f t="shared" si="70"/>
        <v>0</v>
      </c>
      <c r="Y387" s="57" t="str">
        <f t="shared" si="71"/>
        <v>NIL PLEASE PURCHASE</v>
      </c>
      <c r="Z387" s="68" t="s">
        <v>1539</v>
      </c>
    </row>
    <row r="388" spans="1:26" s="8" customFormat="1" ht="20.100000000000001" customHeight="1" x14ac:dyDescent="0.25">
      <c r="A388" s="59" t="s">
        <v>973</v>
      </c>
      <c r="B388" s="84">
        <v>386</v>
      </c>
      <c r="C388" s="85" t="s">
        <v>705</v>
      </c>
      <c r="D388" s="60">
        <v>0</v>
      </c>
      <c r="E388" s="61">
        <f t="shared" ref="E388:E451" si="72">D388*10</f>
        <v>0</v>
      </c>
      <c r="F388" s="60">
        <v>0</v>
      </c>
      <c r="G388" s="61">
        <f t="shared" ref="G388:G451" si="73">F388*25</f>
        <v>0</v>
      </c>
      <c r="H388" s="60">
        <v>0</v>
      </c>
      <c r="I388" s="61">
        <f t="shared" ref="I388:I451" si="74">H388*50</f>
        <v>0</v>
      </c>
      <c r="J388" s="60">
        <v>0</v>
      </c>
      <c r="K388" s="61">
        <f t="shared" ref="K388:K451" si="75">J388*100</f>
        <v>0</v>
      </c>
      <c r="L388" s="62"/>
      <c r="M388" s="61">
        <f t="shared" ref="M388:M451" si="76">L388*250</f>
        <v>0</v>
      </c>
      <c r="N388" s="63">
        <v>0</v>
      </c>
      <c r="O388" s="61">
        <f t="shared" ref="O388:O451" si="77">N388*500</f>
        <v>0</v>
      </c>
      <c r="P388" s="60">
        <v>0</v>
      </c>
      <c r="Q388" s="61">
        <f t="shared" ref="Q388:Q451" si="78">P388*1000</f>
        <v>0</v>
      </c>
      <c r="R388" s="60">
        <v>0</v>
      </c>
      <c r="S388" s="61">
        <f t="shared" ref="S388:S451" si="79">R388*2500</f>
        <v>0</v>
      </c>
      <c r="T388" s="60">
        <v>0</v>
      </c>
      <c r="U388" s="64">
        <f t="shared" ref="U388:U451" si="80">T388*5000</f>
        <v>0</v>
      </c>
      <c r="V388" s="65">
        <v>0</v>
      </c>
      <c r="W388" s="66">
        <f t="shared" ref="W388:W451" si="81">E388+G388+I388+K388+M388+O388+Q388+S388+U388</f>
        <v>0</v>
      </c>
      <c r="X388" s="67">
        <f t="shared" ref="X388:X451" si="82">SUM(W388:W388)/1000</f>
        <v>0</v>
      </c>
      <c r="Y388" s="57" t="str">
        <f t="shared" ref="Y388:Y451" si="83">IF(W388=0,("NIL PLEASE PURCHASE"),("STOCK"))</f>
        <v>NIL PLEASE PURCHASE</v>
      </c>
      <c r="Z388" s="68" t="s">
        <v>1539</v>
      </c>
    </row>
    <row r="389" spans="1:26" s="8" customFormat="1" ht="20.100000000000001" customHeight="1" x14ac:dyDescent="0.25">
      <c r="A389" s="59" t="s">
        <v>974</v>
      </c>
      <c r="B389" s="84">
        <v>387</v>
      </c>
      <c r="C389" s="85" t="s">
        <v>706</v>
      </c>
      <c r="D389" s="60">
        <v>0</v>
      </c>
      <c r="E389" s="61">
        <f t="shared" si="72"/>
        <v>0</v>
      </c>
      <c r="F389" s="60">
        <v>0</v>
      </c>
      <c r="G389" s="61">
        <f t="shared" si="73"/>
        <v>0</v>
      </c>
      <c r="H389" s="60">
        <v>0</v>
      </c>
      <c r="I389" s="61">
        <f t="shared" si="74"/>
        <v>0</v>
      </c>
      <c r="J389" s="60">
        <v>0</v>
      </c>
      <c r="K389" s="61">
        <f t="shared" si="75"/>
        <v>0</v>
      </c>
      <c r="L389" s="62"/>
      <c r="M389" s="61">
        <f t="shared" si="76"/>
        <v>0</v>
      </c>
      <c r="N389" s="63">
        <v>0</v>
      </c>
      <c r="O389" s="61">
        <f t="shared" si="77"/>
        <v>0</v>
      </c>
      <c r="P389" s="60">
        <v>0</v>
      </c>
      <c r="Q389" s="61">
        <f t="shared" si="78"/>
        <v>0</v>
      </c>
      <c r="R389" s="60">
        <v>0</v>
      </c>
      <c r="S389" s="61">
        <f t="shared" si="79"/>
        <v>0</v>
      </c>
      <c r="T389" s="60">
        <v>0</v>
      </c>
      <c r="U389" s="64">
        <f t="shared" si="80"/>
        <v>0</v>
      </c>
      <c r="V389" s="65">
        <v>0</v>
      </c>
      <c r="W389" s="66">
        <f t="shared" si="81"/>
        <v>0</v>
      </c>
      <c r="X389" s="67">
        <f t="shared" si="82"/>
        <v>0</v>
      </c>
      <c r="Y389" s="57" t="str">
        <f t="shared" si="83"/>
        <v>NIL PLEASE PURCHASE</v>
      </c>
      <c r="Z389" s="68" t="s">
        <v>1539</v>
      </c>
    </row>
    <row r="390" spans="1:26" s="8" customFormat="1" ht="20.100000000000001" customHeight="1" x14ac:dyDescent="0.25">
      <c r="A390" s="59" t="s">
        <v>975</v>
      </c>
      <c r="B390" s="84">
        <v>388</v>
      </c>
      <c r="C390" s="85" t="s">
        <v>707</v>
      </c>
      <c r="D390" s="60">
        <v>0</v>
      </c>
      <c r="E390" s="61">
        <f t="shared" si="72"/>
        <v>0</v>
      </c>
      <c r="F390" s="60">
        <v>0</v>
      </c>
      <c r="G390" s="61">
        <f t="shared" si="73"/>
        <v>0</v>
      </c>
      <c r="H390" s="60">
        <v>0</v>
      </c>
      <c r="I390" s="61">
        <f t="shared" si="74"/>
        <v>0</v>
      </c>
      <c r="J390" s="60">
        <v>0</v>
      </c>
      <c r="K390" s="61">
        <f t="shared" si="75"/>
        <v>0</v>
      </c>
      <c r="L390" s="62"/>
      <c r="M390" s="61">
        <f t="shared" si="76"/>
        <v>0</v>
      </c>
      <c r="N390" s="63">
        <v>0</v>
      </c>
      <c r="O390" s="61">
        <f t="shared" si="77"/>
        <v>0</v>
      </c>
      <c r="P390" s="60">
        <v>0</v>
      </c>
      <c r="Q390" s="61">
        <f t="shared" si="78"/>
        <v>0</v>
      </c>
      <c r="R390" s="60">
        <v>0</v>
      </c>
      <c r="S390" s="61">
        <f t="shared" si="79"/>
        <v>0</v>
      </c>
      <c r="T390" s="60">
        <v>0</v>
      </c>
      <c r="U390" s="64">
        <f t="shared" si="80"/>
        <v>0</v>
      </c>
      <c r="V390" s="65">
        <v>0</v>
      </c>
      <c r="W390" s="66">
        <f t="shared" si="81"/>
        <v>0</v>
      </c>
      <c r="X390" s="67">
        <f t="shared" si="82"/>
        <v>0</v>
      </c>
      <c r="Y390" s="57" t="str">
        <f t="shared" si="83"/>
        <v>NIL PLEASE PURCHASE</v>
      </c>
      <c r="Z390" s="68" t="s">
        <v>1539</v>
      </c>
    </row>
    <row r="391" spans="1:26" s="8" customFormat="1" ht="20.100000000000001" customHeight="1" x14ac:dyDescent="0.25">
      <c r="A391" s="59" t="s">
        <v>976</v>
      </c>
      <c r="B391" s="84">
        <v>389</v>
      </c>
      <c r="C391" s="85" t="s">
        <v>708</v>
      </c>
      <c r="D391" s="60">
        <v>0</v>
      </c>
      <c r="E391" s="61">
        <f t="shared" si="72"/>
        <v>0</v>
      </c>
      <c r="F391" s="60">
        <v>0</v>
      </c>
      <c r="G391" s="61">
        <f t="shared" si="73"/>
        <v>0</v>
      </c>
      <c r="H391" s="60">
        <v>0</v>
      </c>
      <c r="I391" s="61">
        <f t="shared" si="74"/>
        <v>0</v>
      </c>
      <c r="J391" s="60">
        <v>0</v>
      </c>
      <c r="K391" s="61">
        <f t="shared" si="75"/>
        <v>0</v>
      </c>
      <c r="L391" s="62"/>
      <c r="M391" s="61">
        <f t="shared" si="76"/>
        <v>0</v>
      </c>
      <c r="N391" s="63">
        <v>0</v>
      </c>
      <c r="O391" s="61">
        <f t="shared" si="77"/>
        <v>0</v>
      </c>
      <c r="P391" s="60">
        <v>0</v>
      </c>
      <c r="Q391" s="61">
        <f t="shared" si="78"/>
        <v>0</v>
      </c>
      <c r="R391" s="60">
        <v>0</v>
      </c>
      <c r="S391" s="61">
        <f t="shared" si="79"/>
        <v>0</v>
      </c>
      <c r="T391" s="60">
        <v>0</v>
      </c>
      <c r="U391" s="64">
        <f t="shared" si="80"/>
        <v>0</v>
      </c>
      <c r="V391" s="65">
        <v>0</v>
      </c>
      <c r="W391" s="66">
        <f t="shared" si="81"/>
        <v>0</v>
      </c>
      <c r="X391" s="67">
        <f t="shared" si="82"/>
        <v>0</v>
      </c>
      <c r="Y391" s="57" t="str">
        <f t="shared" si="83"/>
        <v>NIL PLEASE PURCHASE</v>
      </c>
      <c r="Z391" s="68" t="s">
        <v>1539</v>
      </c>
    </row>
    <row r="392" spans="1:26" s="8" customFormat="1" ht="20.100000000000001" customHeight="1" x14ac:dyDescent="0.25">
      <c r="A392" s="59" t="s">
        <v>977</v>
      </c>
      <c r="B392" s="84">
        <v>390</v>
      </c>
      <c r="C392" s="85" t="s">
        <v>709</v>
      </c>
      <c r="D392" s="60">
        <v>0</v>
      </c>
      <c r="E392" s="61">
        <f t="shared" si="72"/>
        <v>0</v>
      </c>
      <c r="F392" s="60">
        <v>0</v>
      </c>
      <c r="G392" s="61">
        <f t="shared" si="73"/>
        <v>0</v>
      </c>
      <c r="H392" s="60">
        <v>0</v>
      </c>
      <c r="I392" s="61">
        <f t="shared" si="74"/>
        <v>0</v>
      </c>
      <c r="J392" s="60">
        <v>0</v>
      </c>
      <c r="K392" s="61">
        <f t="shared" si="75"/>
        <v>0</v>
      </c>
      <c r="L392" s="62"/>
      <c r="M392" s="61">
        <f t="shared" si="76"/>
        <v>0</v>
      </c>
      <c r="N392" s="63">
        <v>0</v>
      </c>
      <c r="O392" s="61">
        <f t="shared" si="77"/>
        <v>0</v>
      </c>
      <c r="P392" s="60">
        <v>0</v>
      </c>
      <c r="Q392" s="61">
        <f t="shared" si="78"/>
        <v>0</v>
      </c>
      <c r="R392" s="60">
        <v>0</v>
      </c>
      <c r="S392" s="61">
        <f t="shared" si="79"/>
        <v>0</v>
      </c>
      <c r="T392" s="60">
        <v>0</v>
      </c>
      <c r="U392" s="64">
        <f t="shared" si="80"/>
        <v>0</v>
      </c>
      <c r="V392" s="65">
        <v>0</v>
      </c>
      <c r="W392" s="66">
        <f t="shared" si="81"/>
        <v>0</v>
      </c>
      <c r="X392" s="67">
        <f t="shared" si="82"/>
        <v>0</v>
      </c>
      <c r="Y392" s="57" t="str">
        <f t="shared" si="83"/>
        <v>NIL PLEASE PURCHASE</v>
      </c>
      <c r="Z392" s="68" t="s">
        <v>1539</v>
      </c>
    </row>
    <row r="393" spans="1:26" s="8" customFormat="1" ht="20.100000000000001" customHeight="1" x14ac:dyDescent="0.25">
      <c r="A393" s="59" t="s">
        <v>978</v>
      </c>
      <c r="B393" s="84">
        <v>391</v>
      </c>
      <c r="C393" s="85" t="s">
        <v>710</v>
      </c>
      <c r="D393" s="60">
        <v>0</v>
      </c>
      <c r="E393" s="61">
        <f t="shared" si="72"/>
        <v>0</v>
      </c>
      <c r="F393" s="60">
        <v>0</v>
      </c>
      <c r="G393" s="61">
        <f t="shared" si="73"/>
        <v>0</v>
      </c>
      <c r="H393" s="60">
        <v>0</v>
      </c>
      <c r="I393" s="61">
        <f t="shared" si="74"/>
        <v>0</v>
      </c>
      <c r="J393" s="60">
        <v>0</v>
      </c>
      <c r="K393" s="61">
        <f t="shared" si="75"/>
        <v>0</v>
      </c>
      <c r="L393" s="62">
        <v>1</v>
      </c>
      <c r="M393" s="61">
        <f t="shared" si="76"/>
        <v>250</v>
      </c>
      <c r="N393" s="63">
        <v>0</v>
      </c>
      <c r="O393" s="61">
        <f t="shared" si="77"/>
        <v>0</v>
      </c>
      <c r="P393" s="60">
        <v>0</v>
      </c>
      <c r="Q393" s="61">
        <f t="shared" si="78"/>
        <v>0</v>
      </c>
      <c r="R393" s="60">
        <v>0</v>
      </c>
      <c r="S393" s="61">
        <f t="shared" si="79"/>
        <v>0</v>
      </c>
      <c r="T393" s="60">
        <v>0</v>
      </c>
      <c r="U393" s="64">
        <f t="shared" si="80"/>
        <v>0</v>
      </c>
      <c r="V393" s="65">
        <v>0</v>
      </c>
      <c r="W393" s="66">
        <f t="shared" si="81"/>
        <v>250</v>
      </c>
      <c r="X393" s="67">
        <f t="shared" si="82"/>
        <v>0.25</v>
      </c>
      <c r="Y393" s="57" t="str">
        <f t="shared" si="83"/>
        <v>STOCK</v>
      </c>
      <c r="Z393" s="68" t="s">
        <v>1538</v>
      </c>
    </row>
    <row r="394" spans="1:26" s="8" customFormat="1" ht="20.100000000000001" customHeight="1" x14ac:dyDescent="0.25">
      <c r="A394" s="59" t="s">
        <v>979</v>
      </c>
      <c r="B394" s="84">
        <v>392</v>
      </c>
      <c r="C394" s="85" t="s">
        <v>711</v>
      </c>
      <c r="D394" s="60">
        <v>0</v>
      </c>
      <c r="E394" s="61">
        <f t="shared" si="72"/>
        <v>0</v>
      </c>
      <c r="F394" s="60">
        <v>0</v>
      </c>
      <c r="G394" s="61">
        <f t="shared" si="73"/>
        <v>0</v>
      </c>
      <c r="H394" s="60">
        <v>0</v>
      </c>
      <c r="I394" s="61">
        <f t="shared" si="74"/>
        <v>0</v>
      </c>
      <c r="J394" s="60">
        <v>0</v>
      </c>
      <c r="K394" s="61">
        <f t="shared" si="75"/>
        <v>0</v>
      </c>
      <c r="L394" s="62"/>
      <c r="M394" s="61">
        <f t="shared" si="76"/>
        <v>0</v>
      </c>
      <c r="N394" s="63">
        <v>0</v>
      </c>
      <c r="O394" s="61">
        <f t="shared" si="77"/>
        <v>0</v>
      </c>
      <c r="P394" s="60">
        <v>0</v>
      </c>
      <c r="Q394" s="61">
        <f t="shared" si="78"/>
        <v>0</v>
      </c>
      <c r="R394" s="60">
        <v>0</v>
      </c>
      <c r="S394" s="61">
        <f t="shared" si="79"/>
        <v>0</v>
      </c>
      <c r="T394" s="60">
        <v>0</v>
      </c>
      <c r="U394" s="64">
        <f t="shared" si="80"/>
        <v>0</v>
      </c>
      <c r="V394" s="65">
        <v>0</v>
      </c>
      <c r="W394" s="66">
        <f t="shared" si="81"/>
        <v>0</v>
      </c>
      <c r="X394" s="67">
        <f t="shared" si="82"/>
        <v>0</v>
      </c>
      <c r="Y394" s="57" t="str">
        <f t="shared" si="83"/>
        <v>NIL PLEASE PURCHASE</v>
      </c>
      <c r="Z394" s="68" t="s">
        <v>1539</v>
      </c>
    </row>
    <row r="395" spans="1:26" s="8" customFormat="1" ht="20.100000000000001" customHeight="1" x14ac:dyDescent="0.25">
      <c r="A395" s="59" t="s">
        <v>980</v>
      </c>
      <c r="B395" s="84">
        <v>393</v>
      </c>
      <c r="C395" s="85" t="s">
        <v>712</v>
      </c>
      <c r="D395" s="60">
        <v>0</v>
      </c>
      <c r="E395" s="61">
        <f t="shared" si="72"/>
        <v>0</v>
      </c>
      <c r="F395" s="60">
        <v>0</v>
      </c>
      <c r="G395" s="61">
        <f t="shared" si="73"/>
        <v>0</v>
      </c>
      <c r="H395" s="60">
        <v>0</v>
      </c>
      <c r="I395" s="61">
        <f t="shared" si="74"/>
        <v>0</v>
      </c>
      <c r="J395" s="60">
        <v>0</v>
      </c>
      <c r="K395" s="61">
        <f t="shared" si="75"/>
        <v>0</v>
      </c>
      <c r="L395" s="62"/>
      <c r="M395" s="61">
        <f t="shared" si="76"/>
        <v>0</v>
      </c>
      <c r="N395" s="63">
        <v>1</v>
      </c>
      <c r="O395" s="61">
        <f t="shared" si="77"/>
        <v>500</v>
      </c>
      <c r="P395" s="60">
        <v>0</v>
      </c>
      <c r="Q395" s="61">
        <f t="shared" si="78"/>
        <v>0</v>
      </c>
      <c r="R395" s="60">
        <v>0</v>
      </c>
      <c r="S395" s="61">
        <f t="shared" si="79"/>
        <v>0</v>
      </c>
      <c r="T395" s="60">
        <v>0</v>
      </c>
      <c r="U395" s="64">
        <f t="shared" si="80"/>
        <v>0</v>
      </c>
      <c r="V395" s="65">
        <v>0</v>
      </c>
      <c r="W395" s="66">
        <f t="shared" si="81"/>
        <v>500</v>
      </c>
      <c r="X395" s="67">
        <f t="shared" si="82"/>
        <v>0.5</v>
      </c>
      <c r="Y395" s="57" t="str">
        <f t="shared" si="83"/>
        <v>STOCK</v>
      </c>
      <c r="Z395" s="68" t="s">
        <v>1538</v>
      </c>
    </row>
    <row r="396" spans="1:26" s="8" customFormat="1" ht="20.100000000000001" customHeight="1" x14ac:dyDescent="0.25">
      <c r="A396" s="59" t="s">
        <v>981</v>
      </c>
      <c r="B396" s="84">
        <v>394</v>
      </c>
      <c r="C396" s="85" t="s">
        <v>713</v>
      </c>
      <c r="D396" s="60">
        <v>0</v>
      </c>
      <c r="E396" s="61">
        <f t="shared" si="72"/>
        <v>0</v>
      </c>
      <c r="F396" s="60">
        <v>0</v>
      </c>
      <c r="G396" s="61">
        <f t="shared" si="73"/>
        <v>0</v>
      </c>
      <c r="H396" s="60">
        <v>0</v>
      </c>
      <c r="I396" s="61">
        <f t="shared" si="74"/>
        <v>0</v>
      </c>
      <c r="J396" s="60">
        <v>1</v>
      </c>
      <c r="K396" s="61">
        <f t="shared" si="75"/>
        <v>100</v>
      </c>
      <c r="L396" s="62"/>
      <c r="M396" s="61">
        <f t="shared" si="76"/>
        <v>0</v>
      </c>
      <c r="N396" s="63">
        <v>0</v>
      </c>
      <c r="O396" s="61">
        <f t="shared" si="77"/>
        <v>0</v>
      </c>
      <c r="P396" s="60">
        <v>0</v>
      </c>
      <c r="Q396" s="61">
        <f t="shared" si="78"/>
        <v>0</v>
      </c>
      <c r="R396" s="60">
        <v>0</v>
      </c>
      <c r="S396" s="61">
        <f t="shared" si="79"/>
        <v>0</v>
      </c>
      <c r="T396" s="60">
        <v>0</v>
      </c>
      <c r="U396" s="64">
        <f t="shared" si="80"/>
        <v>0</v>
      </c>
      <c r="V396" s="65">
        <v>0</v>
      </c>
      <c r="W396" s="66">
        <f t="shared" si="81"/>
        <v>100</v>
      </c>
      <c r="X396" s="67">
        <f t="shared" si="82"/>
        <v>0.1</v>
      </c>
      <c r="Y396" s="57" t="str">
        <f t="shared" si="83"/>
        <v>STOCK</v>
      </c>
      <c r="Z396" s="68" t="s">
        <v>1538</v>
      </c>
    </row>
    <row r="397" spans="1:26" s="8" customFormat="1" ht="20.100000000000001" customHeight="1" x14ac:dyDescent="0.25">
      <c r="A397" s="59" t="s">
        <v>982</v>
      </c>
      <c r="B397" s="84">
        <v>395</v>
      </c>
      <c r="C397" s="85" t="s">
        <v>714</v>
      </c>
      <c r="D397" s="60">
        <v>0</v>
      </c>
      <c r="E397" s="61">
        <f t="shared" si="72"/>
        <v>0</v>
      </c>
      <c r="F397" s="60">
        <v>0</v>
      </c>
      <c r="G397" s="61">
        <f t="shared" si="73"/>
        <v>0</v>
      </c>
      <c r="H397" s="60">
        <v>2</v>
      </c>
      <c r="I397" s="61">
        <f t="shared" si="74"/>
        <v>100</v>
      </c>
      <c r="J397" s="60">
        <v>0</v>
      </c>
      <c r="K397" s="61">
        <f t="shared" si="75"/>
        <v>0</v>
      </c>
      <c r="L397" s="62"/>
      <c r="M397" s="61">
        <f t="shared" si="76"/>
        <v>0</v>
      </c>
      <c r="N397" s="63">
        <v>0</v>
      </c>
      <c r="O397" s="61">
        <f t="shared" si="77"/>
        <v>0</v>
      </c>
      <c r="P397" s="60">
        <v>0</v>
      </c>
      <c r="Q397" s="61">
        <f t="shared" si="78"/>
        <v>0</v>
      </c>
      <c r="R397" s="60">
        <v>0</v>
      </c>
      <c r="S397" s="61">
        <f t="shared" si="79"/>
        <v>0</v>
      </c>
      <c r="T397" s="60">
        <v>0</v>
      </c>
      <c r="U397" s="64">
        <f t="shared" si="80"/>
        <v>0</v>
      </c>
      <c r="V397" s="65">
        <v>0</v>
      </c>
      <c r="W397" s="66">
        <f t="shared" si="81"/>
        <v>100</v>
      </c>
      <c r="X397" s="67">
        <f t="shared" si="82"/>
        <v>0.1</v>
      </c>
      <c r="Y397" s="57" t="str">
        <f t="shared" si="83"/>
        <v>STOCK</v>
      </c>
      <c r="Z397" s="68" t="s">
        <v>1538</v>
      </c>
    </row>
    <row r="398" spans="1:26" s="8" customFormat="1" ht="20.100000000000001" customHeight="1" x14ac:dyDescent="0.25">
      <c r="A398" s="59" t="s">
        <v>983</v>
      </c>
      <c r="B398" s="84">
        <v>396</v>
      </c>
      <c r="C398" s="85" t="s">
        <v>715</v>
      </c>
      <c r="D398" s="60">
        <v>0</v>
      </c>
      <c r="E398" s="61">
        <f t="shared" si="72"/>
        <v>0</v>
      </c>
      <c r="F398" s="60">
        <v>0</v>
      </c>
      <c r="G398" s="61">
        <f t="shared" si="73"/>
        <v>0</v>
      </c>
      <c r="H398" s="60">
        <v>3</v>
      </c>
      <c r="I398" s="61">
        <f t="shared" si="74"/>
        <v>150</v>
      </c>
      <c r="J398" s="60">
        <v>0</v>
      </c>
      <c r="K398" s="61">
        <f t="shared" si="75"/>
        <v>0</v>
      </c>
      <c r="L398" s="62"/>
      <c r="M398" s="61">
        <f t="shared" si="76"/>
        <v>0</v>
      </c>
      <c r="N398" s="63">
        <v>0</v>
      </c>
      <c r="O398" s="61">
        <f t="shared" si="77"/>
        <v>0</v>
      </c>
      <c r="P398" s="60">
        <v>0</v>
      </c>
      <c r="Q398" s="61">
        <f t="shared" si="78"/>
        <v>0</v>
      </c>
      <c r="R398" s="60">
        <v>0</v>
      </c>
      <c r="S398" s="61">
        <f t="shared" si="79"/>
        <v>0</v>
      </c>
      <c r="T398" s="60">
        <v>0</v>
      </c>
      <c r="U398" s="64">
        <f t="shared" si="80"/>
        <v>0</v>
      </c>
      <c r="V398" s="65">
        <v>0</v>
      </c>
      <c r="W398" s="66">
        <f t="shared" si="81"/>
        <v>150</v>
      </c>
      <c r="X398" s="67">
        <f t="shared" si="82"/>
        <v>0.15</v>
      </c>
      <c r="Y398" s="57" t="str">
        <f t="shared" si="83"/>
        <v>STOCK</v>
      </c>
      <c r="Z398" s="68" t="s">
        <v>1538</v>
      </c>
    </row>
    <row r="399" spans="1:26" s="8" customFormat="1" ht="20.100000000000001" customHeight="1" x14ac:dyDescent="0.25">
      <c r="A399" s="59" t="s">
        <v>984</v>
      </c>
      <c r="B399" s="84">
        <v>397</v>
      </c>
      <c r="C399" s="85" t="s">
        <v>716</v>
      </c>
      <c r="D399" s="60">
        <v>0</v>
      </c>
      <c r="E399" s="61">
        <f t="shared" si="72"/>
        <v>0</v>
      </c>
      <c r="F399" s="60">
        <v>2</v>
      </c>
      <c r="G399" s="61">
        <f t="shared" si="73"/>
        <v>50</v>
      </c>
      <c r="H399" s="60">
        <v>0</v>
      </c>
      <c r="I399" s="61">
        <f t="shared" si="74"/>
        <v>0</v>
      </c>
      <c r="J399" s="60">
        <v>2</v>
      </c>
      <c r="K399" s="61">
        <f t="shared" si="75"/>
        <v>200</v>
      </c>
      <c r="L399" s="62"/>
      <c r="M399" s="61">
        <f t="shared" si="76"/>
        <v>0</v>
      </c>
      <c r="N399" s="63">
        <v>0</v>
      </c>
      <c r="O399" s="61">
        <f t="shared" si="77"/>
        <v>0</v>
      </c>
      <c r="P399" s="60">
        <v>0</v>
      </c>
      <c r="Q399" s="61">
        <f t="shared" si="78"/>
        <v>0</v>
      </c>
      <c r="R399" s="60">
        <v>0</v>
      </c>
      <c r="S399" s="61">
        <f t="shared" si="79"/>
        <v>0</v>
      </c>
      <c r="T399" s="60">
        <v>0</v>
      </c>
      <c r="U399" s="64">
        <f t="shared" si="80"/>
        <v>0</v>
      </c>
      <c r="V399" s="65">
        <v>0</v>
      </c>
      <c r="W399" s="66">
        <f t="shared" si="81"/>
        <v>250</v>
      </c>
      <c r="X399" s="67">
        <f t="shared" si="82"/>
        <v>0.25</v>
      </c>
      <c r="Y399" s="57" t="str">
        <f t="shared" si="83"/>
        <v>STOCK</v>
      </c>
      <c r="Z399" s="68" t="s">
        <v>1538</v>
      </c>
    </row>
    <row r="400" spans="1:26" s="8" customFormat="1" ht="20.100000000000001" customHeight="1" x14ac:dyDescent="0.25">
      <c r="A400" s="59" t="s">
        <v>985</v>
      </c>
      <c r="B400" s="84">
        <v>398</v>
      </c>
      <c r="C400" s="85" t="s">
        <v>717</v>
      </c>
      <c r="D400" s="60">
        <v>0</v>
      </c>
      <c r="E400" s="61">
        <f t="shared" si="72"/>
        <v>0</v>
      </c>
      <c r="F400" s="60">
        <v>0</v>
      </c>
      <c r="G400" s="61">
        <f t="shared" si="73"/>
        <v>0</v>
      </c>
      <c r="H400" s="60">
        <v>0</v>
      </c>
      <c r="I400" s="61">
        <f t="shared" si="74"/>
        <v>0</v>
      </c>
      <c r="J400" s="60">
        <v>14</v>
      </c>
      <c r="K400" s="61">
        <f t="shared" si="75"/>
        <v>1400</v>
      </c>
      <c r="L400" s="62"/>
      <c r="M400" s="61">
        <f t="shared" si="76"/>
        <v>0</v>
      </c>
      <c r="N400" s="63">
        <v>0</v>
      </c>
      <c r="O400" s="61">
        <f t="shared" si="77"/>
        <v>0</v>
      </c>
      <c r="P400" s="60">
        <v>0</v>
      </c>
      <c r="Q400" s="61">
        <f t="shared" si="78"/>
        <v>0</v>
      </c>
      <c r="R400" s="60">
        <v>0</v>
      </c>
      <c r="S400" s="61">
        <f t="shared" si="79"/>
        <v>0</v>
      </c>
      <c r="T400" s="60">
        <v>0</v>
      </c>
      <c r="U400" s="64">
        <f t="shared" si="80"/>
        <v>0</v>
      </c>
      <c r="V400" s="65">
        <v>0</v>
      </c>
      <c r="W400" s="66">
        <f t="shared" si="81"/>
        <v>1400</v>
      </c>
      <c r="X400" s="67">
        <f t="shared" si="82"/>
        <v>1.4</v>
      </c>
      <c r="Y400" s="57" t="str">
        <f t="shared" si="83"/>
        <v>STOCK</v>
      </c>
      <c r="Z400" s="68" t="s">
        <v>1538</v>
      </c>
    </row>
    <row r="401" spans="1:26" s="8" customFormat="1" ht="20.100000000000001" customHeight="1" x14ac:dyDescent="0.25">
      <c r="A401" s="59" t="s">
        <v>986</v>
      </c>
      <c r="B401" s="84">
        <v>399</v>
      </c>
      <c r="C401" s="85" t="s">
        <v>718</v>
      </c>
      <c r="D401" s="60">
        <v>0</v>
      </c>
      <c r="E401" s="61">
        <f t="shared" si="72"/>
        <v>0</v>
      </c>
      <c r="F401" s="60">
        <v>0</v>
      </c>
      <c r="G401" s="61">
        <f t="shared" si="73"/>
        <v>0</v>
      </c>
      <c r="H401" s="60">
        <v>0</v>
      </c>
      <c r="I401" s="61">
        <f t="shared" si="74"/>
        <v>0</v>
      </c>
      <c r="J401" s="60">
        <v>0</v>
      </c>
      <c r="K401" s="61">
        <f t="shared" si="75"/>
        <v>0</v>
      </c>
      <c r="L401" s="62"/>
      <c r="M401" s="61">
        <f t="shared" si="76"/>
        <v>0</v>
      </c>
      <c r="N401" s="63">
        <v>0</v>
      </c>
      <c r="O401" s="61">
        <f t="shared" si="77"/>
        <v>0</v>
      </c>
      <c r="P401" s="60">
        <v>0</v>
      </c>
      <c r="Q401" s="61">
        <f t="shared" si="78"/>
        <v>0</v>
      </c>
      <c r="R401" s="60">
        <v>0</v>
      </c>
      <c r="S401" s="61">
        <f t="shared" si="79"/>
        <v>0</v>
      </c>
      <c r="T401" s="60">
        <v>0</v>
      </c>
      <c r="U401" s="64">
        <f t="shared" si="80"/>
        <v>0</v>
      </c>
      <c r="V401" s="65">
        <v>0</v>
      </c>
      <c r="W401" s="66">
        <f t="shared" si="81"/>
        <v>0</v>
      </c>
      <c r="X401" s="67">
        <f t="shared" si="82"/>
        <v>0</v>
      </c>
      <c r="Y401" s="57" t="str">
        <f t="shared" si="83"/>
        <v>NIL PLEASE PURCHASE</v>
      </c>
      <c r="Z401" s="68" t="s">
        <v>1539</v>
      </c>
    </row>
    <row r="402" spans="1:26" s="8" customFormat="1" ht="20.100000000000001" customHeight="1" x14ac:dyDescent="0.25">
      <c r="A402" s="59" t="s">
        <v>987</v>
      </c>
      <c r="B402" s="84">
        <v>400</v>
      </c>
      <c r="C402" s="85" t="s">
        <v>718</v>
      </c>
      <c r="D402" s="60">
        <v>0</v>
      </c>
      <c r="E402" s="61">
        <f t="shared" si="72"/>
        <v>0</v>
      </c>
      <c r="F402" s="60">
        <v>0</v>
      </c>
      <c r="G402" s="61">
        <f t="shared" si="73"/>
        <v>0</v>
      </c>
      <c r="H402" s="60">
        <v>0</v>
      </c>
      <c r="I402" s="61">
        <f t="shared" si="74"/>
        <v>0</v>
      </c>
      <c r="J402" s="60">
        <v>0</v>
      </c>
      <c r="K402" s="61">
        <f t="shared" si="75"/>
        <v>0</v>
      </c>
      <c r="L402" s="62"/>
      <c r="M402" s="61">
        <f t="shared" si="76"/>
        <v>0</v>
      </c>
      <c r="N402" s="63">
        <v>0</v>
      </c>
      <c r="O402" s="61">
        <f t="shared" si="77"/>
        <v>0</v>
      </c>
      <c r="P402" s="60">
        <v>0</v>
      </c>
      <c r="Q402" s="61">
        <f t="shared" si="78"/>
        <v>0</v>
      </c>
      <c r="R402" s="60">
        <v>0</v>
      </c>
      <c r="S402" s="61">
        <f t="shared" si="79"/>
        <v>0</v>
      </c>
      <c r="T402" s="60">
        <v>0</v>
      </c>
      <c r="U402" s="64">
        <f t="shared" si="80"/>
        <v>0</v>
      </c>
      <c r="V402" s="65">
        <v>0</v>
      </c>
      <c r="W402" s="66">
        <f t="shared" si="81"/>
        <v>0</v>
      </c>
      <c r="X402" s="67">
        <f t="shared" si="82"/>
        <v>0</v>
      </c>
      <c r="Y402" s="57" t="str">
        <f t="shared" si="83"/>
        <v>NIL PLEASE PURCHASE</v>
      </c>
      <c r="Z402" s="68" t="s">
        <v>1539</v>
      </c>
    </row>
    <row r="403" spans="1:26" s="8" customFormat="1" ht="20.100000000000001" customHeight="1" x14ac:dyDescent="0.25">
      <c r="A403" s="59" t="s">
        <v>988</v>
      </c>
      <c r="B403" s="84">
        <v>401</v>
      </c>
      <c r="C403" s="85" t="s">
        <v>719</v>
      </c>
      <c r="D403" s="60">
        <v>0</v>
      </c>
      <c r="E403" s="61">
        <f t="shared" si="72"/>
        <v>0</v>
      </c>
      <c r="F403" s="60">
        <v>0</v>
      </c>
      <c r="G403" s="61">
        <f t="shared" si="73"/>
        <v>0</v>
      </c>
      <c r="H403" s="60">
        <v>0</v>
      </c>
      <c r="I403" s="61">
        <f t="shared" si="74"/>
        <v>0</v>
      </c>
      <c r="J403" s="60">
        <v>0</v>
      </c>
      <c r="K403" s="61">
        <f t="shared" si="75"/>
        <v>0</v>
      </c>
      <c r="L403" s="62"/>
      <c r="M403" s="61">
        <f t="shared" si="76"/>
        <v>0</v>
      </c>
      <c r="N403" s="63">
        <v>0</v>
      </c>
      <c r="O403" s="61">
        <f t="shared" si="77"/>
        <v>0</v>
      </c>
      <c r="P403" s="60">
        <v>0</v>
      </c>
      <c r="Q403" s="61">
        <f t="shared" si="78"/>
        <v>0</v>
      </c>
      <c r="R403" s="60">
        <v>0</v>
      </c>
      <c r="S403" s="61">
        <f t="shared" si="79"/>
        <v>0</v>
      </c>
      <c r="T403" s="60">
        <v>0</v>
      </c>
      <c r="U403" s="64">
        <f t="shared" si="80"/>
        <v>0</v>
      </c>
      <c r="V403" s="65">
        <v>0</v>
      </c>
      <c r="W403" s="66">
        <f t="shared" si="81"/>
        <v>0</v>
      </c>
      <c r="X403" s="67">
        <f t="shared" si="82"/>
        <v>0</v>
      </c>
      <c r="Y403" s="57" t="str">
        <f t="shared" si="83"/>
        <v>NIL PLEASE PURCHASE</v>
      </c>
      <c r="Z403" s="68" t="s">
        <v>1539</v>
      </c>
    </row>
    <row r="404" spans="1:26" s="8" customFormat="1" ht="20.100000000000001" customHeight="1" x14ac:dyDescent="0.25">
      <c r="A404" s="59" t="s">
        <v>989</v>
      </c>
      <c r="B404" s="84">
        <v>402</v>
      </c>
      <c r="C404" s="85" t="s">
        <v>720</v>
      </c>
      <c r="D404" s="60">
        <v>0</v>
      </c>
      <c r="E404" s="61">
        <f t="shared" si="72"/>
        <v>0</v>
      </c>
      <c r="F404" s="60">
        <v>0</v>
      </c>
      <c r="G404" s="61">
        <f t="shared" si="73"/>
        <v>0</v>
      </c>
      <c r="H404" s="60">
        <v>0</v>
      </c>
      <c r="I404" s="61">
        <f t="shared" si="74"/>
        <v>0</v>
      </c>
      <c r="J404" s="60">
        <v>0</v>
      </c>
      <c r="K404" s="61">
        <f t="shared" si="75"/>
        <v>0</v>
      </c>
      <c r="L404" s="62"/>
      <c r="M404" s="61">
        <f t="shared" si="76"/>
        <v>0</v>
      </c>
      <c r="N404" s="63">
        <v>0</v>
      </c>
      <c r="O404" s="61">
        <f t="shared" si="77"/>
        <v>0</v>
      </c>
      <c r="P404" s="60">
        <v>0</v>
      </c>
      <c r="Q404" s="61">
        <f t="shared" si="78"/>
        <v>0</v>
      </c>
      <c r="R404" s="60">
        <v>0</v>
      </c>
      <c r="S404" s="61">
        <f t="shared" si="79"/>
        <v>0</v>
      </c>
      <c r="T404" s="60">
        <v>0</v>
      </c>
      <c r="U404" s="64">
        <f t="shared" si="80"/>
        <v>0</v>
      </c>
      <c r="V404" s="65">
        <v>0</v>
      </c>
      <c r="W404" s="66">
        <f t="shared" si="81"/>
        <v>0</v>
      </c>
      <c r="X404" s="67">
        <f t="shared" si="82"/>
        <v>0</v>
      </c>
      <c r="Y404" s="57" t="str">
        <f t="shared" si="83"/>
        <v>NIL PLEASE PURCHASE</v>
      </c>
      <c r="Z404" s="68" t="s">
        <v>1538</v>
      </c>
    </row>
    <row r="405" spans="1:26" s="8" customFormat="1" ht="20.100000000000001" customHeight="1" x14ac:dyDescent="0.25">
      <c r="A405" s="59" t="s">
        <v>990</v>
      </c>
      <c r="B405" s="84">
        <v>403</v>
      </c>
      <c r="C405" s="85" t="s">
        <v>721</v>
      </c>
      <c r="D405" s="60">
        <v>0</v>
      </c>
      <c r="E405" s="61">
        <f t="shared" si="72"/>
        <v>0</v>
      </c>
      <c r="F405" s="60">
        <v>0</v>
      </c>
      <c r="G405" s="61">
        <f t="shared" si="73"/>
        <v>0</v>
      </c>
      <c r="H405" s="60">
        <v>0</v>
      </c>
      <c r="I405" s="61">
        <f t="shared" si="74"/>
        <v>0</v>
      </c>
      <c r="J405" s="60">
        <v>0</v>
      </c>
      <c r="K405" s="61">
        <f t="shared" si="75"/>
        <v>0</v>
      </c>
      <c r="L405" s="62"/>
      <c r="M405" s="61">
        <f t="shared" si="76"/>
        <v>0</v>
      </c>
      <c r="N405" s="63">
        <v>0</v>
      </c>
      <c r="O405" s="61">
        <f t="shared" si="77"/>
        <v>0</v>
      </c>
      <c r="P405" s="60">
        <v>0</v>
      </c>
      <c r="Q405" s="61">
        <f t="shared" si="78"/>
        <v>0</v>
      </c>
      <c r="R405" s="60">
        <v>0</v>
      </c>
      <c r="S405" s="61">
        <f t="shared" si="79"/>
        <v>0</v>
      </c>
      <c r="T405" s="60">
        <v>0</v>
      </c>
      <c r="U405" s="64">
        <f t="shared" si="80"/>
        <v>0</v>
      </c>
      <c r="V405" s="65">
        <v>0</v>
      </c>
      <c r="W405" s="66">
        <f t="shared" si="81"/>
        <v>0</v>
      </c>
      <c r="X405" s="67">
        <f t="shared" si="82"/>
        <v>0</v>
      </c>
      <c r="Y405" s="57" t="str">
        <f t="shared" si="83"/>
        <v>NIL PLEASE PURCHASE</v>
      </c>
      <c r="Z405" s="68" t="s">
        <v>1539</v>
      </c>
    </row>
    <row r="406" spans="1:26" s="8" customFormat="1" ht="20.100000000000001" customHeight="1" x14ac:dyDescent="0.25">
      <c r="A406" s="59" t="s">
        <v>991</v>
      </c>
      <c r="B406" s="84">
        <v>404</v>
      </c>
      <c r="C406" s="85" t="s">
        <v>722</v>
      </c>
      <c r="D406" s="60">
        <v>0</v>
      </c>
      <c r="E406" s="61">
        <f t="shared" si="72"/>
        <v>0</v>
      </c>
      <c r="F406" s="60">
        <v>0</v>
      </c>
      <c r="G406" s="61">
        <f t="shared" si="73"/>
        <v>0</v>
      </c>
      <c r="H406" s="60">
        <v>0</v>
      </c>
      <c r="I406" s="61">
        <f t="shared" si="74"/>
        <v>0</v>
      </c>
      <c r="J406" s="60">
        <v>0</v>
      </c>
      <c r="K406" s="61">
        <f t="shared" si="75"/>
        <v>0</v>
      </c>
      <c r="L406" s="62"/>
      <c r="M406" s="61">
        <f t="shared" si="76"/>
        <v>0</v>
      </c>
      <c r="N406" s="63">
        <v>0</v>
      </c>
      <c r="O406" s="61">
        <f t="shared" si="77"/>
        <v>0</v>
      </c>
      <c r="P406" s="60">
        <v>0</v>
      </c>
      <c r="Q406" s="61">
        <f t="shared" si="78"/>
        <v>0</v>
      </c>
      <c r="R406" s="60">
        <v>0</v>
      </c>
      <c r="S406" s="61">
        <f t="shared" si="79"/>
        <v>0</v>
      </c>
      <c r="T406" s="60">
        <v>0</v>
      </c>
      <c r="U406" s="64">
        <f t="shared" si="80"/>
        <v>0</v>
      </c>
      <c r="V406" s="65">
        <v>0</v>
      </c>
      <c r="W406" s="66">
        <f t="shared" si="81"/>
        <v>0</v>
      </c>
      <c r="X406" s="67">
        <f t="shared" si="82"/>
        <v>0</v>
      </c>
      <c r="Y406" s="57" t="str">
        <f t="shared" si="83"/>
        <v>NIL PLEASE PURCHASE</v>
      </c>
      <c r="Z406" s="68" t="s">
        <v>1539</v>
      </c>
    </row>
    <row r="407" spans="1:26" s="8" customFormat="1" ht="20.100000000000001" customHeight="1" x14ac:dyDescent="0.25">
      <c r="A407" s="59" t="s">
        <v>992</v>
      </c>
      <c r="B407" s="84">
        <v>405</v>
      </c>
      <c r="C407" s="85" t="s">
        <v>723</v>
      </c>
      <c r="D407" s="60">
        <v>0</v>
      </c>
      <c r="E407" s="61">
        <f t="shared" si="72"/>
        <v>0</v>
      </c>
      <c r="F407" s="60">
        <v>0</v>
      </c>
      <c r="G407" s="61">
        <f t="shared" si="73"/>
        <v>0</v>
      </c>
      <c r="H407" s="60">
        <v>0</v>
      </c>
      <c r="I407" s="61">
        <f t="shared" si="74"/>
        <v>0</v>
      </c>
      <c r="J407" s="60">
        <v>0</v>
      </c>
      <c r="K407" s="61">
        <f t="shared" si="75"/>
        <v>0</v>
      </c>
      <c r="L407" s="62"/>
      <c r="M407" s="61">
        <f t="shared" si="76"/>
        <v>0</v>
      </c>
      <c r="N407" s="63">
        <v>5</v>
      </c>
      <c r="O407" s="61">
        <f t="shared" si="77"/>
        <v>2500</v>
      </c>
      <c r="P407" s="60">
        <v>0</v>
      </c>
      <c r="Q407" s="61">
        <f t="shared" si="78"/>
        <v>0</v>
      </c>
      <c r="R407" s="60">
        <v>0</v>
      </c>
      <c r="S407" s="61">
        <f t="shared" si="79"/>
        <v>0</v>
      </c>
      <c r="T407" s="60">
        <v>0</v>
      </c>
      <c r="U407" s="64">
        <f t="shared" si="80"/>
        <v>0</v>
      </c>
      <c r="V407" s="65">
        <v>0</v>
      </c>
      <c r="W407" s="66">
        <f t="shared" si="81"/>
        <v>2500</v>
      </c>
      <c r="X407" s="67">
        <f t="shared" si="82"/>
        <v>2.5</v>
      </c>
      <c r="Y407" s="57" t="str">
        <f t="shared" si="83"/>
        <v>STOCK</v>
      </c>
      <c r="Z407" s="68" t="s">
        <v>1538</v>
      </c>
    </row>
    <row r="408" spans="1:26" s="8" customFormat="1" ht="20.100000000000001" customHeight="1" x14ac:dyDescent="0.25">
      <c r="A408" s="59" t="s">
        <v>993</v>
      </c>
      <c r="B408" s="84">
        <v>406</v>
      </c>
      <c r="C408" s="85" t="s">
        <v>724</v>
      </c>
      <c r="D408" s="60">
        <v>0</v>
      </c>
      <c r="E408" s="61">
        <f t="shared" si="72"/>
        <v>0</v>
      </c>
      <c r="F408" s="60">
        <v>0</v>
      </c>
      <c r="G408" s="61">
        <f t="shared" si="73"/>
        <v>0</v>
      </c>
      <c r="H408" s="60">
        <v>0</v>
      </c>
      <c r="I408" s="61">
        <f t="shared" si="74"/>
        <v>0</v>
      </c>
      <c r="J408" s="60">
        <v>0</v>
      </c>
      <c r="K408" s="61">
        <f t="shared" si="75"/>
        <v>0</v>
      </c>
      <c r="L408" s="62"/>
      <c r="M408" s="61">
        <f t="shared" si="76"/>
        <v>0</v>
      </c>
      <c r="N408" s="63">
        <v>0</v>
      </c>
      <c r="O408" s="61">
        <f t="shared" si="77"/>
        <v>0</v>
      </c>
      <c r="P408" s="60">
        <v>0</v>
      </c>
      <c r="Q408" s="61">
        <f t="shared" si="78"/>
        <v>0</v>
      </c>
      <c r="R408" s="60">
        <v>0</v>
      </c>
      <c r="S408" s="61">
        <f t="shared" si="79"/>
        <v>0</v>
      </c>
      <c r="T408" s="60">
        <v>0</v>
      </c>
      <c r="U408" s="64">
        <f t="shared" si="80"/>
        <v>0</v>
      </c>
      <c r="V408" s="65">
        <v>0</v>
      </c>
      <c r="W408" s="66">
        <f t="shared" si="81"/>
        <v>0</v>
      </c>
      <c r="X408" s="67">
        <f t="shared" si="82"/>
        <v>0</v>
      </c>
      <c r="Y408" s="57" t="str">
        <f t="shared" si="83"/>
        <v>NIL PLEASE PURCHASE</v>
      </c>
      <c r="Z408" s="68" t="s">
        <v>1539</v>
      </c>
    </row>
    <row r="409" spans="1:26" s="8" customFormat="1" ht="20.100000000000001" customHeight="1" x14ac:dyDescent="0.25">
      <c r="A409" s="59" t="s">
        <v>994</v>
      </c>
      <c r="B409" s="84">
        <v>407</v>
      </c>
      <c r="C409" s="85" t="s">
        <v>725</v>
      </c>
      <c r="D409" s="60">
        <v>0</v>
      </c>
      <c r="E409" s="61">
        <f t="shared" si="72"/>
        <v>0</v>
      </c>
      <c r="F409" s="60">
        <v>0</v>
      </c>
      <c r="G409" s="61">
        <f t="shared" si="73"/>
        <v>0</v>
      </c>
      <c r="H409" s="60">
        <v>0</v>
      </c>
      <c r="I409" s="61">
        <f t="shared" si="74"/>
        <v>0</v>
      </c>
      <c r="J409" s="60">
        <v>0</v>
      </c>
      <c r="K409" s="61">
        <f t="shared" si="75"/>
        <v>0</v>
      </c>
      <c r="L409" s="62"/>
      <c r="M409" s="61">
        <f t="shared" si="76"/>
        <v>0</v>
      </c>
      <c r="N409" s="63">
        <v>0</v>
      </c>
      <c r="O409" s="61">
        <f t="shared" si="77"/>
        <v>0</v>
      </c>
      <c r="P409" s="60">
        <v>0</v>
      </c>
      <c r="Q409" s="61">
        <f t="shared" si="78"/>
        <v>0</v>
      </c>
      <c r="R409" s="60">
        <v>0</v>
      </c>
      <c r="S409" s="61">
        <f t="shared" si="79"/>
        <v>0</v>
      </c>
      <c r="T409" s="60">
        <v>0</v>
      </c>
      <c r="U409" s="64">
        <f t="shared" si="80"/>
        <v>0</v>
      </c>
      <c r="V409" s="65">
        <v>0</v>
      </c>
      <c r="W409" s="66">
        <f t="shared" si="81"/>
        <v>0</v>
      </c>
      <c r="X409" s="67">
        <f t="shared" si="82"/>
        <v>0</v>
      </c>
      <c r="Y409" s="57" t="str">
        <f t="shared" si="83"/>
        <v>NIL PLEASE PURCHASE</v>
      </c>
      <c r="Z409" s="68" t="s">
        <v>1539</v>
      </c>
    </row>
    <row r="410" spans="1:26" s="8" customFormat="1" ht="20.100000000000001" customHeight="1" x14ac:dyDescent="0.25">
      <c r="A410" s="59" t="s">
        <v>995</v>
      </c>
      <c r="B410" s="84">
        <v>408</v>
      </c>
      <c r="C410" s="85" t="s">
        <v>726</v>
      </c>
      <c r="D410" s="60">
        <v>0</v>
      </c>
      <c r="E410" s="61">
        <f t="shared" si="72"/>
        <v>0</v>
      </c>
      <c r="F410" s="60">
        <v>0</v>
      </c>
      <c r="G410" s="61">
        <f t="shared" si="73"/>
        <v>0</v>
      </c>
      <c r="H410" s="60">
        <v>0</v>
      </c>
      <c r="I410" s="61">
        <f t="shared" si="74"/>
        <v>0</v>
      </c>
      <c r="J410" s="60">
        <v>0</v>
      </c>
      <c r="K410" s="61">
        <f t="shared" si="75"/>
        <v>0</v>
      </c>
      <c r="L410" s="62"/>
      <c r="M410" s="61">
        <f t="shared" si="76"/>
        <v>0</v>
      </c>
      <c r="N410" s="63">
        <v>0</v>
      </c>
      <c r="O410" s="61">
        <f t="shared" si="77"/>
        <v>0</v>
      </c>
      <c r="P410" s="60">
        <v>0</v>
      </c>
      <c r="Q410" s="61">
        <f t="shared" si="78"/>
        <v>0</v>
      </c>
      <c r="R410" s="60">
        <v>0</v>
      </c>
      <c r="S410" s="61">
        <f t="shared" si="79"/>
        <v>0</v>
      </c>
      <c r="T410" s="60">
        <v>0</v>
      </c>
      <c r="U410" s="64">
        <f t="shared" si="80"/>
        <v>0</v>
      </c>
      <c r="V410" s="65">
        <v>0</v>
      </c>
      <c r="W410" s="66">
        <f t="shared" si="81"/>
        <v>0</v>
      </c>
      <c r="X410" s="67">
        <f t="shared" si="82"/>
        <v>0</v>
      </c>
      <c r="Y410" s="57" t="str">
        <f t="shared" si="83"/>
        <v>NIL PLEASE PURCHASE</v>
      </c>
      <c r="Z410" s="68" t="s">
        <v>1539</v>
      </c>
    </row>
    <row r="411" spans="1:26" s="8" customFormat="1" ht="20.100000000000001" customHeight="1" x14ac:dyDescent="0.25">
      <c r="A411" s="59" t="s">
        <v>996</v>
      </c>
      <c r="B411" s="84">
        <v>409</v>
      </c>
      <c r="C411" s="85" t="s">
        <v>727</v>
      </c>
      <c r="D411" s="60">
        <v>0</v>
      </c>
      <c r="E411" s="61">
        <f t="shared" si="72"/>
        <v>0</v>
      </c>
      <c r="F411" s="60">
        <v>0</v>
      </c>
      <c r="G411" s="61">
        <f t="shared" si="73"/>
        <v>0</v>
      </c>
      <c r="H411" s="60">
        <v>0</v>
      </c>
      <c r="I411" s="61">
        <f t="shared" si="74"/>
        <v>0</v>
      </c>
      <c r="J411" s="60">
        <v>0</v>
      </c>
      <c r="K411" s="61">
        <f t="shared" si="75"/>
        <v>0</v>
      </c>
      <c r="L411" s="62"/>
      <c r="M411" s="61">
        <f t="shared" si="76"/>
        <v>0</v>
      </c>
      <c r="N411" s="63">
        <v>0</v>
      </c>
      <c r="O411" s="61">
        <f t="shared" si="77"/>
        <v>0</v>
      </c>
      <c r="P411" s="60">
        <v>0</v>
      </c>
      <c r="Q411" s="61">
        <f t="shared" si="78"/>
        <v>0</v>
      </c>
      <c r="R411" s="60">
        <v>0</v>
      </c>
      <c r="S411" s="61">
        <f t="shared" si="79"/>
        <v>0</v>
      </c>
      <c r="T411" s="60">
        <v>0</v>
      </c>
      <c r="U411" s="64">
        <f t="shared" si="80"/>
        <v>0</v>
      </c>
      <c r="V411" s="65">
        <v>0</v>
      </c>
      <c r="W411" s="66">
        <f t="shared" si="81"/>
        <v>0</v>
      </c>
      <c r="X411" s="67">
        <f t="shared" si="82"/>
        <v>0</v>
      </c>
      <c r="Y411" s="57" t="str">
        <f t="shared" si="83"/>
        <v>NIL PLEASE PURCHASE</v>
      </c>
      <c r="Z411" s="68" t="s">
        <v>1539</v>
      </c>
    </row>
    <row r="412" spans="1:26" s="8" customFormat="1" ht="20.100000000000001" customHeight="1" x14ac:dyDescent="0.25">
      <c r="A412" s="59" t="s">
        <v>997</v>
      </c>
      <c r="B412" s="84">
        <v>410</v>
      </c>
      <c r="C412" s="85" t="s">
        <v>728</v>
      </c>
      <c r="D412" s="60">
        <v>0</v>
      </c>
      <c r="E412" s="61">
        <f t="shared" si="72"/>
        <v>0</v>
      </c>
      <c r="F412" s="60">
        <v>0</v>
      </c>
      <c r="G412" s="61">
        <f t="shared" si="73"/>
        <v>0</v>
      </c>
      <c r="H412" s="60">
        <v>0</v>
      </c>
      <c r="I412" s="61">
        <f t="shared" si="74"/>
        <v>0</v>
      </c>
      <c r="J412" s="60">
        <v>1</v>
      </c>
      <c r="K412" s="61">
        <f t="shared" si="75"/>
        <v>100</v>
      </c>
      <c r="L412" s="62"/>
      <c r="M412" s="61">
        <f t="shared" si="76"/>
        <v>0</v>
      </c>
      <c r="N412" s="63">
        <v>0</v>
      </c>
      <c r="O412" s="61">
        <f t="shared" si="77"/>
        <v>0</v>
      </c>
      <c r="P412" s="60">
        <v>0</v>
      </c>
      <c r="Q412" s="61">
        <f t="shared" si="78"/>
        <v>0</v>
      </c>
      <c r="R412" s="60">
        <v>0</v>
      </c>
      <c r="S412" s="61">
        <f t="shared" si="79"/>
        <v>0</v>
      </c>
      <c r="T412" s="60">
        <v>0</v>
      </c>
      <c r="U412" s="64">
        <f t="shared" si="80"/>
        <v>0</v>
      </c>
      <c r="V412" s="65">
        <v>0</v>
      </c>
      <c r="W412" s="66">
        <f t="shared" si="81"/>
        <v>100</v>
      </c>
      <c r="X412" s="67">
        <f t="shared" si="82"/>
        <v>0.1</v>
      </c>
      <c r="Y412" s="57" t="str">
        <f t="shared" si="83"/>
        <v>STOCK</v>
      </c>
      <c r="Z412" s="68" t="s">
        <v>1538</v>
      </c>
    </row>
    <row r="413" spans="1:26" s="8" customFormat="1" ht="20.100000000000001" customHeight="1" x14ac:dyDescent="0.25">
      <c r="A413" s="59" t="s">
        <v>998</v>
      </c>
      <c r="B413" s="84">
        <v>411</v>
      </c>
      <c r="C413" s="85" t="s">
        <v>729</v>
      </c>
      <c r="D413" s="60">
        <v>0</v>
      </c>
      <c r="E413" s="61">
        <f t="shared" si="72"/>
        <v>0</v>
      </c>
      <c r="F413" s="60">
        <v>0</v>
      </c>
      <c r="G413" s="61">
        <f t="shared" si="73"/>
        <v>0</v>
      </c>
      <c r="H413" s="60">
        <v>0</v>
      </c>
      <c r="I413" s="61">
        <f t="shared" si="74"/>
        <v>0</v>
      </c>
      <c r="J413" s="60">
        <v>0</v>
      </c>
      <c r="K413" s="61">
        <f t="shared" si="75"/>
        <v>0</v>
      </c>
      <c r="L413" s="62"/>
      <c r="M413" s="61">
        <f t="shared" si="76"/>
        <v>0</v>
      </c>
      <c r="N413" s="63">
        <v>12</v>
      </c>
      <c r="O413" s="61">
        <f t="shared" si="77"/>
        <v>6000</v>
      </c>
      <c r="P413" s="60">
        <v>0</v>
      </c>
      <c r="Q413" s="61">
        <f t="shared" si="78"/>
        <v>0</v>
      </c>
      <c r="R413" s="60">
        <v>0</v>
      </c>
      <c r="S413" s="61">
        <f t="shared" si="79"/>
        <v>0</v>
      </c>
      <c r="T413" s="60">
        <v>0</v>
      </c>
      <c r="U413" s="64">
        <f t="shared" si="80"/>
        <v>0</v>
      </c>
      <c r="V413" s="65">
        <v>0</v>
      </c>
      <c r="W413" s="66">
        <f t="shared" si="81"/>
        <v>6000</v>
      </c>
      <c r="X413" s="67">
        <f t="shared" si="82"/>
        <v>6</v>
      </c>
      <c r="Y413" s="57" t="str">
        <f t="shared" si="83"/>
        <v>STOCK</v>
      </c>
      <c r="Z413" s="68" t="s">
        <v>1538</v>
      </c>
    </row>
    <row r="414" spans="1:26" s="8" customFormat="1" ht="20.100000000000001" customHeight="1" x14ac:dyDescent="0.25">
      <c r="A414" s="59" t="s">
        <v>999</v>
      </c>
      <c r="B414" s="84">
        <v>412</v>
      </c>
      <c r="C414" s="85" t="s">
        <v>730</v>
      </c>
      <c r="D414" s="60">
        <v>0</v>
      </c>
      <c r="E414" s="61">
        <f t="shared" si="72"/>
        <v>0</v>
      </c>
      <c r="F414" s="60">
        <v>0</v>
      </c>
      <c r="G414" s="61">
        <f t="shared" si="73"/>
        <v>0</v>
      </c>
      <c r="H414" s="60">
        <v>0</v>
      </c>
      <c r="I414" s="61">
        <f t="shared" si="74"/>
        <v>0</v>
      </c>
      <c r="J414" s="60">
        <v>0</v>
      </c>
      <c r="K414" s="61">
        <f t="shared" si="75"/>
        <v>0</v>
      </c>
      <c r="L414" s="62"/>
      <c r="M414" s="61">
        <f t="shared" si="76"/>
        <v>0</v>
      </c>
      <c r="N414" s="63">
        <v>0</v>
      </c>
      <c r="O414" s="61">
        <f t="shared" si="77"/>
        <v>0</v>
      </c>
      <c r="P414" s="60">
        <v>0</v>
      </c>
      <c r="Q414" s="61">
        <f t="shared" si="78"/>
        <v>0</v>
      </c>
      <c r="R414" s="60">
        <v>0</v>
      </c>
      <c r="S414" s="61">
        <f t="shared" si="79"/>
        <v>0</v>
      </c>
      <c r="T414" s="60">
        <v>0</v>
      </c>
      <c r="U414" s="64">
        <f t="shared" si="80"/>
        <v>0</v>
      </c>
      <c r="V414" s="65">
        <v>0</v>
      </c>
      <c r="W414" s="66">
        <f t="shared" si="81"/>
        <v>0</v>
      </c>
      <c r="X414" s="67">
        <f t="shared" si="82"/>
        <v>0</v>
      </c>
      <c r="Y414" s="57" t="str">
        <f t="shared" si="83"/>
        <v>NIL PLEASE PURCHASE</v>
      </c>
      <c r="Z414" s="68" t="s">
        <v>1539</v>
      </c>
    </row>
    <row r="415" spans="1:26" s="8" customFormat="1" ht="20.100000000000001" customHeight="1" x14ac:dyDescent="0.25">
      <c r="A415" s="59" t="s">
        <v>1000</v>
      </c>
      <c r="B415" s="84">
        <v>413</v>
      </c>
      <c r="C415" s="85" t="s">
        <v>731</v>
      </c>
      <c r="D415" s="60">
        <v>0</v>
      </c>
      <c r="E415" s="61">
        <f t="shared" si="72"/>
        <v>0</v>
      </c>
      <c r="F415" s="60">
        <v>0</v>
      </c>
      <c r="G415" s="61">
        <f t="shared" si="73"/>
        <v>0</v>
      </c>
      <c r="H415" s="60">
        <v>0</v>
      </c>
      <c r="I415" s="61">
        <f t="shared" si="74"/>
        <v>0</v>
      </c>
      <c r="J415" s="60">
        <v>0</v>
      </c>
      <c r="K415" s="61">
        <f t="shared" si="75"/>
        <v>0</v>
      </c>
      <c r="L415" s="62"/>
      <c r="M415" s="61">
        <f t="shared" si="76"/>
        <v>0</v>
      </c>
      <c r="N415" s="63">
        <v>0</v>
      </c>
      <c r="O415" s="61">
        <f t="shared" si="77"/>
        <v>0</v>
      </c>
      <c r="P415" s="60">
        <v>0</v>
      </c>
      <c r="Q415" s="61">
        <f t="shared" si="78"/>
        <v>0</v>
      </c>
      <c r="R415" s="60">
        <v>0</v>
      </c>
      <c r="S415" s="61">
        <f t="shared" si="79"/>
        <v>0</v>
      </c>
      <c r="T415" s="60">
        <v>0</v>
      </c>
      <c r="U415" s="64">
        <f t="shared" si="80"/>
        <v>0</v>
      </c>
      <c r="V415" s="65">
        <v>0</v>
      </c>
      <c r="W415" s="66">
        <f t="shared" si="81"/>
        <v>0</v>
      </c>
      <c r="X415" s="67">
        <f t="shared" si="82"/>
        <v>0</v>
      </c>
      <c r="Y415" s="57" t="str">
        <f t="shared" si="83"/>
        <v>NIL PLEASE PURCHASE</v>
      </c>
      <c r="Z415" s="68" t="s">
        <v>1539</v>
      </c>
    </row>
    <row r="416" spans="1:26" s="8" customFormat="1" ht="20.100000000000001" customHeight="1" x14ac:dyDescent="0.25">
      <c r="A416" s="59" t="s">
        <v>1001</v>
      </c>
      <c r="B416" s="84">
        <v>414</v>
      </c>
      <c r="C416" s="85" t="s">
        <v>732</v>
      </c>
      <c r="D416" s="60">
        <v>0</v>
      </c>
      <c r="E416" s="61">
        <f t="shared" si="72"/>
        <v>0</v>
      </c>
      <c r="F416" s="60">
        <v>0</v>
      </c>
      <c r="G416" s="61">
        <f t="shared" si="73"/>
        <v>0</v>
      </c>
      <c r="H416" s="60">
        <v>0</v>
      </c>
      <c r="I416" s="61">
        <f t="shared" si="74"/>
        <v>0</v>
      </c>
      <c r="J416" s="60">
        <v>0</v>
      </c>
      <c r="K416" s="61">
        <f t="shared" si="75"/>
        <v>0</v>
      </c>
      <c r="L416" s="62"/>
      <c r="M416" s="61">
        <f t="shared" si="76"/>
        <v>0</v>
      </c>
      <c r="N416" s="63">
        <v>0</v>
      </c>
      <c r="O416" s="61">
        <f t="shared" si="77"/>
        <v>0</v>
      </c>
      <c r="P416" s="60">
        <v>0</v>
      </c>
      <c r="Q416" s="61">
        <f t="shared" si="78"/>
        <v>0</v>
      </c>
      <c r="R416" s="60">
        <v>0</v>
      </c>
      <c r="S416" s="61">
        <f t="shared" si="79"/>
        <v>0</v>
      </c>
      <c r="T416" s="60">
        <v>0</v>
      </c>
      <c r="U416" s="64">
        <f t="shared" si="80"/>
        <v>0</v>
      </c>
      <c r="V416" s="65">
        <v>0</v>
      </c>
      <c r="W416" s="66">
        <f t="shared" si="81"/>
        <v>0</v>
      </c>
      <c r="X416" s="67">
        <f t="shared" si="82"/>
        <v>0</v>
      </c>
      <c r="Y416" s="57" t="str">
        <f t="shared" si="83"/>
        <v>NIL PLEASE PURCHASE</v>
      </c>
      <c r="Z416" s="68" t="s">
        <v>1539</v>
      </c>
    </row>
    <row r="417" spans="1:26" s="8" customFormat="1" ht="20.100000000000001" customHeight="1" x14ac:dyDescent="0.25">
      <c r="A417" s="59" t="s">
        <v>1002</v>
      </c>
      <c r="B417" s="84">
        <v>415</v>
      </c>
      <c r="C417" s="85" t="s">
        <v>733</v>
      </c>
      <c r="D417" s="60">
        <v>0</v>
      </c>
      <c r="E417" s="61">
        <f t="shared" si="72"/>
        <v>0</v>
      </c>
      <c r="F417" s="60">
        <v>0</v>
      </c>
      <c r="G417" s="61">
        <f t="shared" si="73"/>
        <v>0</v>
      </c>
      <c r="H417" s="60">
        <v>0</v>
      </c>
      <c r="I417" s="61">
        <f t="shared" si="74"/>
        <v>0</v>
      </c>
      <c r="J417" s="60">
        <v>0</v>
      </c>
      <c r="K417" s="61">
        <f t="shared" si="75"/>
        <v>0</v>
      </c>
      <c r="L417" s="62"/>
      <c r="M417" s="61">
        <f t="shared" si="76"/>
        <v>0</v>
      </c>
      <c r="N417" s="63">
        <v>0</v>
      </c>
      <c r="O417" s="61">
        <f t="shared" si="77"/>
        <v>0</v>
      </c>
      <c r="P417" s="60">
        <v>0</v>
      </c>
      <c r="Q417" s="61">
        <f t="shared" si="78"/>
        <v>0</v>
      </c>
      <c r="R417" s="60">
        <v>0</v>
      </c>
      <c r="S417" s="61">
        <f t="shared" si="79"/>
        <v>0</v>
      </c>
      <c r="T417" s="60">
        <v>0</v>
      </c>
      <c r="U417" s="64">
        <f t="shared" si="80"/>
        <v>0</v>
      </c>
      <c r="V417" s="65">
        <v>0</v>
      </c>
      <c r="W417" s="66">
        <f t="shared" si="81"/>
        <v>0</v>
      </c>
      <c r="X417" s="67">
        <f t="shared" si="82"/>
        <v>0</v>
      </c>
      <c r="Y417" s="57" t="str">
        <f t="shared" si="83"/>
        <v>NIL PLEASE PURCHASE</v>
      </c>
      <c r="Z417" s="68" t="s">
        <v>1539</v>
      </c>
    </row>
    <row r="418" spans="1:26" s="8" customFormat="1" ht="20.100000000000001" customHeight="1" x14ac:dyDescent="0.25">
      <c r="A418" s="59" t="s">
        <v>1003</v>
      </c>
      <c r="B418" s="84">
        <v>416</v>
      </c>
      <c r="C418" s="85" t="s">
        <v>734</v>
      </c>
      <c r="D418" s="60">
        <v>0</v>
      </c>
      <c r="E418" s="61">
        <f t="shared" si="72"/>
        <v>0</v>
      </c>
      <c r="F418" s="60">
        <v>0</v>
      </c>
      <c r="G418" s="61">
        <f t="shared" si="73"/>
        <v>0</v>
      </c>
      <c r="H418" s="60">
        <v>0</v>
      </c>
      <c r="I418" s="61">
        <f t="shared" si="74"/>
        <v>0</v>
      </c>
      <c r="J418" s="60">
        <v>0</v>
      </c>
      <c r="K418" s="61">
        <f t="shared" si="75"/>
        <v>0</v>
      </c>
      <c r="L418" s="62"/>
      <c r="M418" s="61">
        <f t="shared" si="76"/>
        <v>0</v>
      </c>
      <c r="N418" s="63">
        <v>0</v>
      </c>
      <c r="O418" s="61">
        <f t="shared" si="77"/>
        <v>0</v>
      </c>
      <c r="P418" s="60">
        <v>0</v>
      </c>
      <c r="Q418" s="61">
        <f t="shared" si="78"/>
        <v>0</v>
      </c>
      <c r="R418" s="60">
        <v>0</v>
      </c>
      <c r="S418" s="61">
        <f t="shared" si="79"/>
        <v>0</v>
      </c>
      <c r="T418" s="60">
        <v>0</v>
      </c>
      <c r="U418" s="64">
        <f t="shared" si="80"/>
        <v>0</v>
      </c>
      <c r="V418" s="65">
        <v>0</v>
      </c>
      <c r="W418" s="66">
        <f t="shared" si="81"/>
        <v>0</v>
      </c>
      <c r="X418" s="67">
        <f t="shared" si="82"/>
        <v>0</v>
      </c>
      <c r="Y418" s="57" t="str">
        <f t="shared" si="83"/>
        <v>NIL PLEASE PURCHASE</v>
      </c>
      <c r="Z418" s="68" t="s">
        <v>1539</v>
      </c>
    </row>
    <row r="419" spans="1:26" s="8" customFormat="1" ht="20.100000000000001" customHeight="1" x14ac:dyDescent="0.25">
      <c r="A419" s="59" t="s">
        <v>1004</v>
      </c>
      <c r="B419" s="84">
        <v>417</v>
      </c>
      <c r="C419" s="85" t="s">
        <v>735</v>
      </c>
      <c r="D419" s="60">
        <v>0</v>
      </c>
      <c r="E419" s="61">
        <f t="shared" si="72"/>
        <v>0</v>
      </c>
      <c r="F419" s="60">
        <v>0</v>
      </c>
      <c r="G419" s="61">
        <f t="shared" si="73"/>
        <v>0</v>
      </c>
      <c r="H419" s="60">
        <v>0</v>
      </c>
      <c r="I419" s="61">
        <f t="shared" si="74"/>
        <v>0</v>
      </c>
      <c r="J419" s="60">
        <v>0</v>
      </c>
      <c r="K419" s="61">
        <f t="shared" si="75"/>
        <v>0</v>
      </c>
      <c r="L419" s="62"/>
      <c r="M419" s="61">
        <f t="shared" si="76"/>
        <v>0</v>
      </c>
      <c r="N419" s="63">
        <v>9</v>
      </c>
      <c r="O419" s="61">
        <f t="shared" si="77"/>
        <v>4500</v>
      </c>
      <c r="P419" s="60">
        <v>0</v>
      </c>
      <c r="Q419" s="61">
        <f t="shared" si="78"/>
        <v>0</v>
      </c>
      <c r="R419" s="60">
        <v>0</v>
      </c>
      <c r="S419" s="61">
        <f t="shared" si="79"/>
        <v>0</v>
      </c>
      <c r="T419" s="60">
        <v>0</v>
      </c>
      <c r="U419" s="64">
        <f t="shared" si="80"/>
        <v>0</v>
      </c>
      <c r="V419" s="65">
        <v>0</v>
      </c>
      <c r="W419" s="66">
        <f t="shared" si="81"/>
        <v>4500</v>
      </c>
      <c r="X419" s="67">
        <f t="shared" si="82"/>
        <v>4.5</v>
      </c>
      <c r="Y419" s="57" t="str">
        <f t="shared" si="83"/>
        <v>STOCK</v>
      </c>
      <c r="Z419" s="68" t="s">
        <v>1538</v>
      </c>
    </row>
    <row r="420" spans="1:26" s="8" customFormat="1" ht="20.100000000000001" customHeight="1" x14ac:dyDescent="0.25">
      <c r="A420" s="59" t="s">
        <v>1005</v>
      </c>
      <c r="B420" s="84">
        <v>418</v>
      </c>
      <c r="C420" s="85" t="s">
        <v>736</v>
      </c>
      <c r="D420" s="60">
        <v>0</v>
      </c>
      <c r="E420" s="61">
        <f t="shared" si="72"/>
        <v>0</v>
      </c>
      <c r="F420" s="60">
        <v>0</v>
      </c>
      <c r="G420" s="61">
        <f t="shared" si="73"/>
        <v>0</v>
      </c>
      <c r="H420" s="60">
        <v>0</v>
      </c>
      <c r="I420" s="61">
        <f t="shared" si="74"/>
        <v>0</v>
      </c>
      <c r="J420" s="60">
        <v>0</v>
      </c>
      <c r="K420" s="61">
        <f t="shared" si="75"/>
        <v>0</v>
      </c>
      <c r="L420" s="62"/>
      <c r="M420" s="61">
        <f t="shared" si="76"/>
        <v>0</v>
      </c>
      <c r="N420" s="63">
        <v>0</v>
      </c>
      <c r="O420" s="61">
        <f t="shared" si="77"/>
        <v>0</v>
      </c>
      <c r="P420" s="60">
        <v>0</v>
      </c>
      <c r="Q420" s="61">
        <f t="shared" si="78"/>
        <v>0</v>
      </c>
      <c r="R420" s="60">
        <v>0</v>
      </c>
      <c r="S420" s="61">
        <f t="shared" si="79"/>
        <v>0</v>
      </c>
      <c r="T420" s="60">
        <v>0</v>
      </c>
      <c r="U420" s="64">
        <f t="shared" si="80"/>
        <v>0</v>
      </c>
      <c r="V420" s="65">
        <v>0</v>
      </c>
      <c r="W420" s="66">
        <f t="shared" si="81"/>
        <v>0</v>
      </c>
      <c r="X420" s="67">
        <f t="shared" si="82"/>
        <v>0</v>
      </c>
      <c r="Y420" s="57" t="str">
        <f t="shared" si="83"/>
        <v>NIL PLEASE PURCHASE</v>
      </c>
      <c r="Z420" s="68" t="s">
        <v>1539</v>
      </c>
    </row>
    <row r="421" spans="1:26" s="8" customFormat="1" ht="20.100000000000001" customHeight="1" x14ac:dyDescent="0.25">
      <c r="A421" s="59" t="s">
        <v>1006</v>
      </c>
      <c r="B421" s="84">
        <v>419</v>
      </c>
      <c r="C421" s="85" t="s">
        <v>737</v>
      </c>
      <c r="D421" s="60">
        <v>0</v>
      </c>
      <c r="E421" s="61">
        <f t="shared" si="72"/>
        <v>0</v>
      </c>
      <c r="F421" s="60">
        <v>0</v>
      </c>
      <c r="G421" s="61">
        <f t="shared" si="73"/>
        <v>0</v>
      </c>
      <c r="H421" s="60">
        <v>0</v>
      </c>
      <c r="I421" s="61">
        <f t="shared" si="74"/>
        <v>0</v>
      </c>
      <c r="J421" s="60">
        <v>0</v>
      </c>
      <c r="K421" s="61">
        <f t="shared" si="75"/>
        <v>0</v>
      </c>
      <c r="L421" s="62"/>
      <c r="M421" s="61">
        <f t="shared" si="76"/>
        <v>0</v>
      </c>
      <c r="N421" s="63">
        <v>0</v>
      </c>
      <c r="O421" s="61">
        <f t="shared" si="77"/>
        <v>0</v>
      </c>
      <c r="P421" s="60">
        <v>0</v>
      </c>
      <c r="Q421" s="61">
        <f t="shared" si="78"/>
        <v>0</v>
      </c>
      <c r="R421" s="60">
        <v>0</v>
      </c>
      <c r="S421" s="61">
        <f t="shared" si="79"/>
        <v>0</v>
      </c>
      <c r="T421" s="60">
        <v>0</v>
      </c>
      <c r="U421" s="64">
        <f t="shared" si="80"/>
        <v>0</v>
      </c>
      <c r="V421" s="65">
        <v>0</v>
      </c>
      <c r="W421" s="66">
        <f t="shared" si="81"/>
        <v>0</v>
      </c>
      <c r="X421" s="67">
        <f t="shared" si="82"/>
        <v>0</v>
      </c>
      <c r="Y421" s="57" t="str">
        <f t="shared" si="83"/>
        <v>NIL PLEASE PURCHASE</v>
      </c>
      <c r="Z421" s="68" t="s">
        <v>1539</v>
      </c>
    </row>
    <row r="422" spans="1:26" s="8" customFormat="1" ht="20.100000000000001" customHeight="1" x14ac:dyDescent="0.25">
      <c r="A422" s="59" t="s">
        <v>1007</v>
      </c>
      <c r="B422" s="84">
        <v>420</v>
      </c>
      <c r="C422" s="85" t="s">
        <v>738</v>
      </c>
      <c r="D422" s="60">
        <v>0</v>
      </c>
      <c r="E422" s="61">
        <f t="shared" si="72"/>
        <v>0</v>
      </c>
      <c r="F422" s="60">
        <v>0</v>
      </c>
      <c r="G422" s="61">
        <f t="shared" si="73"/>
        <v>0</v>
      </c>
      <c r="H422" s="60">
        <v>0</v>
      </c>
      <c r="I422" s="61">
        <f t="shared" si="74"/>
        <v>0</v>
      </c>
      <c r="J422" s="60">
        <v>0</v>
      </c>
      <c r="K422" s="61">
        <f t="shared" si="75"/>
        <v>0</v>
      </c>
      <c r="L422" s="62"/>
      <c r="M422" s="61">
        <f t="shared" si="76"/>
        <v>0</v>
      </c>
      <c r="N422" s="63">
        <v>0</v>
      </c>
      <c r="O422" s="61">
        <f t="shared" si="77"/>
        <v>0</v>
      </c>
      <c r="P422" s="60">
        <v>0</v>
      </c>
      <c r="Q422" s="61">
        <f t="shared" si="78"/>
        <v>0</v>
      </c>
      <c r="R422" s="60">
        <v>0</v>
      </c>
      <c r="S422" s="61">
        <f t="shared" si="79"/>
        <v>0</v>
      </c>
      <c r="T422" s="60">
        <v>0</v>
      </c>
      <c r="U422" s="64">
        <f t="shared" si="80"/>
        <v>0</v>
      </c>
      <c r="V422" s="65">
        <v>0</v>
      </c>
      <c r="W422" s="66">
        <f t="shared" si="81"/>
        <v>0</v>
      </c>
      <c r="X422" s="67">
        <f t="shared" si="82"/>
        <v>0</v>
      </c>
      <c r="Y422" s="57" t="str">
        <f t="shared" si="83"/>
        <v>NIL PLEASE PURCHASE</v>
      </c>
      <c r="Z422" s="68" t="s">
        <v>1538</v>
      </c>
    </row>
    <row r="423" spans="1:26" s="8" customFormat="1" ht="20.100000000000001" customHeight="1" x14ac:dyDescent="0.25">
      <c r="A423" s="59" t="s">
        <v>1008</v>
      </c>
      <c r="B423" s="84">
        <v>421</v>
      </c>
      <c r="C423" s="85" t="s">
        <v>739</v>
      </c>
      <c r="D423" s="60">
        <v>0</v>
      </c>
      <c r="E423" s="61">
        <f t="shared" si="72"/>
        <v>0</v>
      </c>
      <c r="F423" s="60">
        <v>0</v>
      </c>
      <c r="G423" s="61">
        <f t="shared" si="73"/>
        <v>0</v>
      </c>
      <c r="H423" s="60">
        <v>0</v>
      </c>
      <c r="I423" s="61">
        <f t="shared" si="74"/>
        <v>0</v>
      </c>
      <c r="J423" s="60">
        <v>0</v>
      </c>
      <c r="K423" s="61">
        <f t="shared" si="75"/>
        <v>0</v>
      </c>
      <c r="L423" s="62"/>
      <c r="M423" s="61">
        <f t="shared" si="76"/>
        <v>0</v>
      </c>
      <c r="N423" s="63">
        <v>0</v>
      </c>
      <c r="O423" s="61">
        <f t="shared" si="77"/>
        <v>0</v>
      </c>
      <c r="P423" s="60">
        <v>0</v>
      </c>
      <c r="Q423" s="61">
        <f t="shared" si="78"/>
        <v>0</v>
      </c>
      <c r="R423" s="60">
        <v>0</v>
      </c>
      <c r="S423" s="61">
        <f t="shared" si="79"/>
        <v>0</v>
      </c>
      <c r="T423" s="60">
        <v>0</v>
      </c>
      <c r="U423" s="64">
        <f t="shared" si="80"/>
        <v>0</v>
      </c>
      <c r="V423" s="65">
        <v>0</v>
      </c>
      <c r="W423" s="66">
        <f t="shared" si="81"/>
        <v>0</v>
      </c>
      <c r="X423" s="67">
        <f t="shared" si="82"/>
        <v>0</v>
      </c>
      <c r="Y423" s="57" t="str">
        <f t="shared" si="83"/>
        <v>NIL PLEASE PURCHASE</v>
      </c>
      <c r="Z423" s="68" t="s">
        <v>1539</v>
      </c>
    </row>
    <row r="424" spans="1:26" s="8" customFormat="1" ht="20.100000000000001" customHeight="1" x14ac:dyDescent="0.25">
      <c r="A424" s="59" t="s">
        <v>1009</v>
      </c>
      <c r="B424" s="84">
        <v>422</v>
      </c>
      <c r="C424" s="85" t="s">
        <v>740</v>
      </c>
      <c r="D424" s="60">
        <v>0</v>
      </c>
      <c r="E424" s="61">
        <f t="shared" si="72"/>
        <v>0</v>
      </c>
      <c r="F424" s="60">
        <v>0</v>
      </c>
      <c r="G424" s="61">
        <f t="shared" si="73"/>
        <v>0</v>
      </c>
      <c r="H424" s="60">
        <v>0</v>
      </c>
      <c r="I424" s="61">
        <f t="shared" si="74"/>
        <v>0</v>
      </c>
      <c r="J424" s="60">
        <v>0</v>
      </c>
      <c r="K424" s="61">
        <f t="shared" si="75"/>
        <v>0</v>
      </c>
      <c r="L424" s="62"/>
      <c r="M424" s="61">
        <f t="shared" si="76"/>
        <v>0</v>
      </c>
      <c r="N424" s="63">
        <v>0</v>
      </c>
      <c r="O424" s="61">
        <f t="shared" si="77"/>
        <v>0</v>
      </c>
      <c r="P424" s="60">
        <v>0</v>
      </c>
      <c r="Q424" s="61">
        <f t="shared" si="78"/>
        <v>0</v>
      </c>
      <c r="R424" s="60">
        <v>0</v>
      </c>
      <c r="S424" s="61">
        <f t="shared" si="79"/>
        <v>0</v>
      </c>
      <c r="T424" s="60">
        <v>0</v>
      </c>
      <c r="U424" s="64">
        <f t="shared" si="80"/>
        <v>0</v>
      </c>
      <c r="V424" s="65">
        <v>0</v>
      </c>
      <c r="W424" s="66">
        <f t="shared" si="81"/>
        <v>0</v>
      </c>
      <c r="X424" s="67">
        <f t="shared" si="82"/>
        <v>0</v>
      </c>
      <c r="Y424" s="57" t="str">
        <f t="shared" si="83"/>
        <v>NIL PLEASE PURCHASE</v>
      </c>
      <c r="Z424" s="68" t="s">
        <v>1539</v>
      </c>
    </row>
    <row r="425" spans="1:26" s="8" customFormat="1" ht="20.100000000000001" customHeight="1" x14ac:dyDescent="0.25">
      <c r="A425" s="59" t="s">
        <v>1010</v>
      </c>
      <c r="B425" s="84">
        <v>423</v>
      </c>
      <c r="C425" s="85" t="s">
        <v>741</v>
      </c>
      <c r="D425" s="60">
        <v>0</v>
      </c>
      <c r="E425" s="61">
        <f t="shared" si="72"/>
        <v>0</v>
      </c>
      <c r="F425" s="60">
        <v>0</v>
      </c>
      <c r="G425" s="61">
        <f t="shared" si="73"/>
        <v>0</v>
      </c>
      <c r="H425" s="60">
        <v>0</v>
      </c>
      <c r="I425" s="61">
        <f t="shared" si="74"/>
        <v>0</v>
      </c>
      <c r="J425" s="60">
        <v>1</v>
      </c>
      <c r="K425" s="61">
        <f t="shared" si="75"/>
        <v>100</v>
      </c>
      <c r="L425" s="62"/>
      <c r="M425" s="61">
        <f t="shared" si="76"/>
        <v>0</v>
      </c>
      <c r="N425" s="63">
        <v>0</v>
      </c>
      <c r="O425" s="61">
        <f t="shared" si="77"/>
        <v>0</v>
      </c>
      <c r="P425" s="60">
        <v>0</v>
      </c>
      <c r="Q425" s="61">
        <f t="shared" si="78"/>
        <v>0</v>
      </c>
      <c r="R425" s="60">
        <v>0</v>
      </c>
      <c r="S425" s="61">
        <f t="shared" si="79"/>
        <v>0</v>
      </c>
      <c r="T425" s="60">
        <v>0</v>
      </c>
      <c r="U425" s="64">
        <f t="shared" si="80"/>
        <v>0</v>
      </c>
      <c r="V425" s="65">
        <v>0</v>
      </c>
      <c r="W425" s="66">
        <f t="shared" si="81"/>
        <v>100</v>
      </c>
      <c r="X425" s="67">
        <f t="shared" si="82"/>
        <v>0.1</v>
      </c>
      <c r="Y425" s="57" t="str">
        <f t="shared" si="83"/>
        <v>STOCK</v>
      </c>
      <c r="Z425" s="68" t="s">
        <v>1538</v>
      </c>
    </row>
    <row r="426" spans="1:26" s="8" customFormat="1" ht="20.100000000000001" customHeight="1" x14ac:dyDescent="0.25">
      <c r="A426" s="59" t="s">
        <v>1011</v>
      </c>
      <c r="B426" s="84">
        <v>424</v>
      </c>
      <c r="C426" s="85" t="s">
        <v>742</v>
      </c>
      <c r="D426" s="60">
        <v>0</v>
      </c>
      <c r="E426" s="61">
        <f t="shared" si="72"/>
        <v>0</v>
      </c>
      <c r="F426" s="60">
        <v>0</v>
      </c>
      <c r="G426" s="61">
        <f t="shared" si="73"/>
        <v>0</v>
      </c>
      <c r="H426" s="60">
        <v>0</v>
      </c>
      <c r="I426" s="61">
        <f t="shared" si="74"/>
        <v>0</v>
      </c>
      <c r="J426" s="60">
        <v>0</v>
      </c>
      <c r="K426" s="61">
        <f t="shared" si="75"/>
        <v>0</v>
      </c>
      <c r="L426" s="62"/>
      <c r="M426" s="61">
        <f t="shared" si="76"/>
        <v>0</v>
      </c>
      <c r="N426" s="63">
        <v>0</v>
      </c>
      <c r="O426" s="61">
        <f t="shared" si="77"/>
        <v>0</v>
      </c>
      <c r="P426" s="60">
        <v>0</v>
      </c>
      <c r="Q426" s="61">
        <f t="shared" si="78"/>
        <v>0</v>
      </c>
      <c r="R426" s="60">
        <v>0</v>
      </c>
      <c r="S426" s="61">
        <f t="shared" si="79"/>
        <v>0</v>
      </c>
      <c r="T426" s="60">
        <v>0</v>
      </c>
      <c r="U426" s="64">
        <f t="shared" si="80"/>
        <v>0</v>
      </c>
      <c r="V426" s="65">
        <v>0</v>
      </c>
      <c r="W426" s="66">
        <f t="shared" si="81"/>
        <v>0</v>
      </c>
      <c r="X426" s="67">
        <f t="shared" si="82"/>
        <v>0</v>
      </c>
      <c r="Y426" s="57" t="str">
        <f t="shared" si="83"/>
        <v>NIL PLEASE PURCHASE</v>
      </c>
      <c r="Z426" s="68" t="s">
        <v>1539</v>
      </c>
    </row>
    <row r="427" spans="1:26" s="8" customFormat="1" ht="20.100000000000001" customHeight="1" x14ac:dyDescent="0.25">
      <c r="A427" s="59" t="s">
        <v>1012</v>
      </c>
      <c r="B427" s="84">
        <v>425</v>
      </c>
      <c r="C427" s="85" t="s">
        <v>743</v>
      </c>
      <c r="D427" s="60">
        <v>0</v>
      </c>
      <c r="E427" s="61">
        <f t="shared" si="72"/>
        <v>0</v>
      </c>
      <c r="F427" s="60">
        <v>0</v>
      </c>
      <c r="G427" s="61">
        <f t="shared" si="73"/>
        <v>0</v>
      </c>
      <c r="H427" s="60">
        <v>0</v>
      </c>
      <c r="I427" s="61">
        <f t="shared" si="74"/>
        <v>0</v>
      </c>
      <c r="J427" s="60">
        <v>0</v>
      </c>
      <c r="K427" s="61">
        <f t="shared" si="75"/>
        <v>0</v>
      </c>
      <c r="L427" s="62"/>
      <c r="M427" s="61">
        <f t="shared" si="76"/>
        <v>0</v>
      </c>
      <c r="N427" s="63">
        <v>0</v>
      </c>
      <c r="O427" s="61">
        <f t="shared" si="77"/>
        <v>0</v>
      </c>
      <c r="P427" s="60">
        <v>0</v>
      </c>
      <c r="Q427" s="61">
        <f t="shared" si="78"/>
        <v>0</v>
      </c>
      <c r="R427" s="60">
        <v>0</v>
      </c>
      <c r="S427" s="61">
        <f t="shared" si="79"/>
        <v>0</v>
      </c>
      <c r="T427" s="60">
        <v>0</v>
      </c>
      <c r="U427" s="64">
        <f t="shared" si="80"/>
        <v>0</v>
      </c>
      <c r="V427" s="65">
        <v>0</v>
      </c>
      <c r="W427" s="66">
        <f t="shared" si="81"/>
        <v>0</v>
      </c>
      <c r="X427" s="67">
        <f t="shared" si="82"/>
        <v>0</v>
      </c>
      <c r="Y427" s="57" t="str">
        <f t="shared" si="83"/>
        <v>NIL PLEASE PURCHASE</v>
      </c>
      <c r="Z427" s="68" t="s">
        <v>1539</v>
      </c>
    </row>
    <row r="428" spans="1:26" s="8" customFormat="1" ht="20.100000000000001" customHeight="1" x14ac:dyDescent="0.25">
      <c r="A428" s="59" t="s">
        <v>1013</v>
      </c>
      <c r="B428" s="84">
        <v>426</v>
      </c>
      <c r="C428" s="85" t="s">
        <v>744</v>
      </c>
      <c r="D428" s="60">
        <v>0</v>
      </c>
      <c r="E428" s="61">
        <f t="shared" si="72"/>
        <v>0</v>
      </c>
      <c r="F428" s="60">
        <v>0</v>
      </c>
      <c r="G428" s="61">
        <f t="shared" si="73"/>
        <v>0</v>
      </c>
      <c r="H428" s="60">
        <v>0</v>
      </c>
      <c r="I428" s="61">
        <f t="shared" si="74"/>
        <v>0</v>
      </c>
      <c r="J428" s="60">
        <v>0</v>
      </c>
      <c r="K428" s="61">
        <f t="shared" si="75"/>
        <v>0</v>
      </c>
      <c r="L428" s="62"/>
      <c r="M428" s="61">
        <f t="shared" si="76"/>
        <v>0</v>
      </c>
      <c r="N428" s="63">
        <v>1</v>
      </c>
      <c r="O428" s="61">
        <f t="shared" si="77"/>
        <v>500</v>
      </c>
      <c r="P428" s="60">
        <v>0</v>
      </c>
      <c r="Q428" s="61">
        <f t="shared" si="78"/>
        <v>0</v>
      </c>
      <c r="R428" s="60">
        <v>0</v>
      </c>
      <c r="S428" s="61">
        <f t="shared" si="79"/>
        <v>0</v>
      </c>
      <c r="T428" s="60">
        <v>0</v>
      </c>
      <c r="U428" s="64">
        <f t="shared" si="80"/>
        <v>0</v>
      </c>
      <c r="V428" s="65">
        <v>0</v>
      </c>
      <c r="W428" s="66">
        <f t="shared" si="81"/>
        <v>500</v>
      </c>
      <c r="X428" s="67">
        <f t="shared" si="82"/>
        <v>0.5</v>
      </c>
      <c r="Y428" s="57" t="str">
        <f t="shared" si="83"/>
        <v>STOCK</v>
      </c>
      <c r="Z428" s="68" t="s">
        <v>1538</v>
      </c>
    </row>
    <row r="429" spans="1:26" s="8" customFormat="1" ht="20.100000000000001" customHeight="1" x14ac:dyDescent="0.25">
      <c r="A429" s="59" t="s">
        <v>1014</v>
      </c>
      <c r="B429" s="84">
        <v>427</v>
      </c>
      <c r="C429" s="85" t="s">
        <v>745</v>
      </c>
      <c r="D429" s="60">
        <v>0</v>
      </c>
      <c r="E429" s="61">
        <f t="shared" si="72"/>
        <v>0</v>
      </c>
      <c r="F429" s="60">
        <v>0</v>
      </c>
      <c r="G429" s="61">
        <f t="shared" si="73"/>
        <v>0</v>
      </c>
      <c r="H429" s="60">
        <v>0</v>
      </c>
      <c r="I429" s="61">
        <f t="shared" si="74"/>
        <v>0</v>
      </c>
      <c r="J429" s="60">
        <v>0</v>
      </c>
      <c r="K429" s="61">
        <f t="shared" si="75"/>
        <v>0</v>
      </c>
      <c r="L429" s="62"/>
      <c r="M429" s="61">
        <f t="shared" si="76"/>
        <v>0</v>
      </c>
      <c r="N429" s="63">
        <v>0</v>
      </c>
      <c r="O429" s="61">
        <f t="shared" si="77"/>
        <v>0</v>
      </c>
      <c r="P429" s="60">
        <v>0</v>
      </c>
      <c r="Q429" s="61">
        <f t="shared" si="78"/>
        <v>0</v>
      </c>
      <c r="R429" s="60">
        <v>0</v>
      </c>
      <c r="S429" s="61">
        <f t="shared" si="79"/>
        <v>0</v>
      </c>
      <c r="T429" s="60">
        <v>0</v>
      </c>
      <c r="U429" s="64">
        <f t="shared" si="80"/>
        <v>0</v>
      </c>
      <c r="V429" s="65">
        <v>0</v>
      </c>
      <c r="W429" s="66">
        <f t="shared" si="81"/>
        <v>0</v>
      </c>
      <c r="X429" s="67">
        <f t="shared" si="82"/>
        <v>0</v>
      </c>
      <c r="Y429" s="57" t="str">
        <f t="shared" si="83"/>
        <v>NIL PLEASE PURCHASE</v>
      </c>
      <c r="Z429" s="68" t="s">
        <v>1539</v>
      </c>
    </row>
    <row r="430" spans="1:26" s="8" customFormat="1" ht="20.100000000000001" customHeight="1" x14ac:dyDescent="0.25">
      <c r="A430" s="59" t="s">
        <v>1015</v>
      </c>
      <c r="B430" s="84">
        <v>428</v>
      </c>
      <c r="C430" s="85" t="s">
        <v>746</v>
      </c>
      <c r="D430" s="60">
        <v>0</v>
      </c>
      <c r="E430" s="61">
        <f t="shared" si="72"/>
        <v>0</v>
      </c>
      <c r="F430" s="60">
        <v>0</v>
      </c>
      <c r="G430" s="61">
        <f t="shared" si="73"/>
        <v>0</v>
      </c>
      <c r="H430" s="60">
        <v>0</v>
      </c>
      <c r="I430" s="61">
        <f t="shared" si="74"/>
        <v>0</v>
      </c>
      <c r="J430" s="60">
        <v>0</v>
      </c>
      <c r="K430" s="61">
        <f t="shared" si="75"/>
        <v>0</v>
      </c>
      <c r="L430" s="62"/>
      <c r="M430" s="61">
        <f t="shared" si="76"/>
        <v>0</v>
      </c>
      <c r="N430" s="63">
        <v>3</v>
      </c>
      <c r="O430" s="61">
        <f t="shared" si="77"/>
        <v>1500</v>
      </c>
      <c r="P430" s="60">
        <v>0</v>
      </c>
      <c r="Q430" s="61">
        <f t="shared" si="78"/>
        <v>0</v>
      </c>
      <c r="R430" s="60">
        <v>0</v>
      </c>
      <c r="S430" s="61">
        <f t="shared" si="79"/>
        <v>0</v>
      </c>
      <c r="T430" s="60">
        <v>0</v>
      </c>
      <c r="U430" s="64">
        <f t="shared" si="80"/>
        <v>0</v>
      </c>
      <c r="V430" s="65">
        <v>0</v>
      </c>
      <c r="W430" s="66">
        <f t="shared" si="81"/>
        <v>1500</v>
      </c>
      <c r="X430" s="67">
        <f t="shared" si="82"/>
        <v>1.5</v>
      </c>
      <c r="Y430" s="57" t="str">
        <f t="shared" si="83"/>
        <v>STOCK</v>
      </c>
      <c r="Z430" s="68" t="s">
        <v>1538</v>
      </c>
    </row>
    <row r="431" spans="1:26" s="8" customFormat="1" ht="20.100000000000001" customHeight="1" x14ac:dyDescent="0.25">
      <c r="A431" s="59" t="s">
        <v>1016</v>
      </c>
      <c r="B431" s="84">
        <v>429</v>
      </c>
      <c r="C431" s="85" t="s">
        <v>747</v>
      </c>
      <c r="D431" s="60">
        <v>0</v>
      </c>
      <c r="E431" s="61">
        <f t="shared" si="72"/>
        <v>0</v>
      </c>
      <c r="F431" s="60">
        <v>0</v>
      </c>
      <c r="G431" s="61">
        <f t="shared" si="73"/>
        <v>0</v>
      </c>
      <c r="H431" s="60">
        <v>0</v>
      </c>
      <c r="I431" s="61">
        <f t="shared" si="74"/>
        <v>0</v>
      </c>
      <c r="J431" s="60">
        <v>0</v>
      </c>
      <c r="K431" s="61">
        <f t="shared" si="75"/>
        <v>0</v>
      </c>
      <c r="L431" s="62"/>
      <c r="M431" s="61">
        <f t="shared" si="76"/>
        <v>0</v>
      </c>
      <c r="N431" s="63">
        <v>4</v>
      </c>
      <c r="O431" s="61">
        <f t="shared" si="77"/>
        <v>2000</v>
      </c>
      <c r="P431" s="60">
        <v>0</v>
      </c>
      <c r="Q431" s="61">
        <f t="shared" si="78"/>
        <v>0</v>
      </c>
      <c r="R431" s="60">
        <v>0</v>
      </c>
      <c r="S431" s="61">
        <f t="shared" si="79"/>
        <v>0</v>
      </c>
      <c r="T431" s="60">
        <v>0</v>
      </c>
      <c r="U431" s="64">
        <f t="shared" si="80"/>
        <v>0</v>
      </c>
      <c r="V431" s="65">
        <v>0</v>
      </c>
      <c r="W431" s="66">
        <f t="shared" si="81"/>
        <v>2000</v>
      </c>
      <c r="X431" s="67">
        <f t="shared" si="82"/>
        <v>2</v>
      </c>
      <c r="Y431" s="57" t="str">
        <f t="shared" si="83"/>
        <v>STOCK</v>
      </c>
      <c r="Z431" s="68" t="s">
        <v>1538</v>
      </c>
    </row>
    <row r="432" spans="1:26" s="8" customFormat="1" ht="20.100000000000001" customHeight="1" x14ac:dyDescent="0.25">
      <c r="A432" s="59" t="s">
        <v>1017</v>
      </c>
      <c r="B432" s="84">
        <v>430</v>
      </c>
      <c r="C432" s="85" t="s">
        <v>748</v>
      </c>
      <c r="D432" s="60">
        <v>0</v>
      </c>
      <c r="E432" s="61">
        <f t="shared" si="72"/>
        <v>0</v>
      </c>
      <c r="F432" s="60">
        <v>0</v>
      </c>
      <c r="G432" s="61">
        <f t="shared" si="73"/>
        <v>0</v>
      </c>
      <c r="H432" s="60">
        <v>0</v>
      </c>
      <c r="I432" s="61">
        <f t="shared" si="74"/>
        <v>0</v>
      </c>
      <c r="J432" s="60">
        <v>0</v>
      </c>
      <c r="K432" s="61">
        <f t="shared" si="75"/>
        <v>0</v>
      </c>
      <c r="L432" s="62"/>
      <c r="M432" s="61">
        <f t="shared" si="76"/>
        <v>0</v>
      </c>
      <c r="N432" s="63">
        <v>8</v>
      </c>
      <c r="O432" s="61">
        <f t="shared" si="77"/>
        <v>4000</v>
      </c>
      <c r="P432" s="60">
        <v>2</v>
      </c>
      <c r="Q432" s="61">
        <f t="shared" si="78"/>
        <v>2000</v>
      </c>
      <c r="R432" s="60">
        <v>0</v>
      </c>
      <c r="S432" s="61">
        <f t="shared" si="79"/>
        <v>0</v>
      </c>
      <c r="T432" s="60">
        <v>0</v>
      </c>
      <c r="U432" s="64">
        <f t="shared" si="80"/>
        <v>0</v>
      </c>
      <c r="V432" s="65">
        <v>0</v>
      </c>
      <c r="W432" s="66">
        <f t="shared" si="81"/>
        <v>6000</v>
      </c>
      <c r="X432" s="67">
        <f t="shared" si="82"/>
        <v>6</v>
      </c>
      <c r="Y432" s="57" t="str">
        <f t="shared" si="83"/>
        <v>STOCK</v>
      </c>
      <c r="Z432" s="68" t="s">
        <v>1538</v>
      </c>
    </row>
    <row r="433" spans="1:26" s="8" customFormat="1" ht="20.100000000000001" customHeight="1" x14ac:dyDescent="0.25">
      <c r="A433" s="59" t="s">
        <v>1018</v>
      </c>
      <c r="B433" s="84">
        <v>431</v>
      </c>
      <c r="C433" s="85" t="s">
        <v>749</v>
      </c>
      <c r="D433" s="60">
        <v>0</v>
      </c>
      <c r="E433" s="61">
        <f t="shared" si="72"/>
        <v>0</v>
      </c>
      <c r="F433" s="60">
        <v>0</v>
      </c>
      <c r="G433" s="61">
        <f t="shared" si="73"/>
        <v>0</v>
      </c>
      <c r="H433" s="60">
        <v>0</v>
      </c>
      <c r="I433" s="61">
        <f t="shared" si="74"/>
        <v>0</v>
      </c>
      <c r="J433" s="60">
        <v>0</v>
      </c>
      <c r="K433" s="61">
        <f t="shared" si="75"/>
        <v>0</v>
      </c>
      <c r="L433" s="62"/>
      <c r="M433" s="61">
        <f t="shared" si="76"/>
        <v>0</v>
      </c>
      <c r="N433" s="63">
        <v>5</v>
      </c>
      <c r="O433" s="61">
        <f t="shared" si="77"/>
        <v>2500</v>
      </c>
      <c r="P433" s="60">
        <v>0</v>
      </c>
      <c r="Q433" s="61">
        <f t="shared" si="78"/>
        <v>0</v>
      </c>
      <c r="R433" s="60">
        <v>0</v>
      </c>
      <c r="S433" s="61">
        <f t="shared" si="79"/>
        <v>0</v>
      </c>
      <c r="T433" s="60">
        <v>0</v>
      </c>
      <c r="U433" s="64">
        <f t="shared" si="80"/>
        <v>0</v>
      </c>
      <c r="V433" s="65">
        <v>0</v>
      </c>
      <c r="W433" s="66">
        <f t="shared" si="81"/>
        <v>2500</v>
      </c>
      <c r="X433" s="67">
        <f t="shared" si="82"/>
        <v>2.5</v>
      </c>
      <c r="Y433" s="57" t="str">
        <f t="shared" si="83"/>
        <v>STOCK</v>
      </c>
      <c r="Z433" s="68" t="s">
        <v>1538</v>
      </c>
    </row>
    <row r="434" spans="1:26" s="8" customFormat="1" ht="20.100000000000001" customHeight="1" x14ac:dyDescent="0.25">
      <c r="A434" s="59" t="s">
        <v>1019</v>
      </c>
      <c r="B434" s="84">
        <v>432</v>
      </c>
      <c r="C434" s="85" t="s">
        <v>750</v>
      </c>
      <c r="D434" s="60">
        <v>0</v>
      </c>
      <c r="E434" s="61">
        <f t="shared" si="72"/>
        <v>0</v>
      </c>
      <c r="F434" s="60">
        <v>0</v>
      </c>
      <c r="G434" s="61">
        <f t="shared" si="73"/>
        <v>0</v>
      </c>
      <c r="H434" s="60">
        <v>0</v>
      </c>
      <c r="I434" s="61">
        <f t="shared" si="74"/>
        <v>0</v>
      </c>
      <c r="J434" s="60">
        <v>0</v>
      </c>
      <c r="K434" s="61">
        <f t="shared" si="75"/>
        <v>0</v>
      </c>
      <c r="L434" s="62"/>
      <c r="M434" s="61">
        <f t="shared" si="76"/>
        <v>0</v>
      </c>
      <c r="N434" s="63">
        <v>0</v>
      </c>
      <c r="O434" s="61">
        <f t="shared" si="77"/>
        <v>0</v>
      </c>
      <c r="P434" s="60">
        <v>0</v>
      </c>
      <c r="Q434" s="61">
        <f t="shared" si="78"/>
        <v>0</v>
      </c>
      <c r="R434" s="60">
        <v>0</v>
      </c>
      <c r="S434" s="61">
        <f t="shared" si="79"/>
        <v>0</v>
      </c>
      <c r="T434" s="60">
        <v>0</v>
      </c>
      <c r="U434" s="64">
        <f t="shared" si="80"/>
        <v>0</v>
      </c>
      <c r="V434" s="65">
        <v>0</v>
      </c>
      <c r="W434" s="66">
        <f t="shared" si="81"/>
        <v>0</v>
      </c>
      <c r="X434" s="67">
        <f t="shared" si="82"/>
        <v>0</v>
      </c>
      <c r="Y434" s="57" t="str">
        <f t="shared" si="83"/>
        <v>NIL PLEASE PURCHASE</v>
      </c>
      <c r="Z434" s="68" t="s">
        <v>1539</v>
      </c>
    </row>
    <row r="435" spans="1:26" s="8" customFormat="1" ht="20.100000000000001" customHeight="1" x14ac:dyDescent="0.25">
      <c r="A435" s="59" t="s">
        <v>1020</v>
      </c>
      <c r="B435" s="84">
        <v>433</v>
      </c>
      <c r="C435" s="85" t="s">
        <v>751</v>
      </c>
      <c r="D435" s="60">
        <v>0</v>
      </c>
      <c r="E435" s="61">
        <f t="shared" si="72"/>
        <v>0</v>
      </c>
      <c r="F435" s="60">
        <v>0</v>
      </c>
      <c r="G435" s="61">
        <f t="shared" si="73"/>
        <v>0</v>
      </c>
      <c r="H435" s="60">
        <v>0</v>
      </c>
      <c r="I435" s="61">
        <f t="shared" si="74"/>
        <v>0</v>
      </c>
      <c r="J435" s="60">
        <v>0</v>
      </c>
      <c r="K435" s="61">
        <f t="shared" si="75"/>
        <v>0</v>
      </c>
      <c r="L435" s="62"/>
      <c r="M435" s="61">
        <f t="shared" si="76"/>
        <v>0</v>
      </c>
      <c r="N435" s="63">
        <v>0</v>
      </c>
      <c r="O435" s="61">
        <f t="shared" si="77"/>
        <v>0</v>
      </c>
      <c r="P435" s="60">
        <v>0</v>
      </c>
      <c r="Q435" s="61">
        <f t="shared" si="78"/>
        <v>0</v>
      </c>
      <c r="R435" s="60">
        <v>0</v>
      </c>
      <c r="S435" s="61">
        <f t="shared" si="79"/>
        <v>0</v>
      </c>
      <c r="T435" s="60">
        <v>0</v>
      </c>
      <c r="U435" s="64">
        <f t="shared" si="80"/>
        <v>0</v>
      </c>
      <c r="V435" s="65">
        <v>0</v>
      </c>
      <c r="W435" s="66">
        <f t="shared" si="81"/>
        <v>0</v>
      </c>
      <c r="X435" s="67">
        <f t="shared" si="82"/>
        <v>0</v>
      </c>
      <c r="Y435" s="57" t="str">
        <f t="shared" si="83"/>
        <v>NIL PLEASE PURCHASE</v>
      </c>
      <c r="Z435" s="68" t="s">
        <v>1539</v>
      </c>
    </row>
    <row r="436" spans="1:26" s="8" customFormat="1" ht="20.100000000000001" customHeight="1" x14ac:dyDescent="0.25">
      <c r="A436" s="59" t="s">
        <v>1021</v>
      </c>
      <c r="B436" s="84">
        <v>434</v>
      </c>
      <c r="C436" s="85" t="s">
        <v>752</v>
      </c>
      <c r="D436" s="60">
        <v>0</v>
      </c>
      <c r="E436" s="61">
        <f t="shared" si="72"/>
        <v>0</v>
      </c>
      <c r="F436" s="60">
        <v>0</v>
      </c>
      <c r="G436" s="61">
        <f t="shared" si="73"/>
        <v>0</v>
      </c>
      <c r="H436" s="60">
        <v>0</v>
      </c>
      <c r="I436" s="61">
        <f t="shared" si="74"/>
        <v>0</v>
      </c>
      <c r="J436" s="60">
        <v>0</v>
      </c>
      <c r="K436" s="61">
        <f t="shared" si="75"/>
        <v>0</v>
      </c>
      <c r="L436" s="62"/>
      <c r="M436" s="61">
        <f t="shared" si="76"/>
        <v>0</v>
      </c>
      <c r="N436" s="63">
        <v>0</v>
      </c>
      <c r="O436" s="61">
        <f t="shared" si="77"/>
        <v>0</v>
      </c>
      <c r="P436" s="60">
        <v>0</v>
      </c>
      <c r="Q436" s="61">
        <f t="shared" si="78"/>
        <v>0</v>
      </c>
      <c r="R436" s="60">
        <v>0</v>
      </c>
      <c r="S436" s="61">
        <f t="shared" si="79"/>
        <v>0</v>
      </c>
      <c r="T436" s="60">
        <v>0</v>
      </c>
      <c r="U436" s="64">
        <f t="shared" si="80"/>
        <v>0</v>
      </c>
      <c r="V436" s="65">
        <v>0</v>
      </c>
      <c r="W436" s="66">
        <f t="shared" si="81"/>
        <v>0</v>
      </c>
      <c r="X436" s="67">
        <f t="shared" si="82"/>
        <v>0</v>
      </c>
      <c r="Y436" s="57" t="str">
        <f t="shared" si="83"/>
        <v>NIL PLEASE PURCHASE</v>
      </c>
      <c r="Z436" s="68" t="s">
        <v>1539</v>
      </c>
    </row>
    <row r="437" spans="1:26" s="8" customFormat="1" ht="20.100000000000001" customHeight="1" x14ac:dyDescent="0.25">
      <c r="A437" s="59" t="s">
        <v>1022</v>
      </c>
      <c r="B437" s="84">
        <v>435</v>
      </c>
      <c r="C437" s="85" t="s">
        <v>753</v>
      </c>
      <c r="D437" s="60">
        <v>0</v>
      </c>
      <c r="E437" s="61">
        <f t="shared" si="72"/>
        <v>0</v>
      </c>
      <c r="F437" s="60">
        <v>0</v>
      </c>
      <c r="G437" s="61">
        <f t="shared" si="73"/>
        <v>0</v>
      </c>
      <c r="H437" s="60">
        <v>0</v>
      </c>
      <c r="I437" s="61">
        <f t="shared" si="74"/>
        <v>0</v>
      </c>
      <c r="J437" s="60">
        <v>0</v>
      </c>
      <c r="K437" s="61">
        <f t="shared" si="75"/>
        <v>0</v>
      </c>
      <c r="L437" s="62"/>
      <c r="M437" s="61">
        <f t="shared" si="76"/>
        <v>0</v>
      </c>
      <c r="N437" s="63">
        <v>6</v>
      </c>
      <c r="O437" s="61">
        <f t="shared" si="77"/>
        <v>3000</v>
      </c>
      <c r="P437" s="60">
        <v>0</v>
      </c>
      <c r="Q437" s="61">
        <f t="shared" si="78"/>
        <v>0</v>
      </c>
      <c r="R437" s="60">
        <v>0</v>
      </c>
      <c r="S437" s="61">
        <f t="shared" si="79"/>
        <v>0</v>
      </c>
      <c r="T437" s="60">
        <v>0</v>
      </c>
      <c r="U437" s="64">
        <f t="shared" si="80"/>
        <v>0</v>
      </c>
      <c r="V437" s="65">
        <v>0</v>
      </c>
      <c r="W437" s="66">
        <f t="shared" si="81"/>
        <v>3000</v>
      </c>
      <c r="X437" s="67">
        <f t="shared" si="82"/>
        <v>3</v>
      </c>
      <c r="Y437" s="57" t="str">
        <f t="shared" si="83"/>
        <v>STOCK</v>
      </c>
      <c r="Z437" s="68" t="s">
        <v>1538</v>
      </c>
    </row>
    <row r="438" spans="1:26" s="8" customFormat="1" ht="20.100000000000001" customHeight="1" x14ac:dyDescent="0.25">
      <c r="A438" s="59" t="s">
        <v>1023</v>
      </c>
      <c r="B438" s="84">
        <v>436</v>
      </c>
      <c r="C438" s="85" t="s">
        <v>754</v>
      </c>
      <c r="D438" s="60">
        <v>0</v>
      </c>
      <c r="E438" s="61">
        <f t="shared" si="72"/>
        <v>0</v>
      </c>
      <c r="F438" s="60">
        <v>0</v>
      </c>
      <c r="G438" s="61">
        <f t="shared" si="73"/>
        <v>0</v>
      </c>
      <c r="H438" s="60">
        <v>0</v>
      </c>
      <c r="I438" s="61">
        <f t="shared" si="74"/>
        <v>0</v>
      </c>
      <c r="J438" s="60">
        <v>0</v>
      </c>
      <c r="K438" s="61">
        <f t="shared" si="75"/>
        <v>0</v>
      </c>
      <c r="L438" s="62"/>
      <c r="M438" s="61">
        <f t="shared" si="76"/>
        <v>0</v>
      </c>
      <c r="N438" s="63">
        <v>0</v>
      </c>
      <c r="O438" s="61">
        <f t="shared" si="77"/>
        <v>0</v>
      </c>
      <c r="P438" s="60">
        <v>0</v>
      </c>
      <c r="Q438" s="61">
        <f t="shared" si="78"/>
        <v>0</v>
      </c>
      <c r="R438" s="60">
        <v>0</v>
      </c>
      <c r="S438" s="61">
        <f t="shared" si="79"/>
        <v>0</v>
      </c>
      <c r="T438" s="60">
        <v>0</v>
      </c>
      <c r="U438" s="64">
        <f t="shared" si="80"/>
        <v>0</v>
      </c>
      <c r="V438" s="65">
        <v>0</v>
      </c>
      <c r="W438" s="66">
        <f t="shared" si="81"/>
        <v>0</v>
      </c>
      <c r="X438" s="67">
        <f t="shared" si="82"/>
        <v>0</v>
      </c>
      <c r="Y438" s="57" t="str">
        <f t="shared" si="83"/>
        <v>NIL PLEASE PURCHASE</v>
      </c>
      <c r="Z438" s="68" t="s">
        <v>1539</v>
      </c>
    </row>
    <row r="439" spans="1:26" s="8" customFormat="1" ht="20.100000000000001" customHeight="1" x14ac:dyDescent="0.25">
      <c r="A439" s="59" t="s">
        <v>1024</v>
      </c>
      <c r="B439" s="84">
        <v>437</v>
      </c>
      <c r="C439" s="85" t="s">
        <v>755</v>
      </c>
      <c r="D439" s="60">
        <v>0</v>
      </c>
      <c r="E439" s="61">
        <f t="shared" si="72"/>
        <v>0</v>
      </c>
      <c r="F439" s="60">
        <v>0</v>
      </c>
      <c r="G439" s="61">
        <f t="shared" si="73"/>
        <v>0</v>
      </c>
      <c r="H439" s="60">
        <v>0</v>
      </c>
      <c r="I439" s="61">
        <f t="shared" si="74"/>
        <v>0</v>
      </c>
      <c r="J439" s="60">
        <v>0</v>
      </c>
      <c r="K439" s="61">
        <f t="shared" si="75"/>
        <v>0</v>
      </c>
      <c r="L439" s="62"/>
      <c r="M439" s="61">
        <f t="shared" si="76"/>
        <v>0</v>
      </c>
      <c r="N439" s="63">
        <v>1</v>
      </c>
      <c r="O439" s="61">
        <f t="shared" si="77"/>
        <v>500</v>
      </c>
      <c r="P439" s="60">
        <v>0</v>
      </c>
      <c r="Q439" s="61">
        <f t="shared" si="78"/>
        <v>0</v>
      </c>
      <c r="R439" s="60">
        <v>0</v>
      </c>
      <c r="S439" s="61">
        <f t="shared" si="79"/>
        <v>0</v>
      </c>
      <c r="T439" s="60">
        <v>0</v>
      </c>
      <c r="U439" s="64">
        <f t="shared" si="80"/>
        <v>0</v>
      </c>
      <c r="V439" s="65">
        <v>0</v>
      </c>
      <c r="W439" s="66">
        <f t="shared" si="81"/>
        <v>500</v>
      </c>
      <c r="X439" s="67">
        <f t="shared" si="82"/>
        <v>0.5</v>
      </c>
      <c r="Y439" s="57" t="str">
        <f t="shared" si="83"/>
        <v>STOCK</v>
      </c>
      <c r="Z439" s="68" t="s">
        <v>1538</v>
      </c>
    </row>
    <row r="440" spans="1:26" s="8" customFormat="1" ht="20.100000000000001" customHeight="1" x14ac:dyDescent="0.25">
      <c r="A440" s="59" t="s">
        <v>1025</v>
      </c>
      <c r="B440" s="84">
        <v>438</v>
      </c>
      <c r="C440" s="85" t="s">
        <v>756</v>
      </c>
      <c r="D440" s="60">
        <v>0</v>
      </c>
      <c r="E440" s="61">
        <f t="shared" si="72"/>
        <v>0</v>
      </c>
      <c r="F440" s="60">
        <v>0</v>
      </c>
      <c r="G440" s="61">
        <f t="shared" si="73"/>
        <v>0</v>
      </c>
      <c r="H440" s="60">
        <v>0</v>
      </c>
      <c r="I440" s="61">
        <f t="shared" si="74"/>
        <v>0</v>
      </c>
      <c r="J440" s="60">
        <v>0</v>
      </c>
      <c r="K440" s="61">
        <f t="shared" si="75"/>
        <v>0</v>
      </c>
      <c r="L440" s="62"/>
      <c r="M440" s="61">
        <f t="shared" si="76"/>
        <v>0</v>
      </c>
      <c r="N440" s="63">
        <v>0</v>
      </c>
      <c r="O440" s="61">
        <f t="shared" si="77"/>
        <v>0</v>
      </c>
      <c r="P440" s="60">
        <v>0</v>
      </c>
      <c r="Q440" s="61">
        <f t="shared" si="78"/>
        <v>0</v>
      </c>
      <c r="R440" s="60">
        <v>0</v>
      </c>
      <c r="S440" s="61">
        <f t="shared" si="79"/>
        <v>0</v>
      </c>
      <c r="T440" s="60">
        <v>0</v>
      </c>
      <c r="U440" s="64">
        <f t="shared" si="80"/>
        <v>0</v>
      </c>
      <c r="V440" s="65">
        <v>0</v>
      </c>
      <c r="W440" s="66">
        <f t="shared" si="81"/>
        <v>0</v>
      </c>
      <c r="X440" s="67">
        <f t="shared" si="82"/>
        <v>0</v>
      </c>
      <c r="Y440" s="57" t="str">
        <f t="shared" si="83"/>
        <v>NIL PLEASE PURCHASE</v>
      </c>
      <c r="Z440" s="68" t="s">
        <v>1539</v>
      </c>
    </row>
    <row r="441" spans="1:26" s="8" customFormat="1" ht="20.100000000000001" customHeight="1" x14ac:dyDescent="0.25">
      <c r="A441" s="59" t="s">
        <v>1026</v>
      </c>
      <c r="B441" s="84">
        <v>439</v>
      </c>
      <c r="C441" s="85" t="s">
        <v>757</v>
      </c>
      <c r="D441" s="60">
        <v>0</v>
      </c>
      <c r="E441" s="61">
        <f t="shared" si="72"/>
        <v>0</v>
      </c>
      <c r="F441" s="60">
        <v>0</v>
      </c>
      <c r="G441" s="61">
        <f t="shared" si="73"/>
        <v>0</v>
      </c>
      <c r="H441" s="60">
        <v>0</v>
      </c>
      <c r="I441" s="61">
        <f t="shared" si="74"/>
        <v>0</v>
      </c>
      <c r="J441" s="60">
        <v>8</v>
      </c>
      <c r="K441" s="61">
        <f t="shared" si="75"/>
        <v>800</v>
      </c>
      <c r="L441" s="62"/>
      <c r="M441" s="61">
        <f t="shared" si="76"/>
        <v>0</v>
      </c>
      <c r="N441" s="63">
        <v>0</v>
      </c>
      <c r="O441" s="61">
        <f t="shared" si="77"/>
        <v>0</v>
      </c>
      <c r="P441" s="60">
        <v>0</v>
      </c>
      <c r="Q441" s="61">
        <f t="shared" si="78"/>
        <v>0</v>
      </c>
      <c r="R441" s="60">
        <v>0</v>
      </c>
      <c r="S441" s="61">
        <f t="shared" si="79"/>
        <v>0</v>
      </c>
      <c r="T441" s="60">
        <v>0</v>
      </c>
      <c r="U441" s="64">
        <f t="shared" si="80"/>
        <v>0</v>
      </c>
      <c r="V441" s="65">
        <v>0</v>
      </c>
      <c r="W441" s="66">
        <f t="shared" si="81"/>
        <v>800</v>
      </c>
      <c r="X441" s="67">
        <f t="shared" si="82"/>
        <v>0.8</v>
      </c>
      <c r="Y441" s="57" t="str">
        <f t="shared" si="83"/>
        <v>STOCK</v>
      </c>
      <c r="Z441" s="68" t="s">
        <v>1538</v>
      </c>
    </row>
    <row r="442" spans="1:26" s="8" customFormat="1" ht="20.100000000000001" customHeight="1" x14ac:dyDescent="0.25">
      <c r="A442" s="59" t="s">
        <v>1027</v>
      </c>
      <c r="B442" s="84">
        <v>440</v>
      </c>
      <c r="C442" s="85" t="s">
        <v>758</v>
      </c>
      <c r="D442" s="60">
        <v>0</v>
      </c>
      <c r="E442" s="61">
        <f t="shared" si="72"/>
        <v>0</v>
      </c>
      <c r="F442" s="60">
        <v>0</v>
      </c>
      <c r="G442" s="61">
        <f t="shared" si="73"/>
        <v>0</v>
      </c>
      <c r="H442" s="60">
        <v>0</v>
      </c>
      <c r="I442" s="61">
        <f t="shared" si="74"/>
        <v>0</v>
      </c>
      <c r="J442" s="60">
        <v>1</v>
      </c>
      <c r="K442" s="61">
        <f t="shared" si="75"/>
        <v>100</v>
      </c>
      <c r="L442" s="62"/>
      <c r="M442" s="61">
        <f t="shared" si="76"/>
        <v>0</v>
      </c>
      <c r="N442" s="63">
        <v>0</v>
      </c>
      <c r="O442" s="61">
        <f t="shared" si="77"/>
        <v>0</v>
      </c>
      <c r="P442" s="60">
        <v>0</v>
      </c>
      <c r="Q442" s="61">
        <f t="shared" si="78"/>
        <v>0</v>
      </c>
      <c r="R442" s="60">
        <v>0</v>
      </c>
      <c r="S442" s="61">
        <f t="shared" si="79"/>
        <v>0</v>
      </c>
      <c r="T442" s="60">
        <v>0</v>
      </c>
      <c r="U442" s="64">
        <f t="shared" si="80"/>
        <v>0</v>
      </c>
      <c r="V442" s="65">
        <v>0</v>
      </c>
      <c r="W442" s="66">
        <f t="shared" si="81"/>
        <v>100</v>
      </c>
      <c r="X442" s="67">
        <f t="shared" si="82"/>
        <v>0.1</v>
      </c>
      <c r="Y442" s="57" t="str">
        <f t="shared" si="83"/>
        <v>STOCK</v>
      </c>
      <c r="Z442" s="68" t="s">
        <v>1538</v>
      </c>
    </row>
    <row r="443" spans="1:26" s="8" customFormat="1" ht="20.100000000000001" customHeight="1" x14ac:dyDescent="0.25">
      <c r="A443" s="59" t="s">
        <v>1028</v>
      </c>
      <c r="B443" s="84">
        <v>441</v>
      </c>
      <c r="C443" s="85" t="s">
        <v>759</v>
      </c>
      <c r="D443" s="60">
        <v>0</v>
      </c>
      <c r="E443" s="61">
        <f t="shared" si="72"/>
        <v>0</v>
      </c>
      <c r="F443" s="60">
        <v>0</v>
      </c>
      <c r="G443" s="61">
        <f t="shared" si="73"/>
        <v>0</v>
      </c>
      <c r="H443" s="60">
        <v>0</v>
      </c>
      <c r="I443" s="61">
        <f t="shared" si="74"/>
        <v>0</v>
      </c>
      <c r="J443" s="60">
        <v>0</v>
      </c>
      <c r="K443" s="61">
        <f t="shared" si="75"/>
        <v>0</v>
      </c>
      <c r="L443" s="62"/>
      <c r="M443" s="61">
        <f t="shared" si="76"/>
        <v>0</v>
      </c>
      <c r="N443" s="63">
        <v>0</v>
      </c>
      <c r="O443" s="61">
        <f t="shared" si="77"/>
        <v>0</v>
      </c>
      <c r="P443" s="60">
        <v>0</v>
      </c>
      <c r="Q443" s="61">
        <f t="shared" si="78"/>
        <v>0</v>
      </c>
      <c r="R443" s="60">
        <v>0</v>
      </c>
      <c r="S443" s="61">
        <f t="shared" si="79"/>
        <v>0</v>
      </c>
      <c r="T443" s="60">
        <v>0</v>
      </c>
      <c r="U443" s="64">
        <f t="shared" si="80"/>
        <v>0</v>
      </c>
      <c r="V443" s="65">
        <v>0</v>
      </c>
      <c r="W443" s="66">
        <f t="shared" si="81"/>
        <v>0</v>
      </c>
      <c r="X443" s="67">
        <f t="shared" si="82"/>
        <v>0</v>
      </c>
      <c r="Y443" s="57" t="str">
        <f t="shared" si="83"/>
        <v>NIL PLEASE PURCHASE</v>
      </c>
      <c r="Z443" s="68" t="s">
        <v>1539</v>
      </c>
    </row>
    <row r="444" spans="1:26" s="8" customFormat="1" ht="20.100000000000001" customHeight="1" x14ac:dyDescent="0.25">
      <c r="A444" s="59" t="s">
        <v>1029</v>
      </c>
      <c r="B444" s="84">
        <v>442</v>
      </c>
      <c r="C444" s="85" t="s">
        <v>1541</v>
      </c>
      <c r="D444" s="60">
        <v>0</v>
      </c>
      <c r="E444" s="61">
        <f t="shared" si="72"/>
        <v>0</v>
      </c>
      <c r="F444" s="60">
        <v>0</v>
      </c>
      <c r="G444" s="61">
        <f t="shared" si="73"/>
        <v>0</v>
      </c>
      <c r="H444" s="60">
        <v>0</v>
      </c>
      <c r="I444" s="61">
        <f t="shared" si="74"/>
        <v>0</v>
      </c>
      <c r="J444" s="60">
        <v>0</v>
      </c>
      <c r="K444" s="61">
        <f t="shared" si="75"/>
        <v>0</v>
      </c>
      <c r="L444" s="62"/>
      <c r="M444" s="61">
        <f t="shared" si="76"/>
        <v>0</v>
      </c>
      <c r="N444" s="63">
        <v>4</v>
      </c>
      <c r="O444" s="61">
        <f t="shared" si="77"/>
        <v>2000</v>
      </c>
      <c r="P444" s="60">
        <v>0</v>
      </c>
      <c r="Q444" s="61">
        <f t="shared" si="78"/>
        <v>0</v>
      </c>
      <c r="R444" s="60">
        <v>0</v>
      </c>
      <c r="S444" s="61">
        <f t="shared" si="79"/>
        <v>0</v>
      </c>
      <c r="T444" s="60">
        <v>0</v>
      </c>
      <c r="U444" s="64">
        <f t="shared" si="80"/>
        <v>0</v>
      </c>
      <c r="V444" s="65">
        <v>0</v>
      </c>
      <c r="W444" s="66">
        <f t="shared" si="81"/>
        <v>2000</v>
      </c>
      <c r="X444" s="67">
        <f t="shared" si="82"/>
        <v>2</v>
      </c>
      <c r="Y444" s="57" t="str">
        <f t="shared" si="83"/>
        <v>STOCK</v>
      </c>
      <c r="Z444" s="68" t="s">
        <v>1538</v>
      </c>
    </row>
    <row r="445" spans="1:26" s="8" customFormat="1" ht="20.100000000000001" customHeight="1" x14ac:dyDescent="0.25">
      <c r="A445" s="59" t="s">
        <v>1030</v>
      </c>
      <c r="B445" s="84">
        <v>443</v>
      </c>
      <c r="C445" s="85" t="s">
        <v>760</v>
      </c>
      <c r="D445" s="60">
        <v>0</v>
      </c>
      <c r="E445" s="61">
        <f t="shared" si="72"/>
        <v>0</v>
      </c>
      <c r="F445" s="60">
        <v>0</v>
      </c>
      <c r="G445" s="61">
        <f t="shared" si="73"/>
        <v>0</v>
      </c>
      <c r="H445" s="60">
        <v>0</v>
      </c>
      <c r="I445" s="61">
        <f t="shared" si="74"/>
        <v>0</v>
      </c>
      <c r="J445" s="60">
        <v>1</v>
      </c>
      <c r="K445" s="61">
        <f t="shared" si="75"/>
        <v>100</v>
      </c>
      <c r="L445" s="62"/>
      <c r="M445" s="61">
        <f t="shared" si="76"/>
        <v>0</v>
      </c>
      <c r="N445" s="63">
        <v>0</v>
      </c>
      <c r="O445" s="61">
        <f t="shared" si="77"/>
        <v>0</v>
      </c>
      <c r="P445" s="60">
        <v>0</v>
      </c>
      <c r="Q445" s="61">
        <f t="shared" si="78"/>
        <v>0</v>
      </c>
      <c r="R445" s="60">
        <v>0</v>
      </c>
      <c r="S445" s="61">
        <f t="shared" si="79"/>
        <v>0</v>
      </c>
      <c r="T445" s="60">
        <v>0</v>
      </c>
      <c r="U445" s="64">
        <f t="shared" si="80"/>
        <v>0</v>
      </c>
      <c r="V445" s="65">
        <v>0</v>
      </c>
      <c r="W445" s="66">
        <f t="shared" si="81"/>
        <v>100</v>
      </c>
      <c r="X445" s="67">
        <f t="shared" si="82"/>
        <v>0.1</v>
      </c>
      <c r="Y445" s="57" t="str">
        <f t="shared" si="83"/>
        <v>STOCK</v>
      </c>
      <c r="Z445" s="68" t="s">
        <v>1538</v>
      </c>
    </row>
    <row r="446" spans="1:26" s="8" customFormat="1" ht="20.100000000000001" customHeight="1" x14ac:dyDescent="0.25">
      <c r="A446" s="59" t="s">
        <v>1031</v>
      </c>
      <c r="B446" s="84">
        <v>444</v>
      </c>
      <c r="C446" s="85" t="s">
        <v>761</v>
      </c>
      <c r="D446" s="60">
        <v>0</v>
      </c>
      <c r="E446" s="61">
        <f t="shared" si="72"/>
        <v>0</v>
      </c>
      <c r="F446" s="60">
        <v>0</v>
      </c>
      <c r="G446" s="61">
        <f t="shared" si="73"/>
        <v>0</v>
      </c>
      <c r="H446" s="60">
        <v>0</v>
      </c>
      <c r="I446" s="61">
        <f t="shared" si="74"/>
        <v>0</v>
      </c>
      <c r="J446" s="60">
        <v>0</v>
      </c>
      <c r="K446" s="61">
        <f t="shared" si="75"/>
        <v>0</v>
      </c>
      <c r="L446" s="62"/>
      <c r="M446" s="61">
        <f t="shared" si="76"/>
        <v>0</v>
      </c>
      <c r="N446" s="63">
        <v>0</v>
      </c>
      <c r="O446" s="61">
        <f t="shared" si="77"/>
        <v>0</v>
      </c>
      <c r="P446" s="60">
        <v>0</v>
      </c>
      <c r="Q446" s="61">
        <f t="shared" si="78"/>
        <v>0</v>
      </c>
      <c r="R446" s="60">
        <v>0</v>
      </c>
      <c r="S446" s="61">
        <f t="shared" si="79"/>
        <v>0</v>
      </c>
      <c r="T446" s="60">
        <v>0</v>
      </c>
      <c r="U446" s="64">
        <f t="shared" si="80"/>
        <v>0</v>
      </c>
      <c r="V446" s="65">
        <v>0</v>
      </c>
      <c r="W446" s="66">
        <f t="shared" si="81"/>
        <v>0</v>
      </c>
      <c r="X446" s="67">
        <f t="shared" si="82"/>
        <v>0</v>
      </c>
      <c r="Y446" s="57" t="str">
        <f t="shared" si="83"/>
        <v>NIL PLEASE PURCHASE</v>
      </c>
      <c r="Z446" s="68" t="s">
        <v>1539</v>
      </c>
    </row>
    <row r="447" spans="1:26" s="8" customFormat="1" ht="20.100000000000001" customHeight="1" x14ac:dyDescent="0.25">
      <c r="A447" s="59" t="s">
        <v>1032</v>
      </c>
      <c r="B447" s="84">
        <v>445</v>
      </c>
      <c r="C447" s="85" t="s">
        <v>762</v>
      </c>
      <c r="D447" s="60">
        <v>0</v>
      </c>
      <c r="E447" s="61">
        <f t="shared" si="72"/>
        <v>0</v>
      </c>
      <c r="F447" s="60">
        <v>0</v>
      </c>
      <c r="G447" s="61">
        <f t="shared" si="73"/>
        <v>0</v>
      </c>
      <c r="H447" s="60">
        <v>0</v>
      </c>
      <c r="I447" s="61">
        <f t="shared" si="74"/>
        <v>0</v>
      </c>
      <c r="J447" s="60">
        <v>0</v>
      </c>
      <c r="K447" s="61">
        <f t="shared" si="75"/>
        <v>0</v>
      </c>
      <c r="L447" s="62"/>
      <c r="M447" s="61">
        <f t="shared" si="76"/>
        <v>0</v>
      </c>
      <c r="N447" s="63">
        <v>1</v>
      </c>
      <c r="O447" s="61">
        <f t="shared" si="77"/>
        <v>500</v>
      </c>
      <c r="P447" s="60">
        <v>0</v>
      </c>
      <c r="Q447" s="61">
        <f t="shared" si="78"/>
        <v>0</v>
      </c>
      <c r="R447" s="60">
        <v>0</v>
      </c>
      <c r="S447" s="61">
        <f t="shared" si="79"/>
        <v>0</v>
      </c>
      <c r="T447" s="60">
        <v>0</v>
      </c>
      <c r="U447" s="64">
        <f t="shared" si="80"/>
        <v>0</v>
      </c>
      <c r="V447" s="65">
        <v>0</v>
      </c>
      <c r="W447" s="66">
        <f t="shared" si="81"/>
        <v>500</v>
      </c>
      <c r="X447" s="67">
        <f t="shared" si="82"/>
        <v>0.5</v>
      </c>
      <c r="Y447" s="57" t="str">
        <f t="shared" si="83"/>
        <v>STOCK</v>
      </c>
      <c r="Z447" s="68" t="s">
        <v>1538</v>
      </c>
    </row>
    <row r="448" spans="1:26" s="8" customFormat="1" ht="20.100000000000001" customHeight="1" x14ac:dyDescent="0.25">
      <c r="A448" s="59" t="s">
        <v>1033</v>
      </c>
      <c r="B448" s="84">
        <v>446</v>
      </c>
      <c r="C448" s="85" t="s">
        <v>763</v>
      </c>
      <c r="D448" s="60">
        <v>0</v>
      </c>
      <c r="E448" s="61">
        <f t="shared" si="72"/>
        <v>0</v>
      </c>
      <c r="F448" s="60">
        <v>0</v>
      </c>
      <c r="G448" s="61">
        <f t="shared" si="73"/>
        <v>0</v>
      </c>
      <c r="H448" s="60">
        <v>0</v>
      </c>
      <c r="I448" s="61">
        <f t="shared" si="74"/>
        <v>0</v>
      </c>
      <c r="J448" s="60">
        <v>0</v>
      </c>
      <c r="K448" s="61">
        <f t="shared" si="75"/>
        <v>0</v>
      </c>
      <c r="L448" s="62">
        <v>9</v>
      </c>
      <c r="M448" s="61">
        <f t="shared" si="76"/>
        <v>2250</v>
      </c>
      <c r="N448" s="63">
        <v>0</v>
      </c>
      <c r="O448" s="61">
        <f t="shared" si="77"/>
        <v>0</v>
      </c>
      <c r="P448" s="60">
        <v>0</v>
      </c>
      <c r="Q448" s="61">
        <f t="shared" si="78"/>
        <v>0</v>
      </c>
      <c r="R448" s="60">
        <v>0</v>
      </c>
      <c r="S448" s="61">
        <f t="shared" si="79"/>
        <v>0</v>
      </c>
      <c r="T448" s="60">
        <v>0</v>
      </c>
      <c r="U448" s="64">
        <f t="shared" si="80"/>
        <v>0</v>
      </c>
      <c r="V448" s="65">
        <v>0</v>
      </c>
      <c r="W448" s="66">
        <f t="shared" si="81"/>
        <v>2250</v>
      </c>
      <c r="X448" s="67">
        <f t="shared" si="82"/>
        <v>2.25</v>
      </c>
      <c r="Y448" s="57" t="str">
        <f t="shared" si="83"/>
        <v>STOCK</v>
      </c>
      <c r="Z448" s="68" t="s">
        <v>1538</v>
      </c>
    </row>
    <row r="449" spans="1:26" s="8" customFormat="1" ht="20.100000000000001" customHeight="1" x14ac:dyDescent="0.25">
      <c r="A449" s="59" t="s">
        <v>1034</v>
      </c>
      <c r="B449" s="84">
        <v>447</v>
      </c>
      <c r="C449" s="85" t="s">
        <v>764</v>
      </c>
      <c r="D449" s="60">
        <v>0</v>
      </c>
      <c r="E449" s="61">
        <f t="shared" si="72"/>
        <v>0</v>
      </c>
      <c r="F449" s="60">
        <v>0</v>
      </c>
      <c r="G449" s="61">
        <f t="shared" si="73"/>
        <v>0</v>
      </c>
      <c r="H449" s="60">
        <v>0</v>
      </c>
      <c r="I449" s="61">
        <f t="shared" si="74"/>
        <v>0</v>
      </c>
      <c r="J449" s="60">
        <v>0</v>
      </c>
      <c r="K449" s="61">
        <f t="shared" si="75"/>
        <v>0</v>
      </c>
      <c r="L449" s="62"/>
      <c r="M449" s="61">
        <f t="shared" si="76"/>
        <v>0</v>
      </c>
      <c r="N449" s="63">
        <v>4</v>
      </c>
      <c r="O449" s="61">
        <f t="shared" si="77"/>
        <v>2000</v>
      </c>
      <c r="P449" s="60">
        <v>0</v>
      </c>
      <c r="Q449" s="61">
        <f t="shared" si="78"/>
        <v>0</v>
      </c>
      <c r="R449" s="60">
        <v>0</v>
      </c>
      <c r="S449" s="61">
        <f t="shared" si="79"/>
        <v>0</v>
      </c>
      <c r="T449" s="60">
        <v>0</v>
      </c>
      <c r="U449" s="64">
        <f t="shared" si="80"/>
        <v>0</v>
      </c>
      <c r="V449" s="65">
        <v>0</v>
      </c>
      <c r="W449" s="66">
        <f t="shared" si="81"/>
        <v>2000</v>
      </c>
      <c r="X449" s="67">
        <f t="shared" si="82"/>
        <v>2</v>
      </c>
      <c r="Y449" s="57" t="str">
        <f t="shared" si="83"/>
        <v>STOCK</v>
      </c>
      <c r="Z449" s="68" t="s">
        <v>1538</v>
      </c>
    </row>
    <row r="450" spans="1:26" s="8" customFormat="1" ht="20.100000000000001" customHeight="1" x14ac:dyDescent="0.25">
      <c r="A450" s="59" t="s">
        <v>1035</v>
      </c>
      <c r="B450" s="84">
        <v>448</v>
      </c>
      <c r="C450" s="85" t="s">
        <v>765</v>
      </c>
      <c r="D450" s="60">
        <v>0</v>
      </c>
      <c r="E450" s="61">
        <f t="shared" si="72"/>
        <v>0</v>
      </c>
      <c r="F450" s="60">
        <v>0</v>
      </c>
      <c r="G450" s="61">
        <f t="shared" si="73"/>
        <v>0</v>
      </c>
      <c r="H450" s="60">
        <v>0</v>
      </c>
      <c r="I450" s="61">
        <f t="shared" si="74"/>
        <v>0</v>
      </c>
      <c r="J450" s="60">
        <v>0</v>
      </c>
      <c r="K450" s="61">
        <f t="shared" si="75"/>
        <v>0</v>
      </c>
      <c r="L450" s="62"/>
      <c r="M450" s="61">
        <f t="shared" si="76"/>
        <v>0</v>
      </c>
      <c r="N450" s="63">
        <v>0</v>
      </c>
      <c r="O450" s="61">
        <f t="shared" si="77"/>
        <v>0</v>
      </c>
      <c r="P450" s="60">
        <v>0</v>
      </c>
      <c r="Q450" s="61">
        <f t="shared" si="78"/>
        <v>0</v>
      </c>
      <c r="R450" s="60">
        <v>0</v>
      </c>
      <c r="S450" s="61">
        <f t="shared" si="79"/>
        <v>0</v>
      </c>
      <c r="T450" s="60">
        <v>0</v>
      </c>
      <c r="U450" s="64">
        <f t="shared" si="80"/>
        <v>0</v>
      </c>
      <c r="V450" s="65">
        <v>0</v>
      </c>
      <c r="W450" s="66">
        <f t="shared" si="81"/>
        <v>0</v>
      </c>
      <c r="X450" s="67">
        <f t="shared" si="82"/>
        <v>0</v>
      </c>
      <c r="Y450" s="57" t="str">
        <f t="shared" si="83"/>
        <v>NIL PLEASE PURCHASE</v>
      </c>
      <c r="Z450" s="68" t="s">
        <v>1539</v>
      </c>
    </row>
    <row r="451" spans="1:26" s="8" customFormat="1" ht="20.100000000000001" customHeight="1" x14ac:dyDescent="0.25">
      <c r="A451" s="59" t="s">
        <v>1036</v>
      </c>
      <c r="B451" s="84">
        <v>449</v>
      </c>
      <c r="C451" s="85" t="s">
        <v>766</v>
      </c>
      <c r="D451" s="60">
        <v>0</v>
      </c>
      <c r="E451" s="61">
        <f t="shared" si="72"/>
        <v>0</v>
      </c>
      <c r="F451" s="60">
        <v>0</v>
      </c>
      <c r="G451" s="61">
        <f t="shared" si="73"/>
        <v>0</v>
      </c>
      <c r="H451" s="60">
        <v>0</v>
      </c>
      <c r="I451" s="61">
        <f t="shared" si="74"/>
        <v>0</v>
      </c>
      <c r="J451" s="60">
        <v>0</v>
      </c>
      <c r="K451" s="61">
        <f t="shared" si="75"/>
        <v>0</v>
      </c>
      <c r="L451" s="62"/>
      <c r="M451" s="61">
        <f t="shared" si="76"/>
        <v>0</v>
      </c>
      <c r="N451" s="63">
        <v>0</v>
      </c>
      <c r="O451" s="61">
        <f t="shared" si="77"/>
        <v>0</v>
      </c>
      <c r="P451" s="60">
        <v>0</v>
      </c>
      <c r="Q451" s="61">
        <f t="shared" si="78"/>
        <v>0</v>
      </c>
      <c r="R451" s="60">
        <v>0</v>
      </c>
      <c r="S451" s="61">
        <f t="shared" si="79"/>
        <v>0</v>
      </c>
      <c r="T451" s="60">
        <v>0</v>
      </c>
      <c r="U451" s="64">
        <f t="shared" si="80"/>
        <v>0</v>
      </c>
      <c r="V451" s="65">
        <v>0</v>
      </c>
      <c r="W451" s="66">
        <f t="shared" si="81"/>
        <v>0</v>
      </c>
      <c r="X451" s="67">
        <f t="shared" si="82"/>
        <v>0</v>
      </c>
      <c r="Y451" s="57" t="str">
        <f t="shared" si="83"/>
        <v>NIL PLEASE PURCHASE</v>
      </c>
      <c r="Z451" s="68" t="s">
        <v>1539</v>
      </c>
    </row>
    <row r="452" spans="1:26" s="8" customFormat="1" ht="20.100000000000001" customHeight="1" x14ac:dyDescent="0.25">
      <c r="A452" s="59" t="s">
        <v>1037</v>
      </c>
      <c r="B452" s="84">
        <v>450</v>
      </c>
      <c r="C452" s="85" t="s">
        <v>767</v>
      </c>
      <c r="D452" s="60">
        <v>0</v>
      </c>
      <c r="E452" s="61">
        <f t="shared" ref="E452:E515" si="84">D452*10</f>
        <v>0</v>
      </c>
      <c r="F452" s="60">
        <v>0</v>
      </c>
      <c r="G452" s="61">
        <f t="shared" ref="G452:G515" si="85">F452*25</f>
        <v>0</v>
      </c>
      <c r="H452" s="60">
        <v>0</v>
      </c>
      <c r="I452" s="61">
        <f t="shared" ref="I452:I515" si="86">H452*50</f>
        <v>0</v>
      </c>
      <c r="J452" s="60">
        <v>0</v>
      </c>
      <c r="K452" s="61">
        <f t="shared" ref="K452:K515" si="87">J452*100</f>
        <v>0</v>
      </c>
      <c r="L452" s="62"/>
      <c r="M452" s="61">
        <f t="shared" ref="M452:M515" si="88">L452*250</f>
        <v>0</v>
      </c>
      <c r="N452" s="63">
        <v>1</v>
      </c>
      <c r="O452" s="61">
        <f t="shared" ref="O452:O515" si="89">N452*500</f>
        <v>500</v>
      </c>
      <c r="P452" s="60">
        <v>0</v>
      </c>
      <c r="Q452" s="61">
        <f t="shared" ref="Q452:Q515" si="90">P452*1000</f>
        <v>0</v>
      </c>
      <c r="R452" s="60">
        <v>0</v>
      </c>
      <c r="S452" s="61">
        <f t="shared" ref="S452:S515" si="91">R452*2500</f>
        <v>0</v>
      </c>
      <c r="T452" s="60">
        <v>0</v>
      </c>
      <c r="U452" s="64">
        <f t="shared" ref="U452:U515" si="92">T452*5000</f>
        <v>0</v>
      </c>
      <c r="V452" s="65">
        <v>0</v>
      </c>
      <c r="W452" s="66">
        <f t="shared" ref="W452:W515" si="93">E452+G452+I452+K452+M452+O452+Q452+S452+U452</f>
        <v>500</v>
      </c>
      <c r="X452" s="67">
        <f t="shared" ref="X452:X515" si="94">SUM(W452:W452)/1000</f>
        <v>0.5</v>
      </c>
      <c r="Y452" s="57" t="str">
        <f t="shared" ref="Y452:Y515" si="95">IF(W452=0,("NIL PLEASE PURCHASE"),("STOCK"))</f>
        <v>STOCK</v>
      </c>
      <c r="Z452" s="68" t="s">
        <v>1538</v>
      </c>
    </row>
    <row r="453" spans="1:26" s="8" customFormat="1" ht="20.100000000000001" customHeight="1" x14ac:dyDescent="0.25">
      <c r="A453" s="59" t="s">
        <v>1038</v>
      </c>
      <c r="B453" s="84">
        <v>451</v>
      </c>
      <c r="C453" s="85" t="s">
        <v>768</v>
      </c>
      <c r="D453" s="60">
        <v>0</v>
      </c>
      <c r="E453" s="61">
        <f t="shared" si="84"/>
        <v>0</v>
      </c>
      <c r="F453" s="60">
        <v>0</v>
      </c>
      <c r="G453" s="61">
        <f t="shared" si="85"/>
        <v>0</v>
      </c>
      <c r="H453" s="60">
        <v>0</v>
      </c>
      <c r="I453" s="61">
        <f t="shared" si="86"/>
        <v>0</v>
      </c>
      <c r="J453" s="60">
        <v>0</v>
      </c>
      <c r="K453" s="61">
        <f t="shared" si="87"/>
        <v>0</v>
      </c>
      <c r="L453" s="62"/>
      <c r="M453" s="61">
        <f t="shared" si="88"/>
        <v>0</v>
      </c>
      <c r="N453" s="63">
        <v>5</v>
      </c>
      <c r="O453" s="61">
        <f t="shared" si="89"/>
        <v>2500</v>
      </c>
      <c r="P453" s="60">
        <v>0</v>
      </c>
      <c r="Q453" s="61">
        <f t="shared" si="90"/>
        <v>0</v>
      </c>
      <c r="R453" s="60">
        <v>0</v>
      </c>
      <c r="S453" s="61">
        <f t="shared" si="91"/>
        <v>0</v>
      </c>
      <c r="T453" s="60">
        <v>0</v>
      </c>
      <c r="U453" s="64">
        <f t="shared" si="92"/>
        <v>0</v>
      </c>
      <c r="V453" s="65">
        <v>0</v>
      </c>
      <c r="W453" s="66">
        <f t="shared" si="93"/>
        <v>2500</v>
      </c>
      <c r="X453" s="67">
        <f t="shared" si="94"/>
        <v>2.5</v>
      </c>
      <c r="Y453" s="57" t="str">
        <f t="shared" si="95"/>
        <v>STOCK</v>
      </c>
      <c r="Z453" s="68" t="s">
        <v>1538</v>
      </c>
    </row>
    <row r="454" spans="1:26" s="8" customFormat="1" ht="20.100000000000001" customHeight="1" x14ac:dyDescent="0.25">
      <c r="A454" s="59" t="s">
        <v>1039</v>
      </c>
      <c r="B454" s="84">
        <v>452</v>
      </c>
      <c r="C454" s="85" t="s">
        <v>769</v>
      </c>
      <c r="D454" s="60">
        <v>0</v>
      </c>
      <c r="E454" s="61">
        <f t="shared" si="84"/>
        <v>0</v>
      </c>
      <c r="F454" s="60">
        <v>0</v>
      </c>
      <c r="G454" s="61">
        <f t="shared" si="85"/>
        <v>0</v>
      </c>
      <c r="H454" s="60">
        <v>0</v>
      </c>
      <c r="I454" s="61">
        <f t="shared" si="86"/>
        <v>0</v>
      </c>
      <c r="J454" s="60">
        <v>0</v>
      </c>
      <c r="K454" s="61">
        <f t="shared" si="87"/>
        <v>0</v>
      </c>
      <c r="L454" s="62"/>
      <c r="M454" s="61">
        <f t="shared" si="88"/>
        <v>0</v>
      </c>
      <c r="N454" s="63">
        <v>0</v>
      </c>
      <c r="O454" s="61">
        <f t="shared" si="89"/>
        <v>0</v>
      </c>
      <c r="P454" s="60">
        <v>0</v>
      </c>
      <c r="Q454" s="61">
        <f t="shared" si="90"/>
        <v>0</v>
      </c>
      <c r="R454" s="60">
        <v>0</v>
      </c>
      <c r="S454" s="61">
        <f t="shared" si="91"/>
        <v>0</v>
      </c>
      <c r="T454" s="60">
        <v>0</v>
      </c>
      <c r="U454" s="64">
        <f t="shared" si="92"/>
        <v>0</v>
      </c>
      <c r="V454" s="65">
        <v>0</v>
      </c>
      <c r="W454" s="66">
        <f t="shared" si="93"/>
        <v>0</v>
      </c>
      <c r="X454" s="67">
        <f t="shared" si="94"/>
        <v>0</v>
      </c>
      <c r="Y454" s="57" t="str">
        <f t="shared" si="95"/>
        <v>NIL PLEASE PURCHASE</v>
      </c>
      <c r="Z454" s="68" t="s">
        <v>1539</v>
      </c>
    </row>
    <row r="455" spans="1:26" s="8" customFormat="1" ht="20.100000000000001" customHeight="1" x14ac:dyDescent="0.25">
      <c r="A455" s="59" t="s">
        <v>1040</v>
      </c>
      <c r="B455" s="84">
        <v>453</v>
      </c>
      <c r="C455" s="85" t="s">
        <v>770</v>
      </c>
      <c r="D455" s="60">
        <v>0</v>
      </c>
      <c r="E455" s="61">
        <f t="shared" si="84"/>
        <v>0</v>
      </c>
      <c r="F455" s="60">
        <v>0</v>
      </c>
      <c r="G455" s="61">
        <f t="shared" si="85"/>
        <v>0</v>
      </c>
      <c r="H455" s="60">
        <v>0</v>
      </c>
      <c r="I455" s="61">
        <f t="shared" si="86"/>
        <v>0</v>
      </c>
      <c r="J455" s="60">
        <v>0</v>
      </c>
      <c r="K455" s="61">
        <f t="shared" si="87"/>
        <v>0</v>
      </c>
      <c r="L455" s="62"/>
      <c r="M455" s="61">
        <f t="shared" si="88"/>
        <v>0</v>
      </c>
      <c r="N455" s="63">
        <v>0</v>
      </c>
      <c r="O455" s="61">
        <f t="shared" si="89"/>
        <v>0</v>
      </c>
      <c r="P455" s="60">
        <v>0</v>
      </c>
      <c r="Q455" s="61">
        <f t="shared" si="90"/>
        <v>0</v>
      </c>
      <c r="R455" s="60">
        <v>0</v>
      </c>
      <c r="S455" s="61">
        <f t="shared" si="91"/>
        <v>0</v>
      </c>
      <c r="T455" s="60">
        <v>0</v>
      </c>
      <c r="U455" s="64">
        <f t="shared" si="92"/>
        <v>0</v>
      </c>
      <c r="V455" s="65">
        <v>0</v>
      </c>
      <c r="W455" s="66">
        <f t="shared" si="93"/>
        <v>0</v>
      </c>
      <c r="X455" s="67">
        <f t="shared" si="94"/>
        <v>0</v>
      </c>
      <c r="Y455" s="57" t="str">
        <f t="shared" si="95"/>
        <v>NIL PLEASE PURCHASE</v>
      </c>
      <c r="Z455" s="68" t="s">
        <v>1539</v>
      </c>
    </row>
    <row r="456" spans="1:26" s="8" customFormat="1" ht="20.100000000000001" customHeight="1" x14ac:dyDescent="0.25">
      <c r="A456" s="59" t="s">
        <v>1041</v>
      </c>
      <c r="B456" s="84">
        <v>454</v>
      </c>
      <c r="C456" s="85" t="s">
        <v>771</v>
      </c>
      <c r="D456" s="60">
        <v>0</v>
      </c>
      <c r="E456" s="61">
        <f t="shared" si="84"/>
        <v>0</v>
      </c>
      <c r="F456" s="60">
        <v>0</v>
      </c>
      <c r="G456" s="61">
        <f t="shared" si="85"/>
        <v>0</v>
      </c>
      <c r="H456" s="60">
        <v>0</v>
      </c>
      <c r="I456" s="61">
        <f t="shared" si="86"/>
        <v>0</v>
      </c>
      <c r="J456" s="60">
        <v>0</v>
      </c>
      <c r="K456" s="61">
        <f t="shared" si="87"/>
        <v>0</v>
      </c>
      <c r="L456" s="62">
        <v>1</v>
      </c>
      <c r="M456" s="61">
        <f t="shared" si="88"/>
        <v>250</v>
      </c>
      <c r="N456" s="63">
        <v>0</v>
      </c>
      <c r="O456" s="61">
        <f t="shared" si="89"/>
        <v>0</v>
      </c>
      <c r="P456" s="60">
        <v>0</v>
      </c>
      <c r="Q456" s="61">
        <f t="shared" si="90"/>
        <v>0</v>
      </c>
      <c r="R456" s="60">
        <v>0</v>
      </c>
      <c r="S456" s="61">
        <f t="shared" si="91"/>
        <v>0</v>
      </c>
      <c r="T456" s="60">
        <v>0</v>
      </c>
      <c r="U456" s="64">
        <f t="shared" si="92"/>
        <v>0</v>
      </c>
      <c r="V456" s="65">
        <v>0</v>
      </c>
      <c r="W456" s="66">
        <f t="shared" si="93"/>
        <v>250</v>
      </c>
      <c r="X456" s="67">
        <f t="shared" si="94"/>
        <v>0.25</v>
      </c>
      <c r="Y456" s="57" t="str">
        <f t="shared" si="95"/>
        <v>STOCK</v>
      </c>
      <c r="Z456" s="68" t="s">
        <v>1538</v>
      </c>
    </row>
    <row r="457" spans="1:26" s="8" customFormat="1" ht="20.100000000000001" customHeight="1" x14ac:dyDescent="0.25">
      <c r="A457" s="59" t="s">
        <v>1042</v>
      </c>
      <c r="B457" s="84">
        <v>455</v>
      </c>
      <c r="C457" s="85" t="s">
        <v>772</v>
      </c>
      <c r="D457" s="60">
        <v>0</v>
      </c>
      <c r="E457" s="61">
        <f t="shared" si="84"/>
        <v>0</v>
      </c>
      <c r="F457" s="60">
        <v>0</v>
      </c>
      <c r="G457" s="61">
        <f t="shared" si="85"/>
        <v>0</v>
      </c>
      <c r="H457" s="60">
        <v>0</v>
      </c>
      <c r="I457" s="61">
        <f t="shared" si="86"/>
        <v>0</v>
      </c>
      <c r="J457" s="60">
        <v>0</v>
      </c>
      <c r="K457" s="61">
        <f t="shared" si="87"/>
        <v>0</v>
      </c>
      <c r="L457" s="62"/>
      <c r="M457" s="61">
        <f t="shared" si="88"/>
        <v>0</v>
      </c>
      <c r="N457" s="63">
        <v>0</v>
      </c>
      <c r="O457" s="61">
        <f t="shared" si="89"/>
        <v>0</v>
      </c>
      <c r="P457" s="60">
        <v>0</v>
      </c>
      <c r="Q457" s="61">
        <f t="shared" si="90"/>
        <v>0</v>
      </c>
      <c r="R457" s="60">
        <v>0</v>
      </c>
      <c r="S457" s="61">
        <f t="shared" si="91"/>
        <v>0</v>
      </c>
      <c r="T457" s="60">
        <v>0</v>
      </c>
      <c r="U457" s="64">
        <f t="shared" si="92"/>
        <v>0</v>
      </c>
      <c r="V457" s="65">
        <v>0</v>
      </c>
      <c r="W457" s="66">
        <f t="shared" si="93"/>
        <v>0</v>
      </c>
      <c r="X457" s="67">
        <f t="shared" si="94"/>
        <v>0</v>
      </c>
      <c r="Y457" s="57" t="str">
        <f t="shared" si="95"/>
        <v>NIL PLEASE PURCHASE</v>
      </c>
      <c r="Z457" s="68" t="s">
        <v>1539</v>
      </c>
    </row>
    <row r="458" spans="1:26" s="8" customFormat="1" ht="20.100000000000001" customHeight="1" x14ac:dyDescent="0.25">
      <c r="A458" s="59" t="s">
        <v>1043</v>
      </c>
      <c r="B458" s="84">
        <v>456</v>
      </c>
      <c r="C458" s="85" t="s">
        <v>773</v>
      </c>
      <c r="D458" s="60">
        <v>0</v>
      </c>
      <c r="E458" s="61">
        <f t="shared" si="84"/>
        <v>0</v>
      </c>
      <c r="F458" s="60">
        <v>0</v>
      </c>
      <c r="G458" s="61">
        <f t="shared" si="85"/>
        <v>0</v>
      </c>
      <c r="H458" s="60">
        <v>0</v>
      </c>
      <c r="I458" s="61">
        <f t="shared" si="86"/>
        <v>0</v>
      </c>
      <c r="J458" s="60">
        <v>4</v>
      </c>
      <c r="K458" s="61">
        <f t="shared" si="87"/>
        <v>400</v>
      </c>
      <c r="L458" s="62">
        <v>1</v>
      </c>
      <c r="M458" s="61">
        <f t="shared" si="88"/>
        <v>250</v>
      </c>
      <c r="N458" s="63">
        <v>0</v>
      </c>
      <c r="O458" s="61">
        <f t="shared" si="89"/>
        <v>0</v>
      </c>
      <c r="P458" s="60">
        <v>0</v>
      </c>
      <c r="Q458" s="61">
        <f t="shared" si="90"/>
        <v>0</v>
      </c>
      <c r="R458" s="60">
        <v>0</v>
      </c>
      <c r="S458" s="61">
        <f t="shared" si="91"/>
        <v>0</v>
      </c>
      <c r="T458" s="60">
        <v>0</v>
      </c>
      <c r="U458" s="64">
        <f t="shared" si="92"/>
        <v>0</v>
      </c>
      <c r="V458" s="65">
        <v>0</v>
      </c>
      <c r="W458" s="66">
        <f t="shared" si="93"/>
        <v>650</v>
      </c>
      <c r="X458" s="67">
        <f t="shared" si="94"/>
        <v>0.65</v>
      </c>
      <c r="Y458" s="57" t="str">
        <f t="shared" si="95"/>
        <v>STOCK</v>
      </c>
      <c r="Z458" s="68" t="s">
        <v>1538</v>
      </c>
    </row>
    <row r="459" spans="1:26" s="8" customFormat="1" ht="20.100000000000001" customHeight="1" x14ac:dyDescent="0.25">
      <c r="A459" s="59" t="s">
        <v>1044</v>
      </c>
      <c r="B459" s="84">
        <v>457</v>
      </c>
      <c r="C459" s="85" t="s">
        <v>774</v>
      </c>
      <c r="D459" s="60">
        <v>0</v>
      </c>
      <c r="E459" s="61">
        <f t="shared" si="84"/>
        <v>0</v>
      </c>
      <c r="F459" s="60">
        <v>0</v>
      </c>
      <c r="G459" s="61">
        <f t="shared" si="85"/>
        <v>0</v>
      </c>
      <c r="H459" s="60">
        <v>0</v>
      </c>
      <c r="I459" s="61">
        <f t="shared" si="86"/>
        <v>0</v>
      </c>
      <c r="J459" s="60">
        <v>0</v>
      </c>
      <c r="K459" s="61">
        <f t="shared" si="87"/>
        <v>0</v>
      </c>
      <c r="L459" s="62"/>
      <c r="M459" s="61">
        <f t="shared" si="88"/>
        <v>0</v>
      </c>
      <c r="N459" s="63">
        <v>0</v>
      </c>
      <c r="O459" s="61">
        <f t="shared" si="89"/>
        <v>0</v>
      </c>
      <c r="P459" s="60">
        <v>0</v>
      </c>
      <c r="Q459" s="61">
        <f t="shared" si="90"/>
        <v>0</v>
      </c>
      <c r="R459" s="60">
        <v>0</v>
      </c>
      <c r="S459" s="61">
        <f t="shared" si="91"/>
        <v>0</v>
      </c>
      <c r="T459" s="60">
        <v>0</v>
      </c>
      <c r="U459" s="64">
        <f t="shared" si="92"/>
        <v>0</v>
      </c>
      <c r="V459" s="65">
        <v>0</v>
      </c>
      <c r="W459" s="66">
        <f t="shared" si="93"/>
        <v>0</v>
      </c>
      <c r="X459" s="67">
        <f t="shared" si="94"/>
        <v>0</v>
      </c>
      <c r="Y459" s="57" t="str">
        <f t="shared" si="95"/>
        <v>NIL PLEASE PURCHASE</v>
      </c>
      <c r="Z459" s="68" t="s">
        <v>1539</v>
      </c>
    </row>
    <row r="460" spans="1:26" s="8" customFormat="1" ht="20.100000000000001" customHeight="1" x14ac:dyDescent="0.25">
      <c r="A460" s="59" t="s">
        <v>1045</v>
      </c>
      <c r="B460" s="84">
        <v>458</v>
      </c>
      <c r="C460" s="85" t="s">
        <v>775</v>
      </c>
      <c r="D460" s="60">
        <v>0</v>
      </c>
      <c r="E460" s="61">
        <f t="shared" si="84"/>
        <v>0</v>
      </c>
      <c r="F460" s="60">
        <v>0</v>
      </c>
      <c r="G460" s="61">
        <f t="shared" si="85"/>
        <v>0</v>
      </c>
      <c r="H460" s="60">
        <v>0</v>
      </c>
      <c r="I460" s="61">
        <f t="shared" si="86"/>
        <v>0</v>
      </c>
      <c r="J460" s="60">
        <v>0</v>
      </c>
      <c r="K460" s="61">
        <f t="shared" si="87"/>
        <v>0</v>
      </c>
      <c r="L460" s="62"/>
      <c r="M460" s="61">
        <f t="shared" si="88"/>
        <v>0</v>
      </c>
      <c r="N460" s="63">
        <v>0</v>
      </c>
      <c r="O460" s="61">
        <f t="shared" si="89"/>
        <v>0</v>
      </c>
      <c r="P460" s="60">
        <v>0</v>
      </c>
      <c r="Q460" s="61">
        <f t="shared" si="90"/>
        <v>0</v>
      </c>
      <c r="R460" s="60">
        <v>0</v>
      </c>
      <c r="S460" s="61">
        <f t="shared" si="91"/>
        <v>0</v>
      </c>
      <c r="T460" s="60">
        <v>0</v>
      </c>
      <c r="U460" s="64">
        <f t="shared" si="92"/>
        <v>0</v>
      </c>
      <c r="V460" s="65">
        <v>0</v>
      </c>
      <c r="W460" s="66">
        <f t="shared" si="93"/>
        <v>0</v>
      </c>
      <c r="X460" s="67">
        <f t="shared" si="94"/>
        <v>0</v>
      </c>
      <c r="Y460" s="57" t="str">
        <f t="shared" si="95"/>
        <v>NIL PLEASE PURCHASE</v>
      </c>
      <c r="Z460" s="68" t="s">
        <v>1539</v>
      </c>
    </row>
    <row r="461" spans="1:26" s="8" customFormat="1" ht="20.100000000000001" customHeight="1" x14ac:dyDescent="0.25">
      <c r="A461" s="59" t="s">
        <v>1046</v>
      </c>
      <c r="B461" s="84">
        <v>459</v>
      </c>
      <c r="C461" s="85" t="s">
        <v>776</v>
      </c>
      <c r="D461" s="60">
        <v>0</v>
      </c>
      <c r="E461" s="61">
        <f t="shared" si="84"/>
        <v>0</v>
      </c>
      <c r="F461" s="60">
        <v>0</v>
      </c>
      <c r="G461" s="61">
        <f t="shared" si="85"/>
        <v>0</v>
      </c>
      <c r="H461" s="60">
        <v>0</v>
      </c>
      <c r="I461" s="61">
        <f t="shared" si="86"/>
        <v>0</v>
      </c>
      <c r="J461" s="60">
        <v>0</v>
      </c>
      <c r="K461" s="61">
        <f t="shared" si="87"/>
        <v>0</v>
      </c>
      <c r="L461" s="62"/>
      <c r="M461" s="61">
        <f t="shared" si="88"/>
        <v>0</v>
      </c>
      <c r="N461" s="63">
        <v>0</v>
      </c>
      <c r="O461" s="61">
        <f t="shared" si="89"/>
        <v>0</v>
      </c>
      <c r="P461" s="60">
        <v>0</v>
      </c>
      <c r="Q461" s="61">
        <f t="shared" si="90"/>
        <v>0</v>
      </c>
      <c r="R461" s="60">
        <v>0</v>
      </c>
      <c r="S461" s="61">
        <f t="shared" si="91"/>
        <v>0</v>
      </c>
      <c r="T461" s="60">
        <v>0</v>
      </c>
      <c r="U461" s="64">
        <f t="shared" si="92"/>
        <v>0</v>
      </c>
      <c r="V461" s="65">
        <v>0</v>
      </c>
      <c r="W461" s="66">
        <f t="shared" si="93"/>
        <v>0</v>
      </c>
      <c r="X461" s="67">
        <f t="shared" si="94"/>
        <v>0</v>
      </c>
      <c r="Y461" s="57" t="str">
        <f t="shared" si="95"/>
        <v>NIL PLEASE PURCHASE</v>
      </c>
      <c r="Z461" s="68" t="s">
        <v>1539</v>
      </c>
    </row>
    <row r="462" spans="1:26" s="8" customFormat="1" ht="20.100000000000001" customHeight="1" x14ac:dyDescent="0.25">
      <c r="A462" s="59" t="s">
        <v>1047</v>
      </c>
      <c r="B462" s="84">
        <v>460</v>
      </c>
      <c r="C462" s="85" t="s">
        <v>777</v>
      </c>
      <c r="D462" s="60">
        <v>0</v>
      </c>
      <c r="E462" s="61">
        <f t="shared" si="84"/>
        <v>0</v>
      </c>
      <c r="F462" s="60">
        <v>0</v>
      </c>
      <c r="G462" s="61">
        <f t="shared" si="85"/>
        <v>0</v>
      </c>
      <c r="H462" s="60">
        <v>0</v>
      </c>
      <c r="I462" s="61">
        <f t="shared" si="86"/>
        <v>0</v>
      </c>
      <c r="J462" s="60">
        <v>0</v>
      </c>
      <c r="K462" s="61">
        <f t="shared" si="87"/>
        <v>0</v>
      </c>
      <c r="L462" s="62"/>
      <c r="M462" s="61">
        <f t="shared" si="88"/>
        <v>0</v>
      </c>
      <c r="N462" s="63">
        <v>0</v>
      </c>
      <c r="O462" s="61">
        <f t="shared" si="89"/>
        <v>0</v>
      </c>
      <c r="P462" s="60">
        <v>0</v>
      </c>
      <c r="Q462" s="61">
        <f t="shared" si="90"/>
        <v>0</v>
      </c>
      <c r="R462" s="60">
        <v>0</v>
      </c>
      <c r="S462" s="61">
        <f t="shared" si="91"/>
        <v>0</v>
      </c>
      <c r="T462" s="60">
        <v>0</v>
      </c>
      <c r="U462" s="64">
        <f t="shared" si="92"/>
        <v>0</v>
      </c>
      <c r="V462" s="65">
        <v>0</v>
      </c>
      <c r="W462" s="66">
        <f t="shared" si="93"/>
        <v>0</v>
      </c>
      <c r="X462" s="67">
        <f t="shared" si="94"/>
        <v>0</v>
      </c>
      <c r="Y462" s="57" t="str">
        <f t="shared" si="95"/>
        <v>NIL PLEASE PURCHASE</v>
      </c>
      <c r="Z462" s="68" t="s">
        <v>1539</v>
      </c>
    </row>
    <row r="463" spans="1:26" s="8" customFormat="1" ht="20.100000000000001" customHeight="1" x14ac:dyDescent="0.25">
      <c r="A463" s="59" t="s">
        <v>1048</v>
      </c>
      <c r="B463" s="84">
        <v>461</v>
      </c>
      <c r="C463" s="85" t="s">
        <v>778</v>
      </c>
      <c r="D463" s="60">
        <v>0</v>
      </c>
      <c r="E463" s="61">
        <f t="shared" si="84"/>
        <v>0</v>
      </c>
      <c r="F463" s="60">
        <v>0</v>
      </c>
      <c r="G463" s="61">
        <f t="shared" si="85"/>
        <v>0</v>
      </c>
      <c r="H463" s="60">
        <v>0</v>
      </c>
      <c r="I463" s="61">
        <f t="shared" si="86"/>
        <v>0</v>
      </c>
      <c r="J463" s="60">
        <v>0</v>
      </c>
      <c r="K463" s="61">
        <f t="shared" si="87"/>
        <v>0</v>
      </c>
      <c r="L463" s="62"/>
      <c r="M463" s="61">
        <f t="shared" si="88"/>
        <v>0</v>
      </c>
      <c r="N463" s="63">
        <v>0</v>
      </c>
      <c r="O463" s="61">
        <f t="shared" si="89"/>
        <v>0</v>
      </c>
      <c r="P463" s="60">
        <v>0</v>
      </c>
      <c r="Q463" s="61">
        <f t="shared" si="90"/>
        <v>0</v>
      </c>
      <c r="R463" s="60">
        <v>0</v>
      </c>
      <c r="S463" s="61">
        <f t="shared" si="91"/>
        <v>0</v>
      </c>
      <c r="T463" s="60">
        <v>0</v>
      </c>
      <c r="U463" s="64">
        <f t="shared" si="92"/>
        <v>0</v>
      </c>
      <c r="V463" s="65">
        <v>0</v>
      </c>
      <c r="W463" s="66">
        <f t="shared" si="93"/>
        <v>0</v>
      </c>
      <c r="X463" s="67">
        <f t="shared" si="94"/>
        <v>0</v>
      </c>
      <c r="Y463" s="57" t="str">
        <f t="shared" si="95"/>
        <v>NIL PLEASE PURCHASE</v>
      </c>
      <c r="Z463" s="68" t="s">
        <v>1539</v>
      </c>
    </row>
    <row r="464" spans="1:26" s="8" customFormat="1" ht="20.100000000000001" customHeight="1" x14ac:dyDescent="0.25">
      <c r="A464" s="59" t="s">
        <v>1049</v>
      </c>
      <c r="B464" s="84">
        <v>462</v>
      </c>
      <c r="C464" s="85" t="s">
        <v>779</v>
      </c>
      <c r="D464" s="60">
        <v>0</v>
      </c>
      <c r="E464" s="61">
        <f t="shared" si="84"/>
        <v>0</v>
      </c>
      <c r="F464" s="60">
        <v>0</v>
      </c>
      <c r="G464" s="61">
        <f t="shared" si="85"/>
        <v>0</v>
      </c>
      <c r="H464" s="60">
        <v>0</v>
      </c>
      <c r="I464" s="61">
        <f t="shared" si="86"/>
        <v>0</v>
      </c>
      <c r="J464" s="60">
        <v>0</v>
      </c>
      <c r="K464" s="61">
        <f t="shared" si="87"/>
        <v>0</v>
      </c>
      <c r="L464" s="62"/>
      <c r="M464" s="61">
        <f t="shared" si="88"/>
        <v>0</v>
      </c>
      <c r="N464" s="63">
        <v>0</v>
      </c>
      <c r="O464" s="61">
        <f t="shared" si="89"/>
        <v>0</v>
      </c>
      <c r="P464" s="60">
        <v>0</v>
      </c>
      <c r="Q464" s="61">
        <f t="shared" si="90"/>
        <v>0</v>
      </c>
      <c r="R464" s="60">
        <v>0</v>
      </c>
      <c r="S464" s="61">
        <f t="shared" si="91"/>
        <v>0</v>
      </c>
      <c r="T464" s="60">
        <v>0</v>
      </c>
      <c r="U464" s="64">
        <f t="shared" si="92"/>
        <v>0</v>
      </c>
      <c r="V464" s="65">
        <v>0</v>
      </c>
      <c r="W464" s="66">
        <f t="shared" si="93"/>
        <v>0</v>
      </c>
      <c r="X464" s="67">
        <f t="shared" si="94"/>
        <v>0</v>
      </c>
      <c r="Y464" s="57" t="str">
        <f t="shared" si="95"/>
        <v>NIL PLEASE PURCHASE</v>
      </c>
      <c r="Z464" s="68" t="s">
        <v>1539</v>
      </c>
    </row>
    <row r="465" spans="1:26" s="8" customFormat="1" ht="20.100000000000001" customHeight="1" x14ac:dyDescent="0.25">
      <c r="A465" s="59" t="s">
        <v>1050</v>
      </c>
      <c r="B465" s="84">
        <v>463</v>
      </c>
      <c r="C465" s="85" t="s">
        <v>780</v>
      </c>
      <c r="D465" s="60">
        <v>0</v>
      </c>
      <c r="E465" s="61">
        <f t="shared" si="84"/>
        <v>0</v>
      </c>
      <c r="F465" s="60">
        <v>0</v>
      </c>
      <c r="G465" s="61">
        <f t="shared" si="85"/>
        <v>0</v>
      </c>
      <c r="H465" s="60">
        <v>0</v>
      </c>
      <c r="I465" s="61">
        <f t="shared" si="86"/>
        <v>0</v>
      </c>
      <c r="J465" s="60">
        <v>0</v>
      </c>
      <c r="K465" s="61">
        <f t="shared" si="87"/>
        <v>0</v>
      </c>
      <c r="L465" s="62"/>
      <c r="M465" s="61">
        <f t="shared" si="88"/>
        <v>0</v>
      </c>
      <c r="N465" s="63">
        <v>0</v>
      </c>
      <c r="O465" s="61">
        <f t="shared" si="89"/>
        <v>0</v>
      </c>
      <c r="P465" s="60">
        <v>0</v>
      </c>
      <c r="Q465" s="61">
        <f t="shared" si="90"/>
        <v>0</v>
      </c>
      <c r="R465" s="60">
        <v>0</v>
      </c>
      <c r="S465" s="61">
        <f t="shared" si="91"/>
        <v>0</v>
      </c>
      <c r="T465" s="60">
        <v>0</v>
      </c>
      <c r="U465" s="64">
        <f t="shared" si="92"/>
        <v>0</v>
      </c>
      <c r="V465" s="65">
        <v>0</v>
      </c>
      <c r="W465" s="66">
        <f t="shared" si="93"/>
        <v>0</v>
      </c>
      <c r="X465" s="67">
        <f t="shared" si="94"/>
        <v>0</v>
      </c>
      <c r="Y465" s="57" t="str">
        <f t="shared" si="95"/>
        <v>NIL PLEASE PURCHASE</v>
      </c>
      <c r="Z465" s="68" t="s">
        <v>1539</v>
      </c>
    </row>
    <row r="466" spans="1:26" s="8" customFormat="1" ht="20.100000000000001" customHeight="1" x14ac:dyDescent="0.25">
      <c r="A466" s="59" t="s">
        <v>1051</v>
      </c>
      <c r="B466" s="84">
        <v>464</v>
      </c>
      <c r="C466" s="85" t="s">
        <v>781</v>
      </c>
      <c r="D466" s="60">
        <v>0</v>
      </c>
      <c r="E466" s="61">
        <f t="shared" si="84"/>
        <v>0</v>
      </c>
      <c r="F466" s="60">
        <v>0</v>
      </c>
      <c r="G466" s="61">
        <f t="shared" si="85"/>
        <v>0</v>
      </c>
      <c r="H466" s="60">
        <v>0</v>
      </c>
      <c r="I466" s="61">
        <f t="shared" si="86"/>
        <v>0</v>
      </c>
      <c r="J466" s="60">
        <v>0</v>
      </c>
      <c r="K466" s="61">
        <f t="shared" si="87"/>
        <v>0</v>
      </c>
      <c r="L466" s="62"/>
      <c r="M466" s="61">
        <f t="shared" si="88"/>
        <v>0</v>
      </c>
      <c r="N466" s="63">
        <v>5</v>
      </c>
      <c r="O466" s="61">
        <f t="shared" si="89"/>
        <v>2500</v>
      </c>
      <c r="P466" s="60">
        <v>0</v>
      </c>
      <c r="Q466" s="61">
        <f t="shared" si="90"/>
        <v>0</v>
      </c>
      <c r="R466" s="60">
        <v>0</v>
      </c>
      <c r="S466" s="61">
        <f t="shared" si="91"/>
        <v>0</v>
      </c>
      <c r="T466" s="60">
        <v>0</v>
      </c>
      <c r="U466" s="64">
        <f t="shared" si="92"/>
        <v>0</v>
      </c>
      <c r="V466" s="65">
        <v>0</v>
      </c>
      <c r="W466" s="66">
        <f t="shared" si="93"/>
        <v>2500</v>
      </c>
      <c r="X466" s="67">
        <f t="shared" si="94"/>
        <v>2.5</v>
      </c>
      <c r="Y466" s="57" t="str">
        <f t="shared" si="95"/>
        <v>STOCK</v>
      </c>
      <c r="Z466" s="68" t="s">
        <v>1538</v>
      </c>
    </row>
    <row r="467" spans="1:26" s="8" customFormat="1" ht="20.100000000000001" customHeight="1" x14ac:dyDescent="0.25">
      <c r="A467" s="59" t="s">
        <v>1052</v>
      </c>
      <c r="B467" s="84">
        <v>465</v>
      </c>
      <c r="C467" s="85" t="s">
        <v>782</v>
      </c>
      <c r="D467" s="60">
        <v>0</v>
      </c>
      <c r="E467" s="61">
        <f t="shared" si="84"/>
        <v>0</v>
      </c>
      <c r="F467" s="60">
        <v>0</v>
      </c>
      <c r="G467" s="61">
        <f t="shared" si="85"/>
        <v>0</v>
      </c>
      <c r="H467" s="60">
        <v>0</v>
      </c>
      <c r="I467" s="61">
        <f t="shared" si="86"/>
        <v>0</v>
      </c>
      <c r="J467" s="60">
        <v>0</v>
      </c>
      <c r="K467" s="61">
        <f t="shared" si="87"/>
        <v>0</v>
      </c>
      <c r="L467" s="62"/>
      <c r="M467" s="61">
        <f t="shared" si="88"/>
        <v>0</v>
      </c>
      <c r="N467" s="63">
        <v>1</v>
      </c>
      <c r="O467" s="61">
        <f t="shared" si="89"/>
        <v>500</v>
      </c>
      <c r="P467" s="60">
        <v>0</v>
      </c>
      <c r="Q467" s="61">
        <f t="shared" si="90"/>
        <v>0</v>
      </c>
      <c r="R467" s="60">
        <v>0</v>
      </c>
      <c r="S467" s="61">
        <f t="shared" si="91"/>
        <v>0</v>
      </c>
      <c r="T467" s="60">
        <v>0</v>
      </c>
      <c r="U467" s="64">
        <f t="shared" si="92"/>
        <v>0</v>
      </c>
      <c r="V467" s="65">
        <v>0</v>
      </c>
      <c r="W467" s="66">
        <f t="shared" si="93"/>
        <v>500</v>
      </c>
      <c r="X467" s="67">
        <f t="shared" si="94"/>
        <v>0.5</v>
      </c>
      <c r="Y467" s="57" t="str">
        <f t="shared" si="95"/>
        <v>STOCK</v>
      </c>
      <c r="Z467" s="68" t="s">
        <v>1538</v>
      </c>
    </row>
    <row r="468" spans="1:26" s="8" customFormat="1" ht="20.100000000000001" customHeight="1" x14ac:dyDescent="0.25">
      <c r="A468" s="59" t="s">
        <v>1053</v>
      </c>
      <c r="B468" s="84">
        <v>466</v>
      </c>
      <c r="C468" s="85" t="s">
        <v>783</v>
      </c>
      <c r="D468" s="60">
        <v>0</v>
      </c>
      <c r="E468" s="61">
        <f t="shared" si="84"/>
        <v>0</v>
      </c>
      <c r="F468" s="60">
        <v>0</v>
      </c>
      <c r="G468" s="61">
        <f t="shared" si="85"/>
        <v>0</v>
      </c>
      <c r="H468" s="60">
        <v>0</v>
      </c>
      <c r="I468" s="61">
        <f t="shared" si="86"/>
        <v>0</v>
      </c>
      <c r="J468" s="60">
        <v>0</v>
      </c>
      <c r="K468" s="61">
        <f t="shared" si="87"/>
        <v>0</v>
      </c>
      <c r="L468" s="62"/>
      <c r="M468" s="61">
        <f t="shared" si="88"/>
        <v>0</v>
      </c>
      <c r="N468" s="63">
        <v>0</v>
      </c>
      <c r="O468" s="61">
        <f t="shared" si="89"/>
        <v>0</v>
      </c>
      <c r="P468" s="60">
        <v>0</v>
      </c>
      <c r="Q468" s="61">
        <f t="shared" si="90"/>
        <v>0</v>
      </c>
      <c r="R468" s="60">
        <v>0</v>
      </c>
      <c r="S468" s="61">
        <f t="shared" si="91"/>
        <v>0</v>
      </c>
      <c r="T468" s="60">
        <v>0</v>
      </c>
      <c r="U468" s="64">
        <f t="shared" si="92"/>
        <v>0</v>
      </c>
      <c r="V468" s="65">
        <v>0</v>
      </c>
      <c r="W468" s="66">
        <f t="shared" si="93"/>
        <v>0</v>
      </c>
      <c r="X468" s="67">
        <f t="shared" si="94"/>
        <v>0</v>
      </c>
      <c r="Y468" s="57" t="str">
        <f t="shared" si="95"/>
        <v>NIL PLEASE PURCHASE</v>
      </c>
      <c r="Z468" s="68" t="s">
        <v>1539</v>
      </c>
    </row>
    <row r="469" spans="1:26" s="8" customFormat="1" ht="20.100000000000001" customHeight="1" x14ac:dyDescent="0.25">
      <c r="A469" s="59" t="s">
        <v>1054</v>
      </c>
      <c r="B469" s="84">
        <v>467</v>
      </c>
      <c r="C469" s="85" t="s">
        <v>784</v>
      </c>
      <c r="D469" s="60">
        <v>0</v>
      </c>
      <c r="E469" s="61">
        <f t="shared" si="84"/>
        <v>0</v>
      </c>
      <c r="F469" s="60">
        <v>0</v>
      </c>
      <c r="G469" s="61">
        <f t="shared" si="85"/>
        <v>0</v>
      </c>
      <c r="H469" s="60">
        <v>0</v>
      </c>
      <c r="I469" s="61">
        <f t="shared" si="86"/>
        <v>0</v>
      </c>
      <c r="J469" s="60">
        <v>0</v>
      </c>
      <c r="K469" s="61">
        <f t="shared" si="87"/>
        <v>0</v>
      </c>
      <c r="L469" s="62"/>
      <c r="M469" s="61">
        <f t="shared" si="88"/>
        <v>0</v>
      </c>
      <c r="N469" s="63">
        <v>0</v>
      </c>
      <c r="O469" s="61">
        <f t="shared" si="89"/>
        <v>0</v>
      </c>
      <c r="P469" s="60">
        <v>0</v>
      </c>
      <c r="Q469" s="61">
        <f t="shared" si="90"/>
        <v>0</v>
      </c>
      <c r="R469" s="60">
        <v>0</v>
      </c>
      <c r="S469" s="61">
        <f t="shared" si="91"/>
        <v>0</v>
      </c>
      <c r="T469" s="60">
        <v>0</v>
      </c>
      <c r="U469" s="64">
        <f t="shared" si="92"/>
        <v>0</v>
      </c>
      <c r="V469" s="65">
        <v>0</v>
      </c>
      <c r="W469" s="66">
        <f t="shared" si="93"/>
        <v>0</v>
      </c>
      <c r="X469" s="67">
        <f t="shared" si="94"/>
        <v>0</v>
      </c>
      <c r="Y469" s="57" t="str">
        <f t="shared" si="95"/>
        <v>NIL PLEASE PURCHASE</v>
      </c>
      <c r="Z469" s="68" t="s">
        <v>1539</v>
      </c>
    </row>
    <row r="470" spans="1:26" s="8" customFormat="1" ht="20.100000000000001" customHeight="1" x14ac:dyDescent="0.25">
      <c r="A470" s="59" t="s">
        <v>1055</v>
      </c>
      <c r="B470" s="84">
        <v>468</v>
      </c>
      <c r="C470" s="85" t="s">
        <v>785</v>
      </c>
      <c r="D470" s="60">
        <v>0</v>
      </c>
      <c r="E470" s="61">
        <f t="shared" si="84"/>
        <v>0</v>
      </c>
      <c r="F470" s="60">
        <v>0</v>
      </c>
      <c r="G470" s="61">
        <f t="shared" si="85"/>
        <v>0</v>
      </c>
      <c r="H470" s="60">
        <v>0</v>
      </c>
      <c r="I470" s="61">
        <f t="shared" si="86"/>
        <v>0</v>
      </c>
      <c r="J470" s="60">
        <v>0</v>
      </c>
      <c r="K470" s="61">
        <f t="shared" si="87"/>
        <v>0</v>
      </c>
      <c r="L470" s="62"/>
      <c r="M470" s="61">
        <f t="shared" si="88"/>
        <v>0</v>
      </c>
      <c r="N470" s="63">
        <v>0</v>
      </c>
      <c r="O470" s="61">
        <f t="shared" si="89"/>
        <v>0</v>
      </c>
      <c r="P470" s="60">
        <v>0</v>
      </c>
      <c r="Q470" s="61">
        <f t="shared" si="90"/>
        <v>0</v>
      </c>
      <c r="R470" s="60">
        <v>0</v>
      </c>
      <c r="S470" s="61">
        <f t="shared" si="91"/>
        <v>0</v>
      </c>
      <c r="T470" s="60">
        <v>0</v>
      </c>
      <c r="U470" s="64">
        <f t="shared" si="92"/>
        <v>0</v>
      </c>
      <c r="V470" s="65">
        <v>0</v>
      </c>
      <c r="W470" s="66">
        <f t="shared" si="93"/>
        <v>0</v>
      </c>
      <c r="X470" s="67">
        <f t="shared" si="94"/>
        <v>0</v>
      </c>
      <c r="Y470" s="57" t="str">
        <f t="shared" si="95"/>
        <v>NIL PLEASE PURCHASE</v>
      </c>
      <c r="Z470" s="68" t="s">
        <v>1539</v>
      </c>
    </row>
    <row r="471" spans="1:26" s="8" customFormat="1" ht="20.100000000000001" customHeight="1" x14ac:dyDescent="0.25">
      <c r="A471" s="59" t="s">
        <v>1056</v>
      </c>
      <c r="B471" s="84">
        <v>469</v>
      </c>
      <c r="C471" s="85" t="s">
        <v>786</v>
      </c>
      <c r="D471" s="60">
        <v>0</v>
      </c>
      <c r="E471" s="61">
        <f t="shared" si="84"/>
        <v>0</v>
      </c>
      <c r="F471" s="60">
        <v>0</v>
      </c>
      <c r="G471" s="61">
        <f t="shared" si="85"/>
        <v>0</v>
      </c>
      <c r="H471" s="60">
        <v>0</v>
      </c>
      <c r="I471" s="61">
        <f t="shared" si="86"/>
        <v>0</v>
      </c>
      <c r="J471" s="60">
        <v>0</v>
      </c>
      <c r="K471" s="61">
        <f t="shared" si="87"/>
        <v>0</v>
      </c>
      <c r="L471" s="62"/>
      <c r="M471" s="61">
        <f t="shared" si="88"/>
        <v>0</v>
      </c>
      <c r="N471" s="63">
        <v>0</v>
      </c>
      <c r="O471" s="61">
        <f t="shared" si="89"/>
        <v>0</v>
      </c>
      <c r="P471" s="60">
        <v>0</v>
      </c>
      <c r="Q471" s="61">
        <f t="shared" si="90"/>
        <v>0</v>
      </c>
      <c r="R471" s="60">
        <v>0</v>
      </c>
      <c r="S471" s="61">
        <f t="shared" si="91"/>
        <v>0</v>
      </c>
      <c r="T471" s="60">
        <v>0</v>
      </c>
      <c r="U471" s="64">
        <f t="shared" si="92"/>
        <v>0</v>
      </c>
      <c r="V471" s="65">
        <v>0</v>
      </c>
      <c r="W471" s="66">
        <f t="shared" si="93"/>
        <v>0</v>
      </c>
      <c r="X471" s="67">
        <f t="shared" si="94"/>
        <v>0</v>
      </c>
      <c r="Y471" s="57" t="str">
        <f t="shared" si="95"/>
        <v>NIL PLEASE PURCHASE</v>
      </c>
      <c r="Z471" s="68" t="s">
        <v>1539</v>
      </c>
    </row>
    <row r="472" spans="1:26" s="8" customFormat="1" ht="20.100000000000001" customHeight="1" x14ac:dyDescent="0.25">
      <c r="A472" s="59" t="s">
        <v>1057</v>
      </c>
      <c r="B472" s="84">
        <v>470</v>
      </c>
      <c r="C472" s="85" t="s">
        <v>787</v>
      </c>
      <c r="D472" s="60">
        <v>0</v>
      </c>
      <c r="E472" s="61">
        <f t="shared" si="84"/>
        <v>0</v>
      </c>
      <c r="F472" s="60">
        <v>0</v>
      </c>
      <c r="G472" s="61">
        <f t="shared" si="85"/>
        <v>0</v>
      </c>
      <c r="H472" s="60">
        <v>0</v>
      </c>
      <c r="I472" s="61">
        <f t="shared" si="86"/>
        <v>0</v>
      </c>
      <c r="J472" s="60">
        <v>0</v>
      </c>
      <c r="K472" s="61">
        <f t="shared" si="87"/>
        <v>0</v>
      </c>
      <c r="L472" s="62"/>
      <c r="M472" s="61">
        <f t="shared" si="88"/>
        <v>0</v>
      </c>
      <c r="N472" s="63">
        <v>1</v>
      </c>
      <c r="O472" s="61">
        <f t="shared" si="89"/>
        <v>500</v>
      </c>
      <c r="P472" s="60">
        <v>0</v>
      </c>
      <c r="Q472" s="61">
        <f t="shared" si="90"/>
        <v>0</v>
      </c>
      <c r="R472" s="60">
        <v>0</v>
      </c>
      <c r="S472" s="61">
        <f t="shared" si="91"/>
        <v>0</v>
      </c>
      <c r="T472" s="60">
        <v>0</v>
      </c>
      <c r="U472" s="64">
        <f t="shared" si="92"/>
        <v>0</v>
      </c>
      <c r="V472" s="65">
        <v>0</v>
      </c>
      <c r="W472" s="66">
        <f t="shared" si="93"/>
        <v>500</v>
      </c>
      <c r="X472" s="67">
        <f t="shared" si="94"/>
        <v>0.5</v>
      </c>
      <c r="Y472" s="57" t="str">
        <f t="shared" si="95"/>
        <v>STOCK</v>
      </c>
      <c r="Z472" s="68" t="s">
        <v>1538</v>
      </c>
    </row>
    <row r="473" spans="1:26" s="8" customFormat="1" ht="20.100000000000001" customHeight="1" x14ac:dyDescent="0.25">
      <c r="A473" s="59" t="s">
        <v>1058</v>
      </c>
      <c r="B473" s="84">
        <v>471</v>
      </c>
      <c r="C473" s="85" t="s">
        <v>788</v>
      </c>
      <c r="D473" s="60">
        <v>0</v>
      </c>
      <c r="E473" s="61">
        <f t="shared" si="84"/>
        <v>0</v>
      </c>
      <c r="F473" s="60">
        <v>0</v>
      </c>
      <c r="G473" s="61">
        <f t="shared" si="85"/>
        <v>0</v>
      </c>
      <c r="H473" s="60">
        <v>0</v>
      </c>
      <c r="I473" s="61">
        <f t="shared" si="86"/>
        <v>0</v>
      </c>
      <c r="J473" s="60">
        <v>0</v>
      </c>
      <c r="K473" s="61">
        <f t="shared" si="87"/>
        <v>0</v>
      </c>
      <c r="L473" s="62"/>
      <c r="M473" s="61">
        <f t="shared" si="88"/>
        <v>0</v>
      </c>
      <c r="N473" s="63">
        <v>0</v>
      </c>
      <c r="O473" s="61">
        <f t="shared" si="89"/>
        <v>0</v>
      </c>
      <c r="P473" s="60">
        <v>0</v>
      </c>
      <c r="Q473" s="61">
        <f t="shared" si="90"/>
        <v>0</v>
      </c>
      <c r="R473" s="60">
        <v>0</v>
      </c>
      <c r="S473" s="61">
        <f t="shared" si="91"/>
        <v>0</v>
      </c>
      <c r="T473" s="60">
        <v>0</v>
      </c>
      <c r="U473" s="64">
        <f t="shared" si="92"/>
        <v>0</v>
      </c>
      <c r="V473" s="65">
        <v>0</v>
      </c>
      <c r="W473" s="66">
        <f t="shared" si="93"/>
        <v>0</v>
      </c>
      <c r="X473" s="67">
        <f t="shared" si="94"/>
        <v>0</v>
      </c>
      <c r="Y473" s="57" t="str">
        <f t="shared" si="95"/>
        <v>NIL PLEASE PURCHASE</v>
      </c>
      <c r="Z473" s="68" t="s">
        <v>1539</v>
      </c>
    </row>
    <row r="474" spans="1:26" s="8" customFormat="1" ht="20.100000000000001" customHeight="1" x14ac:dyDescent="0.25">
      <c r="A474" s="59" t="s">
        <v>1059</v>
      </c>
      <c r="B474" s="84">
        <v>472</v>
      </c>
      <c r="C474" s="85" t="s">
        <v>789</v>
      </c>
      <c r="D474" s="60">
        <v>0</v>
      </c>
      <c r="E474" s="61">
        <f t="shared" si="84"/>
        <v>0</v>
      </c>
      <c r="F474" s="60">
        <v>0</v>
      </c>
      <c r="G474" s="61">
        <f t="shared" si="85"/>
        <v>0</v>
      </c>
      <c r="H474" s="60">
        <v>0</v>
      </c>
      <c r="I474" s="61">
        <f t="shared" si="86"/>
        <v>0</v>
      </c>
      <c r="J474" s="60">
        <v>4</v>
      </c>
      <c r="K474" s="61">
        <f t="shared" si="87"/>
        <v>400</v>
      </c>
      <c r="L474" s="62"/>
      <c r="M474" s="61">
        <f t="shared" si="88"/>
        <v>0</v>
      </c>
      <c r="N474" s="63">
        <v>0</v>
      </c>
      <c r="O474" s="61">
        <f t="shared" si="89"/>
        <v>0</v>
      </c>
      <c r="P474" s="60">
        <v>0</v>
      </c>
      <c r="Q474" s="61">
        <f t="shared" si="90"/>
        <v>0</v>
      </c>
      <c r="R474" s="60">
        <v>0</v>
      </c>
      <c r="S474" s="61">
        <f t="shared" si="91"/>
        <v>0</v>
      </c>
      <c r="T474" s="60">
        <v>0</v>
      </c>
      <c r="U474" s="64">
        <f t="shared" si="92"/>
        <v>0</v>
      </c>
      <c r="V474" s="65">
        <v>0</v>
      </c>
      <c r="W474" s="66">
        <f t="shared" si="93"/>
        <v>400</v>
      </c>
      <c r="X474" s="67">
        <f t="shared" si="94"/>
        <v>0.4</v>
      </c>
      <c r="Y474" s="57" t="str">
        <f t="shared" si="95"/>
        <v>STOCK</v>
      </c>
      <c r="Z474" s="68" t="s">
        <v>1538</v>
      </c>
    </row>
    <row r="475" spans="1:26" s="8" customFormat="1" ht="20.100000000000001" customHeight="1" x14ac:dyDescent="0.25">
      <c r="A475" s="59" t="s">
        <v>1060</v>
      </c>
      <c r="B475" s="84">
        <v>473</v>
      </c>
      <c r="C475" s="85" t="s">
        <v>790</v>
      </c>
      <c r="D475" s="60">
        <v>0</v>
      </c>
      <c r="E475" s="61">
        <f t="shared" si="84"/>
        <v>0</v>
      </c>
      <c r="F475" s="60">
        <v>0</v>
      </c>
      <c r="G475" s="61">
        <f t="shared" si="85"/>
        <v>0</v>
      </c>
      <c r="H475" s="60">
        <v>0</v>
      </c>
      <c r="I475" s="61">
        <f t="shared" si="86"/>
        <v>0</v>
      </c>
      <c r="J475" s="60">
        <v>0</v>
      </c>
      <c r="K475" s="61">
        <f t="shared" si="87"/>
        <v>0</v>
      </c>
      <c r="L475" s="62"/>
      <c r="M475" s="61">
        <f t="shared" si="88"/>
        <v>0</v>
      </c>
      <c r="N475" s="63">
        <v>0</v>
      </c>
      <c r="O475" s="61">
        <f t="shared" si="89"/>
        <v>0</v>
      </c>
      <c r="P475" s="60">
        <v>0</v>
      </c>
      <c r="Q475" s="61">
        <f t="shared" si="90"/>
        <v>0</v>
      </c>
      <c r="R475" s="60">
        <v>4</v>
      </c>
      <c r="S475" s="61">
        <f t="shared" si="91"/>
        <v>10000</v>
      </c>
      <c r="T475" s="60">
        <v>0</v>
      </c>
      <c r="U475" s="64">
        <f t="shared" si="92"/>
        <v>0</v>
      </c>
      <c r="V475" s="65">
        <v>0</v>
      </c>
      <c r="W475" s="66">
        <f t="shared" si="93"/>
        <v>10000</v>
      </c>
      <c r="X475" s="67">
        <f t="shared" si="94"/>
        <v>10</v>
      </c>
      <c r="Y475" s="57" t="str">
        <f t="shared" si="95"/>
        <v>STOCK</v>
      </c>
      <c r="Z475" s="68" t="s">
        <v>1538</v>
      </c>
    </row>
    <row r="476" spans="1:26" s="8" customFormat="1" ht="20.100000000000001" customHeight="1" x14ac:dyDescent="0.25">
      <c r="A476" s="59" t="s">
        <v>1061</v>
      </c>
      <c r="B476" s="84">
        <v>474</v>
      </c>
      <c r="C476" s="85" t="s">
        <v>791</v>
      </c>
      <c r="D476" s="60">
        <v>0</v>
      </c>
      <c r="E476" s="61">
        <f t="shared" si="84"/>
        <v>0</v>
      </c>
      <c r="F476" s="60">
        <v>0</v>
      </c>
      <c r="G476" s="61">
        <f t="shared" si="85"/>
        <v>0</v>
      </c>
      <c r="H476" s="60">
        <v>0</v>
      </c>
      <c r="I476" s="61">
        <f t="shared" si="86"/>
        <v>0</v>
      </c>
      <c r="J476" s="60">
        <v>0</v>
      </c>
      <c r="K476" s="61">
        <f t="shared" si="87"/>
        <v>0</v>
      </c>
      <c r="L476" s="62"/>
      <c r="M476" s="61">
        <f t="shared" si="88"/>
        <v>0</v>
      </c>
      <c r="N476" s="63">
        <v>0</v>
      </c>
      <c r="O476" s="61">
        <f t="shared" si="89"/>
        <v>0</v>
      </c>
      <c r="P476" s="60">
        <v>0</v>
      </c>
      <c r="Q476" s="61">
        <f t="shared" si="90"/>
        <v>0</v>
      </c>
      <c r="R476" s="60">
        <v>0</v>
      </c>
      <c r="S476" s="61">
        <f t="shared" si="91"/>
        <v>0</v>
      </c>
      <c r="T476" s="60">
        <v>0</v>
      </c>
      <c r="U476" s="64">
        <f t="shared" si="92"/>
        <v>0</v>
      </c>
      <c r="V476" s="65">
        <v>0</v>
      </c>
      <c r="W476" s="66">
        <f t="shared" si="93"/>
        <v>0</v>
      </c>
      <c r="X476" s="67">
        <f t="shared" si="94"/>
        <v>0</v>
      </c>
      <c r="Y476" s="57" t="str">
        <f t="shared" si="95"/>
        <v>NIL PLEASE PURCHASE</v>
      </c>
      <c r="Z476" s="68" t="s">
        <v>1539</v>
      </c>
    </row>
    <row r="477" spans="1:26" s="8" customFormat="1" ht="20.100000000000001" customHeight="1" x14ac:dyDescent="0.25">
      <c r="A477" s="59" t="s">
        <v>1062</v>
      </c>
      <c r="B477" s="84">
        <v>475</v>
      </c>
      <c r="C477" s="85" t="s">
        <v>792</v>
      </c>
      <c r="D477" s="60">
        <v>0</v>
      </c>
      <c r="E477" s="61">
        <f t="shared" si="84"/>
        <v>0</v>
      </c>
      <c r="F477" s="60">
        <v>0</v>
      </c>
      <c r="G477" s="61">
        <f t="shared" si="85"/>
        <v>0</v>
      </c>
      <c r="H477" s="60">
        <v>0</v>
      </c>
      <c r="I477" s="61">
        <f t="shared" si="86"/>
        <v>0</v>
      </c>
      <c r="J477" s="60">
        <v>0</v>
      </c>
      <c r="K477" s="61">
        <f t="shared" si="87"/>
        <v>0</v>
      </c>
      <c r="L477" s="62"/>
      <c r="M477" s="61">
        <f t="shared" si="88"/>
        <v>0</v>
      </c>
      <c r="N477" s="63">
        <v>0</v>
      </c>
      <c r="O477" s="61">
        <f t="shared" si="89"/>
        <v>0</v>
      </c>
      <c r="P477" s="60">
        <v>0</v>
      </c>
      <c r="Q477" s="61">
        <f t="shared" si="90"/>
        <v>0</v>
      </c>
      <c r="R477" s="60">
        <v>0</v>
      </c>
      <c r="S477" s="61">
        <f t="shared" si="91"/>
        <v>0</v>
      </c>
      <c r="T477" s="60">
        <v>0</v>
      </c>
      <c r="U477" s="64">
        <f t="shared" si="92"/>
        <v>0</v>
      </c>
      <c r="V477" s="65">
        <v>0</v>
      </c>
      <c r="W477" s="66">
        <f t="shared" si="93"/>
        <v>0</v>
      </c>
      <c r="X477" s="67">
        <f t="shared" si="94"/>
        <v>0</v>
      </c>
      <c r="Y477" s="57" t="str">
        <f t="shared" si="95"/>
        <v>NIL PLEASE PURCHASE</v>
      </c>
      <c r="Z477" s="68" t="s">
        <v>1539</v>
      </c>
    </row>
    <row r="478" spans="1:26" s="8" customFormat="1" ht="20.100000000000001" customHeight="1" x14ac:dyDescent="0.25">
      <c r="A478" s="59" t="s">
        <v>1063</v>
      </c>
      <c r="B478" s="84">
        <v>476</v>
      </c>
      <c r="C478" s="85" t="s">
        <v>793</v>
      </c>
      <c r="D478" s="60">
        <v>0</v>
      </c>
      <c r="E478" s="61">
        <f t="shared" si="84"/>
        <v>0</v>
      </c>
      <c r="F478" s="60">
        <v>0</v>
      </c>
      <c r="G478" s="61">
        <f t="shared" si="85"/>
        <v>0</v>
      </c>
      <c r="H478" s="60">
        <v>0</v>
      </c>
      <c r="I478" s="61">
        <f t="shared" si="86"/>
        <v>0</v>
      </c>
      <c r="J478" s="60">
        <v>0</v>
      </c>
      <c r="K478" s="61">
        <f t="shared" si="87"/>
        <v>0</v>
      </c>
      <c r="L478" s="62"/>
      <c r="M478" s="61">
        <f t="shared" si="88"/>
        <v>0</v>
      </c>
      <c r="N478" s="63">
        <v>0</v>
      </c>
      <c r="O478" s="61">
        <f t="shared" si="89"/>
        <v>0</v>
      </c>
      <c r="P478" s="60">
        <v>0</v>
      </c>
      <c r="Q478" s="61">
        <f t="shared" si="90"/>
        <v>0</v>
      </c>
      <c r="R478" s="60">
        <v>0</v>
      </c>
      <c r="S478" s="61">
        <f t="shared" si="91"/>
        <v>0</v>
      </c>
      <c r="T478" s="60">
        <v>0</v>
      </c>
      <c r="U478" s="64">
        <f t="shared" si="92"/>
        <v>0</v>
      </c>
      <c r="V478" s="65">
        <v>0</v>
      </c>
      <c r="W478" s="66">
        <f t="shared" si="93"/>
        <v>0</v>
      </c>
      <c r="X478" s="67">
        <f t="shared" si="94"/>
        <v>0</v>
      </c>
      <c r="Y478" s="57" t="str">
        <f t="shared" si="95"/>
        <v>NIL PLEASE PURCHASE</v>
      </c>
      <c r="Z478" s="68" t="s">
        <v>1538</v>
      </c>
    </row>
    <row r="479" spans="1:26" s="8" customFormat="1" ht="20.100000000000001" customHeight="1" x14ac:dyDescent="0.25">
      <c r="A479" s="59" t="s">
        <v>1064</v>
      </c>
      <c r="B479" s="84">
        <v>477</v>
      </c>
      <c r="C479" s="85" t="s">
        <v>794</v>
      </c>
      <c r="D479" s="60">
        <v>0</v>
      </c>
      <c r="E479" s="61">
        <f t="shared" si="84"/>
        <v>0</v>
      </c>
      <c r="F479" s="60">
        <v>0</v>
      </c>
      <c r="G479" s="61">
        <f t="shared" si="85"/>
        <v>0</v>
      </c>
      <c r="H479" s="60">
        <v>0</v>
      </c>
      <c r="I479" s="61">
        <f t="shared" si="86"/>
        <v>0</v>
      </c>
      <c r="J479" s="60">
        <v>0</v>
      </c>
      <c r="K479" s="61">
        <f t="shared" si="87"/>
        <v>0</v>
      </c>
      <c r="L479" s="62"/>
      <c r="M479" s="61">
        <f t="shared" si="88"/>
        <v>0</v>
      </c>
      <c r="N479" s="63">
        <v>0</v>
      </c>
      <c r="O479" s="61">
        <f t="shared" si="89"/>
        <v>0</v>
      </c>
      <c r="P479" s="60">
        <v>0</v>
      </c>
      <c r="Q479" s="61">
        <f t="shared" si="90"/>
        <v>0</v>
      </c>
      <c r="R479" s="60">
        <v>0</v>
      </c>
      <c r="S479" s="61">
        <f t="shared" si="91"/>
        <v>0</v>
      </c>
      <c r="T479" s="60">
        <v>0</v>
      </c>
      <c r="U479" s="64">
        <f t="shared" si="92"/>
        <v>0</v>
      </c>
      <c r="V479" s="65">
        <v>0</v>
      </c>
      <c r="W479" s="66">
        <f t="shared" si="93"/>
        <v>0</v>
      </c>
      <c r="X479" s="67">
        <f t="shared" si="94"/>
        <v>0</v>
      </c>
      <c r="Y479" s="57" t="str">
        <f t="shared" si="95"/>
        <v>NIL PLEASE PURCHASE</v>
      </c>
      <c r="Z479" s="68" t="s">
        <v>1539</v>
      </c>
    </row>
    <row r="480" spans="1:26" s="8" customFormat="1" ht="20.100000000000001" customHeight="1" x14ac:dyDescent="0.25">
      <c r="A480" s="59" t="s">
        <v>1065</v>
      </c>
      <c r="B480" s="84">
        <v>478</v>
      </c>
      <c r="C480" s="85" t="s">
        <v>795</v>
      </c>
      <c r="D480" s="60">
        <v>0</v>
      </c>
      <c r="E480" s="61">
        <f t="shared" si="84"/>
        <v>0</v>
      </c>
      <c r="F480" s="60">
        <v>0</v>
      </c>
      <c r="G480" s="61">
        <f t="shared" si="85"/>
        <v>0</v>
      </c>
      <c r="H480" s="60">
        <v>0</v>
      </c>
      <c r="I480" s="61">
        <f t="shared" si="86"/>
        <v>0</v>
      </c>
      <c r="J480" s="60">
        <v>0</v>
      </c>
      <c r="K480" s="61">
        <f t="shared" si="87"/>
        <v>0</v>
      </c>
      <c r="L480" s="62">
        <v>1</v>
      </c>
      <c r="M480" s="61">
        <f t="shared" si="88"/>
        <v>250</v>
      </c>
      <c r="N480" s="63">
        <v>3</v>
      </c>
      <c r="O480" s="61">
        <f t="shared" si="89"/>
        <v>1500</v>
      </c>
      <c r="P480" s="60">
        <v>0</v>
      </c>
      <c r="Q480" s="61">
        <f t="shared" si="90"/>
        <v>0</v>
      </c>
      <c r="R480" s="60">
        <v>0</v>
      </c>
      <c r="S480" s="61">
        <f t="shared" si="91"/>
        <v>0</v>
      </c>
      <c r="T480" s="60">
        <v>0</v>
      </c>
      <c r="U480" s="64">
        <f t="shared" si="92"/>
        <v>0</v>
      </c>
      <c r="V480" s="65">
        <v>0</v>
      </c>
      <c r="W480" s="66">
        <f t="shared" si="93"/>
        <v>1750</v>
      </c>
      <c r="X480" s="67">
        <f t="shared" si="94"/>
        <v>1.75</v>
      </c>
      <c r="Y480" s="57" t="str">
        <f t="shared" si="95"/>
        <v>STOCK</v>
      </c>
      <c r="Z480" s="68" t="s">
        <v>1538</v>
      </c>
    </row>
    <row r="481" spans="1:26" s="8" customFormat="1" ht="20.100000000000001" customHeight="1" x14ac:dyDescent="0.25">
      <c r="A481" s="59" t="s">
        <v>1066</v>
      </c>
      <c r="B481" s="84">
        <v>479</v>
      </c>
      <c r="C481" s="85" t="s">
        <v>796</v>
      </c>
      <c r="D481" s="60">
        <v>0</v>
      </c>
      <c r="E481" s="61">
        <f t="shared" si="84"/>
        <v>0</v>
      </c>
      <c r="F481" s="60">
        <v>0</v>
      </c>
      <c r="G481" s="61">
        <f t="shared" si="85"/>
        <v>0</v>
      </c>
      <c r="H481" s="60">
        <v>0</v>
      </c>
      <c r="I481" s="61">
        <f t="shared" si="86"/>
        <v>0</v>
      </c>
      <c r="J481" s="60">
        <v>0</v>
      </c>
      <c r="K481" s="61">
        <f t="shared" si="87"/>
        <v>0</v>
      </c>
      <c r="L481" s="62"/>
      <c r="M481" s="61">
        <f t="shared" si="88"/>
        <v>0</v>
      </c>
      <c r="N481" s="63">
        <v>0</v>
      </c>
      <c r="O481" s="61">
        <f t="shared" si="89"/>
        <v>0</v>
      </c>
      <c r="P481" s="60">
        <v>0</v>
      </c>
      <c r="Q481" s="61">
        <f t="shared" si="90"/>
        <v>0</v>
      </c>
      <c r="R481" s="60">
        <v>0</v>
      </c>
      <c r="S481" s="61">
        <f t="shared" si="91"/>
        <v>0</v>
      </c>
      <c r="T481" s="60">
        <v>0</v>
      </c>
      <c r="U481" s="64">
        <f t="shared" si="92"/>
        <v>0</v>
      </c>
      <c r="V481" s="65">
        <v>0</v>
      </c>
      <c r="W481" s="66">
        <f t="shared" si="93"/>
        <v>0</v>
      </c>
      <c r="X481" s="67">
        <f t="shared" si="94"/>
        <v>0</v>
      </c>
      <c r="Y481" s="57" t="str">
        <f t="shared" si="95"/>
        <v>NIL PLEASE PURCHASE</v>
      </c>
      <c r="Z481" s="68" t="s">
        <v>1539</v>
      </c>
    </row>
    <row r="482" spans="1:26" s="8" customFormat="1" ht="20.100000000000001" customHeight="1" x14ac:dyDescent="0.25">
      <c r="A482" s="59" t="s">
        <v>1067</v>
      </c>
      <c r="B482" s="84">
        <v>480</v>
      </c>
      <c r="C482" s="85" t="s">
        <v>797</v>
      </c>
      <c r="D482" s="60">
        <v>0</v>
      </c>
      <c r="E482" s="61">
        <f t="shared" si="84"/>
        <v>0</v>
      </c>
      <c r="F482" s="60">
        <v>0</v>
      </c>
      <c r="G482" s="61">
        <f t="shared" si="85"/>
        <v>0</v>
      </c>
      <c r="H482" s="60">
        <v>0</v>
      </c>
      <c r="I482" s="61">
        <f t="shared" si="86"/>
        <v>0</v>
      </c>
      <c r="J482" s="60">
        <v>0</v>
      </c>
      <c r="K482" s="61">
        <f t="shared" si="87"/>
        <v>0</v>
      </c>
      <c r="L482" s="62"/>
      <c r="M482" s="61">
        <f t="shared" si="88"/>
        <v>0</v>
      </c>
      <c r="N482" s="63">
        <v>3</v>
      </c>
      <c r="O482" s="61">
        <f t="shared" si="89"/>
        <v>1500</v>
      </c>
      <c r="P482" s="60">
        <v>0</v>
      </c>
      <c r="Q482" s="61">
        <f t="shared" si="90"/>
        <v>0</v>
      </c>
      <c r="R482" s="60">
        <v>0</v>
      </c>
      <c r="S482" s="61">
        <f t="shared" si="91"/>
        <v>0</v>
      </c>
      <c r="T482" s="60">
        <v>0</v>
      </c>
      <c r="U482" s="64">
        <f t="shared" si="92"/>
        <v>0</v>
      </c>
      <c r="V482" s="65">
        <v>0</v>
      </c>
      <c r="W482" s="66">
        <f t="shared" si="93"/>
        <v>1500</v>
      </c>
      <c r="X482" s="67">
        <f t="shared" si="94"/>
        <v>1.5</v>
      </c>
      <c r="Y482" s="57" t="str">
        <f t="shared" si="95"/>
        <v>STOCK</v>
      </c>
      <c r="Z482" s="68" t="s">
        <v>1538</v>
      </c>
    </row>
    <row r="483" spans="1:26" s="8" customFormat="1" ht="20.100000000000001" customHeight="1" x14ac:dyDescent="0.25">
      <c r="A483" s="59" t="s">
        <v>1068</v>
      </c>
      <c r="B483" s="84">
        <v>481</v>
      </c>
      <c r="C483" s="85" t="s">
        <v>798</v>
      </c>
      <c r="D483" s="60">
        <v>0</v>
      </c>
      <c r="E483" s="61">
        <f t="shared" si="84"/>
        <v>0</v>
      </c>
      <c r="F483" s="60">
        <v>0</v>
      </c>
      <c r="G483" s="61">
        <f t="shared" si="85"/>
        <v>0</v>
      </c>
      <c r="H483" s="60">
        <v>0</v>
      </c>
      <c r="I483" s="61">
        <f t="shared" si="86"/>
        <v>0</v>
      </c>
      <c r="J483" s="60">
        <v>0</v>
      </c>
      <c r="K483" s="61">
        <f t="shared" si="87"/>
        <v>0</v>
      </c>
      <c r="L483" s="62"/>
      <c r="M483" s="61">
        <f t="shared" si="88"/>
        <v>0</v>
      </c>
      <c r="N483" s="63">
        <v>1</v>
      </c>
      <c r="O483" s="61">
        <f t="shared" si="89"/>
        <v>500</v>
      </c>
      <c r="P483" s="60">
        <v>0</v>
      </c>
      <c r="Q483" s="61">
        <f t="shared" si="90"/>
        <v>0</v>
      </c>
      <c r="R483" s="60">
        <v>0</v>
      </c>
      <c r="S483" s="61">
        <f t="shared" si="91"/>
        <v>0</v>
      </c>
      <c r="T483" s="60">
        <v>0</v>
      </c>
      <c r="U483" s="64">
        <f t="shared" si="92"/>
        <v>0</v>
      </c>
      <c r="V483" s="65">
        <v>0</v>
      </c>
      <c r="W483" s="66">
        <f t="shared" si="93"/>
        <v>500</v>
      </c>
      <c r="X483" s="67">
        <f t="shared" si="94"/>
        <v>0.5</v>
      </c>
      <c r="Y483" s="57" t="str">
        <f t="shared" si="95"/>
        <v>STOCK</v>
      </c>
      <c r="Z483" s="68" t="s">
        <v>1538</v>
      </c>
    </row>
    <row r="484" spans="1:26" s="8" customFormat="1" ht="20.100000000000001" customHeight="1" x14ac:dyDescent="0.25">
      <c r="A484" s="59" t="s">
        <v>1069</v>
      </c>
      <c r="B484" s="84">
        <v>482</v>
      </c>
      <c r="C484" s="85" t="s">
        <v>799</v>
      </c>
      <c r="D484" s="60">
        <v>0</v>
      </c>
      <c r="E484" s="61">
        <f t="shared" si="84"/>
        <v>0</v>
      </c>
      <c r="F484" s="60">
        <v>0</v>
      </c>
      <c r="G484" s="61">
        <f t="shared" si="85"/>
        <v>0</v>
      </c>
      <c r="H484" s="60">
        <v>0</v>
      </c>
      <c r="I484" s="61">
        <f t="shared" si="86"/>
        <v>0</v>
      </c>
      <c r="J484" s="60">
        <v>0</v>
      </c>
      <c r="K484" s="61">
        <f t="shared" si="87"/>
        <v>0</v>
      </c>
      <c r="L484" s="62"/>
      <c r="M484" s="61">
        <f t="shared" si="88"/>
        <v>0</v>
      </c>
      <c r="N484" s="63">
        <v>1</v>
      </c>
      <c r="O484" s="61">
        <f t="shared" si="89"/>
        <v>500</v>
      </c>
      <c r="P484" s="60">
        <v>0</v>
      </c>
      <c r="Q484" s="61">
        <f t="shared" si="90"/>
        <v>0</v>
      </c>
      <c r="R484" s="60">
        <v>0</v>
      </c>
      <c r="S484" s="61">
        <f t="shared" si="91"/>
        <v>0</v>
      </c>
      <c r="T484" s="60">
        <v>0</v>
      </c>
      <c r="U484" s="64">
        <f t="shared" si="92"/>
        <v>0</v>
      </c>
      <c r="V484" s="65">
        <v>0</v>
      </c>
      <c r="W484" s="66">
        <f t="shared" si="93"/>
        <v>500</v>
      </c>
      <c r="X484" s="67">
        <f t="shared" si="94"/>
        <v>0.5</v>
      </c>
      <c r="Y484" s="57" t="str">
        <f t="shared" si="95"/>
        <v>STOCK</v>
      </c>
      <c r="Z484" s="68" t="s">
        <v>1538</v>
      </c>
    </row>
    <row r="485" spans="1:26" s="8" customFormat="1" ht="20.100000000000001" customHeight="1" x14ac:dyDescent="0.25">
      <c r="A485" s="59" t="s">
        <v>1070</v>
      </c>
      <c r="B485" s="84">
        <v>483</v>
      </c>
      <c r="C485" s="85" t="s">
        <v>800</v>
      </c>
      <c r="D485" s="60">
        <v>0</v>
      </c>
      <c r="E485" s="61">
        <f t="shared" si="84"/>
        <v>0</v>
      </c>
      <c r="F485" s="60">
        <v>0</v>
      </c>
      <c r="G485" s="61">
        <f t="shared" si="85"/>
        <v>0</v>
      </c>
      <c r="H485" s="60">
        <v>0</v>
      </c>
      <c r="I485" s="61">
        <f t="shared" si="86"/>
        <v>0</v>
      </c>
      <c r="J485" s="60">
        <v>0</v>
      </c>
      <c r="K485" s="61">
        <f t="shared" si="87"/>
        <v>0</v>
      </c>
      <c r="L485" s="62">
        <v>1</v>
      </c>
      <c r="M485" s="61">
        <f t="shared" si="88"/>
        <v>250</v>
      </c>
      <c r="N485" s="63">
        <v>0</v>
      </c>
      <c r="O485" s="61">
        <f t="shared" si="89"/>
        <v>0</v>
      </c>
      <c r="P485" s="60">
        <v>0</v>
      </c>
      <c r="Q485" s="61">
        <f t="shared" si="90"/>
        <v>0</v>
      </c>
      <c r="R485" s="60">
        <v>0</v>
      </c>
      <c r="S485" s="61">
        <f t="shared" si="91"/>
        <v>0</v>
      </c>
      <c r="T485" s="60">
        <v>0</v>
      </c>
      <c r="U485" s="64">
        <f t="shared" si="92"/>
        <v>0</v>
      </c>
      <c r="V485" s="65">
        <v>0</v>
      </c>
      <c r="W485" s="66">
        <f t="shared" si="93"/>
        <v>250</v>
      </c>
      <c r="X485" s="67">
        <f t="shared" si="94"/>
        <v>0.25</v>
      </c>
      <c r="Y485" s="57" t="str">
        <f t="shared" si="95"/>
        <v>STOCK</v>
      </c>
      <c r="Z485" s="68" t="s">
        <v>1538</v>
      </c>
    </row>
    <row r="486" spans="1:26" s="8" customFormat="1" ht="20.100000000000001" customHeight="1" x14ac:dyDescent="0.25">
      <c r="A486" s="59" t="s">
        <v>1071</v>
      </c>
      <c r="B486" s="84">
        <v>484</v>
      </c>
      <c r="C486" s="85" t="s">
        <v>801</v>
      </c>
      <c r="D486" s="60">
        <v>0</v>
      </c>
      <c r="E486" s="61">
        <f t="shared" si="84"/>
        <v>0</v>
      </c>
      <c r="F486" s="60">
        <v>0</v>
      </c>
      <c r="G486" s="61">
        <f t="shared" si="85"/>
        <v>0</v>
      </c>
      <c r="H486" s="60">
        <v>0</v>
      </c>
      <c r="I486" s="61">
        <f t="shared" si="86"/>
        <v>0</v>
      </c>
      <c r="J486" s="60">
        <v>0</v>
      </c>
      <c r="K486" s="61">
        <f t="shared" si="87"/>
        <v>0</v>
      </c>
      <c r="L486" s="62">
        <v>1</v>
      </c>
      <c r="M486" s="61">
        <f t="shared" si="88"/>
        <v>250</v>
      </c>
      <c r="N486" s="63">
        <v>0</v>
      </c>
      <c r="O486" s="61">
        <f t="shared" si="89"/>
        <v>0</v>
      </c>
      <c r="P486" s="60">
        <v>0</v>
      </c>
      <c r="Q486" s="61">
        <f t="shared" si="90"/>
        <v>0</v>
      </c>
      <c r="R486" s="60">
        <v>0</v>
      </c>
      <c r="S486" s="61">
        <f t="shared" si="91"/>
        <v>0</v>
      </c>
      <c r="T486" s="60">
        <v>0</v>
      </c>
      <c r="U486" s="64">
        <f t="shared" si="92"/>
        <v>0</v>
      </c>
      <c r="V486" s="65">
        <v>0</v>
      </c>
      <c r="W486" s="66">
        <f t="shared" si="93"/>
        <v>250</v>
      </c>
      <c r="X486" s="67">
        <f t="shared" si="94"/>
        <v>0.25</v>
      </c>
      <c r="Y486" s="57" t="str">
        <f t="shared" si="95"/>
        <v>STOCK</v>
      </c>
      <c r="Z486" s="68" t="s">
        <v>1539</v>
      </c>
    </row>
    <row r="487" spans="1:26" s="8" customFormat="1" ht="20.100000000000001" customHeight="1" x14ac:dyDescent="0.25">
      <c r="A487" s="59" t="s">
        <v>1072</v>
      </c>
      <c r="B487" s="84">
        <v>485</v>
      </c>
      <c r="C487" s="85" t="s">
        <v>802</v>
      </c>
      <c r="D487" s="60">
        <v>0</v>
      </c>
      <c r="E487" s="61">
        <f t="shared" si="84"/>
        <v>0</v>
      </c>
      <c r="F487" s="60">
        <v>0</v>
      </c>
      <c r="G487" s="61">
        <f t="shared" si="85"/>
        <v>0</v>
      </c>
      <c r="H487" s="60">
        <v>0</v>
      </c>
      <c r="I487" s="61">
        <f t="shared" si="86"/>
        <v>0</v>
      </c>
      <c r="J487" s="60">
        <v>0</v>
      </c>
      <c r="K487" s="61">
        <f t="shared" si="87"/>
        <v>0</v>
      </c>
      <c r="L487" s="62"/>
      <c r="M487" s="61">
        <f t="shared" si="88"/>
        <v>0</v>
      </c>
      <c r="N487" s="63">
        <v>0</v>
      </c>
      <c r="O487" s="61">
        <f t="shared" si="89"/>
        <v>0</v>
      </c>
      <c r="P487" s="60">
        <v>0</v>
      </c>
      <c r="Q487" s="61">
        <f t="shared" si="90"/>
        <v>0</v>
      </c>
      <c r="R487" s="60">
        <v>0</v>
      </c>
      <c r="S487" s="61">
        <f t="shared" si="91"/>
        <v>0</v>
      </c>
      <c r="T487" s="60">
        <v>0</v>
      </c>
      <c r="U487" s="64">
        <f t="shared" si="92"/>
        <v>0</v>
      </c>
      <c r="V487" s="65">
        <v>0</v>
      </c>
      <c r="W487" s="66">
        <f t="shared" si="93"/>
        <v>0</v>
      </c>
      <c r="X487" s="67">
        <f t="shared" si="94"/>
        <v>0</v>
      </c>
      <c r="Y487" s="57" t="str">
        <f t="shared" si="95"/>
        <v>NIL PLEASE PURCHASE</v>
      </c>
      <c r="Z487" s="68" t="s">
        <v>1539</v>
      </c>
    </row>
    <row r="488" spans="1:26" s="8" customFormat="1" ht="20.100000000000001" customHeight="1" x14ac:dyDescent="0.25">
      <c r="A488" s="59" t="s">
        <v>1073</v>
      </c>
      <c r="B488" s="84">
        <v>486</v>
      </c>
      <c r="C488" s="85" t="s">
        <v>803</v>
      </c>
      <c r="D488" s="60">
        <v>0</v>
      </c>
      <c r="E488" s="61">
        <f t="shared" si="84"/>
        <v>0</v>
      </c>
      <c r="F488" s="60">
        <v>0</v>
      </c>
      <c r="G488" s="61">
        <f t="shared" si="85"/>
        <v>0</v>
      </c>
      <c r="H488" s="60">
        <v>0</v>
      </c>
      <c r="I488" s="61">
        <f t="shared" si="86"/>
        <v>0</v>
      </c>
      <c r="J488" s="60">
        <v>0</v>
      </c>
      <c r="K488" s="61">
        <f t="shared" si="87"/>
        <v>0</v>
      </c>
      <c r="L488" s="62">
        <v>2</v>
      </c>
      <c r="M488" s="61">
        <f t="shared" si="88"/>
        <v>500</v>
      </c>
      <c r="N488" s="63">
        <v>0</v>
      </c>
      <c r="O488" s="61">
        <f t="shared" si="89"/>
        <v>0</v>
      </c>
      <c r="P488" s="60">
        <v>0</v>
      </c>
      <c r="Q488" s="61">
        <f t="shared" si="90"/>
        <v>0</v>
      </c>
      <c r="R488" s="60">
        <v>0</v>
      </c>
      <c r="S488" s="61">
        <f t="shared" si="91"/>
        <v>0</v>
      </c>
      <c r="T488" s="60">
        <v>0</v>
      </c>
      <c r="U488" s="64">
        <f t="shared" si="92"/>
        <v>0</v>
      </c>
      <c r="V488" s="65">
        <v>0</v>
      </c>
      <c r="W488" s="66">
        <f t="shared" si="93"/>
        <v>500</v>
      </c>
      <c r="X488" s="67">
        <f t="shared" si="94"/>
        <v>0.5</v>
      </c>
      <c r="Y488" s="57" t="str">
        <f t="shared" si="95"/>
        <v>STOCK</v>
      </c>
      <c r="Z488" s="68" t="s">
        <v>1538</v>
      </c>
    </row>
    <row r="489" spans="1:26" s="8" customFormat="1" ht="20.100000000000001" customHeight="1" x14ac:dyDescent="0.25">
      <c r="A489" s="59" t="s">
        <v>1074</v>
      </c>
      <c r="B489" s="84">
        <v>487</v>
      </c>
      <c r="C489" s="85" t="s">
        <v>804</v>
      </c>
      <c r="D489" s="60">
        <v>0</v>
      </c>
      <c r="E489" s="61">
        <f t="shared" si="84"/>
        <v>0</v>
      </c>
      <c r="F489" s="60">
        <v>0</v>
      </c>
      <c r="G489" s="61">
        <f t="shared" si="85"/>
        <v>0</v>
      </c>
      <c r="H489" s="60">
        <v>0</v>
      </c>
      <c r="I489" s="61">
        <f t="shared" si="86"/>
        <v>0</v>
      </c>
      <c r="J489" s="60">
        <v>0</v>
      </c>
      <c r="K489" s="61">
        <f t="shared" si="87"/>
        <v>0</v>
      </c>
      <c r="L489" s="62"/>
      <c r="M489" s="61">
        <f t="shared" si="88"/>
        <v>0</v>
      </c>
      <c r="N489" s="63">
        <v>3</v>
      </c>
      <c r="O489" s="61">
        <f t="shared" si="89"/>
        <v>1500</v>
      </c>
      <c r="P489" s="60">
        <v>0</v>
      </c>
      <c r="Q489" s="61">
        <f t="shared" si="90"/>
        <v>0</v>
      </c>
      <c r="R489" s="60">
        <v>0</v>
      </c>
      <c r="S489" s="61">
        <f t="shared" si="91"/>
        <v>0</v>
      </c>
      <c r="T489" s="60">
        <v>0</v>
      </c>
      <c r="U489" s="64">
        <f t="shared" si="92"/>
        <v>0</v>
      </c>
      <c r="V489" s="65">
        <v>0</v>
      </c>
      <c r="W489" s="66">
        <f t="shared" si="93"/>
        <v>1500</v>
      </c>
      <c r="X489" s="67">
        <f t="shared" si="94"/>
        <v>1.5</v>
      </c>
      <c r="Y489" s="57" t="str">
        <f t="shared" si="95"/>
        <v>STOCK</v>
      </c>
      <c r="Z489" s="68" t="s">
        <v>1538</v>
      </c>
    </row>
    <row r="490" spans="1:26" s="8" customFormat="1" ht="20.100000000000001" customHeight="1" x14ac:dyDescent="0.25">
      <c r="A490" s="59" t="s">
        <v>1075</v>
      </c>
      <c r="B490" s="84">
        <v>488</v>
      </c>
      <c r="C490" s="85" t="s">
        <v>805</v>
      </c>
      <c r="D490" s="60">
        <v>0</v>
      </c>
      <c r="E490" s="61">
        <f t="shared" si="84"/>
        <v>0</v>
      </c>
      <c r="F490" s="60">
        <v>0</v>
      </c>
      <c r="G490" s="61">
        <f t="shared" si="85"/>
        <v>0</v>
      </c>
      <c r="H490" s="60">
        <v>0</v>
      </c>
      <c r="I490" s="61">
        <f t="shared" si="86"/>
        <v>0</v>
      </c>
      <c r="J490" s="60">
        <v>1</v>
      </c>
      <c r="K490" s="61">
        <f t="shared" si="87"/>
        <v>100</v>
      </c>
      <c r="L490" s="62"/>
      <c r="M490" s="61">
        <f t="shared" si="88"/>
        <v>0</v>
      </c>
      <c r="N490" s="63">
        <v>0</v>
      </c>
      <c r="O490" s="61">
        <f t="shared" si="89"/>
        <v>0</v>
      </c>
      <c r="P490" s="60">
        <v>0</v>
      </c>
      <c r="Q490" s="61">
        <f t="shared" si="90"/>
        <v>0</v>
      </c>
      <c r="R490" s="60">
        <v>0</v>
      </c>
      <c r="S490" s="61">
        <f t="shared" si="91"/>
        <v>0</v>
      </c>
      <c r="T490" s="60">
        <v>0</v>
      </c>
      <c r="U490" s="64">
        <f t="shared" si="92"/>
        <v>0</v>
      </c>
      <c r="V490" s="65">
        <v>0</v>
      </c>
      <c r="W490" s="66">
        <f t="shared" si="93"/>
        <v>100</v>
      </c>
      <c r="X490" s="67">
        <f t="shared" si="94"/>
        <v>0.1</v>
      </c>
      <c r="Y490" s="57" t="str">
        <f t="shared" si="95"/>
        <v>STOCK</v>
      </c>
      <c r="Z490" s="68" t="s">
        <v>1538</v>
      </c>
    </row>
    <row r="491" spans="1:26" s="8" customFormat="1" ht="20.100000000000001" customHeight="1" x14ac:dyDescent="0.25">
      <c r="A491" s="59" t="s">
        <v>1076</v>
      </c>
      <c r="B491" s="84">
        <v>489</v>
      </c>
      <c r="C491" s="85" t="s">
        <v>806</v>
      </c>
      <c r="D491" s="60">
        <v>0</v>
      </c>
      <c r="E491" s="61">
        <f t="shared" si="84"/>
        <v>0</v>
      </c>
      <c r="F491" s="60">
        <v>0</v>
      </c>
      <c r="G491" s="61">
        <f t="shared" si="85"/>
        <v>0</v>
      </c>
      <c r="H491" s="60">
        <v>0</v>
      </c>
      <c r="I491" s="61">
        <f t="shared" si="86"/>
        <v>0</v>
      </c>
      <c r="J491" s="60">
        <v>0</v>
      </c>
      <c r="K491" s="61">
        <f t="shared" si="87"/>
        <v>0</v>
      </c>
      <c r="L491" s="62"/>
      <c r="M491" s="61">
        <f t="shared" si="88"/>
        <v>0</v>
      </c>
      <c r="N491" s="63">
        <v>9</v>
      </c>
      <c r="O491" s="61">
        <f t="shared" si="89"/>
        <v>4500</v>
      </c>
      <c r="P491" s="60">
        <v>0</v>
      </c>
      <c r="Q491" s="61">
        <f t="shared" si="90"/>
        <v>0</v>
      </c>
      <c r="R491" s="60">
        <v>0</v>
      </c>
      <c r="S491" s="61">
        <f t="shared" si="91"/>
        <v>0</v>
      </c>
      <c r="T491" s="60">
        <v>0</v>
      </c>
      <c r="U491" s="64">
        <f t="shared" si="92"/>
        <v>0</v>
      </c>
      <c r="V491" s="65">
        <v>0</v>
      </c>
      <c r="W491" s="66">
        <f t="shared" si="93"/>
        <v>4500</v>
      </c>
      <c r="X491" s="67">
        <f t="shared" si="94"/>
        <v>4.5</v>
      </c>
      <c r="Y491" s="57" t="str">
        <f t="shared" si="95"/>
        <v>STOCK</v>
      </c>
      <c r="Z491" s="68" t="s">
        <v>1538</v>
      </c>
    </row>
    <row r="492" spans="1:26" s="8" customFormat="1" ht="20.100000000000001" customHeight="1" x14ac:dyDescent="0.25">
      <c r="A492" s="59" t="s">
        <v>1077</v>
      </c>
      <c r="B492" s="84">
        <v>490</v>
      </c>
      <c r="C492" s="85" t="s">
        <v>807</v>
      </c>
      <c r="D492" s="60">
        <v>0</v>
      </c>
      <c r="E492" s="61">
        <f t="shared" si="84"/>
        <v>0</v>
      </c>
      <c r="F492" s="60">
        <v>0</v>
      </c>
      <c r="G492" s="61">
        <f t="shared" si="85"/>
        <v>0</v>
      </c>
      <c r="H492" s="60">
        <v>0</v>
      </c>
      <c r="I492" s="61">
        <f t="shared" si="86"/>
        <v>0</v>
      </c>
      <c r="J492" s="60">
        <v>0</v>
      </c>
      <c r="K492" s="61">
        <f t="shared" si="87"/>
        <v>0</v>
      </c>
      <c r="L492" s="62">
        <v>3</v>
      </c>
      <c r="M492" s="61">
        <f t="shared" si="88"/>
        <v>750</v>
      </c>
      <c r="N492" s="63">
        <v>0</v>
      </c>
      <c r="O492" s="61">
        <f t="shared" si="89"/>
        <v>0</v>
      </c>
      <c r="P492" s="60">
        <v>0</v>
      </c>
      <c r="Q492" s="61">
        <f t="shared" si="90"/>
        <v>0</v>
      </c>
      <c r="R492" s="60">
        <v>0</v>
      </c>
      <c r="S492" s="61">
        <f t="shared" si="91"/>
        <v>0</v>
      </c>
      <c r="T492" s="60">
        <v>0</v>
      </c>
      <c r="U492" s="64">
        <f t="shared" si="92"/>
        <v>0</v>
      </c>
      <c r="V492" s="65">
        <v>0</v>
      </c>
      <c r="W492" s="66">
        <f t="shared" si="93"/>
        <v>750</v>
      </c>
      <c r="X492" s="67">
        <f t="shared" si="94"/>
        <v>0.75</v>
      </c>
      <c r="Y492" s="57" t="str">
        <f t="shared" si="95"/>
        <v>STOCK</v>
      </c>
      <c r="Z492" s="68" t="s">
        <v>1538</v>
      </c>
    </row>
    <row r="493" spans="1:26" s="8" customFormat="1" ht="20.100000000000001" customHeight="1" x14ac:dyDescent="0.25">
      <c r="A493" s="59" t="s">
        <v>1078</v>
      </c>
      <c r="B493" s="84">
        <v>491</v>
      </c>
      <c r="C493" s="85" t="s">
        <v>808</v>
      </c>
      <c r="D493" s="60">
        <v>0</v>
      </c>
      <c r="E493" s="61">
        <f t="shared" si="84"/>
        <v>0</v>
      </c>
      <c r="F493" s="60">
        <v>0</v>
      </c>
      <c r="G493" s="61">
        <f t="shared" si="85"/>
        <v>0</v>
      </c>
      <c r="H493" s="60">
        <v>0</v>
      </c>
      <c r="I493" s="61">
        <f t="shared" si="86"/>
        <v>0</v>
      </c>
      <c r="J493" s="60">
        <v>0</v>
      </c>
      <c r="K493" s="61">
        <f t="shared" si="87"/>
        <v>0</v>
      </c>
      <c r="L493" s="62"/>
      <c r="M493" s="61">
        <f t="shared" si="88"/>
        <v>0</v>
      </c>
      <c r="N493" s="63">
        <v>1</v>
      </c>
      <c r="O493" s="61">
        <f t="shared" si="89"/>
        <v>500</v>
      </c>
      <c r="P493" s="60">
        <v>0</v>
      </c>
      <c r="Q493" s="61">
        <f t="shared" si="90"/>
        <v>0</v>
      </c>
      <c r="R493" s="60">
        <v>0</v>
      </c>
      <c r="S493" s="61">
        <f t="shared" si="91"/>
        <v>0</v>
      </c>
      <c r="T493" s="60">
        <v>0</v>
      </c>
      <c r="U493" s="64">
        <f t="shared" si="92"/>
        <v>0</v>
      </c>
      <c r="V493" s="65">
        <v>0</v>
      </c>
      <c r="W493" s="66">
        <f t="shared" si="93"/>
        <v>500</v>
      </c>
      <c r="X493" s="67">
        <f t="shared" si="94"/>
        <v>0.5</v>
      </c>
      <c r="Y493" s="57" t="str">
        <f t="shared" si="95"/>
        <v>STOCK</v>
      </c>
      <c r="Z493" s="68" t="s">
        <v>1538</v>
      </c>
    </row>
    <row r="494" spans="1:26" s="8" customFormat="1" ht="20.100000000000001" customHeight="1" x14ac:dyDescent="0.25">
      <c r="A494" s="59" t="s">
        <v>1079</v>
      </c>
      <c r="B494" s="84">
        <v>492</v>
      </c>
      <c r="C494" s="85" t="s">
        <v>809</v>
      </c>
      <c r="D494" s="60">
        <v>0</v>
      </c>
      <c r="E494" s="61">
        <f t="shared" si="84"/>
        <v>0</v>
      </c>
      <c r="F494" s="60">
        <v>0</v>
      </c>
      <c r="G494" s="61">
        <f t="shared" si="85"/>
        <v>0</v>
      </c>
      <c r="H494" s="60">
        <v>0</v>
      </c>
      <c r="I494" s="61">
        <f t="shared" si="86"/>
        <v>0</v>
      </c>
      <c r="J494" s="60">
        <v>0</v>
      </c>
      <c r="K494" s="61">
        <f t="shared" si="87"/>
        <v>0</v>
      </c>
      <c r="L494" s="62"/>
      <c r="M494" s="61">
        <f t="shared" si="88"/>
        <v>0</v>
      </c>
      <c r="N494" s="63">
        <v>0</v>
      </c>
      <c r="O494" s="61">
        <f t="shared" si="89"/>
        <v>0</v>
      </c>
      <c r="P494" s="60">
        <v>0</v>
      </c>
      <c r="Q494" s="61">
        <f t="shared" si="90"/>
        <v>0</v>
      </c>
      <c r="R494" s="60">
        <v>0</v>
      </c>
      <c r="S494" s="61">
        <f t="shared" si="91"/>
        <v>0</v>
      </c>
      <c r="T494" s="60">
        <v>0</v>
      </c>
      <c r="U494" s="64">
        <f t="shared" si="92"/>
        <v>0</v>
      </c>
      <c r="V494" s="65">
        <v>0</v>
      </c>
      <c r="W494" s="66">
        <f t="shared" si="93"/>
        <v>0</v>
      </c>
      <c r="X494" s="67">
        <f t="shared" si="94"/>
        <v>0</v>
      </c>
      <c r="Y494" s="57" t="str">
        <f t="shared" si="95"/>
        <v>NIL PLEASE PURCHASE</v>
      </c>
      <c r="Z494" s="68" t="s">
        <v>1539</v>
      </c>
    </row>
    <row r="495" spans="1:26" s="8" customFormat="1" ht="20.100000000000001" customHeight="1" x14ac:dyDescent="0.25">
      <c r="A495" s="59" t="s">
        <v>1080</v>
      </c>
      <c r="B495" s="84">
        <v>493</v>
      </c>
      <c r="C495" s="85" t="s">
        <v>810</v>
      </c>
      <c r="D495" s="60">
        <v>0</v>
      </c>
      <c r="E495" s="61">
        <f t="shared" si="84"/>
        <v>0</v>
      </c>
      <c r="F495" s="60">
        <v>0</v>
      </c>
      <c r="G495" s="61">
        <f t="shared" si="85"/>
        <v>0</v>
      </c>
      <c r="H495" s="60">
        <v>0</v>
      </c>
      <c r="I495" s="61">
        <f t="shared" si="86"/>
        <v>0</v>
      </c>
      <c r="J495" s="60">
        <v>0</v>
      </c>
      <c r="K495" s="61">
        <f t="shared" si="87"/>
        <v>0</v>
      </c>
      <c r="L495" s="62">
        <v>1</v>
      </c>
      <c r="M495" s="61">
        <f t="shared" si="88"/>
        <v>250</v>
      </c>
      <c r="N495" s="63">
        <v>5</v>
      </c>
      <c r="O495" s="61">
        <f t="shared" si="89"/>
        <v>2500</v>
      </c>
      <c r="P495" s="60">
        <v>0</v>
      </c>
      <c r="Q495" s="61">
        <f t="shared" si="90"/>
        <v>0</v>
      </c>
      <c r="R495" s="60">
        <v>0</v>
      </c>
      <c r="S495" s="61">
        <f t="shared" si="91"/>
        <v>0</v>
      </c>
      <c r="T495" s="60">
        <v>0</v>
      </c>
      <c r="U495" s="64">
        <f t="shared" si="92"/>
        <v>0</v>
      </c>
      <c r="V495" s="65">
        <v>0</v>
      </c>
      <c r="W495" s="66">
        <f t="shared" si="93"/>
        <v>2750</v>
      </c>
      <c r="X495" s="67">
        <f t="shared" si="94"/>
        <v>2.75</v>
      </c>
      <c r="Y495" s="57" t="str">
        <f t="shared" si="95"/>
        <v>STOCK</v>
      </c>
      <c r="Z495" s="68" t="s">
        <v>1538</v>
      </c>
    </row>
    <row r="496" spans="1:26" s="8" customFormat="1" ht="20.100000000000001" customHeight="1" x14ac:dyDescent="0.25">
      <c r="A496" s="59" t="s">
        <v>1081</v>
      </c>
      <c r="B496" s="84">
        <v>494</v>
      </c>
      <c r="C496" s="85" t="s">
        <v>811</v>
      </c>
      <c r="D496" s="60">
        <v>0</v>
      </c>
      <c r="E496" s="61">
        <f t="shared" si="84"/>
        <v>0</v>
      </c>
      <c r="F496" s="60">
        <v>0</v>
      </c>
      <c r="G496" s="61">
        <f t="shared" si="85"/>
        <v>0</v>
      </c>
      <c r="H496" s="60">
        <v>0</v>
      </c>
      <c r="I496" s="61">
        <f t="shared" si="86"/>
        <v>0</v>
      </c>
      <c r="J496" s="60">
        <v>0</v>
      </c>
      <c r="K496" s="61">
        <f t="shared" si="87"/>
        <v>0</v>
      </c>
      <c r="L496" s="62"/>
      <c r="M496" s="61">
        <f t="shared" si="88"/>
        <v>0</v>
      </c>
      <c r="N496" s="63">
        <v>0</v>
      </c>
      <c r="O496" s="61">
        <f t="shared" si="89"/>
        <v>0</v>
      </c>
      <c r="P496" s="60">
        <v>0</v>
      </c>
      <c r="Q496" s="61">
        <f t="shared" si="90"/>
        <v>0</v>
      </c>
      <c r="R496" s="60">
        <v>0</v>
      </c>
      <c r="S496" s="61">
        <f t="shared" si="91"/>
        <v>0</v>
      </c>
      <c r="T496" s="60">
        <v>0</v>
      </c>
      <c r="U496" s="64">
        <f t="shared" si="92"/>
        <v>0</v>
      </c>
      <c r="V496" s="65">
        <v>0</v>
      </c>
      <c r="W496" s="66">
        <f t="shared" si="93"/>
        <v>0</v>
      </c>
      <c r="X496" s="67">
        <f t="shared" si="94"/>
        <v>0</v>
      </c>
      <c r="Y496" s="57" t="str">
        <f t="shared" si="95"/>
        <v>NIL PLEASE PURCHASE</v>
      </c>
      <c r="Z496" s="68" t="s">
        <v>1539</v>
      </c>
    </row>
    <row r="497" spans="1:26" s="8" customFormat="1" ht="20.100000000000001" customHeight="1" x14ac:dyDescent="0.25">
      <c r="A497" s="59" t="s">
        <v>1082</v>
      </c>
      <c r="B497" s="84">
        <v>495</v>
      </c>
      <c r="C497" s="85" t="s">
        <v>812</v>
      </c>
      <c r="D497" s="60">
        <v>0</v>
      </c>
      <c r="E497" s="61">
        <f t="shared" si="84"/>
        <v>0</v>
      </c>
      <c r="F497" s="60">
        <v>0</v>
      </c>
      <c r="G497" s="61">
        <f t="shared" si="85"/>
        <v>0</v>
      </c>
      <c r="H497" s="60">
        <v>0</v>
      </c>
      <c r="I497" s="61">
        <f t="shared" si="86"/>
        <v>0</v>
      </c>
      <c r="J497" s="60">
        <v>0</v>
      </c>
      <c r="K497" s="61">
        <f t="shared" si="87"/>
        <v>0</v>
      </c>
      <c r="L497" s="62"/>
      <c r="M497" s="61">
        <f t="shared" si="88"/>
        <v>0</v>
      </c>
      <c r="N497" s="63">
        <v>1</v>
      </c>
      <c r="O497" s="61">
        <f t="shared" si="89"/>
        <v>500</v>
      </c>
      <c r="P497" s="60">
        <v>0</v>
      </c>
      <c r="Q497" s="61">
        <f t="shared" si="90"/>
        <v>0</v>
      </c>
      <c r="R497" s="60">
        <v>0</v>
      </c>
      <c r="S497" s="61">
        <f t="shared" si="91"/>
        <v>0</v>
      </c>
      <c r="T497" s="60">
        <v>0</v>
      </c>
      <c r="U497" s="64">
        <f t="shared" si="92"/>
        <v>0</v>
      </c>
      <c r="V497" s="65">
        <v>0</v>
      </c>
      <c r="W497" s="66">
        <f t="shared" si="93"/>
        <v>500</v>
      </c>
      <c r="X497" s="67">
        <f t="shared" si="94"/>
        <v>0.5</v>
      </c>
      <c r="Y497" s="57" t="str">
        <f t="shared" si="95"/>
        <v>STOCK</v>
      </c>
      <c r="Z497" s="68" t="s">
        <v>1538</v>
      </c>
    </row>
    <row r="498" spans="1:26" s="8" customFormat="1" ht="20.100000000000001" customHeight="1" x14ac:dyDescent="0.25">
      <c r="A498" s="59" t="s">
        <v>1083</v>
      </c>
      <c r="B498" s="84">
        <v>496</v>
      </c>
      <c r="C498" s="85" t="s">
        <v>813</v>
      </c>
      <c r="D498" s="60">
        <v>0</v>
      </c>
      <c r="E498" s="61">
        <f t="shared" si="84"/>
        <v>0</v>
      </c>
      <c r="F498" s="60">
        <v>0</v>
      </c>
      <c r="G498" s="61">
        <f t="shared" si="85"/>
        <v>0</v>
      </c>
      <c r="H498" s="60">
        <v>0</v>
      </c>
      <c r="I498" s="61">
        <f t="shared" si="86"/>
        <v>0</v>
      </c>
      <c r="J498" s="60">
        <v>0</v>
      </c>
      <c r="K498" s="61">
        <f t="shared" si="87"/>
        <v>0</v>
      </c>
      <c r="L498" s="62"/>
      <c r="M498" s="61">
        <f t="shared" si="88"/>
        <v>0</v>
      </c>
      <c r="N498" s="63">
        <v>3</v>
      </c>
      <c r="O498" s="61">
        <f t="shared" si="89"/>
        <v>1500</v>
      </c>
      <c r="P498" s="60">
        <v>0</v>
      </c>
      <c r="Q498" s="61">
        <f t="shared" si="90"/>
        <v>0</v>
      </c>
      <c r="R498" s="60">
        <v>0</v>
      </c>
      <c r="S498" s="61">
        <f t="shared" si="91"/>
        <v>0</v>
      </c>
      <c r="T498" s="60">
        <v>0</v>
      </c>
      <c r="U498" s="64">
        <f t="shared" si="92"/>
        <v>0</v>
      </c>
      <c r="V498" s="65">
        <v>0</v>
      </c>
      <c r="W498" s="66">
        <f t="shared" si="93"/>
        <v>1500</v>
      </c>
      <c r="X498" s="67">
        <f t="shared" si="94"/>
        <v>1.5</v>
      </c>
      <c r="Y498" s="57" t="str">
        <f t="shared" si="95"/>
        <v>STOCK</v>
      </c>
      <c r="Z498" s="68" t="s">
        <v>1538</v>
      </c>
    </row>
    <row r="499" spans="1:26" s="8" customFormat="1" ht="20.100000000000001" customHeight="1" x14ac:dyDescent="0.25">
      <c r="A499" s="59" t="s">
        <v>1084</v>
      </c>
      <c r="B499" s="84">
        <v>497</v>
      </c>
      <c r="C499" s="85" t="s">
        <v>814</v>
      </c>
      <c r="D499" s="60">
        <v>0</v>
      </c>
      <c r="E499" s="61">
        <f t="shared" si="84"/>
        <v>0</v>
      </c>
      <c r="F499" s="60">
        <v>0</v>
      </c>
      <c r="G499" s="61">
        <f t="shared" si="85"/>
        <v>0</v>
      </c>
      <c r="H499" s="60">
        <v>0</v>
      </c>
      <c r="I499" s="61">
        <f t="shared" si="86"/>
        <v>0</v>
      </c>
      <c r="J499" s="60">
        <v>0</v>
      </c>
      <c r="K499" s="61">
        <f t="shared" si="87"/>
        <v>0</v>
      </c>
      <c r="L499" s="62"/>
      <c r="M499" s="61">
        <f t="shared" si="88"/>
        <v>0</v>
      </c>
      <c r="N499" s="63">
        <v>0</v>
      </c>
      <c r="O499" s="61">
        <f t="shared" si="89"/>
        <v>0</v>
      </c>
      <c r="P499" s="60">
        <v>0</v>
      </c>
      <c r="Q499" s="61">
        <f t="shared" si="90"/>
        <v>0</v>
      </c>
      <c r="R499" s="60">
        <v>0</v>
      </c>
      <c r="S499" s="61">
        <f t="shared" si="91"/>
        <v>0</v>
      </c>
      <c r="T499" s="60">
        <v>0</v>
      </c>
      <c r="U499" s="64">
        <f t="shared" si="92"/>
        <v>0</v>
      </c>
      <c r="V499" s="65">
        <v>0</v>
      </c>
      <c r="W499" s="66">
        <f t="shared" si="93"/>
        <v>0</v>
      </c>
      <c r="X499" s="67">
        <f t="shared" si="94"/>
        <v>0</v>
      </c>
      <c r="Y499" s="57" t="str">
        <f t="shared" si="95"/>
        <v>NIL PLEASE PURCHASE</v>
      </c>
      <c r="Z499" s="68" t="s">
        <v>1539</v>
      </c>
    </row>
    <row r="500" spans="1:26" s="8" customFormat="1" ht="20.100000000000001" customHeight="1" x14ac:dyDescent="0.25">
      <c r="A500" s="59" t="s">
        <v>1085</v>
      </c>
      <c r="B500" s="84">
        <v>498</v>
      </c>
      <c r="C500" s="85" t="s">
        <v>815</v>
      </c>
      <c r="D500" s="60">
        <v>0</v>
      </c>
      <c r="E500" s="61">
        <f t="shared" si="84"/>
        <v>0</v>
      </c>
      <c r="F500" s="60">
        <v>0</v>
      </c>
      <c r="G500" s="61">
        <f t="shared" si="85"/>
        <v>0</v>
      </c>
      <c r="H500" s="60">
        <v>0</v>
      </c>
      <c r="I500" s="61">
        <f t="shared" si="86"/>
        <v>0</v>
      </c>
      <c r="J500" s="60">
        <v>0</v>
      </c>
      <c r="K500" s="61">
        <f t="shared" si="87"/>
        <v>0</v>
      </c>
      <c r="L500" s="62"/>
      <c r="M500" s="61">
        <f t="shared" si="88"/>
        <v>0</v>
      </c>
      <c r="N500" s="63">
        <v>0</v>
      </c>
      <c r="O500" s="61">
        <f t="shared" si="89"/>
        <v>0</v>
      </c>
      <c r="P500" s="60">
        <v>0</v>
      </c>
      <c r="Q500" s="61">
        <f t="shared" si="90"/>
        <v>0</v>
      </c>
      <c r="R500" s="60">
        <v>0</v>
      </c>
      <c r="S500" s="61">
        <f t="shared" si="91"/>
        <v>0</v>
      </c>
      <c r="T500" s="60">
        <v>0</v>
      </c>
      <c r="U500" s="64">
        <f t="shared" si="92"/>
        <v>0</v>
      </c>
      <c r="V500" s="65">
        <v>0</v>
      </c>
      <c r="W500" s="66">
        <f t="shared" si="93"/>
        <v>0</v>
      </c>
      <c r="X500" s="67">
        <f t="shared" si="94"/>
        <v>0</v>
      </c>
      <c r="Y500" s="57" t="str">
        <f t="shared" si="95"/>
        <v>NIL PLEASE PURCHASE</v>
      </c>
      <c r="Z500" s="68" t="s">
        <v>1539</v>
      </c>
    </row>
    <row r="501" spans="1:26" s="8" customFormat="1" ht="20.100000000000001" customHeight="1" x14ac:dyDescent="0.25">
      <c r="A501" s="59" t="s">
        <v>1086</v>
      </c>
      <c r="B501" s="84">
        <v>499</v>
      </c>
      <c r="C501" s="85" t="s">
        <v>816</v>
      </c>
      <c r="D501" s="60">
        <v>0</v>
      </c>
      <c r="E501" s="61">
        <f t="shared" si="84"/>
        <v>0</v>
      </c>
      <c r="F501" s="60">
        <v>0</v>
      </c>
      <c r="G501" s="61">
        <f t="shared" si="85"/>
        <v>0</v>
      </c>
      <c r="H501" s="60">
        <v>0</v>
      </c>
      <c r="I501" s="61">
        <f t="shared" si="86"/>
        <v>0</v>
      </c>
      <c r="J501" s="60">
        <v>0</v>
      </c>
      <c r="K501" s="61">
        <f t="shared" si="87"/>
        <v>0</v>
      </c>
      <c r="L501" s="62"/>
      <c r="M501" s="61">
        <f t="shared" si="88"/>
        <v>0</v>
      </c>
      <c r="N501" s="63">
        <v>0</v>
      </c>
      <c r="O501" s="61">
        <f t="shared" si="89"/>
        <v>0</v>
      </c>
      <c r="P501" s="60">
        <v>0</v>
      </c>
      <c r="Q501" s="61">
        <f t="shared" si="90"/>
        <v>0</v>
      </c>
      <c r="R501" s="60">
        <v>0</v>
      </c>
      <c r="S501" s="61">
        <f t="shared" si="91"/>
        <v>0</v>
      </c>
      <c r="T501" s="60">
        <v>0</v>
      </c>
      <c r="U501" s="64">
        <f t="shared" si="92"/>
        <v>0</v>
      </c>
      <c r="V501" s="65">
        <v>0</v>
      </c>
      <c r="W501" s="66">
        <f t="shared" si="93"/>
        <v>0</v>
      </c>
      <c r="X501" s="67">
        <f t="shared" si="94"/>
        <v>0</v>
      </c>
      <c r="Y501" s="57" t="str">
        <f t="shared" si="95"/>
        <v>NIL PLEASE PURCHASE</v>
      </c>
      <c r="Z501" s="68" t="s">
        <v>1539</v>
      </c>
    </row>
    <row r="502" spans="1:26" s="8" customFormat="1" ht="20.100000000000001" customHeight="1" x14ac:dyDescent="0.25">
      <c r="A502" s="59" t="s">
        <v>1087</v>
      </c>
      <c r="B502" s="84">
        <v>500</v>
      </c>
      <c r="C502" s="85" t="s">
        <v>817</v>
      </c>
      <c r="D502" s="60">
        <v>0</v>
      </c>
      <c r="E502" s="61">
        <f t="shared" si="84"/>
        <v>0</v>
      </c>
      <c r="F502" s="60">
        <v>0</v>
      </c>
      <c r="G502" s="61">
        <f t="shared" si="85"/>
        <v>0</v>
      </c>
      <c r="H502" s="60">
        <v>0</v>
      </c>
      <c r="I502" s="61">
        <f t="shared" si="86"/>
        <v>0</v>
      </c>
      <c r="J502" s="60">
        <v>0</v>
      </c>
      <c r="K502" s="61">
        <f t="shared" si="87"/>
        <v>0</v>
      </c>
      <c r="L502" s="62"/>
      <c r="M502" s="61">
        <f t="shared" si="88"/>
        <v>0</v>
      </c>
      <c r="N502" s="63">
        <v>0</v>
      </c>
      <c r="O502" s="61">
        <f t="shared" si="89"/>
        <v>0</v>
      </c>
      <c r="P502" s="60">
        <v>0</v>
      </c>
      <c r="Q502" s="61">
        <f t="shared" si="90"/>
        <v>0</v>
      </c>
      <c r="R502" s="60">
        <v>0</v>
      </c>
      <c r="S502" s="61">
        <f t="shared" si="91"/>
        <v>0</v>
      </c>
      <c r="T502" s="60">
        <v>0</v>
      </c>
      <c r="U502" s="64">
        <f t="shared" si="92"/>
        <v>0</v>
      </c>
      <c r="V502" s="65">
        <v>0</v>
      </c>
      <c r="W502" s="66">
        <f t="shared" si="93"/>
        <v>0</v>
      </c>
      <c r="X502" s="67">
        <f t="shared" si="94"/>
        <v>0</v>
      </c>
      <c r="Y502" s="57" t="str">
        <f t="shared" si="95"/>
        <v>NIL PLEASE PURCHASE</v>
      </c>
      <c r="Z502" s="68" t="s">
        <v>1539</v>
      </c>
    </row>
    <row r="503" spans="1:26" s="8" customFormat="1" ht="20.100000000000001" customHeight="1" x14ac:dyDescent="0.25">
      <c r="A503" s="59" t="s">
        <v>1088</v>
      </c>
      <c r="B503" s="84">
        <v>501</v>
      </c>
      <c r="C503" s="85" t="s">
        <v>818</v>
      </c>
      <c r="D503" s="60">
        <v>0</v>
      </c>
      <c r="E503" s="61">
        <f t="shared" si="84"/>
        <v>0</v>
      </c>
      <c r="F503" s="60">
        <v>0</v>
      </c>
      <c r="G503" s="61">
        <f t="shared" si="85"/>
        <v>0</v>
      </c>
      <c r="H503" s="60">
        <v>0</v>
      </c>
      <c r="I503" s="61">
        <f t="shared" si="86"/>
        <v>0</v>
      </c>
      <c r="J503" s="60">
        <v>0</v>
      </c>
      <c r="K503" s="61">
        <f t="shared" si="87"/>
        <v>0</v>
      </c>
      <c r="L503" s="62">
        <v>1</v>
      </c>
      <c r="M503" s="61">
        <f t="shared" si="88"/>
        <v>250</v>
      </c>
      <c r="N503" s="63">
        <v>0</v>
      </c>
      <c r="O503" s="61">
        <f t="shared" si="89"/>
        <v>0</v>
      </c>
      <c r="P503" s="60">
        <v>0</v>
      </c>
      <c r="Q503" s="61">
        <f t="shared" si="90"/>
        <v>0</v>
      </c>
      <c r="R503" s="60">
        <v>0</v>
      </c>
      <c r="S503" s="61">
        <f t="shared" si="91"/>
        <v>0</v>
      </c>
      <c r="T503" s="60">
        <v>0</v>
      </c>
      <c r="U503" s="64">
        <f t="shared" si="92"/>
        <v>0</v>
      </c>
      <c r="V503" s="65">
        <v>0</v>
      </c>
      <c r="W503" s="66">
        <f t="shared" si="93"/>
        <v>250</v>
      </c>
      <c r="X503" s="67">
        <f t="shared" si="94"/>
        <v>0.25</v>
      </c>
      <c r="Y503" s="57" t="str">
        <f t="shared" si="95"/>
        <v>STOCK</v>
      </c>
      <c r="Z503" s="68" t="s">
        <v>1539</v>
      </c>
    </row>
    <row r="504" spans="1:26" s="8" customFormat="1" ht="20.100000000000001" customHeight="1" x14ac:dyDescent="0.25">
      <c r="A504" s="59" t="s">
        <v>1089</v>
      </c>
      <c r="B504" s="84">
        <v>502</v>
      </c>
      <c r="C504" s="85" t="s">
        <v>819</v>
      </c>
      <c r="D504" s="60">
        <v>0</v>
      </c>
      <c r="E504" s="61">
        <f t="shared" si="84"/>
        <v>0</v>
      </c>
      <c r="F504" s="60">
        <v>0</v>
      </c>
      <c r="G504" s="61">
        <f t="shared" si="85"/>
        <v>0</v>
      </c>
      <c r="H504" s="60">
        <v>0</v>
      </c>
      <c r="I504" s="61">
        <f t="shared" si="86"/>
        <v>0</v>
      </c>
      <c r="J504" s="60">
        <v>0</v>
      </c>
      <c r="K504" s="61">
        <f t="shared" si="87"/>
        <v>0</v>
      </c>
      <c r="L504" s="62"/>
      <c r="M504" s="61">
        <f t="shared" si="88"/>
        <v>0</v>
      </c>
      <c r="N504" s="63">
        <v>0</v>
      </c>
      <c r="O504" s="61">
        <f t="shared" si="89"/>
        <v>0</v>
      </c>
      <c r="P504" s="60">
        <v>0</v>
      </c>
      <c r="Q504" s="61">
        <f t="shared" si="90"/>
        <v>0</v>
      </c>
      <c r="R504" s="60">
        <v>0</v>
      </c>
      <c r="S504" s="61">
        <f t="shared" si="91"/>
        <v>0</v>
      </c>
      <c r="T504" s="60">
        <v>0</v>
      </c>
      <c r="U504" s="64">
        <f t="shared" si="92"/>
        <v>0</v>
      </c>
      <c r="V504" s="65">
        <v>0</v>
      </c>
      <c r="W504" s="66">
        <f t="shared" si="93"/>
        <v>0</v>
      </c>
      <c r="X504" s="67">
        <f t="shared" si="94"/>
        <v>0</v>
      </c>
      <c r="Y504" s="57" t="str">
        <f t="shared" si="95"/>
        <v>NIL PLEASE PURCHASE</v>
      </c>
      <c r="Z504" s="68" t="s">
        <v>1539</v>
      </c>
    </row>
    <row r="505" spans="1:26" s="8" customFormat="1" ht="20.100000000000001" customHeight="1" x14ac:dyDescent="0.25">
      <c r="A505" s="59" t="s">
        <v>1090</v>
      </c>
      <c r="B505" s="84">
        <v>503</v>
      </c>
      <c r="C505" s="85" t="s">
        <v>820</v>
      </c>
      <c r="D505" s="60">
        <v>0</v>
      </c>
      <c r="E505" s="61">
        <f t="shared" si="84"/>
        <v>0</v>
      </c>
      <c r="F505" s="60">
        <v>0</v>
      </c>
      <c r="G505" s="61">
        <f t="shared" si="85"/>
        <v>0</v>
      </c>
      <c r="H505" s="60">
        <v>0</v>
      </c>
      <c r="I505" s="61">
        <f t="shared" si="86"/>
        <v>0</v>
      </c>
      <c r="J505" s="60">
        <v>0</v>
      </c>
      <c r="K505" s="61">
        <f t="shared" si="87"/>
        <v>0</v>
      </c>
      <c r="L505" s="62"/>
      <c r="M505" s="61">
        <f t="shared" si="88"/>
        <v>0</v>
      </c>
      <c r="N505" s="63">
        <v>0</v>
      </c>
      <c r="O505" s="61">
        <f t="shared" si="89"/>
        <v>0</v>
      </c>
      <c r="P505" s="60">
        <v>0</v>
      </c>
      <c r="Q505" s="61">
        <f t="shared" si="90"/>
        <v>0</v>
      </c>
      <c r="R505" s="60">
        <v>0</v>
      </c>
      <c r="S505" s="61">
        <f t="shared" si="91"/>
        <v>0</v>
      </c>
      <c r="T505" s="60">
        <v>0</v>
      </c>
      <c r="U505" s="64">
        <f t="shared" si="92"/>
        <v>0</v>
      </c>
      <c r="V505" s="65">
        <v>0</v>
      </c>
      <c r="W505" s="66">
        <f t="shared" si="93"/>
        <v>0</v>
      </c>
      <c r="X505" s="67">
        <f t="shared" si="94"/>
        <v>0</v>
      </c>
      <c r="Y505" s="57" t="str">
        <f t="shared" si="95"/>
        <v>NIL PLEASE PURCHASE</v>
      </c>
      <c r="Z505" s="68" t="s">
        <v>1539</v>
      </c>
    </row>
    <row r="506" spans="1:26" s="8" customFormat="1" ht="20.100000000000001" customHeight="1" x14ac:dyDescent="0.25">
      <c r="A506" s="59" t="s">
        <v>1091</v>
      </c>
      <c r="B506" s="84">
        <v>504</v>
      </c>
      <c r="C506" s="85" t="s">
        <v>821</v>
      </c>
      <c r="D506" s="60">
        <v>0</v>
      </c>
      <c r="E506" s="61">
        <f t="shared" si="84"/>
        <v>0</v>
      </c>
      <c r="F506" s="60">
        <v>0</v>
      </c>
      <c r="G506" s="61">
        <f t="shared" si="85"/>
        <v>0</v>
      </c>
      <c r="H506" s="60">
        <v>0</v>
      </c>
      <c r="I506" s="61">
        <f t="shared" si="86"/>
        <v>0</v>
      </c>
      <c r="J506" s="60">
        <v>0</v>
      </c>
      <c r="K506" s="61">
        <f t="shared" si="87"/>
        <v>0</v>
      </c>
      <c r="L506" s="62"/>
      <c r="M506" s="61">
        <f t="shared" si="88"/>
        <v>0</v>
      </c>
      <c r="N506" s="63">
        <v>0</v>
      </c>
      <c r="O506" s="61">
        <f t="shared" si="89"/>
        <v>0</v>
      </c>
      <c r="P506" s="60">
        <v>0</v>
      </c>
      <c r="Q506" s="61">
        <f t="shared" si="90"/>
        <v>0</v>
      </c>
      <c r="R506" s="60">
        <v>0</v>
      </c>
      <c r="S506" s="61">
        <f t="shared" si="91"/>
        <v>0</v>
      </c>
      <c r="T506" s="60">
        <v>0</v>
      </c>
      <c r="U506" s="64">
        <f t="shared" si="92"/>
        <v>0</v>
      </c>
      <c r="V506" s="65">
        <v>0</v>
      </c>
      <c r="W506" s="66">
        <f t="shared" si="93"/>
        <v>0</v>
      </c>
      <c r="X506" s="67">
        <f t="shared" si="94"/>
        <v>0</v>
      </c>
      <c r="Y506" s="57" t="str">
        <f t="shared" si="95"/>
        <v>NIL PLEASE PURCHASE</v>
      </c>
      <c r="Z506" s="68" t="s">
        <v>1539</v>
      </c>
    </row>
    <row r="507" spans="1:26" s="8" customFormat="1" ht="20.100000000000001" customHeight="1" x14ac:dyDescent="0.25">
      <c r="A507" s="59" t="s">
        <v>1092</v>
      </c>
      <c r="B507" s="84">
        <v>505</v>
      </c>
      <c r="C507" s="85" t="s">
        <v>822</v>
      </c>
      <c r="D507" s="60">
        <v>0</v>
      </c>
      <c r="E507" s="61">
        <f t="shared" si="84"/>
        <v>0</v>
      </c>
      <c r="F507" s="60">
        <v>0</v>
      </c>
      <c r="G507" s="61">
        <f t="shared" si="85"/>
        <v>0</v>
      </c>
      <c r="H507" s="60">
        <v>0</v>
      </c>
      <c r="I507" s="61">
        <f t="shared" si="86"/>
        <v>0</v>
      </c>
      <c r="J507" s="60">
        <v>0</v>
      </c>
      <c r="K507" s="61">
        <f t="shared" si="87"/>
        <v>0</v>
      </c>
      <c r="L507" s="62"/>
      <c r="M507" s="61">
        <f t="shared" si="88"/>
        <v>0</v>
      </c>
      <c r="N507" s="63">
        <v>0</v>
      </c>
      <c r="O507" s="61">
        <f t="shared" si="89"/>
        <v>0</v>
      </c>
      <c r="P507" s="60">
        <v>0</v>
      </c>
      <c r="Q507" s="61">
        <f t="shared" si="90"/>
        <v>0</v>
      </c>
      <c r="R507" s="60">
        <v>0</v>
      </c>
      <c r="S507" s="61">
        <f t="shared" si="91"/>
        <v>0</v>
      </c>
      <c r="T507" s="60">
        <v>0</v>
      </c>
      <c r="U507" s="64">
        <f t="shared" si="92"/>
        <v>0</v>
      </c>
      <c r="V507" s="65">
        <v>0</v>
      </c>
      <c r="W507" s="66">
        <f t="shared" si="93"/>
        <v>0</v>
      </c>
      <c r="X507" s="67">
        <f t="shared" si="94"/>
        <v>0</v>
      </c>
      <c r="Y507" s="57" t="str">
        <f t="shared" si="95"/>
        <v>NIL PLEASE PURCHASE</v>
      </c>
      <c r="Z507" s="68" t="s">
        <v>1539</v>
      </c>
    </row>
    <row r="508" spans="1:26" s="8" customFormat="1" ht="20.100000000000001" customHeight="1" x14ac:dyDescent="0.25">
      <c r="A508" s="59" t="s">
        <v>1093</v>
      </c>
      <c r="B508" s="84">
        <v>506</v>
      </c>
      <c r="C508" s="85" t="s">
        <v>823</v>
      </c>
      <c r="D508" s="60">
        <v>0</v>
      </c>
      <c r="E508" s="61">
        <f t="shared" si="84"/>
        <v>0</v>
      </c>
      <c r="F508" s="60">
        <v>0</v>
      </c>
      <c r="G508" s="61">
        <f t="shared" si="85"/>
        <v>0</v>
      </c>
      <c r="H508" s="60">
        <v>0</v>
      </c>
      <c r="I508" s="61">
        <f t="shared" si="86"/>
        <v>0</v>
      </c>
      <c r="J508" s="60">
        <v>0</v>
      </c>
      <c r="K508" s="61">
        <f t="shared" si="87"/>
        <v>0</v>
      </c>
      <c r="L508" s="62"/>
      <c r="M508" s="61">
        <f t="shared" si="88"/>
        <v>0</v>
      </c>
      <c r="N508" s="63">
        <v>0</v>
      </c>
      <c r="O508" s="61">
        <f t="shared" si="89"/>
        <v>0</v>
      </c>
      <c r="P508" s="60">
        <v>0</v>
      </c>
      <c r="Q508" s="61">
        <f t="shared" si="90"/>
        <v>0</v>
      </c>
      <c r="R508" s="60">
        <v>0</v>
      </c>
      <c r="S508" s="61">
        <f t="shared" si="91"/>
        <v>0</v>
      </c>
      <c r="T508" s="60">
        <v>0</v>
      </c>
      <c r="U508" s="64">
        <f t="shared" si="92"/>
        <v>0</v>
      </c>
      <c r="V508" s="65">
        <v>0</v>
      </c>
      <c r="W508" s="66">
        <f t="shared" si="93"/>
        <v>0</v>
      </c>
      <c r="X508" s="67">
        <f t="shared" si="94"/>
        <v>0</v>
      </c>
      <c r="Y508" s="57" t="str">
        <f t="shared" si="95"/>
        <v>NIL PLEASE PURCHASE</v>
      </c>
      <c r="Z508" s="68" t="s">
        <v>1539</v>
      </c>
    </row>
    <row r="509" spans="1:26" s="8" customFormat="1" ht="20.100000000000001" customHeight="1" x14ac:dyDescent="0.25">
      <c r="A509" s="59" t="s">
        <v>1094</v>
      </c>
      <c r="B509" s="84">
        <v>507</v>
      </c>
      <c r="C509" s="85" t="s">
        <v>824</v>
      </c>
      <c r="D509" s="60">
        <v>0</v>
      </c>
      <c r="E509" s="61">
        <f t="shared" si="84"/>
        <v>0</v>
      </c>
      <c r="F509" s="60">
        <v>0</v>
      </c>
      <c r="G509" s="61">
        <f t="shared" si="85"/>
        <v>0</v>
      </c>
      <c r="H509" s="60">
        <v>0</v>
      </c>
      <c r="I509" s="61">
        <f t="shared" si="86"/>
        <v>0</v>
      </c>
      <c r="J509" s="60">
        <v>0</v>
      </c>
      <c r="K509" s="61">
        <f t="shared" si="87"/>
        <v>0</v>
      </c>
      <c r="L509" s="62"/>
      <c r="M509" s="61">
        <f t="shared" si="88"/>
        <v>0</v>
      </c>
      <c r="N509" s="63">
        <v>0</v>
      </c>
      <c r="O509" s="61">
        <f t="shared" si="89"/>
        <v>0</v>
      </c>
      <c r="P509" s="60">
        <v>0</v>
      </c>
      <c r="Q509" s="61">
        <f t="shared" si="90"/>
        <v>0</v>
      </c>
      <c r="R509" s="60">
        <v>0</v>
      </c>
      <c r="S509" s="61">
        <f t="shared" si="91"/>
        <v>0</v>
      </c>
      <c r="T509" s="60">
        <v>0</v>
      </c>
      <c r="U509" s="64">
        <f t="shared" si="92"/>
        <v>0</v>
      </c>
      <c r="V509" s="65">
        <v>0</v>
      </c>
      <c r="W509" s="66">
        <f t="shared" si="93"/>
        <v>0</v>
      </c>
      <c r="X509" s="67">
        <f t="shared" si="94"/>
        <v>0</v>
      </c>
      <c r="Y509" s="57" t="str">
        <f t="shared" si="95"/>
        <v>NIL PLEASE PURCHASE</v>
      </c>
      <c r="Z509" s="68" t="s">
        <v>1539</v>
      </c>
    </row>
    <row r="510" spans="1:26" s="8" customFormat="1" ht="20.100000000000001" customHeight="1" x14ac:dyDescent="0.25">
      <c r="A510" s="59" t="s">
        <v>1095</v>
      </c>
      <c r="B510" s="84">
        <v>508</v>
      </c>
      <c r="C510" s="85" t="s">
        <v>825</v>
      </c>
      <c r="D510" s="60">
        <v>0</v>
      </c>
      <c r="E510" s="61">
        <f t="shared" si="84"/>
        <v>0</v>
      </c>
      <c r="F510" s="60">
        <v>0</v>
      </c>
      <c r="G510" s="61">
        <f t="shared" si="85"/>
        <v>0</v>
      </c>
      <c r="H510" s="60">
        <v>0</v>
      </c>
      <c r="I510" s="61">
        <f t="shared" si="86"/>
        <v>0</v>
      </c>
      <c r="J510" s="60">
        <v>0</v>
      </c>
      <c r="K510" s="61">
        <f t="shared" si="87"/>
        <v>0</v>
      </c>
      <c r="L510" s="62"/>
      <c r="M510" s="61">
        <f t="shared" si="88"/>
        <v>0</v>
      </c>
      <c r="N510" s="63">
        <v>0</v>
      </c>
      <c r="O510" s="61">
        <f t="shared" si="89"/>
        <v>0</v>
      </c>
      <c r="P510" s="60">
        <v>0</v>
      </c>
      <c r="Q510" s="61">
        <f t="shared" si="90"/>
        <v>0</v>
      </c>
      <c r="R510" s="60">
        <v>0</v>
      </c>
      <c r="S510" s="61">
        <f t="shared" si="91"/>
        <v>0</v>
      </c>
      <c r="T510" s="60">
        <v>0</v>
      </c>
      <c r="U510" s="64">
        <f t="shared" si="92"/>
        <v>0</v>
      </c>
      <c r="V510" s="65">
        <v>0</v>
      </c>
      <c r="W510" s="66">
        <f t="shared" si="93"/>
        <v>0</v>
      </c>
      <c r="X510" s="67">
        <f t="shared" si="94"/>
        <v>0</v>
      </c>
      <c r="Y510" s="57" t="str">
        <f t="shared" si="95"/>
        <v>NIL PLEASE PURCHASE</v>
      </c>
      <c r="Z510" s="68" t="s">
        <v>1539</v>
      </c>
    </row>
    <row r="511" spans="1:26" s="8" customFormat="1" ht="20.100000000000001" customHeight="1" x14ac:dyDescent="0.25">
      <c r="A511" s="59" t="s">
        <v>1096</v>
      </c>
      <c r="B511" s="84">
        <v>509</v>
      </c>
      <c r="C511" s="85" t="s">
        <v>826</v>
      </c>
      <c r="D511" s="60">
        <v>0</v>
      </c>
      <c r="E511" s="61">
        <f t="shared" si="84"/>
        <v>0</v>
      </c>
      <c r="F511" s="60">
        <v>0</v>
      </c>
      <c r="G511" s="61">
        <f t="shared" si="85"/>
        <v>0</v>
      </c>
      <c r="H511" s="60">
        <v>0</v>
      </c>
      <c r="I511" s="61">
        <f t="shared" si="86"/>
        <v>0</v>
      </c>
      <c r="J511" s="60">
        <v>0</v>
      </c>
      <c r="K511" s="61">
        <f t="shared" si="87"/>
        <v>0</v>
      </c>
      <c r="L511" s="62"/>
      <c r="M511" s="61">
        <f t="shared" si="88"/>
        <v>0</v>
      </c>
      <c r="N511" s="63">
        <v>0</v>
      </c>
      <c r="O511" s="61">
        <f t="shared" si="89"/>
        <v>0</v>
      </c>
      <c r="P511" s="60">
        <v>0</v>
      </c>
      <c r="Q511" s="61">
        <f t="shared" si="90"/>
        <v>0</v>
      </c>
      <c r="R511" s="60">
        <v>0</v>
      </c>
      <c r="S511" s="61">
        <f t="shared" si="91"/>
        <v>0</v>
      </c>
      <c r="T511" s="60">
        <v>0</v>
      </c>
      <c r="U511" s="64">
        <f t="shared" si="92"/>
        <v>0</v>
      </c>
      <c r="V511" s="65">
        <v>0</v>
      </c>
      <c r="W511" s="66">
        <f t="shared" si="93"/>
        <v>0</v>
      </c>
      <c r="X511" s="67">
        <f t="shared" si="94"/>
        <v>0</v>
      </c>
      <c r="Y511" s="57" t="str">
        <f t="shared" si="95"/>
        <v>NIL PLEASE PURCHASE</v>
      </c>
      <c r="Z511" s="68" t="s">
        <v>1539</v>
      </c>
    </row>
    <row r="512" spans="1:26" s="8" customFormat="1" ht="20.100000000000001" customHeight="1" x14ac:dyDescent="0.25">
      <c r="A512" s="59" t="s">
        <v>1097</v>
      </c>
      <c r="B512" s="84">
        <v>510</v>
      </c>
      <c r="C512" s="85" t="s">
        <v>827</v>
      </c>
      <c r="D512" s="60">
        <v>0</v>
      </c>
      <c r="E512" s="61">
        <f t="shared" si="84"/>
        <v>0</v>
      </c>
      <c r="F512" s="60">
        <v>0</v>
      </c>
      <c r="G512" s="61">
        <f t="shared" si="85"/>
        <v>0</v>
      </c>
      <c r="H512" s="60">
        <v>0</v>
      </c>
      <c r="I512" s="61">
        <f t="shared" si="86"/>
        <v>0</v>
      </c>
      <c r="J512" s="60">
        <v>0</v>
      </c>
      <c r="K512" s="61">
        <f t="shared" si="87"/>
        <v>0</v>
      </c>
      <c r="L512" s="62"/>
      <c r="M512" s="61">
        <f t="shared" si="88"/>
        <v>0</v>
      </c>
      <c r="N512" s="63">
        <v>0</v>
      </c>
      <c r="O512" s="61">
        <f t="shared" si="89"/>
        <v>0</v>
      </c>
      <c r="P512" s="60">
        <v>0</v>
      </c>
      <c r="Q512" s="61">
        <f t="shared" si="90"/>
        <v>0</v>
      </c>
      <c r="R512" s="60">
        <v>0</v>
      </c>
      <c r="S512" s="61">
        <f t="shared" si="91"/>
        <v>0</v>
      </c>
      <c r="T512" s="60">
        <v>0</v>
      </c>
      <c r="U512" s="64">
        <f t="shared" si="92"/>
        <v>0</v>
      </c>
      <c r="V512" s="65">
        <v>0</v>
      </c>
      <c r="W512" s="66">
        <f t="shared" si="93"/>
        <v>0</v>
      </c>
      <c r="X512" s="67">
        <f t="shared" si="94"/>
        <v>0</v>
      </c>
      <c r="Y512" s="57" t="str">
        <f t="shared" si="95"/>
        <v>NIL PLEASE PURCHASE</v>
      </c>
      <c r="Z512" s="68" t="s">
        <v>1539</v>
      </c>
    </row>
    <row r="513" spans="1:26" s="8" customFormat="1" ht="20.100000000000001" customHeight="1" x14ac:dyDescent="0.25">
      <c r="A513" s="59" t="s">
        <v>1098</v>
      </c>
      <c r="B513" s="84">
        <v>511</v>
      </c>
      <c r="C513" s="85" t="s">
        <v>828</v>
      </c>
      <c r="D513" s="60">
        <v>0</v>
      </c>
      <c r="E513" s="61">
        <f t="shared" si="84"/>
        <v>0</v>
      </c>
      <c r="F513" s="60">
        <v>0</v>
      </c>
      <c r="G513" s="61">
        <f t="shared" si="85"/>
        <v>0</v>
      </c>
      <c r="H513" s="60">
        <v>0</v>
      </c>
      <c r="I513" s="61">
        <f t="shared" si="86"/>
        <v>0</v>
      </c>
      <c r="J513" s="60">
        <v>0</v>
      </c>
      <c r="K513" s="61">
        <f t="shared" si="87"/>
        <v>0</v>
      </c>
      <c r="L513" s="62"/>
      <c r="M513" s="61">
        <f t="shared" si="88"/>
        <v>0</v>
      </c>
      <c r="N513" s="63">
        <v>0</v>
      </c>
      <c r="O513" s="61">
        <f t="shared" si="89"/>
        <v>0</v>
      </c>
      <c r="P513" s="60">
        <v>0</v>
      </c>
      <c r="Q513" s="61">
        <f t="shared" si="90"/>
        <v>0</v>
      </c>
      <c r="R513" s="60">
        <v>0</v>
      </c>
      <c r="S513" s="61">
        <f t="shared" si="91"/>
        <v>0</v>
      </c>
      <c r="T513" s="60">
        <v>0</v>
      </c>
      <c r="U513" s="64">
        <f t="shared" si="92"/>
        <v>0</v>
      </c>
      <c r="V513" s="65">
        <v>0</v>
      </c>
      <c r="W513" s="66">
        <f t="shared" si="93"/>
        <v>0</v>
      </c>
      <c r="X513" s="67">
        <f t="shared" si="94"/>
        <v>0</v>
      </c>
      <c r="Y513" s="57" t="str">
        <f t="shared" si="95"/>
        <v>NIL PLEASE PURCHASE</v>
      </c>
      <c r="Z513" s="68" t="s">
        <v>1539</v>
      </c>
    </row>
    <row r="514" spans="1:26" s="8" customFormat="1" ht="20.100000000000001" customHeight="1" x14ac:dyDescent="0.25">
      <c r="A514" s="59" t="s">
        <v>1099</v>
      </c>
      <c r="B514" s="84">
        <v>512</v>
      </c>
      <c r="C514" s="85" t="s">
        <v>829</v>
      </c>
      <c r="D514" s="60">
        <v>0</v>
      </c>
      <c r="E514" s="61">
        <f t="shared" si="84"/>
        <v>0</v>
      </c>
      <c r="F514" s="60">
        <v>0</v>
      </c>
      <c r="G514" s="61">
        <f t="shared" si="85"/>
        <v>0</v>
      </c>
      <c r="H514" s="60">
        <v>0</v>
      </c>
      <c r="I514" s="61">
        <f t="shared" si="86"/>
        <v>0</v>
      </c>
      <c r="J514" s="60">
        <v>0</v>
      </c>
      <c r="K514" s="61">
        <f t="shared" si="87"/>
        <v>0</v>
      </c>
      <c r="L514" s="62"/>
      <c r="M514" s="61">
        <f t="shared" si="88"/>
        <v>0</v>
      </c>
      <c r="N514" s="63">
        <v>0</v>
      </c>
      <c r="O514" s="61">
        <f t="shared" si="89"/>
        <v>0</v>
      </c>
      <c r="P514" s="60">
        <v>0</v>
      </c>
      <c r="Q514" s="61">
        <f t="shared" si="90"/>
        <v>0</v>
      </c>
      <c r="R514" s="60">
        <v>0</v>
      </c>
      <c r="S514" s="61">
        <f t="shared" si="91"/>
        <v>0</v>
      </c>
      <c r="T514" s="60">
        <v>0</v>
      </c>
      <c r="U514" s="64">
        <f t="shared" si="92"/>
        <v>0</v>
      </c>
      <c r="V514" s="65">
        <v>0</v>
      </c>
      <c r="W514" s="66">
        <f t="shared" si="93"/>
        <v>0</v>
      </c>
      <c r="X514" s="67">
        <f t="shared" si="94"/>
        <v>0</v>
      </c>
      <c r="Y514" s="57" t="str">
        <f t="shared" si="95"/>
        <v>NIL PLEASE PURCHASE</v>
      </c>
      <c r="Z514" s="68" t="s">
        <v>1539</v>
      </c>
    </row>
    <row r="515" spans="1:26" s="8" customFormat="1" ht="20.100000000000001" customHeight="1" x14ac:dyDescent="0.25">
      <c r="A515" s="59" t="s">
        <v>1100</v>
      </c>
      <c r="B515" s="84">
        <v>513</v>
      </c>
      <c r="C515" s="85" t="s">
        <v>830</v>
      </c>
      <c r="D515" s="60">
        <v>0</v>
      </c>
      <c r="E515" s="61">
        <f t="shared" si="84"/>
        <v>0</v>
      </c>
      <c r="F515" s="60">
        <v>0</v>
      </c>
      <c r="G515" s="61">
        <f t="shared" si="85"/>
        <v>0</v>
      </c>
      <c r="H515" s="60">
        <v>0</v>
      </c>
      <c r="I515" s="61">
        <f t="shared" si="86"/>
        <v>0</v>
      </c>
      <c r="J515" s="60">
        <v>0</v>
      </c>
      <c r="K515" s="61">
        <f t="shared" si="87"/>
        <v>0</v>
      </c>
      <c r="L515" s="62"/>
      <c r="M515" s="61">
        <f t="shared" si="88"/>
        <v>0</v>
      </c>
      <c r="N515" s="63">
        <v>0</v>
      </c>
      <c r="O515" s="61">
        <f t="shared" si="89"/>
        <v>0</v>
      </c>
      <c r="P515" s="60">
        <v>0</v>
      </c>
      <c r="Q515" s="61">
        <f t="shared" si="90"/>
        <v>0</v>
      </c>
      <c r="R515" s="60">
        <v>0</v>
      </c>
      <c r="S515" s="61">
        <f t="shared" si="91"/>
        <v>0</v>
      </c>
      <c r="T515" s="60">
        <v>0</v>
      </c>
      <c r="U515" s="64">
        <f t="shared" si="92"/>
        <v>0</v>
      </c>
      <c r="V515" s="65">
        <v>0</v>
      </c>
      <c r="W515" s="66">
        <f t="shared" si="93"/>
        <v>0</v>
      </c>
      <c r="X515" s="67">
        <f t="shared" si="94"/>
        <v>0</v>
      </c>
      <c r="Y515" s="57" t="str">
        <f t="shared" si="95"/>
        <v>NIL PLEASE PURCHASE</v>
      </c>
      <c r="Z515" s="68" t="s">
        <v>1539</v>
      </c>
    </row>
    <row r="516" spans="1:26" s="8" customFormat="1" ht="20.100000000000001" customHeight="1" x14ac:dyDescent="0.25">
      <c r="A516" s="59" t="s">
        <v>1101</v>
      </c>
      <c r="B516" s="84">
        <v>514</v>
      </c>
      <c r="C516" s="85" t="s">
        <v>831</v>
      </c>
      <c r="D516" s="60">
        <v>0</v>
      </c>
      <c r="E516" s="61">
        <f t="shared" ref="E516:E579" si="96">D516*10</f>
        <v>0</v>
      </c>
      <c r="F516" s="60">
        <v>0</v>
      </c>
      <c r="G516" s="61">
        <f t="shared" ref="G516:G579" si="97">F516*25</f>
        <v>0</v>
      </c>
      <c r="H516" s="60">
        <v>0</v>
      </c>
      <c r="I516" s="61">
        <f t="shared" ref="I516:I579" si="98">H516*50</f>
        <v>0</v>
      </c>
      <c r="J516" s="60">
        <v>0</v>
      </c>
      <c r="K516" s="61">
        <f t="shared" ref="K516:K579" si="99">J516*100</f>
        <v>0</v>
      </c>
      <c r="L516" s="62"/>
      <c r="M516" s="61">
        <f t="shared" ref="M516:M579" si="100">L516*250</f>
        <v>0</v>
      </c>
      <c r="N516" s="63">
        <v>0</v>
      </c>
      <c r="O516" s="61">
        <f t="shared" ref="O516:O579" si="101">N516*500</f>
        <v>0</v>
      </c>
      <c r="P516" s="60">
        <v>0</v>
      </c>
      <c r="Q516" s="61">
        <f t="shared" ref="Q516:Q579" si="102">P516*1000</f>
        <v>0</v>
      </c>
      <c r="R516" s="60">
        <v>0</v>
      </c>
      <c r="S516" s="61">
        <f t="shared" ref="S516:S579" si="103">R516*2500</f>
        <v>0</v>
      </c>
      <c r="T516" s="60">
        <v>0</v>
      </c>
      <c r="U516" s="64">
        <f t="shared" ref="U516:U579" si="104">T516*5000</f>
        <v>0</v>
      </c>
      <c r="V516" s="65">
        <v>0</v>
      </c>
      <c r="W516" s="66">
        <f t="shared" ref="W516:W579" si="105">E516+G516+I516+K516+M516+O516+Q516+S516+U516</f>
        <v>0</v>
      </c>
      <c r="X516" s="67">
        <f t="shared" ref="X516:X579" si="106">SUM(W516:W516)/1000</f>
        <v>0</v>
      </c>
      <c r="Y516" s="57" t="str">
        <f t="shared" ref="Y516:Y579" si="107">IF(W516=0,("NIL PLEASE PURCHASE"),("STOCK"))</f>
        <v>NIL PLEASE PURCHASE</v>
      </c>
      <c r="Z516" s="68" t="s">
        <v>1539</v>
      </c>
    </row>
    <row r="517" spans="1:26" s="8" customFormat="1" ht="20.100000000000001" customHeight="1" x14ac:dyDescent="0.25">
      <c r="A517" s="59" t="s">
        <v>1102</v>
      </c>
      <c r="B517" s="84">
        <v>515</v>
      </c>
      <c r="C517" s="85" t="s">
        <v>832</v>
      </c>
      <c r="D517" s="60">
        <v>0</v>
      </c>
      <c r="E517" s="61">
        <f t="shared" si="96"/>
        <v>0</v>
      </c>
      <c r="F517" s="60">
        <v>0</v>
      </c>
      <c r="G517" s="61">
        <f t="shared" si="97"/>
        <v>0</v>
      </c>
      <c r="H517" s="60">
        <v>0</v>
      </c>
      <c r="I517" s="61">
        <f t="shared" si="98"/>
        <v>0</v>
      </c>
      <c r="J517" s="60">
        <v>0</v>
      </c>
      <c r="K517" s="61">
        <f t="shared" si="99"/>
        <v>0</v>
      </c>
      <c r="L517" s="62"/>
      <c r="M517" s="61">
        <f t="shared" si="100"/>
        <v>0</v>
      </c>
      <c r="N517" s="63">
        <v>0</v>
      </c>
      <c r="O517" s="61">
        <f t="shared" si="101"/>
        <v>0</v>
      </c>
      <c r="P517" s="60">
        <v>0</v>
      </c>
      <c r="Q517" s="61">
        <f t="shared" si="102"/>
        <v>0</v>
      </c>
      <c r="R517" s="60">
        <v>0</v>
      </c>
      <c r="S517" s="61">
        <f t="shared" si="103"/>
        <v>0</v>
      </c>
      <c r="T517" s="60">
        <v>0</v>
      </c>
      <c r="U517" s="64">
        <f t="shared" si="104"/>
        <v>0</v>
      </c>
      <c r="V517" s="65">
        <v>0</v>
      </c>
      <c r="W517" s="66">
        <f t="shared" si="105"/>
        <v>0</v>
      </c>
      <c r="X517" s="67">
        <f t="shared" si="106"/>
        <v>0</v>
      </c>
      <c r="Y517" s="57" t="str">
        <f t="shared" si="107"/>
        <v>NIL PLEASE PURCHASE</v>
      </c>
      <c r="Z517" s="68" t="s">
        <v>1539</v>
      </c>
    </row>
    <row r="518" spans="1:26" s="8" customFormat="1" ht="20.100000000000001" customHeight="1" x14ac:dyDescent="0.25">
      <c r="A518" s="59" t="s">
        <v>1103</v>
      </c>
      <c r="B518" s="84">
        <v>516</v>
      </c>
      <c r="C518" s="85" t="s">
        <v>833</v>
      </c>
      <c r="D518" s="60">
        <v>0</v>
      </c>
      <c r="E518" s="61">
        <f t="shared" si="96"/>
        <v>0</v>
      </c>
      <c r="F518" s="60">
        <v>0</v>
      </c>
      <c r="G518" s="61">
        <f t="shared" si="97"/>
        <v>0</v>
      </c>
      <c r="H518" s="60">
        <v>0</v>
      </c>
      <c r="I518" s="61">
        <f t="shared" si="98"/>
        <v>0</v>
      </c>
      <c r="J518" s="60">
        <v>0</v>
      </c>
      <c r="K518" s="61">
        <f t="shared" si="99"/>
        <v>0</v>
      </c>
      <c r="L518" s="62"/>
      <c r="M518" s="61">
        <f t="shared" si="100"/>
        <v>0</v>
      </c>
      <c r="N518" s="63">
        <v>0</v>
      </c>
      <c r="O518" s="61">
        <f t="shared" si="101"/>
        <v>0</v>
      </c>
      <c r="P518" s="60">
        <v>0</v>
      </c>
      <c r="Q518" s="61">
        <f t="shared" si="102"/>
        <v>0</v>
      </c>
      <c r="R518" s="60">
        <v>0</v>
      </c>
      <c r="S518" s="61">
        <f t="shared" si="103"/>
        <v>0</v>
      </c>
      <c r="T518" s="60">
        <v>0</v>
      </c>
      <c r="U518" s="64">
        <f t="shared" si="104"/>
        <v>0</v>
      </c>
      <c r="V518" s="65">
        <v>0</v>
      </c>
      <c r="W518" s="66">
        <f t="shared" si="105"/>
        <v>0</v>
      </c>
      <c r="X518" s="67">
        <f t="shared" si="106"/>
        <v>0</v>
      </c>
      <c r="Y518" s="57" t="str">
        <f t="shared" si="107"/>
        <v>NIL PLEASE PURCHASE</v>
      </c>
      <c r="Z518" s="68" t="s">
        <v>1539</v>
      </c>
    </row>
    <row r="519" spans="1:26" s="8" customFormat="1" ht="20.100000000000001" customHeight="1" x14ac:dyDescent="0.25">
      <c r="A519" s="59" t="s">
        <v>1104</v>
      </c>
      <c r="B519" s="84">
        <v>517</v>
      </c>
      <c r="C519" s="85" t="s">
        <v>834</v>
      </c>
      <c r="D519" s="60">
        <v>0</v>
      </c>
      <c r="E519" s="61">
        <f t="shared" si="96"/>
        <v>0</v>
      </c>
      <c r="F519" s="60">
        <v>0</v>
      </c>
      <c r="G519" s="61">
        <f t="shared" si="97"/>
        <v>0</v>
      </c>
      <c r="H519" s="60">
        <v>0</v>
      </c>
      <c r="I519" s="61">
        <f t="shared" si="98"/>
        <v>0</v>
      </c>
      <c r="J519" s="60">
        <v>0</v>
      </c>
      <c r="K519" s="61">
        <f t="shared" si="99"/>
        <v>0</v>
      </c>
      <c r="L519" s="62"/>
      <c r="M519" s="61">
        <f t="shared" si="100"/>
        <v>0</v>
      </c>
      <c r="N519" s="63">
        <v>0</v>
      </c>
      <c r="O519" s="61">
        <f t="shared" si="101"/>
        <v>0</v>
      </c>
      <c r="P519" s="60">
        <v>0</v>
      </c>
      <c r="Q519" s="61">
        <f t="shared" si="102"/>
        <v>0</v>
      </c>
      <c r="R519" s="60">
        <v>0</v>
      </c>
      <c r="S519" s="61">
        <f t="shared" si="103"/>
        <v>0</v>
      </c>
      <c r="T519" s="60">
        <v>0</v>
      </c>
      <c r="U519" s="64">
        <f t="shared" si="104"/>
        <v>0</v>
      </c>
      <c r="V519" s="65">
        <v>0</v>
      </c>
      <c r="W519" s="66">
        <f t="shared" si="105"/>
        <v>0</v>
      </c>
      <c r="X519" s="67">
        <f t="shared" si="106"/>
        <v>0</v>
      </c>
      <c r="Y519" s="57" t="str">
        <f t="shared" si="107"/>
        <v>NIL PLEASE PURCHASE</v>
      </c>
      <c r="Z519" s="68" t="s">
        <v>1539</v>
      </c>
    </row>
    <row r="520" spans="1:26" s="8" customFormat="1" ht="20.100000000000001" customHeight="1" x14ac:dyDescent="0.25">
      <c r="A520" s="59" t="s">
        <v>1105</v>
      </c>
      <c r="B520" s="84">
        <v>518</v>
      </c>
      <c r="C520" s="85" t="s">
        <v>835</v>
      </c>
      <c r="D520" s="60">
        <v>0</v>
      </c>
      <c r="E520" s="61">
        <f t="shared" si="96"/>
        <v>0</v>
      </c>
      <c r="F520" s="60">
        <v>0</v>
      </c>
      <c r="G520" s="61">
        <f t="shared" si="97"/>
        <v>0</v>
      </c>
      <c r="H520" s="60">
        <v>0</v>
      </c>
      <c r="I520" s="61">
        <f t="shared" si="98"/>
        <v>0</v>
      </c>
      <c r="J520" s="60">
        <v>0</v>
      </c>
      <c r="K520" s="61">
        <f t="shared" si="99"/>
        <v>0</v>
      </c>
      <c r="L520" s="62"/>
      <c r="M520" s="61">
        <f t="shared" si="100"/>
        <v>0</v>
      </c>
      <c r="N520" s="63">
        <v>0</v>
      </c>
      <c r="O520" s="61">
        <f t="shared" si="101"/>
        <v>0</v>
      </c>
      <c r="P520" s="60">
        <v>0</v>
      </c>
      <c r="Q520" s="61">
        <f t="shared" si="102"/>
        <v>0</v>
      </c>
      <c r="R520" s="60">
        <v>0</v>
      </c>
      <c r="S520" s="61">
        <f t="shared" si="103"/>
        <v>0</v>
      </c>
      <c r="T520" s="60">
        <v>0</v>
      </c>
      <c r="U520" s="64">
        <f t="shared" si="104"/>
        <v>0</v>
      </c>
      <c r="V520" s="65">
        <v>0</v>
      </c>
      <c r="W520" s="66">
        <f t="shared" si="105"/>
        <v>0</v>
      </c>
      <c r="X520" s="67">
        <f t="shared" si="106"/>
        <v>0</v>
      </c>
      <c r="Y520" s="57" t="str">
        <f t="shared" si="107"/>
        <v>NIL PLEASE PURCHASE</v>
      </c>
      <c r="Z520" s="68" t="s">
        <v>1539</v>
      </c>
    </row>
    <row r="521" spans="1:26" s="8" customFormat="1" ht="20.100000000000001" customHeight="1" x14ac:dyDescent="0.25">
      <c r="A521" s="59" t="s">
        <v>1106</v>
      </c>
      <c r="B521" s="84">
        <v>519</v>
      </c>
      <c r="C521" s="85" t="s">
        <v>836</v>
      </c>
      <c r="D521" s="60">
        <v>0</v>
      </c>
      <c r="E521" s="61">
        <f t="shared" si="96"/>
        <v>0</v>
      </c>
      <c r="F521" s="60">
        <v>0</v>
      </c>
      <c r="G521" s="61">
        <f t="shared" si="97"/>
        <v>0</v>
      </c>
      <c r="H521" s="60">
        <v>0</v>
      </c>
      <c r="I521" s="61">
        <f t="shared" si="98"/>
        <v>0</v>
      </c>
      <c r="J521" s="60">
        <v>0</v>
      </c>
      <c r="K521" s="61">
        <f t="shared" si="99"/>
        <v>0</v>
      </c>
      <c r="L521" s="62"/>
      <c r="M521" s="61">
        <f t="shared" si="100"/>
        <v>0</v>
      </c>
      <c r="N521" s="63">
        <v>0</v>
      </c>
      <c r="O521" s="61">
        <f t="shared" si="101"/>
        <v>0</v>
      </c>
      <c r="P521" s="60">
        <v>0</v>
      </c>
      <c r="Q521" s="61">
        <f t="shared" si="102"/>
        <v>0</v>
      </c>
      <c r="R521" s="60">
        <v>0</v>
      </c>
      <c r="S521" s="61">
        <f t="shared" si="103"/>
        <v>0</v>
      </c>
      <c r="T521" s="60">
        <v>0</v>
      </c>
      <c r="U521" s="64">
        <f t="shared" si="104"/>
        <v>0</v>
      </c>
      <c r="V521" s="65">
        <v>0</v>
      </c>
      <c r="W521" s="66">
        <f t="shared" si="105"/>
        <v>0</v>
      </c>
      <c r="X521" s="67">
        <f t="shared" si="106"/>
        <v>0</v>
      </c>
      <c r="Y521" s="57" t="str">
        <f t="shared" si="107"/>
        <v>NIL PLEASE PURCHASE</v>
      </c>
      <c r="Z521" s="68" t="s">
        <v>1539</v>
      </c>
    </row>
    <row r="522" spans="1:26" s="8" customFormat="1" ht="20.100000000000001" customHeight="1" x14ac:dyDescent="0.25">
      <c r="A522" s="59" t="s">
        <v>1107</v>
      </c>
      <c r="B522" s="84">
        <v>520</v>
      </c>
      <c r="C522" s="85" t="s">
        <v>837</v>
      </c>
      <c r="D522" s="60">
        <v>0</v>
      </c>
      <c r="E522" s="61">
        <f t="shared" si="96"/>
        <v>0</v>
      </c>
      <c r="F522" s="60">
        <v>0</v>
      </c>
      <c r="G522" s="61">
        <f t="shared" si="97"/>
        <v>0</v>
      </c>
      <c r="H522" s="60">
        <v>0</v>
      </c>
      <c r="I522" s="61">
        <f t="shared" si="98"/>
        <v>0</v>
      </c>
      <c r="J522" s="60">
        <v>0</v>
      </c>
      <c r="K522" s="61">
        <f t="shared" si="99"/>
        <v>0</v>
      </c>
      <c r="L522" s="62"/>
      <c r="M522" s="61">
        <f t="shared" si="100"/>
        <v>0</v>
      </c>
      <c r="N522" s="63">
        <v>0</v>
      </c>
      <c r="O522" s="61">
        <f t="shared" si="101"/>
        <v>0</v>
      </c>
      <c r="P522" s="60">
        <v>0</v>
      </c>
      <c r="Q522" s="61">
        <f t="shared" si="102"/>
        <v>0</v>
      </c>
      <c r="R522" s="60">
        <v>0</v>
      </c>
      <c r="S522" s="61">
        <f t="shared" si="103"/>
        <v>0</v>
      </c>
      <c r="T522" s="60">
        <v>0</v>
      </c>
      <c r="U522" s="64">
        <f t="shared" si="104"/>
        <v>0</v>
      </c>
      <c r="V522" s="65">
        <v>0</v>
      </c>
      <c r="W522" s="66">
        <f t="shared" si="105"/>
        <v>0</v>
      </c>
      <c r="X522" s="67">
        <f t="shared" si="106"/>
        <v>0</v>
      </c>
      <c r="Y522" s="57" t="str">
        <f t="shared" si="107"/>
        <v>NIL PLEASE PURCHASE</v>
      </c>
      <c r="Z522" s="68" t="s">
        <v>1539</v>
      </c>
    </row>
    <row r="523" spans="1:26" s="8" customFormat="1" ht="20.100000000000001" customHeight="1" x14ac:dyDescent="0.25">
      <c r="A523" s="59" t="s">
        <v>1108</v>
      </c>
      <c r="B523" s="84">
        <v>521</v>
      </c>
      <c r="C523" s="85" t="s">
        <v>838</v>
      </c>
      <c r="D523" s="60">
        <v>0</v>
      </c>
      <c r="E523" s="61">
        <f t="shared" si="96"/>
        <v>0</v>
      </c>
      <c r="F523" s="60">
        <v>0</v>
      </c>
      <c r="G523" s="61">
        <f t="shared" si="97"/>
        <v>0</v>
      </c>
      <c r="H523" s="60">
        <v>0</v>
      </c>
      <c r="I523" s="61">
        <f t="shared" si="98"/>
        <v>0</v>
      </c>
      <c r="J523" s="60">
        <v>0</v>
      </c>
      <c r="K523" s="61">
        <f t="shared" si="99"/>
        <v>0</v>
      </c>
      <c r="L523" s="62"/>
      <c r="M523" s="61">
        <f t="shared" si="100"/>
        <v>0</v>
      </c>
      <c r="N523" s="63">
        <v>0</v>
      </c>
      <c r="O523" s="61">
        <f t="shared" si="101"/>
        <v>0</v>
      </c>
      <c r="P523" s="60">
        <v>0</v>
      </c>
      <c r="Q523" s="61">
        <f t="shared" si="102"/>
        <v>0</v>
      </c>
      <c r="R523" s="60">
        <v>0</v>
      </c>
      <c r="S523" s="61">
        <f t="shared" si="103"/>
        <v>0</v>
      </c>
      <c r="T523" s="60">
        <v>0</v>
      </c>
      <c r="U523" s="64">
        <f t="shared" si="104"/>
        <v>0</v>
      </c>
      <c r="V523" s="65">
        <v>0</v>
      </c>
      <c r="W523" s="66">
        <f t="shared" si="105"/>
        <v>0</v>
      </c>
      <c r="X523" s="67">
        <f t="shared" si="106"/>
        <v>0</v>
      </c>
      <c r="Y523" s="57" t="str">
        <f t="shared" si="107"/>
        <v>NIL PLEASE PURCHASE</v>
      </c>
      <c r="Z523" s="68" t="s">
        <v>1539</v>
      </c>
    </row>
    <row r="524" spans="1:26" s="8" customFormat="1" ht="20.100000000000001" customHeight="1" x14ac:dyDescent="0.25">
      <c r="A524" s="59" t="s">
        <v>1109</v>
      </c>
      <c r="B524" s="84">
        <v>522</v>
      </c>
      <c r="C524" s="85" t="s">
        <v>839</v>
      </c>
      <c r="D524" s="60">
        <v>0</v>
      </c>
      <c r="E524" s="61">
        <f t="shared" si="96"/>
        <v>0</v>
      </c>
      <c r="F524" s="60">
        <v>0</v>
      </c>
      <c r="G524" s="61">
        <f t="shared" si="97"/>
        <v>0</v>
      </c>
      <c r="H524" s="60">
        <v>0</v>
      </c>
      <c r="I524" s="61">
        <f t="shared" si="98"/>
        <v>0</v>
      </c>
      <c r="J524" s="60">
        <v>0</v>
      </c>
      <c r="K524" s="61">
        <f t="shared" si="99"/>
        <v>0</v>
      </c>
      <c r="L524" s="62"/>
      <c r="M524" s="61">
        <f t="shared" si="100"/>
        <v>0</v>
      </c>
      <c r="N524" s="63">
        <v>0</v>
      </c>
      <c r="O524" s="61">
        <f t="shared" si="101"/>
        <v>0</v>
      </c>
      <c r="P524" s="60">
        <v>0</v>
      </c>
      <c r="Q524" s="61">
        <f t="shared" si="102"/>
        <v>0</v>
      </c>
      <c r="R524" s="60">
        <v>0</v>
      </c>
      <c r="S524" s="61">
        <f t="shared" si="103"/>
        <v>0</v>
      </c>
      <c r="T524" s="60">
        <v>0</v>
      </c>
      <c r="U524" s="64">
        <f t="shared" si="104"/>
        <v>0</v>
      </c>
      <c r="V524" s="65">
        <v>0</v>
      </c>
      <c r="W524" s="66">
        <f t="shared" si="105"/>
        <v>0</v>
      </c>
      <c r="X524" s="67">
        <f t="shared" si="106"/>
        <v>0</v>
      </c>
      <c r="Y524" s="57" t="str">
        <f t="shared" si="107"/>
        <v>NIL PLEASE PURCHASE</v>
      </c>
      <c r="Z524" s="68" t="s">
        <v>1539</v>
      </c>
    </row>
    <row r="525" spans="1:26" s="8" customFormat="1" ht="20.100000000000001" customHeight="1" x14ac:dyDescent="0.25">
      <c r="A525" s="59" t="s">
        <v>1110</v>
      </c>
      <c r="B525" s="84">
        <v>523</v>
      </c>
      <c r="C525" s="85" t="s">
        <v>840</v>
      </c>
      <c r="D525" s="60">
        <v>0</v>
      </c>
      <c r="E525" s="61">
        <f t="shared" si="96"/>
        <v>0</v>
      </c>
      <c r="F525" s="60">
        <v>0</v>
      </c>
      <c r="G525" s="61">
        <f t="shared" si="97"/>
        <v>0</v>
      </c>
      <c r="H525" s="60">
        <v>0</v>
      </c>
      <c r="I525" s="61">
        <f t="shared" si="98"/>
        <v>0</v>
      </c>
      <c r="J525" s="60">
        <v>0</v>
      </c>
      <c r="K525" s="61">
        <f t="shared" si="99"/>
        <v>0</v>
      </c>
      <c r="L525" s="62"/>
      <c r="M525" s="61">
        <f t="shared" si="100"/>
        <v>0</v>
      </c>
      <c r="N525" s="63">
        <v>0</v>
      </c>
      <c r="O525" s="61">
        <f t="shared" si="101"/>
        <v>0</v>
      </c>
      <c r="P525" s="60">
        <v>0</v>
      </c>
      <c r="Q525" s="61">
        <f t="shared" si="102"/>
        <v>0</v>
      </c>
      <c r="R525" s="60">
        <v>0</v>
      </c>
      <c r="S525" s="61">
        <f t="shared" si="103"/>
        <v>0</v>
      </c>
      <c r="T525" s="60">
        <v>0</v>
      </c>
      <c r="U525" s="64">
        <f t="shared" si="104"/>
        <v>0</v>
      </c>
      <c r="V525" s="65">
        <v>0</v>
      </c>
      <c r="W525" s="66">
        <f t="shared" si="105"/>
        <v>0</v>
      </c>
      <c r="X525" s="67">
        <f t="shared" si="106"/>
        <v>0</v>
      </c>
      <c r="Y525" s="57" t="str">
        <f t="shared" si="107"/>
        <v>NIL PLEASE PURCHASE</v>
      </c>
      <c r="Z525" s="68" t="s">
        <v>1539</v>
      </c>
    </row>
    <row r="526" spans="1:26" s="8" customFormat="1" ht="20.100000000000001" customHeight="1" x14ac:dyDescent="0.25">
      <c r="A526" s="59" t="s">
        <v>1111</v>
      </c>
      <c r="B526" s="84">
        <v>524</v>
      </c>
      <c r="C526" s="85" t="s">
        <v>841</v>
      </c>
      <c r="D526" s="60">
        <v>0</v>
      </c>
      <c r="E526" s="61">
        <f t="shared" si="96"/>
        <v>0</v>
      </c>
      <c r="F526" s="60">
        <v>0</v>
      </c>
      <c r="G526" s="61">
        <f t="shared" si="97"/>
        <v>0</v>
      </c>
      <c r="H526" s="60">
        <v>0</v>
      </c>
      <c r="I526" s="61">
        <f t="shared" si="98"/>
        <v>0</v>
      </c>
      <c r="J526" s="60">
        <v>0</v>
      </c>
      <c r="K526" s="61">
        <f t="shared" si="99"/>
        <v>0</v>
      </c>
      <c r="L526" s="62"/>
      <c r="M526" s="61">
        <f t="shared" si="100"/>
        <v>0</v>
      </c>
      <c r="N526" s="63">
        <v>0</v>
      </c>
      <c r="O526" s="61">
        <f t="shared" si="101"/>
        <v>0</v>
      </c>
      <c r="P526" s="60">
        <v>0</v>
      </c>
      <c r="Q526" s="61">
        <f t="shared" si="102"/>
        <v>0</v>
      </c>
      <c r="R526" s="60">
        <v>0</v>
      </c>
      <c r="S526" s="61">
        <f t="shared" si="103"/>
        <v>0</v>
      </c>
      <c r="T526" s="60">
        <v>0</v>
      </c>
      <c r="U526" s="64">
        <f t="shared" si="104"/>
        <v>0</v>
      </c>
      <c r="V526" s="65">
        <v>0</v>
      </c>
      <c r="W526" s="66">
        <f t="shared" si="105"/>
        <v>0</v>
      </c>
      <c r="X526" s="67">
        <f t="shared" si="106"/>
        <v>0</v>
      </c>
      <c r="Y526" s="57" t="str">
        <f t="shared" si="107"/>
        <v>NIL PLEASE PURCHASE</v>
      </c>
      <c r="Z526" s="68" t="s">
        <v>1539</v>
      </c>
    </row>
    <row r="527" spans="1:26" s="8" customFormat="1" ht="20.100000000000001" customHeight="1" x14ac:dyDescent="0.25">
      <c r="A527" s="59" t="s">
        <v>1112</v>
      </c>
      <c r="B527" s="84">
        <v>525</v>
      </c>
      <c r="C527" s="85" t="s">
        <v>842</v>
      </c>
      <c r="D527" s="60">
        <v>0</v>
      </c>
      <c r="E527" s="61">
        <f t="shared" si="96"/>
        <v>0</v>
      </c>
      <c r="F527" s="60">
        <v>0</v>
      </c>
      <c r="G527" s="61">
        <f t="shared" si="97"/>
        <v>0</v>
      </c>
      <c r="H527" s="60">
        <v>0</v>
      </c>
      <c r="I527" s="61">
        <f t="shared" si="98"/>
        <v>0</v>
      </c>
      <c r="J527" s="60">
        <v>0</v>
      </c>
      <c r="K527" s="61">
        <f t="shared" si="99"/>
        <v>0</v>
      </c>
      <c r="L527" s="62"/>
      <c r="M527" s="61">
        <f t="shared" si="100"/>
        <v>0</v>
      </c>
      <c r="N527" s="63">
        <v>0</v>
      </c>
      <c r="O527" s="61">
        <f t="shared" si="101"/>
        <v>0</v>
      </c>
      <c r="P527" s="60">
        <v>0</v>
      </c>
      <c r="Q527" s="61">
        <f t="shared" si="102"/>
        <v>0</v>
      </c>
      <c r="R527" s="60">
        <v>0</v>
      </c>
      <c r="S527" s="61">
        <f t="shared" si="103"/>
        <v>0</v>
      </c>
      <c r="T527" s="60">
        <v>0</v>
      </c>
      <c r="U527" s="64">
        <f t="shared" si="104"/>
        <v>0</v>
      </c>
      <c r="V527" s="65">
        <v>0</v>
      </c>
      <c r="W527" s="66">
        <f t="shared" si="105"/>
        <v>0</v>
      </c>
      <c r="X527" s="67">
        <f t="shared" si="106"/>
        <v>0</v>
      </c>
      <c r="Y527" s="57" t="str">
        <f t="shared" si="107"/>
        <v>NIL PLEASE PURCHASE</v>
      </c>
      <c r="Z527" s="68" t="s">
        <v>1539</v>
      </c>
    </row>
    <row r="528" spans="1:26" s="8" customFormat="1" ht="20.100000000000001" customHeight="1" x14ac:dyDescent="0.25">
      <c r="A528" s="59" t="s">
        <v>1113</v>
      </c>
      <c r="B528" s="84">
        <v>526</v>
      </c>
      <c r="C528" s="85" t="s">
        <v>843</v>
      </c>
      <c r="D528" s="60">
        <v>0</v>
      </c>
      <c r="E528" s="61">
        <f t="shared" si="96"/>
        <v>0</v>
      </c>
      <c r="F528" s="60">
        <v>0</v>
      </c>
      <c r="G528" s="61">
        <f t="shared" si="97"/>
        <v>0</v>
      </c>
      <c r="H528" s="60">
        <v>0</v>
      </c>
      <c r="I528" s="61">
        <f t="shared" si="98"/>
        <v>0</v>
      </c>
      <c r="J528" s="60">
        <v>0</v>
      </c>
      <c r="K528" s="61">
        <f t="shared" si="99"/>
        <v>0</v>
      </c>
      <c r="L528" s="62"/>
      <c r="M528" s="61">
        <f t="shared" si="100"/>
        <v>0</v>
      </c>
      <c r="N528" s="63">
        <v>0</v>
      </c>
      <c r="O528" s="61">
        <f t="shared" si="101"/>
        <v>0</v>
      </c>
      <c r="P528" s="60">
        <v>0</v>
      </c>
      <c r="Q528" s="61">
        <f t="shared" si="102"/>
        <v>0</v>
      </c>
      <c r="R528" s="60">
        <v>0</v>
      </c>
      <c r="S528" s="61">
        <f t="shared" si="103"/>
        <v>0</v>
      </c>
      <c r="T528" s="60">
        <v>0</v>
      </c>
      <c r="U528" s="64">
        <f t="shared" si="104"/>
        <v>0</v>
      </c>
      <c r="V528" s="65">
        <v>0</v>
      </c>
      <c r="W528" s="66">
        <f t="shared" si="105"/>
        <v>0</v>
      </c>
      <c r="X528" s="67">
        <f t="shared" si="106"/>
        <v>0</v>
      </c>
      <c r="Y528" s="57" t="str">
        <f t="shared" si="107"/>
        <v>NIL PLEASE PURCHASE</v>
      </c>
      <c r="Z528" s="68" t="s">
        <v>1539</v>
      </c>
    </row>
    <row r="529" spans="1:26" s="8" customFormat="1" ht="20.100000000000001" customHeight="1" x14ac:dyDescent="0.25">
      <c r="A529" s="59" t="s">
        <v>1114</v>
      </c>
      <c r="B529" s="84">
        <v>527</v>
      </c>
      <c r="C529" s="85" t="s">
        <v>844</v>
      </c>
      <c r="D529" s="60">
        <v>0</v>
      </c>
      <c r="E529" s="61">
        <f t="shared" si="96"/>
        <v>0</v>
      </c>
      <c r="F529" s="60">
        <v>0</v>
      </c>
      <c r="G529" s="61">
        <f t="shared" si="97"/>
        <v>0</v>
      </c>
      <c r="H529" s="60">
        <v>0</v>
      </c>
      <c r="I529" s="61">
        <f t="shared" si="98"/>
        <v>0</v>
      </c>
      <c r="J529" s="60">
        <v>0</v>
      </c>
      <c r="K529" s="61">
        <f t="shared" si="99"/>
        <v>0</v>
      </c>
      <c r="L529" s="62"/>
      <c r="M529" s="61">
        <f t="shared" si="100"/>
        <v>0</v>
      </c>
      <c r="N529" s="63">
        <v>0</v>
      </c>
      <c r="O529" s="61">
        <f t="shared" si="101"/>
        <v>0</v>
      </c>
      <c r="P529" s="60">
        <v>0</v>
      </c>
      <c r="Q529" s="61">
        <f t="shared" si="102"/>
        <v>0</v>
      </c>
      <c r="R529" s="60">
        <v>0</v>
      </c>
      <c r="S529" s="61">
        <f t="shared" si="103"/>
        <v>0</v>
      </c>
      <c r="T529" s="60">
        <v>0</v>
      </c>
      <c r="U529" s="64">
        <f t="shared" si="104"/>
        <v>0</v>
      </c>
      <c r="V529" s="65">
        <v>0</v>
      </c>
      <c r="W529" s="66">
        <f t="shared" si="105"/>
        <v>0</v>
      </c>
      <c r="X529" s="67">
        <f t="shared" si="106"/>
        <v>0</v>
      </c>
      <c r="Y529" s="57" t="str">
        <f t="shared" si="107"/>
        <v>NIL PLEASE PURCHASE</v>
      </c>
      <c r="Z529" s="68" t="s">
        <v>1539</v>
      </c>
    </row>
    <row r="530" spans="1:26" s="8" customFormat="1" ht="20.100000000000001" customHeight="1" x14ac:dyDescent="0.25">
      <c r="A530" s="59" t="s">
        <v>1115</v>
      </c>
      <c r="B530" s="84">
        <v>528</v>
      </c>
      <c r="C530" s="85" t="s">
        <v>845</v>
      </c>
      <c r="D530" s="60">
        <v>0</v>
      </c>
      <c r="E530" s="61">
        <f t="shared" si="96"/>
        <v>0</v>
      </c>
      <c r="F530" s="60">
        <v>0</v>
      </c>
      <c r="G530" s="61">
        <f t="shared" si="97"/>
        <v>0</v>
      </c>
      <c r="H530" s="60">
        <v>0</v>
      </c>
      <c r="I530" s="61">
        <f t="shared" si="98"/>
        <v>0</v>
      </c>
      <c r="J530" s="60">
        <v>0</v>
      </c>
      <c r="K530" s="61">
        <f t="shared" si="99"/>
        <v>0</v>
      </c>
      <c r="L530" s="62"/>
      <c r="M530" s="61">
        <f t="shared" si="100"/>
        <v>0</v>
      </c>
      <c r="N530" s="63">
        <v>0</v>
      </c>
      <c r="O530" s="61">
        <f t="shared" si="101"/>
        <v>0</v>
      </c>
      <c r="P530" s="60">
        <v>0</v>
      </c>
      <c r="Q530" s="61">
        <f t="shared" si="102"/>
        <v>0</v>
      </c>
      <c r="R530" s="60">
        <v>0</v>
      </c>
      <c r="S530" s="61">
        <f t="shared" si="103"/>
        <v>0</v>
      </c>
      <c r="T530" s="60">
        <v>0</v>
      </c>
      <c r="U530" s="64">
        <f t="shared" si="104"/>
        <v>0</v>
      </c>
      <c r="V530" s="65">
        <v>0</v>
      </c>
      <c r="W530" s="66">
        <f t="shared" si="105"/>
        <v>0</v>
      </c>
      <c r="X530" s="67">
        <f t="shared" si="106"/>
        <v>0</v>
      </c>
      <c r="Y530" s="57" t="str">
        <f t="shared" si="107"/>
        <v>NIL PLEASE PURCHASE</v>
      </c>
      <c r="Z530" s="68" t="s">
        <v>1539</v>
      </c>
    </row>
    <row r="531" spans="1:26" s="8" customFormat="1" ht="20.100000000000001" customHeight="1" x14ac:dyDescent="0.25">
      <c r="A531" s="59" t="s">
        <v>1116</v>
      </c>
      <c r="B531" s="84">
        <v>529</v>
      </c>
      <c r="C531" s="85" t="s">
        <v>846</v>
      </c>
      <c r="D531" s="60">
        <v>0</v>
      </c>
      <c r="E531" s="61">
        <f t="shared" si="96"/>
        <v>0</v>
      </c>
      <c r="F531" s="60">
        <v>0</v>
      </c>
      <c r="G531" s="61">
        <f t="shared" si="97"/>
        <v>0</v>
      </c>
      <c r="H531" s="60">
        <v>0</v>
      </c>
      <c r="I531" s="61">
        <f t="shared" si="98"/>
        <v>0</v>
      </c>
      <c r="J531" s="60">
        <v>0</v>
      </c>
      <c r="K531" s="61">
        <f t="shared" si="99"/>
        <v>0</v>
      </c>
      <c r="L531" s="62"/>
      <c r="M531" s="61">
        <f t="shared" si="100"/>
        <v>0</v>
      </c>
      <c r="N531" s="63">
        <v>0</v>
      </c>
      <c r="O531" s="61">
        <f t="shared" si="101"/>
        <v>0</v>
      </c>
      <c r="P531" s="60">
        <v>0</v>
      </c>
      <c r="Q531" s="61">
        <f t="shared" si="102"/>
        <v>0</v>
      </c>
      <c r="R531" s="60">
        <v>0</v>
      </c>
      <c r="S531" s="61">
        <f t="shared" si="103"/>
        <v>0</v>
      </c>
      <c r="T531" s="60">
        <v>0</v>
      </c>
      <c r="U531" s="64">
        <f t="shared" si="104"/>
        <v>0</v>
      </c>
      <c r="V531" s="65">
        <v>0</v>
      </c>
      <c r="W531" s="66">
        <f t="shared" si="105"/>
        <v>0</v>
      </c>
      <c r="X531" s="67">
        <f t="shared" si="106"/>
        <v>0</v>
      </c>
      <c r="Y531" s="57" t="str">
        <f t="shared" si="107"/>
        <v>NIL PLEASE PURCHASE</v>
      </c>
      <c r="Z531" s="68" t="s">
        <v>1539</v>
      </c>
    </row>
    <row r="532" spans="1:26" s="8" customFormat="1" ht="20.100000000000001" customHeight="1" x14ac:dyDescent="0.25">
      <c r="A532" s="59" t="s">
        <v>1117</v>
      </c>
      <c r="B532" s="84">
        <v>530</v>
      </c>
      <c r="C532" s="85" t="s">
        <v>847</v>
      </c>
      <c r="D532" s="60">
        <v>0</v>
      </c>
      <c r="E532" s="61">
        <f t="shared" si="96"/>
        <v>0</v>
      </c>
      <c r="F532" s="60">
        <v>0</v>
      </c>
      <c r="G532" s="61">
        <f t="shared" si="97"/>
        <v>0</v>
      </c>
      <c r="H532" s="60">
        <v>0</v>
      </c>
      <c r="I532" s="61">
        <f t="shared" si="98"/>
        <v>0</v>
      </c>
      <c r="J532" s="60">
        <v>0</v>
      </c>
      <c r="K532" s="61">
        <f t="shared" si="99"/>
        <v>0</v>
      </c>
      <c r="L532" s="62"/>
      <c r="M532" s="61">
        <f t="shared" si="100"/>
        <v>0</v>
      </c>
      <c r="N532" s="63">
        <v>0</v>
      </c>
      <c r="O532" s="61">
        <f t="shared" si="101"/>
        <v>0</v>
      </c>
      <c r="P532" s="60">
        <v>0</v>
      </c>
      <c r="Q532" s="61">
        <f t="shared" si="102"/>
        <v>0</v>
      </c>
      <c r="R532" s="60">
        <v>0</v>
      </c>
      <c r="S532" s="61">
        <f t="shared" si="103"/>
        <v>0</v>
      </c>
      <c r="T532" s="60">
        <v>0</v>
      </c>
      <c r="U532" s="64">
        <f t="shared" si="104"/>
        <v>0</v>
      </c>
      <c r="V532" s="65">
        <v>0</v>
      </c>
      <c r="W532" s="66">
        <f t="shared" si="105"/>
        <v>0</v>
      </c>
      <c r="X532" s="67">
        <f t="shared" si="106"/>
        <v>0</v>
      </c>
      <c r="Y532" s="57" t="str">
        <f t="shared" si="107"/>
        <v>NIL PLEASE PURCHASE</v>
      </c>
      <c r="Z532" s="68" t="s">
        <v>1539</v>
      </c>
    </row>
    <row r="533" spans="1:26" s="8" customFormat="1" ht="20.100000000000001" customHeight="1" x14ac:dyDescent="0.25">
      <c r="A533" s="59" t="s">
        <v>1118</v>
      </c>
      <c r="B533" s="84">
        <v>531</v>
      </c>
      <c r="C533" s="85" t="s">
        <v>848</v>
      </c>
      <c r="D533" s="60">
        <v>0</v>
      </c>
      <c r="E533" s="61">
        <f t="shared" si="96"/>
        <v>0</v>
      </c>
      <c r="F533" s="60">
        <v>0</v>
      </c>
      <c r="G533" s="61">
        <f t="shared" si="97"/>
        <v>0</v>
      </c>
      <c r="H533" s="60">
        <v>0</v>
      </c>
      <c r="I533" s="61">
        <f t="shared" si="98"/>
        <v>0</v>
      </c>
      <c r="J533" s="60">
        <v>0</v>
      </c>
      <c r="K533" s="61">
        <f t="shared" si="99"/>
        <v>0</v>
      </c>
      <c r="L533" s="62"/>
      <c r="M533" s="61">
        <f t="shared" si="100"/>
        <v>0</v>
      </c>
      <c r="N533" s="63">
        <v>0</v>
      </c>
      <c r="O533" s="61">
        <f t="shared" si="101"/>
        <v>0</v>
      </c>
      <c r="P533" s="60">
        <v>0</v>
      </c>
      <c r="Q533" s="61">
        <f t="shared" si="102"/>
        <v>0</v>
      </c>
      <c r="R533" s="60">
        <v>0</v>
      </c>
      <c r="S533" s="61">
        <f t="shared" si="103"/>
        <v>0</v>
      </c>
      <c r="T533" s="60">
        <v>0</v>
      </c>
      <c r="U533" s="64">
        <f t="shared" si="104"/>
        <v>0</v>
      </c>
      <c r="V533" s="65">
        <v>0</v>
      </c>
      <c r="W533" s="66">
        <f t="shared" si="105"/>
        <v>0</v>
      </c>
      <c r="X533" s="67">
        <f t="shared" si="106"/>
        <v>0</v>
      </c>
      <c r="Y533" s="57" t="str">
        <f t="shared" si="107"/>
        <v>NIL PLEASE PURCHASE</v>
      </c>
      <c r="Z533" s="68" t="s">
        <v>1539</v>
      </c>
    </row>
    <row r="534" spans="1:26" s="8" customFormat="1" ht="20.100000000000001" customHeight="1" x14ac:dyDescent="0.25">
      <c r="A534" s="59" t="s">
        <v>1119</v>
      </c>
      <c r="B534" s="84">
        <v>532</v>
      </c>
      <c r="C534" s="85" t="s">
        <v>849</v>
      </c>
      <c r="D534" s="60">
        <v>0</v>
      </c>
      <c r="E534" s="61">
        <f t="shared" si="96"/>
        <v>0</v>
      </c>
      <c r="F534" s="60">
        <v>0</v>
      </c>
      <c r="G534" s="61">
        <f t="shared" si="97"/>
        <v>0</v>
      </c>
      <c r="H534" s="60">
        <v>0</v>
      </c>
      <c r="I534" s="61">
        <f t="shared" si="98"/>
        <v>0</v>
      </c>
      <c r="J534" s="60">
        <v>0</v>
      </c>
      <c r="K534" s="61">
        <f t="shared" si="99"/>
        <v>0</v>
      </c>
      <c r="L534" s="62"/>
      <c r="M534" s="61">
        <f t="shared" si="100"/>
        <v>0</v>
      </c>
      <c r="N534" s="63">
        <v>0</v>
      </c>
      <c r="O534" s="61">
        <f t="shared" si="101"/>
        <v>0</v>
      </c>
      <c r="P534" s="60">
        <v>0</v>
      </c>
      <c r="Q534" s="61">
        <f t="shared" si="102"/>
        <v>0</v>
      </c>
      <c r="R534" s="60">
        <v>0</v>
      </c>
      <c r="S534" s="61">
        <f t="shared" si="103"/>
        <v>0</v>
      </c>
      <c r="T534" s="60">
        <v>0</v>
      </c>
      <c r="U534" s="64">
        <f t="shared" si="104"/>
        <v>0</v>
      </c>
      <c r="V534" s="65">
        <v>0</v>
      </c>
      <c r="W534" s="66">
        <f t="shared" si="105"/>
        <v>0</v>
      </c>
      <c r="X534" s="67">
        <f t="shared" si="106"/>
        <v>0</v>
      </c>
      <c r="Y534" s="57" t="str">
        <f t="shared" si="107"/>
        <v>NIL PLEASE PURCHASE</v>
      </c>
      <c r="Z534" s="68" t="s">
        <v>1539</v>
      </c>
    </row>
    <row r="535" spans="1:26" s="8" customFormat="1" ht="20.100000000000001" customHeight="1" x14ac:dyDescent="0.25">
      <c r="A535" s="59" t="s">
        <v>1120</v>
      </c>
      <c r="B535" s="84">
        <v>533</v>
      </c>
      <c r="C535" s="85" t="s">
        <v>850</v>
      </c>
      <c r="D535" s="60">
        <v>0</v>
      </c>
      <c r="E535" s="61">
        <f t="shared" si="96"/>
        <v>0</v>
      </c>
      <c r="F535" s="60">
        <v>0</v>
      </c>
      <c r="G535" s="61">
        <f t="shared" si="97"/>
        <v>0</v>
      </c>
      <c r="H535" s="60">
        <v>0</v>
      </c>
      <c r="I535" s="61">
        <f t="shared" si="98"/>
        <v>0</v>
      </c>
      <c r="J535" s="60">
        <v>0</v>
      </c>
      <c r="K535" s="61">
        <f t="shared" si="99"/>
        <v>0</v>
      </c>
      <c r="L535" s="62"/>
      <c r="M535" s="61">
        <f t="shared" si="100"/>
        <v>0</v>
      </c>
      <c r="N535" s="63">
        <v>0</v>
      </c>
      <c r="O535" s="61">
        <f t="shared" si="101"/>
        <v>0</v>
      </c>
      <c r="P535" s="60">
        <v>0</v>
      </c>
      <c r="Q535" s="61">
        <f t="shared" si="102"/>
        <v>0</v>
      </c>
      <c r="R535" s="60">
        <v>0</v>
      </c>
      <c r="S535" s="61">
        <f t="shared" si="103"/>
        <v>0</v>
      </c>
      <c r="T535" s="60">
        <v>0</v>
      </c>
      <c r="U535" s="64">
        <f t="shared" si="104"/>
        <v>0</v>
      </c>
      <c r="V535" s="65">
        <v>0</v>
      </c>
      <c r="W535" s="66">
        <f t="shared" si="105"/>
        <v>0</v>
      </c>
      <c r="X535" s="67">
        <f t="shared" si="106"/>
        <v>0</v>
      </c>
      <c r="Y535" s="57" t="str">
        <f t="shared" si="107"/>
        <v>NIL PLEASE PURCHASE</v>
      </c>
      <c r="Z535" s="68" t="s">
        <v>1539</v>
      </c>
    </row>
    <row r="536" spans="1:26" s="8" customFormat="1" ht="20.100000000000001" customHeight="1" x14ac:dyDescent="0.25">
      <c r="A536" s="59" t="s">
        <v>1121</v>
      </c>
      <c r="B536" s="84">
        <v>534</v>
      </c>
      <c r="C536" s="85" t="s">
        <v>851</v>
      </c>
      <c r="D536" s="60">
        <v>0</v>
      </c>
      <c r="E536" s="61">
        <f t="shared" si="96"/>
        <v>0</v>
      </c>
      <c r="F536" s="60">
        <v>0</v>
      </c>
      <c r="G536" s="61">
        <f t="shared" si="97"/>
        <v>0</v>
      </c>
      <c r="H536" s="60">
        <v>0</v>
      </c>
      <c r="I536" s="61">
        <f t="shared" si="98"/>
        <v>0</v>
      </c>
      <c r="J536" s="60">
        <v>0</v>
      </c>
      <c r="K536" s="61">
        <f t="shared" si="99"/>
        <v>0</v>
      </c>
      <c r="L536" s="62"/>
      <c r="M536" s="61">
        <f t="shared" si="100"/>
        <v>0</v>
      </c>
      <c r="N536" s="63">
        <v>0</v>
      </c>
      <c r="O536" s="61">
        <f t="shared" si="101"/>
        <v>0</v>
      </c>
      <c r="P536" s="60">
        <v>0</v>
      </c>
      <c r="Q536" s="61">
        <f t="shared" si="102"/>
        <v>0</v>
      </c>
      <c r="R536" s="60">
        <v>0</v>
      </c>
      <c r="S536" s="61">
        <f t="shared" si="103"/>
        <v>0</v>
      </c>
      <c r="T536" s="60">
        <v>0</v>
      </c>
      <c r="U536" s="64">
        <f t="shared" si="104"/>
        <v>0</v>
      </c>
      <c r="V536" s="65">
        <v>0</v>
      </c>
      <c r="W536" s="66">
        <f t="shared" si="105"/>
        <v>0</v>
      </c>
      <c r="X536" s="67">
        <f t="shared" si="106"/>
        <v>0</v>
      </c>
      <c r="Y536" s="57" t="str">
        <f t="shared" si="107"/>
        <v>NIL PLEASE PURCHASE</v>
      </c>
      <c r="Z536" s="68" t="s">
        <v>1539</v>
      </c>
    </row>
    <row r="537" spans="1:26" s="8" customFormat="1" ht="20.100000000000001" customHeight="1" x14ac:dyDescent="0.25">
      <c r="A537" s="59" t="s">
        <v>1122</v>
      </c>
      <c r="B537" s="84">
        <v>535</v>
      </c>
      <c r="C537" s="85" t="s">
        <v>852</v>
      </c>
      <c r="D537" s="60">
        <v>0</v>
      </c>
      <c r="E537" s="61">
        <f t="shared" si="96"/>
        <v>0</v>
      </c>
      <c r="F537" s="60">
        <v>0</v>
      </c>
      <c r="G537" s="61">
        <f t="shared" si="97"/>
        <v>0</v>
      </c>
      <c r="H537" s="60">
        <v>0</v>
      </c>
      <c r="I537" s="61">
        <f t="shared" si="98"/>
        <v>0</v>
      </c>
      <c r="J537" s="60">
        <v>1</v>
      </c>
      <c r="K537" s="61">
        <f t="shared" si="99"/>
        <v>100</v>
      </c>
      <c r="L537" s="62">
        <v>1</v>
      </c>
      <c r="M537" s="61">
        <f t="shared" si="100"/>
        <v>250</v>
      </c>
      <c r="N537" s="63">
        <v>0</v>
      </c>
      <c r="O537" s="61">
        <f t="shared" si="101"/>
        <v>0</v>
      </c>
      <c r="P537" s="60">
        <v>0</v>
      </c>
      <c r="Q537" s="61">
        <f t="shared" si="102"/>
        <v>0</v>
      </c>
      <c r="R537" s="60">
        <v>0</v>
      </c>
      <c r="S537" s="61">
        <f t="shared" si="103"/>
        <v>0</v>
      </c>
      <c r="T537" s="60">
        <v>0</v>
      </c>
      <c r="U537" s="64">
        <f t="shared" si="104"/>
        <v>0</v>
      </c>
      <c r="V537" s="65">
        <v>0</v>
      </c>
      <c r="W537" s="66">
        <f t="shared" si="105"/>
        <v>350</v>
      </c>
      <c r="X537" s="67">
        <f t="shared" si="106"/>
        <v>0.35</v>
      </c>
      <c r="Y537" s="57" t="str">
        <f t="shared" si="107"/>
        <v>STOCK</v>
      </c>
      <c r="Z537" s="68" t="s">
        <v>1538</v>
      </c>
    </row>
    <row r="538" spans="1:26" s="8" customFormat="1" ht="20.100000000000001" customHeight="1" x14ac:dyDescent="0.25">
      <c r="A538" s="59" t="s">
        <v>1123</v>
      </c>
      <c r="B538" s="84">
        <v>536</v>
      </c>
      <c r="C538" s="85" t="s">
        <v>853</v>
      </c>
      <c r="D538" s="60">
        <v>0</v>
      </c>
      <c r="E538" s="61">
        <f t="shared" si="96"/>
        <v>0</v>
      </c>
      <c r="F538" s="60">
        <v>0</v>
      </c>
      <c r="G538" s="61">
        <f t="shared" si="97"/>
        <v>0</v>
      </c>
      <c r="H538" s="60">
        <v>0</v>
      </c>
      <c r="I538" s="61">
        <f t="shared" si="98"/>
        <v>0</v>
      </c>
      <c r="J538" s="60">
        <v>0</v>
      </c>
      <c r="K538" s="61">
        <f t="shared" si="99"/>
        <v>0</v>
      </c>
      <c r="L538" s="62"/>
      <c r="M538" s="61">
        <f t="shared" si="100"/>
        <v>0</v>
      </c>
      <c r="N538" s="63">
        <v>0</v>
      </c>
      <c r="O538" s="61">
        <f t="shared" si="101"/>
        <v>0</v>
      </c>
      <c r="P538" s="60">
        <v>0</v>
      </c>
      <c r="Q538" s="61">
        <f t="shared" si="102"/>
        <v>0</v>
      </c>
      <c r="R538" s="60">
        <v>0</v>
      </c>
      <c r="S538" s="61">
        <f t="shared" si="103"/>
        <v>0</v>
      </c>
      <c r="T538" s="60">
        <v>0</v>
      </c>
      <c r="U538" s="64">
        <f t="shared" si="104"/>
        <v>0</v>
      </c>
      <c r="V538" s="65">
        <v>0</v>
      </c>
      <c r="W538" s="66">
        <f t="shared" si="105"/>
        <v>0</v>
      </c>
      <c r="X538" s="67">
        <f t="shared" si="106"/>
        <v>0</v>
      </c>
      <c r="Y538" s="57" t="str">
        <f t="shared" si="107"/>
        <v>NIL PLEASE PURCHASE</v>
      </c>
      <c r="Z538" s="68" t="s">
        <v>1539</v>
      </c>
    </row>
    <row r="539" spans="1:26" s="8" customFormat="1" ht="20.100000000000001" customHeight="1" x14ac:dyDescent="0.25">
      <c r="A539" s="59" t="s">
        <v>1124</v>
      </c>
      <c r="B539" s="84">
        <v>537</v>
      </c>
      <c r="C539" s="85" t="s">
        <v>854</v>
      </c>
      <c r="D539" s="60">
        <v>0</v>
      </c>
      <c r="E539" s="61">
        <f t="shared" si="96"/>
        <v>0</v>
      </c>
      <c r="F539" s="60">
        <v>0</v>
      </c>
      <c r="G539" s="61">
        <f t="shared" si="97"/>
        <v>0</v>
      </c>
      <c r="H539" s="60">
        <v>0</v>
      </c>
      <c r="I539" s="61">
        <f t="shared" si="98"/>
        <v>0</v>
      </c>
      <c r="J539" s="60">
        <v>0</v>
      </c>
      <c r="K539" s="61">
        <f t="shared" si="99"/>
        <v>0</v>
      </c>
      <c r="L539" s="62"/>
      <c r="M539" s="61">
        <f t="shared" si="100"/>
        <v>0</v>
      </c>
      <c r="N539" s="63">
        <v>0</v>
      </c>
      <c r="O539" s="61">
        <f t="shared" si="101"/>
        <v>0</v>
      </c>
      <c r="P539" s="60">
        <v>0</v>
      </c>
      <c r="Q539" s="61">
        <f t="shared" si="102"/>
        <v>0</v>
      </c>
      <c r="R539" s="60">
        <v>0</v>
      </c>
      <c r="S539" s="61">
        <f t="shared" si="103"/>
        <v>0</v>
      </c>
      <c r="T539" s="60">
        <v>0</v>
      </c>
      <c r="U539" s="64">
        <f t="shared" si="104"/>
        <v>0</v>
      </c>
      <c r="V539" s="65">
        <v>0</v>
      </c>
      <c r="W539" s="66">
        <f t="shared" si="105"/>
        <v>0</v>
      </c>
      <c r="X539" s="67">
        <f t="shared" si="106"/>
        <v>0</v>
      </c>
      <c r="Y539" s="57" t="str">
        <f t="shared" si="107"/>
        <v>NIL PLEASE PURCHASE</v>
      </c>
      <c r="Z539" s="68" t="s">
        <v>1539</v>
      </c>
    </row>
    <row r="540" spans="1:26" s="8" customFormat="1" ht="20.100000000000001" customHeight="1" x14ac:dyDescent="0.25">
      <c r="A540" s="59" t="s">
        <v>1125</v>
      </c>
      <c r="B540" s="84">
        <v>538</v>
      </c>
      <c r="C540" s="85" t="s">
        <v>855</v>
      </c>
      <c r="D540" s="60">
        <v>0</v>
      </c>
      <c r="E540" s="61">
        <f t="shared" si="96"/>
        <v>0</v>
      </c>
      <c r="F540" s="60">
        <v>0</v>
      </c>
      <c r="G540" s="61">
        <f t="shared" si="97"/>
        <v>0</v>
      </c>
      <c r="H540" s="60">
        <v>0</v>
      </c>
      <c r="I540" s="61">
        <f t="shared" si="98"/>
        <v>0</v>
      </c>
      <c r="J540" s="60">
        <v>0</v>
      </c>
      <c r="K540" s="61">
        <f t="shared" si="99"/>
        <v>0</v>
      </c>
      <c r="L540" s="62"/>
      <c r="M540" s="61">
        <f t="shared" si="100"/>
        <v>0</v>
      </c>
      <c r="N540" s="63">
        <v>0</v>
      </c>
      <c r="O540" s="61">
        <f t="shared" si="101"/>
        <v>0</v>
      </c>
      <c r="P540" s="60">
        <v>0</v>
      </c>
      <c r="Q540" s="61">
        <f t="shared" si="102"/>
        <v>0</v>
      </c>
      <c r="R540" s="60">
        <v>0</v>
      </c>
      <c r="S540" s="61">
        <f t="shared" si="103"/>
        <v>0</v>
      </c>
      <c r="T540" s="60">
        <v>0</v>
      </c>
      <c r="U540" s="64">
        <f t="shared" si="104"/>
        <v>0</v>
      </c>
      <c r="V540" s="65">
        <v>0</v>
      </c>
      <c r="W540" s="66">
        <f t="shared" si="105"/>
        <v>0</v>
      </c>
      <c r="X540" s="67">
        <f t="shared" si="106"/>
        <v>0</v>
      </c>
      <c r="Y540" s="57" t="str">
        <f t="shared" si="107"/>
        <v>NIL PLEASE PURCHASE</v>
      </c>
      <c r="Z540" s="68" t="s">
        <v>1539</v>
      </c>
    </row>
    <row r="541" spans="1:26" s="8" customFormat="1" ht="20.100000000000001" customHeight="1" x14ac:dyDescent="0.25">
      <c r="A541" s="59" t="s">
        <v>1126</v>
      </c>
      <c r="B541" s="84">
        <v>539</v>
      </c>
      <c r="C541" s="85" t="s">
        <v>856</v>
      </c>
      <c r="D541" s="60">
        <v>0</v>
      </c>
      <c r="E541" s="61">
        <f t="shared" si="96"/>
        <v>0</v>
      </c>
      <c r="F541" s="60">
        <v>0</v>
      </c>
      <c r="G541" s="61">
        <f t="shared" si="97"/>
        <v>0</v>
      </c>
      <c r="H541" s="60">
        <v>0</v>
      </c>
      <c r="I541" s="61">
        <f t="shared" si="98"/>
        <v>0</v>
      </c>
      <c r="J541" s="60">
        <v>2</v>
      </c>
      <c r="K541" s="61">
        <f t="shared" si="99"/>
        <v>200</v>
      </c>
      <c r="L541" s="62"/>
      <c r="M541" s="61">
        <f t="shared" si="100"/>
        <v>0</v>
      </c>
      <c r="N541" s="63">
        <v>1</v>
      </c>
      <c r="O541" s="61">
        <f t="shared" si="101"/>
        <v>500</v>
      </c>
      <c r="P541" s="60">
        <v>0</v>
      </c>
      <c r="Q541" s="61">
        <f t="shared" si="102"/>
        <v>0</v>
      </c>
      <c r="R541" s="60">
        <v>0</v>
      </c>
      <c r="S541" s="61">
        <f t="shared" si="103"/>
        <v>0</v>
      </c>
      <c r="T541" s="60">
        <v>0</v>
      </c>
      <c r="U541" s="64">
        <f t="shared" si="104"/>
        <v>0</v>
      </c>
      <c r="V541" s="65">
        <v>0</v>
      </c>
      <c r="W541" s="66">
        <f t="shared" si="105"/>
        <v>700</v>
      </c>
      <c r="X541" s="67">
        <f t="shared" si="106"/>
        <v>0.7</v>
      </c>
      <c r="Y541" s="57" t="str">
        <f t="shared" si="107"/>
        <v>STOCK</v>
      </c>
      <c r="Z541" s="68" t="s">
        <v>1538</v>
      </c>
    </row>
    <row r="542" spans="1:26" s="8" customFormat="1" ht="20.100000000000001" customHeight="1" x14ac:dyDescent="0.25">
      <c r="A542" s="59" t="s">
        <v>1127</v>
      </c>
      <c r="B542" s="84">
        <v>540</v>
      </c>
      <c r="C542" s="85" t="s">
        <v>857</v>
      </c>
      <c r="D542" s="60">
        <v>0</v>
      </c>
      <c r="E542" s="61">
        <f t="shared" si="96"/>
        <v>0</v>
      </c>
      <c r="F542" s="60">
        <v>0</v>
      </c>
      <c r="G542" s="61">
        <f t="shared" si="97"/>
        <v>0</v>
      </c>
      <c r="H542" s="60">
        <v>0</v>
      </c>
      <c r="I542" s="61">
        <f t="shared" si="98"/>
        <v>0</v>
      </c>
      <c r="J542" s="60">
        <v>0</v>
      </c>
      <c r="K542" s="61">
        <f t="shared" si="99"/>
        <v>0</v>
      </c>
      <c r="L542" s="62"/>
      <c r="M542" s="61">
        <f t="shared" si="100"/>
        <v>0</v>
      </c>
      <c r="N542" s="63">
        <v>0</v>
      </c>
      <c r="O542" s="61">
        <f t="shared" si="101"/>
        <v>0</v>
      </c>
      <c r="P542" s="60">
        <v>0</v>
      </c>
      <c r="Q542" s="61">
        <f t="shared" si="102"/>
        <v>0</v>
      </c>
      <c r="R542" s="60">
        <v>0</v>
      </c>
      <c r="S542" s="61">
        <f t="shared" si="103"/>
        <v>0</v>
      </c>
      <c r="T542" s="60">
        <v>0</v>
      </c>
      <c r="U542" s="64">
        <f t="shared" si="104"/>
        <v>0</v>
      </c>
      <c r="V542" s="65">
        <v>0</v>
      </c>
      <c r="W542" s="66">
        <f t="shared" si="105"/>
        <v>0</v>
      </c>
      <c r="X542" s="67">
        <f t="shared" si="106"/>
        <v>0</v>
      </c>
      <c r="Y542" s="57" t="str">
        <f t="shared" si="107"/>
        <v>NIL PLEASE PURCHASE</v>
      </c>
      <c r="Z542" s="68" t="s">
        <v>1539</v>
      </c>
    </row>
    <row r="543" spans="1:26" s="8" customFormat="1" ht="20.100000000000001" customHeight="1" x14ac:dyDescent="0.25">
      <c r="A543" s="59" t="s">
        <v>1128</v>
      </c>
      <c r="B543" s="84">
        <v>541</v>
      </c>
      <c r="C543" s="85" t="s">
        <v>858</v>
      </c>
      <c r="D543" s="60">
        <v>0</v>
      </c>
      <c r="E543" s="61">
        <f t="shared" si="96"/>
        <v>0</v>
      </c>
      <c r="F543" s="60">
        <v>0</v>
      </c>
      <c r="G543" s="61">
        <f t="shared" si="97"/>
        <v>0</v>
      </c>
      <c r="H543" s="60">
        <v>0</v>
      </c>
      <c r="I543" s="61">
        <f t="shared" si="98"/>
        <v>0</v>
      </c>
      <c r="J543" s="60">
        <v>0</v>
      </c>
      <c r="K543" s="61">
        <f t="shared" si="99"/>
        <v>0</v>
      </c>
      <c r="L543" s="62"/>
      <c r="M543" s="61">
        <f t="shared" si="100"/>
        <v>0</v>
      </c>
      <c r="N543" s="63">
        <v>0</v>
      </c>
      <c r="O543" s="61">
        <f t="shared" si="101"/>
        <v>0</v>
      </c>
      <c r="P543" s="60">
        <v>0</v>
      </c>
      <c r="Q543" s="61">
        <f t="shared" si="102"/>
        <v>0</v>
      </c>
      <c r="R543" s="60">
        <v>0</v>
      </c>
      <c r="S543" s="61">
        <f t="shared" si="103"/>
        <v>0</v>
      </c>
      <c r="T543" s="60">
        <v>0</v>
      </c>
      <c r="U543" s="64">
        <f t="shared" si="104"/>
        <v>0</v>
      </c>
      <c r="V543" s="65">
        <v>0</v>
      </c>
      <c r="W543" s="66">
        <f t="shared" si="105"/>
        <v>0</v>
      </c>
      <c r="X543" s="67">
        <f t="shared" si="106"/>
        <v>0</v>
      </c>
      <c r="Y543" s="57" t="str">
        <f t="shared" si="107"/>
        <v>NIL PLEASE PURCHASE</v>
      </c>
      <c r="Z543" s="68" t="s">
        <v>1539</v>
      </c>
    </row>
    <row r="544" spans="1:26" s="8" customFormat="1" ht="20.100000000000001" customHeight="1" x14ac:dyDescent="0.25">
      <c r="A544" s="59" t="s">
        <v>1129</v>
      </c>
      <c r="B544" s="84">
        <v>542</v>
      </c>
      <c r="C544" s="85" t="s">
        <v>859</v>
      </c>
      <c r="D544" s="60">
        <v>0</v>
      </c>
      <c r="E544" s="61">
        <f t="shared" si="96"/>
        <v>0</v>
      </c>
      <c r="F544" s="60">
        <v>0</v>
      </c>
      <c r="G544" s="61">
        <f t="shared" si="97"/>
        <v>0</v>
      </c>
      <c r="H544" s="60">
        <v>0</v>
      </c>
      <c r="I544" s="61">
        <f t="shared" si="98"/>
        <v>0</v>
      </c>
      <c r="J544" s="60">
        <v>0</v>
      </c>
      <c r="K544" s="61">
        <f t="shared" si="99"/>
        <v>0</v>
      </c>
      <c r="L544" s="62"/>
      <c r="M544" s="61">
        <f t="shared" si="100"/>
        <v>0</v>
      </c>
      <c r="N544" s="63">
        <v>0</v>
      </c>
      <c r="O544" s="61">
        <f t="shared" si="101"/>
        <v>0</v>
      </c>
      <c r="P544" s="60">
        <v>0</v>
      </c>
      <c r="Q544" s="61">
        <f t="shared" si="102"/>
        <v>0</v>
      </c>
      <c r="R544" s="60">
        <v>0</v>
      </c>
      <c r="S544" s="61">
        <f t="shared" si="103"/>
        <v>0</v>
      </c>
      <c r="T544" s="60">
        <v>0</v>
      </c>
      <c r="U544" s="64">
        <f t="shared" si="104"/>
        <v>0</v>
      </c>
      <c r="V544" s="65">
        <v>0</v>
      </c>
      <c r="W544" s="66">
        <f t="shared" si="105"/>
        <v>0</v>
      </c>
      <c r="X544" s="67">
        <f t="shared" si="106"/>
        <v>0</v>
      </c>
      <c r="Y544" s="57" t="str">
        <f t="shared" si="107"/>
        <v>NIL PLEASE PURCHASE</v>
      </c>
      <c r="Z544" s="68" t="s">
        <v>1539</v>
      </c>
    </row>
    <row r="545" spans="1:26" s="8" customFormat="1" ht="20.100000000000001" customHeight="1" x14ac:dyDescent="0.25">
      <c r="A545" s="59" t="s">
        <v>1130</v>
      </c>
      <c r="B545" s="84">
        <v>543</v>
      </c>
      <c r="C545" s="85" t="s">
        <v>860</v>
      </c>
      <c r="D545" s="60">
        <v>0</v>
      </c>
      <c r="E545" s="61">
        <f t="shared" si="96"/>
        <v>0</v>
      </c>
      <c r="F545" s="60">
        <v>0</v>
      </c>
      <c r="G545" s="61">
        <f t="shared" si="97"/>
        <v>0</v>
      </c>
      <c r="H545" s="60">
        <v>0</v>
      </c>
      <c r="I545" s="61">
        <f t="shared" si="98"/>
        <v>0</v>
      </c>
      <c r="J545" s="60">
        <v>0</v>
      </c>
      <c r="K545" s="61">
        <f t="shared" si="99"/>
        <v>0</v>
      </c>
      <c r="L545" s="62"/>
      <c r="M545" s="61">
        <f t="shared" si="100"/>
        <v>0</v>
      </c>
      <c r="N545" s="63">
        <v>0</v>
      </c>
      <c r="O545" s="61">
        <f t="shared" si="101"/>
        <v>0</v>
      </c>
      <c r="P545" s="60">
        <v>0</v>
      </c>
      <c r="Q545" s="61">
        <f t="shared" si="102"/>
        <v>0</v>
      </c>
      <c r="R545" s="60">
        <v>0</v>
      </c>
      <c r="S545" s="61">
        <f t="shared" si="103"/>
        <v>0</v>
      </c>
      <c r="T545" s="60">
        <v>0</v>
      </c>
      <c r="U545" s="64">
        <f t="shared" si="104"/>
        <v>0</v>
      </c>
      <c r="V545" s="65">
        <v>0</v>
      </c>
      <c r="W545" s="66">
        <f t="shared" si="105"/>
        <v>0</v>
      </c>
      <c r="X545" s="67">
        <f t="shared" si="106"/>
        <v>0</v>
      </c>
      <c r="Y545" s="57" t="str">
        <f t="shared" si="107"/>
        <v>NIL PLEASE PURCHASE</v>
      </c>
      <c r="Z545" s="68" t="s">
        <v>1539</v>
      </c>
    </row>
    <row r="546" spans="1:26" s="8" customFormat="1" ht="20.100000000000001" customHeight="1" x14ac:dyDescent="0.25">
      <c r="A546" s="59" t="s">
        <v>1131</v>
      </c>
      <c r="B546" s="84">
        <v>544</v>
      </c>
      <c r="C546" s="85" t="s">
        <v>861</v>
      </c>
      <c r="D546" s="60">
        <v>0</v>
      </c>
      <c r="E546" s="61">
        <f t="shared" si="96"/>
        <v>0</v>
      </c>
      <c r="F546" s="60">
        <v>4</v>
      </c>
      <c r="G546" s="61">
        <f t="shared" si="97"/>
        <v>100</v>
      </c>
      <c r="H546" s="60">
        <v>0</v>
      </c>
      <c r="I546" s="61">
        <f t="shared" si="98"/>
        <v>0</v>
      </c>
      <c r="J546" s="60">
        <v>0</v>
      </c>
      <c r="K546" s="61">
        <f t="shared" si="99"/>
        <v>0</v>
      </c>
      <c r="L546" s="62"/>
      <c r="M546" s="61">
        <f t="shared" si="100"/>
        <v>0</v>
      </c>
      <c r="N546" s="63">
        <v>0</v>
      </c>
      <c r="O546" s="61">
        <f t="shared" si="101"/>
        <v>0</v>
      </c>
      <c r="P546" s="60">
        <v>0</v>
      </c>
      <c r="Q546" s="61">
        <f t="shared" si="102"/>
        <v>0</v>
      </c>
      <c r="R546" s="60">
        <v>0</v>
      </c>
      <c r="S546" s="61">
        <f t="shared" si="103"/>
        <v>0</v>
      </c>
      <c r="T546" s="60">
        <v>0</v>
      </c>
      <c r="U546" s="64">
        <f t="shared" si="104"/>
        <v>0</v>
      </c>
      <c r="V546" s="65">
        <v>0</v>
      </c>
      <c r="W546" s="66">
        <f t="shared" si="105"/>
        <v>100</v>
      </c>
      <c r="X546" s="67">
        <f t="shared" si="106"/>
        <v>0.1</v>
      </c>
      <c r="Y546" s="57" t="str">
        <f t="shared" si="107"/>
        <v>STOCK</v>
      </c>
      <c r="Z546" s="68" t="s">
        <v>1538</v>
      </c>
    </row>
    <row r="547" spans="1:26" s="8" customFormat="1" ht="20.100000000000001" customHeight="1" x14ac:dyDescent="0.25">
      <c r="A547" s="59" t="s">
        <v>1132</v>
      </c>
      <c r="B547" s="84">
        <v>545</v>
      </c>
      <c r="C547" s="85" t="s">
        <v>862</v>
      </c>
      <c r="D547" s="60">
        <v>0</v>
      </c>
      <c r="E547" s="61">
        <f t="shared" si="96"/>
        <v>0</v>
      </c>
      <c r="F547" s="60">
        <v>0</v>
      </c>
      <c r="G547" s="61">
        <f t="shared" si="97"/>
        <v>0</v>
      </c>
      <c r="H547" s="60">
        <v>0</v>
      </c>
      <c r="I547" s="61">
        <f t="shared" si="98"/>
        <v>0</v>
      </c>
      <c r="J547" s="60">
        <v>0</v>
      </c>
      <c r="K547" s="61">
        <f t="shared" si="99"/>
        <v>0</v>
      </c>
      <c r="L547" s="62"/>
      <c r="M547" s="61">
        <f t="shared" si="100"/>
        <v>0</v>
      </c>
      <c r="N547" s="63">
        <v>0</v>
      </c>
      <c r="O547" s="61">
        <f t="shared" si="101"/>
        <v>0</v>
      </c>
      <c r="P547" s="60">
        <v>0</v>
      </c>
      <c r="Q547" s="61">
        <f t="shared" si="102"/>
        <v>0</v>
      </c>
      <c r="R547" s="60">
        <v>0</v>
      </c>
      <c r="S547" s="61">
        <f t="shared" si="103"/>
        <v>0</v>
      </c>
      <c r="T547" s="60">
        <v>0</v>
      </c>
      <c r="U547" s="64">
        <f t="shared" si="104"/>
        <v>0</v>
      </c>
      <c r="V547" s="65">
        <v>0</v>
      </c>
      <c r="W547" s="66">
        <f t="shared" si="105"/>
        <v>0</v>
      </c>
      <c r="X547" s="67">
        <f t="shared" si="106"/>
        <v>0</v>
      </c>
      <c r="Y547" s="57" t="str">
        <f t="shared" si="107"/>
        <v>NIL PLEASE PURCHASE</v>
      </c>
      <c r="Z547" s="68" t="s">
        <v>1539</v>
      </c>
    </row>
    <row r="548" spans="1:26" s="8" customFormat="1" ht="20.100000000000001" customHeight="1" x14ac:dyDescent="0.25">
      <c r="A548" s="59" t="s">
        <v>1133</v>
      </c>
      <c r="B548" s="84">
        <v>546</v>
      </c>
      <c r="C548" s="85" t="s">
        <v>863</v>
      </c>
      <c r="D548" s="60">
        <v>0</v>
      </c>
      <c r="E548" s="61">
        <f t="shared" si="96"/>
        <v>0</v>
      </c>
      <c r="F548" s="60">
        <v>0</v>
      </c>
      <c r="G548" s="61">
        <f t="shared" si="97"/>
        <v>0</v>
      </c>
      <c r="H548" s="60">
        <v>0</v>
      </c>
      <c r="I548" s="61">
        <f t="shared" si="98"/>
        <v>0</v>
      </c>
      <c r="J548" s="60">
        <v>0</v>
      </c>
      <c r="K548" s="61">
        <f t="shared" si="99"/>
        <v>0</v>
      </c>
      <c r="L548" s="62"/>
      <c r="M548" s="61">
        <f t="shared" si="100"/>
        <v>0</v>
      </c>
      <c r="N548" s="63">
        <v>0</v>
      </c>
      <c r="O548" s="61">
        <f t="shared" si="101"/>
        <v>0</v>
      </c>
      <c r="P548" s="60">
        <v>0</v>
      </c>
      <c r="Q548" s="61">
        <f t="shared" si="102"/>
        <v>0</v>
      </c>
      <c r="R548" s="60">
        <v>0</v>
      </c>
      <c r="S548" s="61">
        <f t="shared" si="103"/>
        <v>0</v>
      </c>
      <c r="T548" s="60">
        <v>0</v>
      </c>
      <c r="U548" s="64">
        <f t="shared" si="104"/>
        <v>0</v>
      </c>
      <c r="V548" s="65">
        <v>0</v>
      </c>
      <c r="W548" s="66">
        <f t="shared" si="105"/>
        <v>0</v>
      </c>
      <c r="X548" s="67">
        <f t="shared" si="106"/>
        <v>0</v>
      </c>
      <c r="Y548" s="57" t="str">
        <f t="shared" si="107"/>
        <v>NIL PLEASE PURCHASE</v>
      </c>
      <c r="Z548" s="68" t="s">
        <v>1539</v>
      </c>
    </row>
    <row r="549" spans="1:26" s="8" customFormat="1" ht="20.100000000000001" customHeight="1" x14ac:dyDescent="0.25">
      <c r="A549" s="59" t="s">
        <v>1134</v>
      </c>
      <c r="B549" s="84">
        <v>547</v>
      </c>
      <c r="C549" s="85" t="s">
        <v>864</v>
      </c>
      <c r="D549" s="60">
        <v>0</v>
      </c>
      <c r="E549" s="61">
        <f t="shared" si="96"/>
        <v>0</v>
      </c>
      <c r="F549" s="60">
        <v>0</v>
      </c>
      <c r="G549" s="61">
        <f t="shared" si="97"/>
        <v>0</v>
      </c>
      <c r="H549" s="60">
        <v>0</v>
      </c>
      <c r="I549" s="61">
        <f t="shared" si="98"/>
        <v>0</v>
      </c>
      <c r="J549" s="60">
        <v>0</v>
      </c>
      <c r="K549" s="61">
        <f t="shared" si="99"/>
        <v>0</v>
      </c>
      <c r="L549" s="62">
        <v>0</v>
      </c>
      <c r="M549" s="61">
        <f t="shared" si="100"/>
        <v>0</v>
      </c>
      <c r="N549" s="63">
        <v>0</v>
      </c>
      <c r="O549" s="61">
        <f t="shared" si="101"/>
        <v>0</v>
      </c>
      <c r="P549" s="60">
        <v>0</v>
      </c>
      <c r="Q549" s="61">
        <f t="shared" si="102"/>
        <v>0</v>
      </c>
      <c r="R549" s="60">
        <v>0</v>
      </c>
      <c r="S549" s="61">
        <f t="shared" si="103"/>
        <v>0</v>
      </c>
      <c r="T549" s="60">
        <v>0</v>
      </c>
      <c r="U549" s="64">
        <f t="shared" si="104"/>
        <v>0</v>
      </c>
      <c r="V549" s="65">
        <v>0</v>
      </c>
      <c r="W549" s="66">
        <f t="shared" si="105"/>
        <v>0</v>
      </c>
      <c r="X549" s="67">
        <f t="shared" si="106"/>
        <v>0</v>
      </c>
      <c r="Y549" s="57" t="str">
        <f t="shared" si="107"/>
        <v>NIL PLEASE PURCHASE</v>
      </c>
      <c r="Z549" s="68" t="s">
        <v>1538</v>
      </c>
    </row>
    <row r="550" spans="1:26" s="8" customFormat="1" ht="20.100000000000001" customHeight="1" x14ac:dyDescent="0.25">
      <c r="A550" s="59" t="s">
        <v>1135</v>
      </c>
      <c r="B550" s="84">
        <v>548</v>
      </c>
      <c r="C550" s="85" t="s">
        <v>865</v>
      </c>
      <c r="D550" s="60">
        <v>0</v>
      </c>
      <c r="E550" s="61">
        <f t="shared" si="96"/>
        <v>0</v>
      </c>
      <c r="F550" s="60">
        <v>0</v>
      </c>
      <c r="G550" s="61">
        <f t="shared" si="97"/>
        <v>0</v>
      </c>
      <c r="H550" s="60">
        <v>0</v>
      </c>
      <c r="I550" s="61">
        <f t="shared" si="98"/>
        <v>0</v>
      </c>
      <c r="J550" s="60">
        <v>0</v>
      </c>
      <c r="K550" s="61">
        <f t="shared" si="99"/>
        <v>0</v>
      </c>
      <c r="L550" s="62"/>
      <c r="M550" s="61">
        <f t="shared" si="100"/>
        <v>0</v>
      </c>
      <c r="N550" s="63">
        <v>0</v>
      </c>
      <c r="O550" s="61">
        <f t="shared" si="101"/>
        <v>0</v>
      </c>
      <c r="P550" s="60">
        <v>0</v>
      </c>
      <c r="Q550" s="61">
        <f t="shared" si="102"/>
        <v>0</v>
      </c>
      <c r="R550" s="60">
        <v>0</v>
      </c>
      <c r="S550" s="61">
        <f t="shared" si="103"/>
        <v>0</v>
      </c>
      <c r="T550" s="60">
        <v>0</v>
      </c>
      <c r="U550" s="64">
        <f t="shared" si="104"/>
        <v>0</v>
      </c>
      <c r="V550" s="65">
        <v>0</v>
      </c>
      <c r="W550" s="66">
        <f t="shared" si="105"/>
        <v>0</v>
      </c>
      <c r="X550" s="67">
        <f t="shared" si="106"/>
        <v>0</v>
      </c>
      <c r="Y550" s="57" t="str">
        <f t="shared" si="107"/>
        <v>NIL PLEASE PURCHASE</v>
      </c>
      <c r="Z550" s="68" t="s">
        <v>1539</v>
      </c>
    </row>
    <row r="551" spans="1:26" s="8" customFormat="1" ht="20.100000000000001" customHeight="1" x14ac:dyDescent="0.25">
      <c r="A551" s="59" t="s">
        <v>1136</v>
      </c>
      <c r="B551" s="84">
        <v>549</v>
      </c>
      <c r="C551" s="85" t="s">
        <v>866</v>
      </c>
      <c r="D551" s="60">
        <v>0</v>
      </c>
      <c r="E551" s="61">
        <f t="shared" si="96"/>
        <v>0</v>
      </c>
      <c r="F551" s="60">
        <v>0</v>
      </c>
      <c r="G551" s="61">
        <f t="shared" si="97"/>
        <v>0</v>
      </c>
      <c r="H551" s="60">
        <v>0</v>
      </c>
      <c r="I551" s="61">
        <f t="shared" si="98"/>
        <v>0</v>
      </c>
      <c r="J551" s="60">
        <v>0</v>
      </c>
      <c r="K551" s="61">
        <f t="shared" si="99"/>
        <v>0</v>
      </c>
      <c r="L551" s="62"/>
      <c r="M551" s="61">
        <f t="shared" si="100"/>
        <v>0</v>
      </c>
      <c r="N551" s="63">
        <v>0</v>
      </c>
      <c r="O551" s="61">
        <f t="shared" si="101"/>
        <v>0</v>
      </c>
      <c r="P551" s="60">
        <v>0</v>
      </c>
      <c r="Q551" s="61">
        <f t="shared" si="102"/>
        <v>0</v>
      </c>
      <c r="R551" s="60">
        <v>0</v>
      </c>
      <c r="S551" s="61">
        <f t="shared" si="103"/>
        <v>0</v>
      </c>
      <c r="T551" s="60">
        <v>0</v>
      </c>
      <c r="U551" s="64">
        <f t="shared" si="104"/>
        <v>0</v>
      </c>
      <c r="V551" s="65">
        <v>0</v>
      </c>
      <c r="W551" s="66">
        <f t="shared" si="105"/>
        <v>0</v>
      </c>
      <c r="X551" s="67">
        <f t="shared" si="106"/>
        <v>0</v>
      </c>
      <c r="Y551" s="57" t="str">
        <f t="shared" si="107"/>
        <v>NIL PLEASE PURCHASE</v>
      </c>
      <c r="Z551" s="68" t="s">
        <v>1539</v>
      </c>
    </row>
    <row r="552" spans="1:26" s="8" customFormat="1" ht="20.100000000000001" customHeight="1" x14ac:dyDescent="0.25">
      <c r="A552" s="59" t="s">
        <v>1137</v>
      </c>
      <c r="B552" s="84">
        <v>550</v>
      </c>
      <c r="C552" s="85" t="s">
        <v>867</v>
      </c>
      <c r="D552" s="60">
        <v>0</v>
      </c>
      <c r="E552" s="61">
        <f t="shared" si="96"/>
        <v>0</v>
      </c>
      <c r="F552" s="60">
        <v>0</v>
      </c>
      <c r="G552" s="61">
        <f t="shared" si="97"/>
        <v>0</v>
      </c>
      <c r="H552" s="60">
        <v>0</v>
      </c>
      <c r="I552" s="61">
        <f t="shared" si="98"/>
        <v>0</v>
      </c>
      <c r="J552" s="60">
        <v>1</v>
      </c>
      <c r="K552" s="61">
        <f t="shared" si="99"/>
        <v>100</v>
      </c>
      <c r="L552" s="62"/>
      <c r="M552" s="61">
        <f t="shared" si="100"/>
        <v>0</v>
      </c>
      <c r="N552" s="63">
        <v>0</v>
      </c>
      <c r="O552" s="61">
        <f t="shared" si="101"/>
        <v>0</v>
      </c>
      <c r="P552" s="60">
        <v>0</v>
      </c>
      <c r="Q552" s="61">
        <f t="shared" si="102"/>
        <v>0</v>
      </c>
      <c r="R552" s="60">
        <v>0</v>
      </c>
      <c r="S552" s="61">
        <f t="shared" si="103"/>
        <v>0</v>
      </c>
      <c r="T552" s="60">
        <v>0</v>
      </c>
      <c r="U552" s="64">
        <f t="shared" si="104"/>
        <v>0</v>
      </c>
      <c r="V552" s="65">
        <v>0</v>
      </c>
      <c r="W552" s="66">
        <f t="shared" si="105"/>
        <v>100</v>
      </c>
      <c r="X552" s="67">
        <f t="shared" si="106"/>
        <v>0.1</v>
      </c>
      <c r="Y552" s="57" t="str">
        <f t="shared" si="107"/>
        <v>STOCK</v>
      </c>
      <c r="Z552" s="68" t="s">
        <v>1538</v>
      </c>
    </row>
    <row r="553" spans="1:26" s="8" customFormat="1" ht="20.100000000000001" customHeight="1" x14ac:dyDescent="0.25">
      <c r="A553" s="59" t="s">
        <v>1138</v>
      </c>
      <c r="B553" s="84">
        <v>551</v>
      </c>
      <c r="C553" s="85" t="s">
        <v>868</v>
      </c>
      <c r="D553" s="60">
        <v>0</v>
      </c>
      <c r="E553" s="61">
        <f t="shared" si="96"/>
        <v>0</v>
      </c>
      <c r="F553" s="60">
        <v>0</v>
      </c>
      <c r="G553" s="61">
        <f t="shared" si="97"/>
        <v>0</v>
      </c>
      <c r="H553" s="60">
        <v>0</v>
      </c>
      <c r="I553" s="61">
        <f t="shared" si="98"/>
        <v>0</v>
      </c>
      <c r="J553" s="60">
        <v>0</v>
      </c>
      <c r="K553" s="61">
        <f t="shared" si="99"/>
        <v>0</v>
      </c>
      <c r="L553" s="62"/>
      <c r="M553" s="61">
        <f t="shared" si="100"/>
        <v>0</v>
      </c>
      <c r="N553" s="63">
        <v>0</v>
      </c>
      <c r="O553" s="61">
        <f t="shared" si="101"/>
        <v>0</v>
      </c>
      <c r="P553" s="60">
        <v>0</v>
      </c>
      <c r="Q553" s="61">
        <f t="shared" si="102"/>
        <v>0</v>
      </c>
      <c r="R553" s="60">
        <v>0</v>
      </c>
      <c r="S553" s="61">
        <f t="shared" si="103"/>
        <v>0</v>
      </c>
      <c r="T553" s="60">
        <v>0</v>
      </c>
      <c r="U553" s="64">
        <f t="shared" si="104"/>
        <v>0</v>
      </c>
      <c r="V553" s="65">
        <v>0</v>
      </c>
      <c r="W553" s="66">
        <f t="shared" si="105"/>
        <v>0</v>
      </c>
      <c r="X553" s="67">
        <f t="shared" si="106"/>
        <v>0</v>
      </c>
      <c r="Y553" s="57" t="str">
        <f t="shared" si="107"/>
        <v>NIL PLEASE PURCHASE</v>
      </c>
      <c r="Z553" s="68" t="s">
        <v>1539</v>
      </c>
    </row>
    <row r="554" spans="1:26" s="8" customFormat="1" ht="20.100000000000001" customHeight="1" x14ac:dyDescent="0.25">
      <c r="A554" s="59" t="s">
        <v>1139</v>
      </c>
      <c r="B554" s="84">
        <v>552</v>
      </c>
      <c r="C554" s="85" t="s">
        <v>869</v>
      </c>
      <c r="D554" s="60">
        <v>0</v>
      </c>
      <c r="E554" s="61">
        <f t="shared" si="96"/>
        <v>0</v>
      </c>
      <c r="F554" s="60">
        <v>0</v>
      </c>
      <c r="G554" s="61">
        <f t="shared" si="97"/>
        <v>0</v>
      </c>
      <c r="H554" s="60">
        <v>0</v>
      </c>
      <c r="I554" s="61">
        <f t="shared" si="98"/>
        <v>0</v>
      </c>
      <c r="J554" s="60">
        <v>0</v>
      </c>
      <c r="K554" s="61">
        <f t="shared" si="99"/>
        <v>0</v>
      </c>
      <c r="L554" s="62"/>
      <c r="M554" s="61">
        <f t="shared" si="100"/>
        <v>0</v>
      </c>
      <c r="N554" s="63">
        <v>0</v>
      </c>
      <c r="O554" s="61">
        <f t="shared" si="101"/>
        <v>0</v>
      </c>
      <c r="P554" s="60">
        <v>0</v>
      </c>
      <c r="Q554" s="61">
        <f t="shared" si="102"/>
        <v>0</v>
      </c>
      <c r="R554" s="60">
        <v>0</v>
      </c>
      <c r="S554" s="61">
        <f t="shared" si="103"/>
        <v>0</v>
      </c>
      <c r="T554" s="60">
        <v>0</v>
      </c>
      <c r="U554" s="64">
        <f t="shared" si="104"/>
        <v>0</v>
      </c>
      <c r="V554" s="65">
        <v>0</v>
      </c>
      <c r="W554" s="66">
        <f t="shared" si="105"/>
        <v>0</v>
      </c>
      <c r="X554" s="67">
        <f t="shared" si="106"/>
        <v>0</v>
      </c>
      <c r="Y554" s="57" t="str">
        <f t="shared" si="107"/>
        <v>NIL PLEASE PURCHASE</v>
      </c>
      <c r="Z554" s="68" t="s">
        <v>1539</v>
      </c>
    </row>
    <row r="555" spans="1:26" s="8" customFormat="1" ht="20.100000000000001" customHeight="1" x14ac:dyDescent="0.25">
      <c r="A555" s="59" t="s">
        <v>1140</v>
      </c>
      <c r="B555" s="84">
        <v>553</v>
      </c>
      <c r="C555" s="85" t="s">
        <v>870</v>
      </c>
      <c r="D555" s="60">
        <v>0</v>
      </c>
      <c r="E555" s="61">
        <f t="shared" si="96"/>
        <v>0</v>
      </c>
      <c r="F555" s="60">
        <v>0</v>
      </c>
      <c r="G555" s="61">
        <f t="shared" si="97"/>
        <v>0</v>
      </c>
      <c r="H555" s="60">
        <v>0</v>
      </c>
      <c r="I555" s="61">
        <f t="shared" si="98"/>
        <v>0</v>
      </c>
      <c r="J555" s="60">
        <v>0</v>
      </c>
      <c r="K555" s="61">
        <f t="shared" si="99"/>
        <v>0</v>
      </c>
      <c r="L555" s="62"/>
      <c r="M555" s="61">
        <f t="shared" si="100"/>
        <v>0</v>
      </c>
      <c r="N555" s="63">
        <v>0</v>
      </c>
      <c r="O555" s="61">
        <f t="shared" si="101"/>
        <v>0</v>
      </c>
      <c r="P555" s="60">
        <v>0</v>
      </c>
      <c r="Q555" s="61">
        <f t="shared" si="102"/>
        <v>0</v>
      </c>
      <c r="R555" s="60">
        <v>0</v>
      </c>
      <c r="S555" s="61">
        <f t="shared" si="103"/>
        <v>0</v>
      </c>
      <c r="T555" s="60">
        <v>0</v>
      </c>
      <c r="U555" s="64">
        <f t="shared" si="104"/>
        <v>0</v>
      </c>
      <c r="V555" s="65">
        <v>0</v>
      </c>
      <c r="W555" s="66">
        <f t="shared" si="105"/>
        <v>0</v>
      </c>
      <c r="X555" s="67">
        <f t="shared" si="106"/>
        <v>0</v>
      </c>
      <c r="Y555" s="57" t="str">
        <f t="shared" si="107"/>
        <v>NIL PLEASE PURCHASE</v>
      </c>
      <c r="Z555" s="68" t="s">
        <v>1539</v>
      </c>
    </row>
    <row r="556" spans="1:26" s="8" customFormat="1" ht="20.100000000000001" customHeight="1" x14ac:dyDescent="0.25">
      <c r="A556" s="59" t="s">
        <v>1141</v>
      </c>
      <c r="B556" s="84">
        <v>554</v>
      </c>
      <c r="C556" s="85" t="s">
        <v>871</v>
      </c>
      <c r="D556" s="60">
        <v>0</v>
      </c>
      <c r="E556" s="61">
        <f t="shared" si="96"/>
        <v>0</v>
      </c>
      <c r="F556" s="60">
        <v>0</v>
      </c>
      <c r="G556" s="61">
        <f t="shared" si="97"/>
        <v>0</v>
      </c>
      <c r="H556" s="60">
        <v>0</v>
      </c>
      <c r="I556" s="61">
        <f t="shared" si="98"/>
        <v>0</v>
      </c>
      <c r="J556" s="60">
        <v>0</v>
      </c>
      <c r="K556" s="61">
        <f t="shared" si="99"/>
        <v>0</v>
      </c>
      <c r="L556" s="62"/>
      <c r="M556" s="61">
        <f t="shared" si="100"/>
        <v>0</v>
      </c>
      <c r="N556" s="63">
        <v>0</v>
      </c>
      <c r="O556" s="61">
        <f t="shared" si="101"/>
        <v>0</v>
      </c>
      <c r="P556" s="60">
        <v>0</v>
      </c>
      <c r="Q556" s="61">
        <f t="shared" si="102"/>
        <v>0</v>
      </c>
      <c r="R556" s="60">
        <v>0</v>
      </c>
      <c r="S556" s="61">
        <f t="shared" si="103"/>
        <v>0</v>
      </c>
      <c r="T556" s="60">
        <v>0</v>
      </c>
      <c r="U556" s="64">
        <f t="shared" si="104"/>
        <v>0</v>
      </c>
      <c r="V556" s="65">
        <v>0</v>
      </c>
      <c r="W556" s="66">
        <f t="shared" si="105"/>
        <v>0</v>
      </c>
      <c r="X556" s="67">
        <f t="shared" si="106"/>
        <v>0</v>
      </c>
      <c r="Y556" s="57" t="str">
        <f t="shared" si="107"/>
        <v>NIL PLEASE PURCHASE</v>
      </c>
      <c r="Z556" s="68" t="s">
        <v>1539</v>
      </c>
    </row>
    <row r="557" spans="1:26" s="8" customFormat="1" ht="20.100000000000001" customHeight="1" x14ac:dyDescent="0.25">
      <c r="A557" s="59" t="s">
        <v>1142</v>
      </c>
      <c r="B557" s="84">
        <v>555</v>
      </c>
      <c r="C557" s="85" t="s">
        <v>872</v>
      </c>
      <c r="D557" s="60">
        <v>0</v>
      </c>
      <c r="E557" s="61">
        <f t="shared" si="96"/>
        <v>0</v>
      </c>
      <c r="F557" s="60">
        <v>0</v>
      </c>
      <c r="G557" s="61">
        <f t="shared" si="97"/>
        <v>0</v>
      </c>
      <c r="H557" s="60">
        <v>0</v>
      </c>
      <c r="I557" s="61">
        <f t="shared" si="98"/>
        <v>0</v>
      </c>
      <c r="J557" s="60">
        <v>0</v>
      </c>
      <c r="K557" s="61">
        <f t="shared" si="99"/>
        <v>0</v>
      </c>
      <c r="L557" s="62"/>
      <c r="M557" s="61">
        <f t="shared" si="100"/>
        <v>0</v>
      </c>
      <c r="N557" s="63">
        <v>0</v>
      </c>
      <c r="O557" s="61">
        <f t="shared" si="101"/>
        <v>0</v>
      </c>
      <c r="P557" s="60">
        <v>0</v>
      </c>
      <c r="Q557" s="61">
        <f t="shared" si="102"/>
        <v>0</v>
      </c>
      <c r="R557" s="60">
        <v>0</v>
      </c>
      <c r="S557" s="61">
        <f t="shared" si="103"/>
        <v>0</v>
      </c>
      <c r="T557" s="60">
        <v>0</v>
      </c>
      <c r="U557" s="64">
        <f t="shared" si="104"/>
        <v>0</v>
      </c>
      <c r="V557" s="65">
        <v>0</v>
      </c>
      <c r="W557" s="66">
        <f t="shared" si="105"/>
        <v>0</v>
      </c>
      <c r="X557" s="67">
        <f t="shared" si="106"/>
        <v>0</v>
      </c>
      <c r="Y557" s="57" t="str">
        <f t="shared" si="107"/>
        <v>NIL PLEASE PURCHASE</v>
      </c>
      <c r="Z557" s="68" t="s">
        <v>1539</v>
      </c>
    </row>
    <row r="558" spans="1:26" s="8" customFormat="1" ht="20.100000000000001" customHeight="1" x14ac:dyDescent="0.25">
      <c r="A558" s="59" t="s">
        <v>1143</v>
      </c>
      <c r="B558" s="84">
        <v>556</v>
      </c>
      <c r="C558" s="85" t="s">
        <v>873</v>
      </c>
      <c r="D558" s="60">
        <v>0</v>
      </c>
      <c r="E558" s="61">
        <f t="shared" si="96"/>
        <v>0</v>
      </c>
      <c r="F558" s="60">
        <v>0</v>
      </c>
      <c r="G558" s="61">
        <f t="shared" si="97"/>
        <v>0</v>
      </c>
      <c r="H558" s="60">
        <v>0</v>
      </c>
      <c r="I558" s="61">
        <f t="shared" si="98"/>
        <v>0</v>
      </c>
      <c r="J558" s="60">
        <v>0</v>
      </c>
      <c r="K558" s="61">
        <f t="shared" si="99"/>
        <v>0</v>
      </c>
      <c r="L558" s="62"/>
      <c r="M558" s="61">
        <f t="shared" si="100"/>
        <v>0</v>
      </c>
      <c r="N558" s="63">
        <v>0</v>
      </c>
      <c r="O558" s="61">
        <f t="shared" si="101"/>
        <v>0</v>
      </c>
      <c r="P558" s="60">
        <v>0</v>
      </c>
      <c r="Q558" s="61">
        <f t="shared" si="102"/>
        <v>0</v>
      </c>
      <c r="R558" s="60">
        <v>0</v>
      </c>
      <c r="S558" s="61">
        <f t="shared" si="103"/>
        <v>0</v>
      </c>
      <c r="T558" s="60">
        <v>0</v>
      </c>
      <c r="U558" s="64">
        <f t="shared" si="104"/>
        <v>0</v>
      </c>
      <c r="V558" s="65">
        <v>0</v>
      </c>
      <c r="W558" s="66">
        <f t="shared" si="105"/>
        <v>0</v>
      </c>
      <c r="X558" s="67">
        <f t="shared" si="106"/>
        <v>0</v>
      </c>
      <c r="Y558" s="57" t="str">
        <f t="shared" si="107"/>
        <v>NIL PLEASE PURCHASE</v>
      </c>
      <c r="Z558" s="68" t="s">
        <v>1539</v>
      </c>
    </row>
    <row r="559" spans="1:26" s="8" customFormat="1" ht="20.100000000000001" customHeight="1" x14ac:dyDescent="0.25">
      <c r="A559" s="59" t="s">
        <v>1144</v>
      </c>
      <c r="B559" s="84">
        <v>557</v>
      </c>
      <c r="C559" s="85" t="s">
        <v>874</v>
      </c>
      <c r="D559" s="60">
        <v>0</v>
      </c>
      <c r="E559" s="61">
        <f t="shared" si="96"/>
        <v>0</v>
      </c>
      <c r="F559" s="60">
        <v>0</v>
      </c>
      <c r="G559" s="61">
        <f t="shared" si="97"/>
        <v>0</v>
      </c>
      <c r="H559" s="60">
        <v>0</v>
      </c>
      <c r="I559" s="61">
        <f t="shared" si="98"/>
        <v>0</v>
      </c>
      <c r="J559" s="60">
        <v>0</v>
      </c>
      <c r="K559" s="61">
        <f t="shared" si="99"/>
        <v>0</v>
      </c>
      <c r="L559" s="62"/>
      <c r="M559" s="61">
        <f t="shared" si="100"/>
        <v>0</v>
      </c>
      <c r="N559" s="63">
        <v>0</v>
      </c>
      <c r="O559" s="61">
        <f t="shared" si="101"/>
        <v>0</v>
      </c>
      <c r="P559" s="60">
        <v>0</v>
      </c>
      <c r="Q559" s="61">
        <f t="shared" si="102"/>
        <v>0</v>
      </c>
      <c r="R559" s="60">
        <v>0</v>
      </c>
      <c r="S559" s="61">
        <f t="shared" si="103"/>
        <v>0</v>
      </c>
      <c r="T559" s="60">
        <v>0</v>
      </c>
      <c r="U559" s="64">
        <f t="shared" si="104"/>
        <v>0</v>
      </c>
      <c r="V559" s="65">
        <v>0</v>
      </c>
      <c r="W559" s="66">
        <f t="shared" si="105"/>
        <v>0</v>
      </c>
      <c r="X559" s="67">
        <f t="shared" si="106"/>
        <v>0</v>
      </c>
      <c r="Y559" s="57" t="str">
        <f t="shared" si="107"/>
        <v>NIL PLEASE PURCHASE</v>
      </c>
      <c r="Z559" s="68" t="s">
        <v>1539</v>
      </c>
    </row>
    <row r="560" spans="1:26" s="8" customFormat="1" ht="20.100000000000001" customHeight="1" x14ac:dyDescent="0.25">
      <c r="A560" s="59" t="s">
        <v>1145</v>
      </c>
      <c r="B560" s="84">
        <v>558</v>
      </c>
      <c r="C560" s="85" t="s">
        <v>875</v>
      </c>
      <c r="D560" s="60">
        <v>0</v>
      </c>
      <c r="E560" s="61">
        <f t="shared" si="96"/>
        <v>0</v>
      </c>
      <c r="F560" s="60">
        <v>0</v>
      </c>
      <c r="G560" s="61">
        <f t="shared" si="97"/>
        <v>0</v>
      </c>
      <c r="H560" s="60">
        <v>0</v>
      </c>
      <c r="I560" s="61">
        <f t="shared" si="98"/>
        <v>0</v>
      </c>
      <c r="J560" s="60">
        <v>0</v>
      </c>
      <c r="K560" s="61">
        <f t="shared" si="99"/>
        <v>0</v>
      </c>
      <c r="L560" s="62"/>
      <c r="M560" s="61">
        <f t="shared" si="100"/>
        <v>0</v>
      </c>
      <c r="N560" s="63">
        <v>0</v>
      </c>
      <c r="O560" s="61">
        <f t="shared" si="101"/>
        <v>0</v>
      </c>
      <c r="P560" s="60">
        <v>0</v>
      </c>
      <c r="Q560" s="61">
        <f t="shared" si="102"/>
        <v>0</v>
      </c>
      <c r="R560" s="60">
        <v>0</v>
      </c>
      <c r="S560" s="61">
        <f t="shared" si="103"/>
        <v>0</v>
      </c>
      <c r="T560" s="60">
        <v>0</v>
      </c>
      <c r="U560" s="64">
        <f t="shared" si="104"/>
        <v>0</v>
      </c>
      <c r="V560" s="65">
        <v>0</v>
      </c>
      <c r="W560" s="66">
        <f t="shared" si="105"/>
        <v>0</v>
      </c>
      <c r="X560" s="67">
        <f t="shared" si="106"/>
        <v>0</v>
      </c>
      <c r="Y560" s="57" t="str">
        <f t="shared" si="107"/>
        <v>NIL PLEASE PURCHASE</v>
      </c>
      <c r="Z560" s="68" t="s">
        <v>1539</v>
      </c>
    </row>
    <row r="561" spans="1:26" s="8" customFormat="1" ht="20.100000000000001" customHeight="1" x14ac:dyDescent="0.25">
      <c r="A561" s="59" t="s">
        <v>1146</v>
      </c>
      <c r="B561" s="84">
        <v>559</v>
      </c>
      <c r="C561" s="85" t="s">
        <v>876</v>
      </c>
      <c r="D561" s="60">
        <v>0</v>
      </c>
      <c r="E561" s="61">
        <f t="shared" si="96"/>
        <v>0</v>
      </c>
      <c r="F561" s="60">
        <v>0</v>
      </c>
      <c r="G561" s="61">
        <f t="shared" si="97"/>
        <v>0</v>
      </c>
      <c r="H561" s="60">
        <v>0</v>
      </c>
      <c r="I561" s="61">
        <f t="shared" si="98"/>
        <v>0</v>
      </c>
      <c r="J561" s="60">
        <v>0</v>
      </c>
      <c r="K561" s="61">
        <f t="shared" si="99"/>
        <v>0</v>
      </c>
      <c r="L561" s="62"/>
      <c r="M561" s="61">
        <f t="shared" si="100"/>
        <v>0</v>
      </c>
      <c r="N561" s="63">
        <v>0</v>
      </c>
      <c r="O561" s="61">
        <f t="shared" si="101"/>
        <v>0</v>
      </c>
      <c r="P561" s="60">
        <v>0</v>
      </c>
      <c r="Q561" s="61">
        <f t="shared" si="102"/>
        <v>0</v>
      </c>
      <c r="R561" s="60">
        <v>0</v>
      </c>
      <c r="S561" s="61">
        <f t="shared" si="103"/>
        <v>0</v>
      </c>
      <c r="T561" s="60">
        <v>0</v>
      </c>
      <c r="U561" s="64">
        <f t="shared" si="104"/>
        <v>0</v>
      </c>
      <c r="V561" s="65">
        <v>0</v>
      </c>
      <c r="W561" s="66">
        <f t="shared" si="105"/>
        <v>0</v>
      </c>
      <c r="X561" s="67">
        <f t="shared" si="106"/>
        <v>0</v>
      </c>
      <c r="Y561" s="57" t="str">
        <f t="shared" si="107"/>
        <v>NIL PLEASE PURCHASE</v>
      </c>
      <c r="Z561" s="68" t="s">
        <v>1539</v>
      </c>
    </row>
    <row r="562" spans="1:26" s="8" customFormat="1" ht="20.100000000000001" customHeight="1" x14ac:dyDescent="0.25">
      <c r="A562" s="59" t="s">
        <v>1147</v>
      </c>
      <c r="B562" s="84">
        <v>560</v>
      </c>
      <c r="C562" s="85" t="s">
        <v>877</v>
      </c>
      <c r="D562" s="60">
        <v>0</v>
      </c>
      <c r="E562" s="61">
        <f t="shared" si="96"/>
        <v>0</v>
      </c>
      <c r="F562" s="60">
        <v>0</v>
      </c>
      <c r="G562" s="61">
        <f t="shared" si="97"/>
        <v>0</v>
      </c>
      <c r="H562" s="60">
        <v>0</v>
      </c>
      <c r="I562" s="61">
        <f t="shared" si="98"/>
        <v>0</v>
      </c>
      <c r="J562" s="60">
        <v>0</v>
      </c>
      <c r="K562" s="61">
        <f t="shared" si="99"/>
        <v>0</v>
      </c>
      <c r="L562" s="62"/>
      <c r="M562" s="61">
        <f t="shared" si="100"/>
        <v>0</v>
      </c>
      <c r="N562" s="63">
        <v>0</v>
      </c>
      <c r="O562" s="61">
        <f t="shared" si="101"/>
        <v>0</v>
      </c>
      <c r="P562" s="60">
        <v>0</v>
      </c>
      <c r="Q562" s="61">
        <f t="shared" si="102"/>
        <v>0</v>
      </c>
      <c r="R562" s="60">
        <v>0</v>
      </c>
      <c r="S562" s="61">
        <f t="shared" si="103"/>
        <v>0</v>
      </c>
      <c r="T562" s="60">
        <v>0</v>
      </c>
      <c r="U562" s="64">
        <f t="shared" si="104"/>
        <v>0</v>
      </c>
      <c r="V562" s="65">
        <v>0</v>
      </c>
      <c r="W562" s="66">
        <f t="shared" si="105"/>
        <v>0</v>
      </c>
      <c r="X562" s="67">
        <f t="shared" si="106"/>
        <v>0</v>
      </c>
      <c r="Y562" s="57" t="str">
        <f t="shared" si="107"/>
        <v>NIL PLEASE PURCHASE</v>
      </c>
      <c r="Z562" s="68" t="s">
        <v>1539</v>
      </c>
    </row>
    <row r="563" spans="1:26" s="8" customFormat="1" ht="20.100000000000001" customHeight="1" x14ac:dyDescent="0.25">
      <c r="A563" s="59" t="s">
        <v>1148</v>
      </c>
      <c r="B563" s="84">
        <v>561</v>
      </c>
      <c r="C563" s="85" t="s">
        <v>878</v>
      </c>
      <c r="D563" s="60">
        <v>0</v>
      </c>
      <c r="E563" s="61">
        <f t="shared" si="96"/>
        <v>0</v>
      </c>
      <c r="F563" s="60">
        <v>0</v>
      </c>
      <c r="G563" s="61">
        <f t="shared" si="97"/>
        <v>0</v>
      </c>
      <c r="H563" s="60">
        <v>0</v>
      </c>
      <c r="I563" s="61">
        <f t="shared" si="98"/>
        <v>0</v>
      </c>
      <c r="J563" s="60">
        <v>0</v>
      </c>
      <c r="K563" s="61">
        <f t="shared" si="99"/>
        <v>0</v>
      </c>
      <c r="L563" s="62"/>
      <c r="M563" s="61">
        <f t="shared" si="100"/>
        <v>0</v>
      </c>
      <c r="N563" s="63">
        <v>0</v>
      </c>
      <c r="O563" s="61">
        <f t="shared" si="101"/>
        <v>0</v>
      </c>
      <c r="P563" s="60">
        <v>0</v>
      </c>
      <c r="Q563" s="61">
        <f t="shared" si="102"/>
        <v>0</v>
      </c>
      <c r="R563" s="60">
        <v>0</v>
      </c>
      <c r="S563" s="61">
        <f t="shared" si="103"/>
        <v>0</v>
      </c>
      <c r="T563" s="60">
        <v>0</v>
      </c>
      <c r="U563" s="64">
        <f t="shared" si="104"/>
        <v>0</v>
      </c>
      <c r="V563" s="65">
        <v>0</v>
      </c>
      <c r="W563" s="66">
        <f t="shared" si="105"/>
        <v>0</v>
      </c>
      <c r="X563" s="67">
        <f t="shared" si="106"/>
        <v>0</v>
      </c>
      <c r="Y563" s="57" t="str">
        <f t="shared" si="107"/>
        <v>NIL PLEASE PURCHASE</v>
      </c>
      <c r="Z563" s="68" t="s">
        <v>1539</v>
      </c>
    </row>
    <row r="564" spans="1:26" s="8" customFormat="1" ht="20.100000000000001" customHeight="1" x14ac:dyDescent="0.25">
      <c r="A564" s="59" t="s">
        <v>1149</v>
      </c>
      <c r="B564" s="84">
        <v>562</v>
      </c>
      <c r="C564" s="85" t="s">
        <v>879</v>
      </c>
      <c r="D564" s="60">
        <v>0</v>
      </c>
      <c r="E564" s="61">
        <f t="shared" si="96"/>
        <v>0</v>
      </c>
      <c r="F564" s="60">
        <v>0</v>
      </c>
      <c r="G564" s="61">
        <f t="shared" si="97"/>
        <v>0</v>
      </c>
      <c r="H564" s="60">
        <v>0</v>
      </c>
      <c r="I564" s="61">
        <f t="shared" si="98"/>
        <v>0</v>
      </c>
      <c r="J564" s="60">
        <v>0</v>
      </c>
      <c r="K564" s="61">
        <f t="shared" si="99"/>
        <v>0</v>
      </c>
      <c r="L564" s="62"/>
      <c r="M564" s="61">
        <f t="shared" si="100"/>
        <v>0</v>
      </c>
      <c r="N564" s="63">
        <v>0</v>
      </c>
      <c r="O564" s="61">
        <f t="shared" si="101"/>
        <v>0</v>
      </c>
      <c r="P564" s="60">
        <v>0</v>
      </c>
      <c r="Q564" s="61">
        <f t="shared" si="102"/>
        <v>0</v>
      </c>
      <c r="R564" s="60">
        <v>0</v>
      </c>
      <c r="S564" s="61">
        <f t="shared" si="103"/>
        <v>0</v>
      </c>
      <c r="T564" s="60">
        <v>0</v>
      </c>
      <c r="U564" s="64">
        <f t="shared" si="104"/>
        <v>0</v>
      </c>
      <c r="V564" s="65">
        <v>0</v>
      </c>
      <c r="W564" s="66">
        <f t="shared" si="105"/>
        <v>0</v>
      </c>
      <c r="X564" s="67">
        <f t="shared" si="106"/>
        <v>0</v>
      </c>
      <c r="Y564" s="57" t="str">
        <f t="shared" si="107"/>
        <v>NIL PLEASE PURCHASE</v>
      </c>
      <c r="Z564" s="68" t="s">
        <v>1539</v>
      </c>
    </row>
    <row r="565" spans="1:26" s="8" customFormat="1" ht="20.100000000000001" customHeight="1" x14ac:dyDescent="0.25">
      <c r="A565" s="59" t="s">
        <v>1150</v>
      </c>
      <c r="B565" s="84">
        <v>563</v>
      </c>
      <c r="C565" s="85" t="s">
        <v>880</v>
      </c>
      <c r="D565" s="60">
        <v>0</v>
      </c>
      <c r="E565" s="61">
        <f t="shared" si="96"/>
        <v>0</v>
      </c>
      <c r="F565" s="60">
        <v>0</v>
      </c>
      <c r="G565" s="61">
        <f t="shared" si="97"/>
        <v>0</v>
      </c>
      <c r="H565" s="60">
        <v>0</v>
      </c>
      <c r="I565" s="61">
        <f t="shared" si="98"/>
        <v>0</v>
      </c>
      <c r="J565" s="60">
        <v>0</v>
      </c>
      <c r="K565" s="61">
        <f t="shared" si="99"/>
        <v>0</v>
      </c>
      <c r="L565" s="62"/>
      <c r="M565" s="61">
        <f t="shared" si="100"/>
        <v>0</v>
      </c>
      <c r="N565" s="63">
        <v>0</v>
      </c>
      <c r="O565" s="61">
        <f t="shared" si="101"/>
        <v>0</v>
      </c>
      <c r="P565" s="60">
        <v>0</v>
      </c>
      <c r="Q565" s="61">
        <f t="shared" si="102"/>
        <v>0</v>
      </c>
      <c r="R565" s="60">
        <v>0</v>
      </c>
      <c r="S565" s="61">
        <f t="shared" si="103"/>
        <v>0</v>
      </c>
      <c r="T565" s="60">
        <v>0</v>
      </c>
      <c r="U565" s="64">
        <f t="shared" si="104"/>
        <v>0</v>
      </c>
      <c r="V565" s="65">
        <v>0</v>
      </c>
      <c r="W565" s="66">
        <f t="shared" si="105"/>
        <v>0</v>
      </c>
      <c r="X565" s="67">
        <f t="shared" si="106"/>
        <v>0</v>
      </c>
      <c r="Y565" s="57" t="str">
        <f t="shared" si="107"/>
        <v>NIL PLEASE PURCHASE</v>
      </c>
      <c r="Z565" s="68" t="s">
        <v>1539</v>
      </c>
    </row>
    <row r="566" spans="1:26" s="8" customFormat="1" ht="20.100000000000001" customHeight="1" x14ac:dyDescent="0.25">
      <c r="A566" s="59" t="s">
        <v>1151</v>
      </c>
      <c r="B566" s="84">
        <v>564</v>
      </c>
      <c r="C566" s="85" t="s">
        <v>881</v>
      </c>
      <c r="D566" s="60">
        <v>0</v>
      </c>
      <c r="E566" s="61">
        <f t="shared" si="96"/>
        <v>0</v>
      </c>
      <c r="F566" s="60">
        <v>0</v>
      </c>
      <c r="G566" s="61">
        <f t="shared" si="97"/>
        <v>0</v>
      </c>
      <c r="H566" s="60">
        <v>0</v>
      </c>
      <c r="I566" s="61">
        <f t="shared" si="98"/>
        <v>0</v>
      </c>
      <c r="J566" s="60">
        <v>0</v>
      </c>
      <c r="K566" s="61">
        <f t="shared" si="99"/>
        <v>0</v>
      </c>
      <c r="L566" s="62"/>
      <c r="M566" s="61">
        <f t="shared" si="100"/>
        <v>0</v>
      </c>
      <c r="N566" s="63">
        <v>0</v>
      </c>
      <c r="O566" s="61">
        <f t="shared" si="101"/>
        <v>0</v>
      </c>
      <c r="P566" s="60">
        <v>0</v>
      </c>
      <c r="Q566" s="61">
        <f t="shared" si="102"/>
        <v>0</v>
      </c>
      <c r="R566" s="60">
        <v>0</v>
      </c>
      <c r="S566" s="61">
        <f t="shared" si="103"/>
        <v>0</v>
      </c>
      <c r="T566" s="60">
        <v>0</v>
      </c>
      <c r="U566" s="64">
        <f t="shared" si="104"/>
        <v>0</v>
      </c>
      <c r="V566" s="65">
        <v>0</v>
      </c>
      <c r="W566" s="66">
        <f t="shared" si="105"/>
        <v>0</v>
      </c>
      <c r="X566" s="67">
        <f t="shared" si="106"/>
        <v>0</v>
      </c>
      <c r="Y566" s="57" t="str">
        <f t="shared" si="107"/>
        <v>NIL PLEASE PURCHASE</v>
      </c>
      <c r="Z566" s="68" t="s">
        <v>1539</v>
      </c>
    </row>
    <row r="567" spans="1:26" s="8" customFormat="1" ht="20.100000000000001" customHeight="1" x14ac:dyDescent="0.25">
      <c r="A567" s="59" t="s">
        <v>1152</v>
      </c>
      <c r="B567" s="84">
        <v>565</v>
      </c>
      <c r="C567" s="85" t="s">
        <v>882</v>
      </c>
      <c r="D567" s="60">
        <v>0</v>
      </c>
      <c r="E567" s="61">
        <f t="shared" si="96"/>
        <v>0</v>
      </c>
      <c r="F567" s="60">
        <v>0</v>
      </c>
      <c r="G567" s="61">
        <f t="shared" si="97"/>
        <v>0</v>
      </c>
      <c r="H567" s="60">
        <v>0</v>
      </c>
      <c r="I567" s="61">
        <f t="shared" si="98"/>
        <v>0</v>
      </c>
      <c r="J567" s="60">
        <v>0</v>
      </c>
      <c r="K567" s="61">
        <f t="shared" si="99"/>
        <v>0</v>
      </c>
      <c r="L567" s="62"/>
      <c r="M567" s="61">
        <f t="shared" si="100"/>
        <v>0</v>
      </c>
      <c r="N567" s="63">
        <v>0</v>
      </c>
      <c r="O567" s="61">
        <f t="shared" si="101"/>
        <v>0</v>
      </c>
      <c r="P567" s="60">
        <v>0</v>
      </c>
      <c r="Q567" s="61">
        <f t="shared" si="102"/>
        <v>0</v>
      </c>
      <c r="R567" s="60">
        <v>0</v>
      </c>
      <c r="S567" s="61">
        <f t="shared" si="103"/>
        <v>0</v>
      </c>
      <c r="T567" s="60">
        <v>0</v>
      </c>
      <c r="U567" s="64">
        <f t="shared" si="104"/>
        <v>0</v>
      </c>
      <c r="V567" s="65">
        <v>0</v>
      </c>
      <c r="W567" s="66">
        <f t="shared" si="105"/>
        <v>0</v>
      </c>
      <c r="X567" s="67">
        <f t="shared" si="106"/>
        <v>0</v>
      </c>
      <c r="Y567" s="57" t="str">
        <f t="shared" si="107"/>
        <v>NIL PLEASE PURCHASE</v>
      </c>
      <c r="Z567" s="68" t="s">
        <v>1539</v>
      </c>
    </row>
    <row r="568" spans="1:26" s="8" customFormat="1" ht="20.100000000000001" customHeight="1" x14ac:dyDescent="0.25">
      <c r="A568" s="59" t="s">
        <v>1153</v>
      </c>
      <c r="B568" s="84">
        <v>566</v>
      </c>
      <c r="C568" s="85" t="s">
        <v>883</v>
      </c>
      <c r="D568" s="60">
        <v>0</v>
      </c>
      <c r="E568" s="61">
        <f t="shared" si="96"/>
        <v>0</v>
      </c>
      <c r="F568" s="60">
        <v>0</v>
      </c>
      <c r="G568" s="61">
        <f t="shared" si="97"/>
        <v>0</v>
      </c>
      <c r="H568" s="60">
        <v>0</v>
      </c>
      <c r="I568" s="61">
        <f t="shared" si="98"/>
        <v>0</v>
      </c>
      <c r="J568" s="60">
        <v>0</v>
      </c>
      <c r="K568" s="61">
        <f t="shared" si="99"/>
        <v>0</v>
      </c>
      <c r="L568" s="62"/>
      <c r="M568" s="61">
        <f t="shared" si="100"/>
        <v>0</v>
      </c>
      <c r="N568" s="63">
        <v>0</v>
      </c>
      <c r="O568" s="61">
        <f t="shared" si="101"/>
        <v>0</v>
      </c>
      <c r="P568" s="60">
        <v>0</v>
      </c>
      <c r="Q568" s="61">
        <f t="shared" si="102"/>
        <v>0</v>
      </c>
      <c r="R568" s="60">
        <v>0</v>
      </c>
      <c r="S568" s="61">
        <f t="shared" si="103"/>
        <v>0</v>
      </c>
      <c r="T568" s="60">
        <v>0</v>
      </c>
      <c r="U568" s="64">
        <f t="shared" si="104"/>
        <v>0</v>
      </c>
      <c r="V568" s="65">
        <v>0</v>
      </c>
      <c r="W568" s="66">
        <f t="shared" si="105"/>
        <v>0</v>
      </c>
      <c r="X568" s="67">
        <f t="shared" si="106"/>
        <v>0</v>
      </c>
      <c r="Y568" s="57" t="str">
        <f t="shared" si="107"/>
        <v>NIL PLEASE PURCHASE</v>
      </c>
      <c r="Z568" s="68" t="s">
        <v>1539</v>
      </c>
    </row>
    <row r="569" spans="1:26" s="8" customFormat="1" ht="20.100000000000001" customHeight="1" x14ac:dyDescent="0.25">
      <c r="A569" s="59" t="s">
        <v>1154</v>
      </c>
      <c r="B569" s="84">
        <v>567</v>
      </c>
      <c r="C569" s="85" t="s">
        <v>884</v>
      </c>
      <c r="D569" s="60">
        <v>0</v>
      </c>
      <c r="E569" s="61">
        <f t="shared" si="96"/>
        <v>0</v>
      </c>
      <c r="F569" s="60">
        <v>0</v>
      </c>
      <c r="G569" s="61">
        <f t="shared" si="97"/>
        <v>0</v>
      </c>
      <c r="H569" s="60">
        <v>0</v>
      </c>
      <c r="I569" s="61">
        <f t="shared" si="98"/>
        <v>0</v>
      </c>
      <c r="J569" s="60">
        <v>0</v>
      </c>
      <c r="K569" s="61">
        <f t="shared" si="99"/>
        <v>0</v>
      </c>
      <c r="L569" s="62"/>
      <c r="M569" s="61">
        <f t="shared" si="100"/>
        <v>0</v>
      </c>
      <c r="N569" s="63">
        <v>0</v>
      </c>
      <c r="O569" s="61">
        <f t="shared" si="101"/>
        <v>0</v>
      </c>
      <c r="P569" s="60">
        <v>0</v>
      </c>
      <c r="Q569" s="61">
        <f t="shared" si="102"/>
        <v>0</v>
      </c>
      <c r="R569" s="60">
        <v>0</v>
      </c>
      <c r="S569" s="61">
        <f t="shared" si="103"/>
        <v>0</v>
      </c>
      <c r="T569" s="60">
        <v>0</v>
      </c>
      <c r="U569" s="64">
        <f t="shared" si="104"/>
        <v>0</v>
      </c>
      <c r="V569" s="65">
        <v>0</v>
      </c>
      <c r="W569" s="66">
        <f t="shared" si="105"/>
        <v>0</v>
      </c>
      <c r="X569" s="67">
        <f t="shared" si="106"/>
        <v>0</v>
      </c>
      <c r="Y569" s="57" t="str">
        <f t="shared" si="107"/>
        <v>NIL PLEASE PURCHASE</v>
      </c>
      <c r="Z569" s="68" t="s">
        <v>1539</v>
      </c>
    </row>
    <row r="570" spans="1:26" s="8" customFormat="1" ht="20.100000000000001" customHeight="1" x14ac:dyDescent="0.25">
      <c r="A570" s="59" t="s">
        <v>1155</v>
      </c>
      <c r="B570" s="84">
        <v>568</v>
      </c>
      <c r="C570" s="85" t="s">
        <v>885</v>
      </c>
      <c r="D570" s="60">
        <v>0</v>
      </c>
      <c r="E570" s="61">
        <f t="shared" si="96"/>
        <v>0</v>
      </c>
      <c r="F570" s="60">
        <v>0</v>
      </c>
      <c r="G570" s="61">
        <f t="shared" si="97"/>
        <v>0</v>
      </c>
      <c r="H570" s="60">
        <v>0</v>
      </c>
      <c r="I570" s="61">
        <f t="shared" si="98"/>
        <v>0</v>
      </c>
      <c r="J570" s="60">
        <v>0</v>
      </c>
      <c r="K570" s="61">
        <f t="shared" si="99"/>
        <v>0</v>
      </c>
      <c r="L570" s="62"/>
      <c r="M570" s="61">
        <f t="shared" si="100"/>
        <v>0</v>
      </c>
      <c r="N570" s="63">
        <v>0</v>
      </c>
      <c r="O570" s="61">
        <f t="shared" si="101"/>
        <v>0</v>
      </c>
      <c r="P570" s="60">
        <v>0</v>
      </c>
      <c r="Q570" s="61">
        <f t="shared" si="102"/>
        <v>0</v>
      </c>
      <c r="R570" s="60">
        <v>0</v>
      </c>
      <c r="S570" s="61">
        <f t="shared" si="103"/>
        <v>0</v>
      </c>
      <c r="T570" s="60">
        <v>0</v>
      </c>
      <c r="U570" s="64">
        <f t="shared" si="104"/>
        <v>0</v>
      </c>
      <c r="V570" s="65">
        <v>0</v>
      </c>
      <c r="W570" s="66">
        <f t="shared" si="105"/>
        <v>0</v>
      </c>
      <c r="X570" s="67">
        <f t="shared" si="106"/>
        <v>0</v>
      </c>
      <c r="Y570" s="57" t="str">
        <f t="shared" si="107"/>
        <v>NIL PLEASE PURCHASE</v>
      </c>
      <c r="Z570" s="68" t="s">
        <v>1539</v>
      </c>
    </row>
    <row r="571" spans="1:26" s="8" customFormat="1" ht="20.100000000000001" customHeight="1" x14ac:dyDescent="0.25">
      <c r="A571" s="59" t="s">
        <v>1156</v>
      </c>
      <c r="B571" s="84">
        <v>569</v>
      </c>
      <c r="C571" s="85" t="s">
        <v>886</v>
      </c>
      <c r="D571" s="60">
        <v>0</v>
      </c>
      <c r="E571" s="61">
        <f t="shared" si="96"/>
        <v>0</v>
      </c>
      <c r="F571" s="60">
        <v>0</v>
      </c>
      <c r="G571" s="61">
        <f t="shared" si="97"/>
        <v>0</v>
      </c>
      <c r="H571" s="60">
        <v>0</v>
      </c>
      <c r="I571" s="61">
        <f t="shared" si="98"/>
        <v>0</v>
      </c>
      <c r="J571" s="60">
        <v>0</v>
      </c>
      <c r="K571" s="61">
        <f t="shared" si="99"/>
        <v>0</v>
      </c>
      <c r="L571" s="62"/>
      <c r="M571" s="61">
        <f t="shared" si="100"/>
        <v>0</v>
      </c>
      <c r="N571" s="63">
        <v>0</v>
      </c>
      <c r="O571" s="61">
        <f t="shared" si="101"/>
        <v>0</v>
      </c>
      <c r="P571" s="60">
        <v>0</v>
      </c>
      <c r="Q571" s="61">
        <f t="shared" si="102"/>
        <v>0</v>
      </c>
      <c r="R571" s="60">
        <v>0</v>
      </c>
      <c r="S571" s="61">
        <f t="shared" si="103"/>
        <v>0</v>
      </c>
      <c r="T571" s="60">
        <v>0</v>
      </c>
      <c r="U571" s="64">
        <f t="shared" si="104"/>
        <v>0</v>
      </c>
      <c r="V571" s="65">
        <v>0</v>
      </c>
      <c r="W571" s="66">
        <f t="shared" si="105"/>
        <v>0</v>
      </c>
      <c r="X571" s="67">
        <f t="shared" si="106"/>
        <v>0</v>
      </c>
      <c r="Y571" s="57" t="str">
        <f t="shared" si="107"/>
        <v>NIL PLEASE PURCHASE</v>
      </c>
      <c r="Z571" s="68" t="s">
        <v>1539</v>
      </c>
    </row>
    <row r="572" spans="1:26" s="8" customFormat="1" ht="20.100000000000001" customHeight="1" x14ac:dyDescent="0.25">
      <c r="A572" s="59" t="s">
        <v>1157</v>
      </c>
      <c r="B572" s="84">
        <v>570</v>
      </c>
      <c r="C572" s="85" t="s">
        <v>887</v>
      </c>
      <c r="D572" s="60">
        <v>0</v>
      </c>
      <c r="E572" s="61">
        <f t="shared" si="96"/>
        <v>0</v>
      </c>
      <c r="F572" s="60">
        <v>0</v>
      </c>
      <c r="G572" s="61">
        <f t="shared" si="97"/>
        <v>0</v>
      </c>
      <c r="H572" s="60">
        <v>0</v>
      </c>
      <c r="I572" s="61">
        <f t="shared" si="98"/>
        <v>0</v>
      </c>
      <c r="J572" s="60">
        <v>0</v>
      </c>
      <c r="K572" s="61">
        <f t="shared" si="99"/>
        <v>0</v>
      </c>
      <c r="L572" s="62"/>
      <c r="M572" s="61">
        <f t="shared" si="100"/>
        <v>0</v>
      </c>
      <c r="N572" s="63">
        <v>0</v>
      </c>
      <c r="O572" s="61">
        <f t="shared" si="101"/>
        <v>0</v>
      </c>
      <c r="P572" s="60">
        <v>0</v>
      </c>
      <c r="Q572" s="61">
        <f t="shared" si="102"/>
        <v>0</v>
      </c>
      <c r="R572" s="60">
        <v>0</v>
      </c>
      <c r="S572" s="61">
        <f t="shared" si="103"/>
        <v>0</v>
      </c>
      <c r="T572" s="60">
        <v>0</v>
      </c>
      <c r="U572" s="64">
        <f t="shared" si="104"/>
        <v>0</v>
      </c>
      <c r="V572" s="65">
        <v>0</v>
      </c>
      <c r="W572" s="66">
        <f t="shared" si="105"/>
        <v>0</v>
      </c>
      <c r="X572" s="67">
        <f t="shared" si="106"/>
        <v>0</v>
      </c>
      <c r="Y572" s="57" t="str">
        <f t="shared" si="107"/>
        <v>NIL PLEASE PURCHASE</v>
      </c>
      <c r="Z572" s="68" t="s">
        <v>1539</v>
      </c>
    </row>
    <row r="573" spans="1:26" s="8" customFormat="1" ht="20.100000000000001" customHeight="1" x14ac:dyDescent="0.25">
      <c r="A573" s="59" t="s">
        <v>1158</v>
      </c>
      <c r="B573" s="84">
        <v>571</v>
      </c>
      <c r="C573" s="85" t="s">
        <v>888</v>
      </c>
      <c r="D573" s="60">
        <v>0</v>
      </c>
      <c r="E573" s="61">
        <f t="shared" si="96"/>
        <v>0</v>
      </c>
      <c r="F573" s="60">
        <v>0</v>
      </c>
      <c r="G573" s="61">
        <f t="shared" si="97"/>
        <v>0</v>
      </c>
      <c r="H573" s="60">
        <v>0</v>
      </c>
      <c r="I573" s="61">
        <f t="shared" si="98"/>
        <v>0</v>
      </c>
      <c r="J573" s="60">
        <v>0</v>
      </c>
      <c r="K573" s="61">
        <f t="shared" si="99"/>
        <v>0</v>
      </c>
      <c r="L573" s="62"/>
      <c r="M573" s="61">
        <f t="shared" si="100"/>
        <v>0</v>
      </c>
      <c r="N573" s="63">
        <v>0</v>
      </c>
      <c r="O573" s="61">
        <f t="shared" si="101"/>
        <v>0</v>
      </c>
      <c r="P573" s="60">
        <v>0</v>
      </c>
      <c r="Q573" s="61">
        <f t="shared" si="102"/>
        <v>0</v>
      </c>
      <c r="R573" s="60">
        <v>0</v>
      </c>
      <c r="S573" s="61">
        <f t="shared" si="103"/>
        <v>0</v>
      </c>
      <c r="T573" s="60">
        <v>0</v>
      </c>
      <c r="U573" s="64">
        <f t="shared" si="104"/>
        <v>0</v>
      </c>
      <c r="V573" s="65">
        <v>0</v>
      </c>
      <c r="W573" s="66">
        <f t="shared" si="105"/>
        <v>0</v>
      </c>
      <c r="X573" s="67">
        <f t="shared" si="106"/>
        <v>0</v>
      </c>
      <c r="Y573" s="57" t="str">
        <f t="shared" si="107"/>
        <v>NIL PLEASE PURCHASE</v>
      </c>
      <c r="Z573" s="68" t="s">
        <v>1539</v>
      </c>
    </row>
    <row r="574" spans="1:26" s="8" customFormat="1" ht="20.100000000000001" customHeight="1" x14ac:dyDescent="0.25">
      <c r="A574" s="59" t="s">
        <v>1159</v>
      </c>
      <c r="B574" s="84">
        <v>572</v>
      </c>
      <c r="C574" s="85" t="s">
        <v>889</v>
      </c>
      <c r="D574" s="60">
        <v>0</v>
      </c>
      <c r="E574" s="61">
        <f t="shared" si="96"/>
        <v>0</v>
      </c>
      <c r="F574" s="60">
        <v>0</v>
      </c>
      <c r="G574" s="61">
        <f t="shared" si="97"/>
        <v>0</v>
      </c>
      <c r="H574" s="60">
        <v>0</v>
      </c>
      <c r="I574" s="61">
        <f t="shared" si="98"/>
        <v>0</v>
      </c>
      <c r="J574" s="60">
        <v>0</v>
      </c>
      <c r="K574" s="61">
        <f t="shared" si="99"/>
        <v>0</v>
      </c>
      <c r="L574" s="62"/>
      <c r="M574" s="61">
        <f t="shared" si="100"/>
        <v>0</v>
      </c>
      <c r="N574" s="63">
        <v>0</v>
      </c>
      <c r="O574" s="61">
        <f t="shared" si="101"/>
        <v>0</v>
      </c>
      <c r="P574" s="60">
        <v>0</v>
      </c>
      <c r="Q574" s="61">
        <f t="shared" si="102"/>
        <v>0</v>
      </c>
      <c r="R574" s="60">
        <v>0</v>
      </c>
      <c r="S574" s="61">
        <f t="shared" si="103"/>
        <v>0</v>
      </c>
      <c r="T574" s="60">
        <v>0</v>
      </c>
      <c r="U574" s="64">
        <f t="shared" si="104"/>
        <v>0</v>
      </c>
      <c r="V574" s="65">
        <v>0</v>
      </c>
      <c r="W574" s="66">
        <f t="shared" si="105"/>
        <v>0</v>
      </c>
      <c r="X574" s="67">
        <f t="shared" si="106"/>
        <v>0</v>
      </c>
      <c r="Y574" s="57" t="str">
        <f t="shared" si="107"/>
        <v>NIL PLEASE PURCHASE</v>
      </c>
      <c r="Z574" s="68" t="s">
        <v>1539</v>
      </c>
    </row>
    <row r="575" spans="1:26" s="8" customFormat="1" ht="20.100000000000001" customHeight="1" x14ac:dyDescent="0.25">
      <c r="A575" s="59" t="s">
        <v>1160</v>
      </c>
      <c r="B575" s="84">
        <v>573</v>
      </c>
      <c r="C575" s="85" t="s">
        <v>890</v>
      </c>
      <c r="D575" s="60">
        <v>0</v>
      </c>
      <c r="E575" s="61">
        <f t="shared" si="96"/>
        <v>0</v>
      </c>
      <c r="F575" s="60">
        <v>0</v>
      </c>
      <c r="G575" s="61">
        <f t="shared" si="97"/>
        <v>0</v>
      </c>
      <c r="H575" s="60">
        <v>0</v>
      </c>
      <c r="I575" s="61">
        <f t="shared" si="98"/>
        <v>0</v>
      </c>
      <c r="J575" s="60">
        <v>0</v>
      </c>
      <c r="K575" s="61">
        <f t="shared" si="99"/>
        <v>0</v>
      </c>
      <c r="L575" s="62"/>
      <c r="M575" s="61">
        <f t="shared" si="100"/>
        <v>0</v>
      </c>
      <c r="N575" s="63">
        <v>0</v>
      </c>
      <c r="O575" s="61">
        <f t="shared" si="101"/>
        <v>0</v>
      </c>
      <c r="P575" s="60">
        <v>0</v>
      </c>
      <c r="Q575" s="61">
        <f t="shared" si="102"/>
        <v>0</v>
      </c>
      <c r="R575" s="60">
        <v>0</v>
      </c>
      <c r="S575" s="61">
        <f t="shared" si="103"/>
        <v>0</v>
      </c>
      <c r="T575" s="60">
        <v>0</v>
      </c>
      <c r="U575" s="64">
        <f t="shared" si="104"/>
        <v>0</v>
      </c>
      <c r="V575" s="65">
        <v>0</v>
      </c>
      <c r="W575" s="66">
        <f t="shared" si="105"/>
        <v>0</v>
      </c>
      <c r="X575" s="67">
        <f t="shared" si="106"/>
        <v>0</v>
      </c>
      <c r="Y575" s="57" t="str">
        <f t="shared" si="107"/>
        <v>NIL PLEASE PURCHASE</v>
      </c>
      <c r="Z575" s="68" t="s">
        <v>1539</v>
      </c>
    </row>
    <row r="576" spans="1:26" s="8" customFormat="1" ht="20.100000000000001" customHeight="1" x14ac:dyDescent="0.25">
      <c r="A576" s="59" t="s">
        <v>1161</v>
      </c>
      <c r="B576" s="84">
        <v>574</v>
      </c>
      <c r="C576" s="85" t="s">
        <v>891</v>
      </c>
      <c r="D576" s="60">
        <v>0</v>
      </c>
      <c r="E576" s="61">
        <f t="shared" si="96"/>
        <v>0</v>
      </c>
      <c r="F576" s="60">
        <v>0</v>
      </c>
      <c r="G576" s="61">
        <f t="shared" si="97"/>
        <v>0</v>
      </c>
      <c r="H576" s="60">
        <v>0</v>
      </c>
      <c r="I576" s="61">
        <f t="shared" si="98"/>
        <v>0</v>
      </c>
      <c r="J576" s="60">
        <v>1</v>
      </c>
      <c r="K576" s="61">
        <f t="shared" si="99"/>
        <v>100</v>
      </c>
      <c r="L576" s="62">
        <v>1</v>
      </c>
      <c r="M576" s="61">
        <f t="shared" si="100"/>
        <v>250</v>
      </c>
      <c r="N576" s="63">
        <v>0</v>
      </c>
      <c r="O576" s="61">
        <f t="shared" si="101"/>
        <v>0</v>
      </c>
      <c r="P576" s="60">
        <v>0</v>
      </c>
      <c r="Q576" s="61">
        <f t="shared" si="102"/>
        <v>0</v>
      </c>
      <c r="R576" s="60">
        <v>0</v>
      </c>
      <c r="S576" s="61">
        <f t="shared" si="103"/>
        <v>0</v>
      </c>
      <c r="T576" s="60">
        <v>0</v>
      </c>
      <c r="U576" s="64">
        <f t="shared" si="104"/>
        <v>0</v>
      </c>
      <c r="V576" s="65">
        <v>0</v>
      </c>
      <c r="W576" s="66">
        <f t="shared" si="105"/>
        <v>350</v>
      </c>
      <c r="X576" s="67">
        <f t="shared" si="106"/>
        <v>0.35</v>
      </c>
      <c r="Y576" s="57" t="str">
        <f t="shared" si="107"/>
        <v>STOCK</v>
      </c>
      <c r="Z576" s="68" t="s">
        <v>1538</v>
      </c>
    </row>
    <row r="577" spans="1:26" s="8" customFormat="1" ht="20.100000000000001" customHeight="1" x14ac:dyDescent="0.25">
      <c r="A577" s="59" t="s">
        <v>1162</v>
      </c>
      <c r="B577" s="84">
        <v>575</v>
      </c>
      <c r="C577" s="85" t="s">
        <v>892</v>
      </c>
      <c r="D577" s="60">
        <v>0</v>
      </c>
      <c r="E577" s="61">
        <f t="shared" si="96"/>
        <v>0</v>
      </c>
      <c r="F577" s="60">
        <v>0</v>
      </c>
      <c r="G577" s="61">
        <f t="shared" si="97"/>
        <v>0</v>
      </c>
      <c r="H577" s="60">
        <v>0</v>
      </c>
      <c r="I577" s="61">
        <f t="shared" si="98"/>
        <v>0</v>
      </c>
      <c r="J577" s="60">
        <v>0</v>
      </c>
      <c r="K577" s="61">
        <f t="shared" si="99"/>
        <v>0</v>
      </c>
      <c r="L577" s="62"/>
      <c r="M577" s="61">
        <f t="shared" si="100"/>
        <v>0</v>
      </c>
      <c r="N577" s="63">
        <v>0</v>
      </c>
      <c r="O577" s="61">
        <f t="shared" si="101"/>
        <v>0</v>
      </c>
      <c r="P577" s="60">
        <v>0</v>
      </c>
      <c r="Q577" s="61">
        <f t="shared" si="102"/>
        <v>0</v>
      </c>
      <c r="R577" s="60">
        <v>0</v>
      </c>
      <c r="S577" s="61">
        <f t="shared" si="103"/>
        <v>0</v>
      </c>
      <c r="T577" s="60">
        <v>0</v>
      </c>
      <c r="U577" s="64">
        <f t="shared" si="104"/>
        <v>0</v>
      </c>
      <c r="V577" s="65">
        <v>0</v>
      </c>
      <c r="W577" s="66">
        <f t="shared" si="105"/>
        <v>0</v>
      </c>
      <c r="X577" s="67">
        <f t="shared" si="106"/>
        <v>0</v>
      </c>
      <c r="Y577" s="57" t="str">
        <f t="shared" si="107"/>
        <v>NIL PLEASE PURCHASE</v>
      </c>
      <c r="Z577" s="68" t="s">
        <v>1539</v>
      </c>
    </row>
    <row r="578" spans="1:26" s="8" customFormat="1" ht="20.100000000000001" customHeight="1" x14ac:dyDescent="0.25">
      <c r="A578" s="59" t="s">
        <v>1163</v>
      </c>
      <c r="B578" s="84">
        <v>576</v>
      </c>
      <c r="C578" s="85" t="s">
        <v>893</v>
      </c>
      <c r="D578" s="60">
        <v>0</v>
      </c>
      <c r="E578" s="61">
        <f t="shared" si="96"/>
        <v>0</v>
      </c>
      <c r="F578" s="60">
        <v>0</v>
      </c>
      <c r="G578" s="61">
        <f t="shared" si="97"/>
        <v>0</v>
      </c>
      <c r="H578" s="60">
        <v>0</v>
      </c>
      <c r="I578" s="61">
        <f t="shared" si="98"/>
        <v>0</v>
      </c>
      <c r="J578" s="60">
        <v>0</v>
      </c>
      <c r="K578" s="61">
        <f t="shared" si="99"/>
        <v>0</v>
      </c>
      <c r="L578" s="62"/>
      <c r="M578" s="61">
        <f t="shared" si="100"/>
        <v>0</v>
      </c>
      <c r="N578" s="63">
        <v>0</v>
      </c>
      <c r="O578" s="61">
        <f t="shared" si="101"/>
        <v>0</v>
      </c>
      <c r="P578" s="60">
        <v>0</v>
      </c>
      <c r="Q578" s="61">
        <f t="shared" si="102"/>
        <v>0</v>
      </c>
      <c r="R578" s="60">
        <v>0</v>
      </c>
      <c r="S578" s="61">
        <f t="shared" si="103"/>
        <v>0</v>
      </c>
      <c r="T578" s="60">
        <v>0</v>
      </c>
      <c r="U578" s="64">
        <f t="shared" si="104"/>
        <v>0</v>
      </c>
      <c r="V578" s="65">
        <v>0</v>
      </c>
      <c r="W578" s="66">
        <f t="shared" si="105"/>
        <v>0</v>
      </c>
      <c r="X578" s="67">
        <f t="shared" si="106"/>
        <v>0</v>
      </c>
      <c r="Y578" s="57" t="str">
        <f t="shared" si="107"/>
        <v>NIL PLEASE PURCHASE</v>
      </c>
      <c r="Z578" s="68" t="s">
        <v>1539</v>
      </c>
    </row>
    <row r="579" spans="1:26" s="8" customFormat="1" ht="20.100000000000001" customHeight="1" x14ac:dyDescent="0.25">
      <c r="A579" s="59" t="s">
        <v>1164</v>
      </c>
      <c r="B579" s="84">
        <v>577</v>
      </c>
      <c r="C579" s="85" t="s">
        <v>894</v>
      </c>
      <c r="D579" s="60">
        <v>0</v>
      </c>
      <c r="E579" s="61">
        <f t="shared" si="96"/>
        <v>0</v>
      </c>
      <c r="F579" s="60">
        <v>0</v>
      </c>
      <c r="G579" s="61">
        <f t="shared" si="97"/>
        <v>0</v>
      </c>
      <c r="H579" s="60">
        <v>0</v>
      </c>
      <c r="I579" s="61">
        <f t="shared" si="98"/>
        <v>0</v>
      </c>
      <c r="J579" s="60">
        <v>0</v>
      </c>
      <c r="K579" s="61">
        <f t="shared" si="99"/>
        <v>0</v>
      </c>
      <c r="L579" s="62"/>
      <c r="M579" s="61">
        <f t="shared" si="100"/>
        <v>0</v>
      </c>
      <c r="N579" s="63">
        <v>0</v>
      </c>
      <c r="O579" s="61">
        <f t="shared" si="101"/>
        <v>0</v>
      </c>
      <c r="P579" s="60">
        <v>0</v>
      </c>
      <c r="Q579" s="61">
        <f t="shared" si="102"/>
        <v>0</v>
      </c>
      <c r="R579" s="60">
        <v>0</v>
      </c>
      <c r="S579" s="61">
        <f t="shared" si="103"/>
        <v>0</v>
      </c>
      <c r="T579" s="60">
        <v>0</v>
      </c>
      <c r="U579" s="64">
        <f t="shared" si="104"/>
        <v>0</v>
      </c>
      <c r="V579" s="65">
        <v>0</v>
      </c>
      <c r="W579" s="66">
        <f t="shared" si="105"/>
        <v>0</v>
      </c>
      <c r="X579" s="67">
        <f t="shared" si="106"/>
        <v>0</v>
      </c>
      <c r="Y579" s="57" t="str">
        <f t="shared" si="107"/>
        <v>NIL PLEASE PURCHASE</v>
      </c>
      <c r="Z579" s="68" t="s">
        <v>1539</v>
      </c>
    </row>
    <row r="580" spans="1:26" s="8" customFormat="1" ht="20.100000000000001" customHeight="1" x14ac:dyDescent="0.25">
      <c r="A580" s="59" t="s">
        <v>1165</v>
      </c>
      <c r="B580" s="84">
        <v>578</v>
      </c>
      <c r="C580" s="85" t="s">
        <v>895</v>
      </c>
      <c r="D580" s="60">
        <v>0</v>
      </c>
      <c r="E580" s="61">
        <f t="shared" ref="E580:E644" si="108">D580*10</f>
        <v>0</v>
      </c>
      <c r="F580" s="60">
        <v>0</v>
      </c>
      <c r="G580" s="61">
        <f t="shared" ref="G580:G644" si="109">F580*25</f>
        <v>0</v>
      </c>
      <c r="H580" s="60">
        <v>0</v>
      </c>
      <c r="I580" s="61">
        <f t="shared" ref="I580:I644" si="110">H580*50</f>
        <v>0</v>
      </c>
      <c r="J580" s="60">
        <v>0</v>
      </c>
      <c r="K580" s="61">
        <f t="shared" ref="K580:K644" si="111">J580*100</f>
        <v>0</v>
      </c>
      <c r="L580" s="62"/>
      <c r="M580" s="61">
        <f t="shared" ref="M580:M644" si="112">L580*250</f>
        <v>0</v>
      </c>
      <c r="N580" s="63">
        <v>0</v>
      </c>
      <c r="O580" s="61">
        <f t="shared" ref="O580:O644" si="113">N580*500</f>
        <v>0</v>
      </c>
      <c r="P580" s="60">
        <v>0</v>
      </c>
      <c r="Q580" s="61">
        <f t="shared" ref="Q580:Q644" si="114">P580*1000</f>
        <v>0</v>
      </c>
      <c r="R580" s="60">
        <v>0</v>
      </c>
      <c r="S580" s="61">
        <f t="shared" ref="S580:S644" si="115">R580*2500</f>
        <v>0</v>
      </c>
      <c r="T580" s="60">
        <v>0</v>
      </c>
      <c r="U580" s="64">
        <f t="shared" ref="U580:U644" si="116">T580*5000</f>
        <v>0</v>
      </c>
      <c r="V580" s="65">
        <v>0</v>
      </c>
      <c r="W580" s="66">
        <f t="shared" ref="W580:W644" si="117">E580+G580+I580+K580+M580+O580+Q580+S580+U580</f>
        <v>0</v>
      </c>
      <c r="X580" s="67">
        <f t="shared" ref="X580:X644" si="118">SUM(W580:W580)/1000</f>
        <v>0</v>
      </c>
      <c r="Y580" s="57" t="str">
        <f t="shared" ref="Y580:Y644" si="119">IF(W580=0,("NIL PLEASE PURCHASE"),("STOCK"))</f>
        <v>NIL PLEASE PURCHASE</v>
      </c>
      <c r="Z580" s="68" t="s">
        <v>1539</v>
      </c>
    </row>
    <row r="581" spans="1:26" s="8" customFormat="1" ht="20.100000000000001" customHeight="1" x14ac:dyDescent="0.25">
      <c r="A581" s="59" t="s">
        <v>1166</v>
      </c>
      <c r="B581" s="87">
        <v>579</v>
      </c>
      <c r="C581" s="86" t="s">
        <v>896</v>
      </c>
      <c r="D581" s="60">
        <v>0</v>
      </c>
      <c r="E581" s="61">
        <f t="shared" si="108"/>
        <v>0</v>
      </c>
      <c r="F581" s="60">
        <v>0</v>
      </c>
      <c r="G581" s="61">
        <f t="shared" si="109"/>
        <v>0</v>
      </c>
      <c r="H581" s="60">
        <v>0</v>
      </c>
      <c r="I581" s="61">
        <f t="shared" si="110"/>
        <v>0</v>
      </c>
      <c r="J581" s="60">
        <v>0</v>
      </c>
      <c r="K581" s="61">
        <f t="shared" si="111"/>
        <v>0</v>
      </c>
      <c r="L581" s="62"/>
      <c r="M581" s="61">
        <f t="shared" si="112"/>
        <v>0</v>
      </c>
      <c r="N581" s="63">
        <v>0</v>
      </c>
      <c r="O581" s="61">
        <f t="shared" si="113"/>
        <v>0</v>
      </c>
      <c r="P581" s="60">
        <v>0</v>
      </c>
      <c r="Q581" s="61">
        <f t="shared" si="114"/>
        <v>0</v>
      </c>
      <c r="R581" s="60">
        <v>0</v>
      </c>
      <c r="S581" s="61">
        <f t="shared" si="115"/>
        <v>0</v>
      </c>
      <c r="T581" s="60">
        <v>0</v>
      </c>
      <c r="U581" s="64">
        <f t="shared" si="116"/>
        <v>0</v>
      </c>
      <c r="V581" s="65">
        <v>0</v>
      </c>
      <c r="W581" s="66">
        <f t="shared" si="117"/>
        <v>0</v>
      </c>
      <c r="X581" s="67">
        <f t="shared" si="118"/>
        <v>0</v>
      </c>
      <c r="Y581" s="57" t="str">
        <f t="shared" si="119"/>
        <v>NIL PLEASE PURCHASE</v>
      </c>
      <c r="Z581" s="68" t="s">
        <v>1539</v>
      </c>
    </row>
    <row r="582" spans="1:26" s="8" customFormat="1" ht="20.100000000000001" customHeight="1" x14ac:dyDescent="0.25">
      <c r="A582" s="69" t="s">
        <v>1543</v>
      </c>
      <c r="B582" s="88">
        <v>1000</v>
      </c>
      <c r="C582" s="89" t="s">
        <v>1542</v>
      </c>
      <c r="D582" s="60">
        <v>0</v>
      </c>
      <c r="E582" s="61">
        <f t="shared" si="108"/>
        <v>0</v>
      </c>
      <c r="F582" s="60">
        <v>0</v>
      </c>
      <c r="G582" s="61">
        <f t="shared" si="109"/>
        <v>0</v>
      </c>
      <c r="H582" s="60">
        <v>0</v>
      </c>
      <c r="I582" s="61">
        <f t="shared" si="110"/>
        <v>0</v>
      </c>
      <c r="J582" s="60">
        <v>0</v>
      </c>
      <c r="K582" s="61">
        <f t="shared" si="111"/>
        <v>0</v>
      </c>
      <c r="L582" s="62"/>
      <c r="M582" s="61">
        <f t="shared" si="112"/>
        <v>0</v>
      </c>
      <c r="N582" s="63">
        <v>0</v>
      </c>
      <c r="O582" s="61">
        <f t="shared" si="113"/>
        <v>0</v>
      </c>
      <c r="P582" s="60">
        <v>0</v>
      </c>
      <c r="Q582" s="61">
        <f t="shared" si="114"/>
        <v>0</v>
      </c>
      <c r="R582" s="60">
        <v>0</v>
      </c>
      <c r="S582" s="61">
        <f t="shared" si="115"/>
        <v>0</v>
      </c>
      <c r="T582" s="60">
        <v>0</v>
      </c>
      <c r="U582" s="64">
        <f t="shared" si="116"/>
        <v>0</v>
      </c>
      <c r="V582" s="65">
        <v>0</v>
      </c>
      <c r="W582" s="66">
        <f t="shared" si="117"/>
        <v>0</v>
      </c>
      <c r="X582" s="67">
        <f t="shared" si="118"/>
        <v>0</v>
      </c>
      <c r="Y582" s="57" t="str">
        <f t="shared" si="119"/>
        <v>NIL PLEASE PURCHASE</v>
      </c>
      <c r="Z582" s="68" t="s">
        <v>1539</v>
      </c>
    </row>
    <row r="583" spans="1:26" s="8" customFormat="1" ht="20.100000000000001" customHeight="1" x14ac:dyDescent="0.25">
      <c r="A583" s="69" t="s">
        <v>1549</v>
      </c>
      <c r="B583" s="88">
        <v>1001</v>
      </c>
      <c r="C583" s="90" t="s">
        <v>1170</v>
      </c>
      <c r="D583" s="60">
        <v>0</v>
      </c>
      <c r="E583" s="61">
        <f t="shared" si="108"/>
        <v>0</v>
      </c>
      <c r="F583" s="60">
        <v>0</v>
      </c>
      <c r="G583" s="61">
        <f t="shared" si="109"/>
        <v>0</v>
      </c>
      <c r="H583" s="60">
        <v>0</v>
      </c>
      <c r="I583" s="61">
        <f t="shared" si="110"/>
        <v>0</v>
      </c>
      <c r="J583" s="60">
        <v>0</v>
      </c>
      <c r="K583" s="61">
        <f t="shared" si="111"/>
        <v>0</v>
      </c>
      <c r="L583" s="62"/>
      <c r="M583" s="61">
        <f t="shared" si="112"/>
        <v>0</v>
      </c>
      <c r="N583" s="63">
        <v>0</v>
      </c>
      <c r="O583" s="61">
        <f t="shared" si="113"/>
        <v>0</v>
      </c>
      <c r="P583" s="60">
        <v>0</v>
      </c>
      <c r="Q583" s="61">
        <f t="shared" si="114"/>
        <v>0</v>
      </c>
      <c r="R583" s="60">
        <v>0</v>
      </c>
      <c r="S583" s="61">
        <f t="shared" si="115"/>
        <v>0</v>
      </c>
      <c r="T583" s="60">
        <v>0</v>
      </c>
      <c r="U583" s="64">
        <f t="shared" si="116"/>
        <v>0</v>
      </c>
      <c r="V583" s="65">
        <v>0</v>
      </c>
      <c r="W583" s="66">
        <f t="shared" si="117"/>
        <v>0</v>
      </c>
      <c r="X583" s="67">
        <f t="shared" si="118"/>
        <v>0</v>
      </c>
      <c r="Y583" s="57" t="str">
        <f t="shared" si="119"/>
        <v>NIL PLEASE PURCHASE</v>
      </c>
      <c r="Z583" s="68" t="s">
        <v>1539</v>
      </c>
    </row>
    <row r="584" spans="1:26" s="8" customFormat="1" ht="20.100000000000001" customHeight="1" x14ac:dyDescent="0.25">
      <c r="A584" s="69" t="s">
        <v>1550</v>
      </c>
      <c r="B584" s="88">
        <v>1001</v>
      </c>
      <c r="C584" s="90" t="s">
        <v>1544</v>
      </c>
      <c r="D584" s="60">
        <v>0</v>
      </c>
      <c r="E584" s="61">
        <f t="shared" si="108"/>
        <v>0</v>
      </c>
      <c r="F584" s="60">
        <v>0</v>
      </c>
      <c r="G584" s="61">
        <f t="shared" si="109"/>
        <v>0</v>
      </c>
      <c r="H584" s="60">
        <v>0</v>
      </c>
      <c r="I584" s="61">
        <f t="shared" si="110"/>
        <v>0</v>
      </c>
      <c r="J584" s="60">
        <v>0</v>
      </c>
      <c r="K584" s="61">
        <f t="shared" si="111"/>
        <v>0</v>
      </c>
      <c r="L584" s="62">
        <v>1</v>
      </c>
      <c r="M584" s="61">
        <f t="shared" si="112"/>
        <v>250</v>
      </c>
      <c r="N584" s="63">
        <v>2</v>
      </c>
      <c r="O584" s="61">
        <f t="shared" si="113"/>
        <v>1000</v>
      </c>
      <c r="P584" s="60">
        <v>0</v>
      </c>
      <c r="Q584" s="61">
        <f t="shared" si="114"/>
        <v>0</v>
      </c>
      <c r="R584" s="60">
        <v>0</v>
      </c>
      <c r="S584" s="61">
        <f t="shared" si="115"/>
        <v>0</v>
      </c>
      <c r="T584" s="60">
        <v>0</v>
      </c>
      <c r="U584" s="64">
        <f t="shared" si="116"/>
        <v>0</v>
      </c>
      <c r="V584" s="65">
        <v>0</v>
      </c>
      <c r="W584" s="66">
        <f t="shared" si="117"/>
        <v>1250</v>
      </c>
      <c r="X584" s="67">
        <f t="shared" si="118"/>
        <v>1.25</v>
      </c>
      <c r="Y584" s="57" t="str">
        <f t="shared" si="119"/>
        <v>STOCK</v>
      </c>
      <c r="Z584" s="68" t="s">
        <v>1538</v>
      </c>
    </row>
    <row r="585" spans="1:26" s="8" customFormat="1" ht="20.100000000000001" customHeight="1" x14ac:dyDescent="0.25">
      <c r="A585" s="69" t="s">
        <v>1551</v>
      </c>
      <c r="B585" s="88">
        <v>1002</v>
      </c>
      <c r="C585" s="90" t="s">
        <v>1171</v>
      </c>
      <c r="D585" s="60">
        <v>0</v>
      </c>
      <c r="E585" s="61">
        <f t="shared" si="108"/>
        <v>0</v>
      </c>
      <c r="F585" s="60">
        <v>0</v>
      </c>
      <c r="G585" s="61">
        <f t="shared" si="109"/>
        <v>0</v>
      </c>
      <c r="H585" s="60">
        <v>0</v>
      </c>
      <c r="I585" s="61">
        <f t="shared" si="110"/>
        <v>0</v>
      </c>
      <c r="J585" s="60">
        <v>0</v>
      </c>
      <c r="K585" s="61">
        <f t="shared" si="111"/>
        <v>0</v>
      </c>
      <c r="L585" s="62"/>
      <c r="M585" s="61">
        <f t="shared" si="112"/>
        <v>0</v>
      </c>
      <c r="N585" s="63">
        <v>0</v>
      </c>
      <c r="O585" s="61">
        <f t="shared" si="113"/>
        <v>0</v>
      </c>
      <c r="P585" s="60">
        <v>0</v>
      </c>
      <c r="Q585" s="61">
        <f t="shared" si="114"/>
        <v>0</v>
      </c>
      <c r="R585" s="60">
        <v>11</v>
      </c>
      <c r="S585" s="61">
        <f t="shared" si="115"/>
        <v>27500</v>
      </c>
      <c r="T585" s="60">
        <v>0</v>
      </c>
      <c r="U585" s="64">
        <f t="shared" si="116"/>
        <v>0</v>
      </c>
      <c r="V585" s="65">
        <v>0</v>
      </c>
      <c r="W585" s="66">
        <f t="shared" si="117"/>
        <v>27500</v>
      </c>
      <c r="X585" s="67">
        <f t="shared" si="118"/>
        <v>27.5</v>
      </c>
      <c r="Y585" s="57" t="str">
        <f t="shared" si="119"/>
        <v>STOCK</v>
      </c>
      <c r="Z585" s="68" t="s">
        <v>1538</v>
      </c>
    </row>
    <row r="586" spans="1:26" s="8" customFormat="1" ht="20.100000000000001" customHeight="1" x14ac:dyDescent="0.25">
      <c r="A586" s="69" t="s">
        <v>1552</v>
      </c>
      <c r="B586" s="88">
        <v>1003</v>
      </c>
      <c r="C586" s="90" t="s">
        <v>1172</v>
      </c>
      <c r="D586" s="60">
        <v>0</v>
      </c>
      <c r="E586" s="61">
        <f t="shared" si="108"/>
        <v>0</v>
      </c>
      <c r="F586" s="60">
        <v>0</v>
      </c>
      <c r="G586" s="61">
        <f t="shared" si="109"/>
        <v>0</v>
      </c>
      <c r="H586" s="60">
        <v>0</v>
      </c>
      <c r="I586" s="61">
        <f t="shared" si="110"/>
        <v>0</v>
      </c>
      <c r="J586" s="60">
        <v>0</v>
      </c>
      <c r="K586" s="61">
        <f t="shared" si="111"/>
        <v>0</v>
      </c>
      <c r="L586" s="62"/>
      <c r="M586" s="61">
        <f t="shared" si="112"/>
        <v>0</v>
      </c>
      <c r="N586" s="63">
        <v>0</v>
      </c>
      <c r="O586" s="61">
        <f t="shared" si="113"/>
        <v>0</v>
      </c>
      <c r="P586" s="60">
        <v>0</v>
      </c>
      <c r="Q586" s="61">
        <f t="shared" si="114"/>
        <v>0</v>
      </c>
      <c r="R586" s="60">
        <v>0</v>
      </c>
      <c r="S586" s="61">
        <f t="shared" si="115"/>
        <v>0</v>
      </c>
      <c r="T586" s="60">
        <v>0</v>
      </c>
      <c r="U586" s="64">
        <f t="shared" si="116"/>
        <v>0</v>
      </c>
      <c r="V586" s="65">
        <v>0</v>
      </c>
      <c r="W586" s="66">
        <f t="shared" si="117"/>
        <v>0</v>
      </c>
      <c r="X586" s="67">
        <f t="shared" si="118"/>
        <v>0</v>
      </c>
      <c r="Y586" s="57" t="str">
        <f t="shared" si="119"/>
        <v>NIL PLEASE PURCHASE</v>
      </c>
      <c r="Z586" s="68" t="s">
        <v>1539</v>
      </c>
    </row>
    <row r="587" spans="1:26" s="8" customFormat="1" ht="20.100000000000001" customHeight="1" x14ac:dyDescent="0.25">
      <c r="A587" s="69" t="s">
        <v>1553</v>
      </c>
      <c r="B587" s="88">
        <v>1004</v>
      </c>
      <c r="C587" s="90" t="s">
        <v>1173</v>
      </c>
      <c r="D587" s="60">
        <v>0</v>
      </c>
      <c r="E587" s="61">
        <f t="shared" si="108"/>
        <v>0</v>
      </c>
      <c r="F587" s="60">
        <v>0</v>
      </c>
      <c r="G587" s="61">
        <f t="shared" si="109"/>
        <v>0</v>
      </c>
      <c r="H587" s="60">
        <v>0</v>
      </c>
      <c r="I587" s="61">
        <f t="shared" si="110"/>
        <v>0</v>
      </c>
      <c r="J587" s="60">
        <v>0</v>
      </c>
      <c r="K587" s="61">
        <f t="shared" si="111"/>
        <v>0</v>
      </c>
      <c r="L587" s="62"/>
      <c r="M587" s="61">
        <f t="shared" si="112"/>
        <v>0</v>
      </c>
      <c r="N587" s="63">
        <v>4</v>
      </c>
      <c r="O587" s="61">
        <f t="shared" si="113"/>
        <v>2000</v>
      </c>
      <c r="P587" s="60">
        <v>0</v>
      </c>
      <c r="Q587" s="61">
        <f t="shared" si="114"/>
        <v>0</v>
      </c>
      <c r="R587" s="60">
        <v>0</v>
      </c>
      <c r="S587" s="61">
        <f t="shared" si="115"/>
        <v>0</v>
      </c>
      <c r="T587" s="60">
        <v>0</v>
      </c>
      <c r="U587" s="64">
        <f t="shared" si="116"/>
        <v>0</v>
      </c>
      <c r="V587" s="65">
        <v>0</v>
      </c>
      <c r="W587" s="66">
        <f t="shared" si="117"/>
        <v>2000</v>
      </c>
      <c r="X587" s="67">
        <f t="shared" si="118"/>
        <v>2</v>
      </c>
      <c r="Y587" s="57" t="str">
        <f t="shared" si="119"/>
        <v>STOCK</v>
      </c>
      <c r="Z587" s="68" t="s">
        <v>1538</v>
      </c>
    </row>
    <row r="588" spans="1:26" s="8" customFormat="1" ht="20.100000000000001" customHeight="1" x14ac:dyDescent="0.25">
      <c r="A588" s="69" t="s">
        <v>1554</v>
      </c>
      <c r="B588" s="88">
        <v>1005</v>
      </c>
      <c r="C588" s="90" t="s">
        <v>1174</v>
      </c>
      <c r="D588" s="60">
        <v>0</v>
      </c>
      <c r="E588" s="61">
        <f t="shared" si="108"/>
        <v>0</v>
      </c>
      <c r="F588" s="60">
        <v>0</v>
      </c>
      <c r="G588" s="61">
        <f t="shared" si="109"/>
        <v>0</v>
      </c>
      <c r="H588" s="60">
        <v>0</v>
      </c>
      <c r="I588" s="61">
        <f t="shared" si="110"/>
        <v>0</v>
      </c>
      <c r="J588" s="60">
        <v>0</v>
      </c>
      <c r="K588" s="61">
        <f t="shared" si="111"/>
        <v>0</v>
      </c>
      <c r="L588" s="62"/>
      <c r="M588" s="61">
        <f t="shared" si="112"/>
        <v>0</v>
      </c>
      <c r="N588" s="63">
        <v>0</v>
      </c>
      <c r="O588" s="61">
        <f t="shared" si="113"/>
        <v>0</v>
      </c>
      <c r="P588" s="60">
        <v>0</v>
      </c>
      <c r="Q588" s="61">
        <f t="shared" si="114"/>
        <v>0</v>
      </c>
      <c r="R588" s="60">
        <v>0</v>
      </c>
      <c r="S588" s="61">
        <f t="shared" si="115"/>
        <v>0</v>
      </c>
      <c r="T588" s="60">
        <v>0</v>
      </c>
      <c r="U588" s="64">
        <f t="shared" si="116"/>
        <v>0</v>
      </c>
      <c r="V588" s="65">
        <v>0</v>
      </c>
      <c r="W588" s="66">
        <f t="shared" si="117"/>
        <v>0</v>
      </c>
      <c r="X588" s="67">
        <f t="shared" si="118"/>
        <v>0</v>
      </c>
      <c r="Y588" s="57" t="str">
        <f t="shared" si="119"/>
        <v>NIL PLEASE PURCHASE</v>
      </c>
      <c r="Z588" s="68" t="s">
        <v>1539</v>
      </c>
    </row>
    <row r="589" spans="1:26" s="8" customFormat="1" ht="20.100000000000001" customHeight="1" x14ac:dyDescent="0.25">
      <c r="A589" s="69" t="s">
        <v>1555</v>
      </c>
      <c r="B589" s="88">
        <v>1006</v>
      </c>
      <c r="C589" s="90" t="s">
        <v>1175</v>
      </c>
      <c r="D589" s="60">
        <v>0</v>
      </c>
      <c r="E589" s="61">
        <f t="shared" si="108"/>
        <v>0</v>
      </c>
      <c r="F589" s="60">
        <v>0</v>
      </c>
      <c r="G589" s="61">
        <f t="shared" si="109"/>
        <v>0</v>
      </c>
      <c r="H589" s="60">
        <v>0</v>
      </c>
      <c r="I589" s="61">
        <f t="shared" si="110"/>
        <v>0</v>
      </c>
      <c r="J589" s="60">
        <v>0</v>
      </c>
      <c r="K589" s="61">
        <f t="shared" si="111"/>
        <v>0</v>
      </c>
      <c r="L589" s="62"/>
      <c r="M589" s="61">
        <f t="shared" si="112"/>
        <v>0</v>
      </c>
      <c r="N589" s="63">
        <v>1</v>
      </c>
      <c r="O589" s="61">
        <f t="shared" si="113"/>
        <v>500</v>
      </c>
      <c r="P589" s="60">
        <v>0</v>
      </c>
      <c r="Q589" s="61">
        <f t="shared" si="114"/>
        <v>0</v>
      </c>
      <c r="R589" s="60">
        <v>2</v>
      </c>
      <c r="S589" s="61">
        <f t="shared" si="115"/>
        <v>5000</v>
      </c>
      <c r="T589" s="60">
        <v>0</v>
      </c>
      <c r="U589" s="64">
        <f t="shared" si="116"/>
        <v>0</v>
      </c>
      <c r="V589" s="65">
        <v>0</v>
      </c>
      <c r="W589" s="66">
        <f t="shared" si="117"/>
        <v>5500</v>
      </c>
      <c r="X589" s="67">
        <f t="shared" si="118"/>
        <v>5.5</v>
      </c>
      <c r="Y589" s="57" t="str">
        <f t="shared" si="119"/>
        <v>STOCK</v>
      </c>
      <c r="Z589" s="68" t="s">
        <v>1538</v>
      </c>
    </row>
    <row r="590" spans="1:26" s="8" customFormat="1" ht="20.100000000000001" customHeight="1" x14ac:dyDescent="0.25">
      <c r="A590" s="69" t="s">
        <v>1556</v>
      </c>
      <c r="B590" s="88">
        <v>1007</v>
      </c>
      <c r="C590" s="90" t="s">
        <v>1176</v>
      </c>
      <c r="D590" s="60">
        <v>0</v>
      </c>
      <c r="E590" s="61">
        <f t="shared" si="108"/>
        <v>0</v>
      </c>
      <c r="F590" s="60">
        <v>0</v>
      </c>
      <c r="G590" s="61">
        <f t="shared" si="109"/>
        <v>0</v>
      </c>
      <c r="H590" s="60">
        <v>0</v>
      </c>
      <c r="I590" s="61">
        <f t="shared" si="110"/>
        <v>0</v>
      </c>
      <c r="J590" s="60">
        <v>0</v>
      </c>
      <c r="K590" s="61">
        <f t="shared" si="111"/>
        <v>0</v>
      </c>
      <c r="L590" s="62"/>
      <c r="M590" s="61">
        <f t="shared" si="112"/>
        <v>0</v>
      </c>
      <c r="N590" s="63">
        <v>2</v>
      </c>
      <c r="O590" s="61">
        <f t="shared" si="113"/>
        <v>1000</v>
      </c>
      <c r="P590" s="60">
        <v>0</v>
      </c>
      <c r="Q590" s="61">
        <f t="shared" si="114"/>
        <v>0</v>
      </c>
      <c r="R590" s="60">
        <v>0</v>
      </c>
      <c r="S590" s="61">
        <f t="shared" si="115"/>
        <v>0</v>
      </c>
      <c r="T590" s="60">
        <v>0</v>
      </c>
      <c r="U590" s="64">
        <f t="shared" si="116"/>
        <v>0</v>
      </c>
      <c r="V590" s="65">
        <v>0</v>
      </c>
      <c r="W590" s="66">
        <f t="shared" si="117"/>
        <v>1000</v>
      </c>
      <c r="X590" s="67">
        <f t="shared" si="118"/>
        <v>1</v>
      </c>
      <c r="Y590" s="57" t="str">
        <f t="shared" si="119"/>
        <v>STOCK</v>
      </c>
      <c r="Z590" s="68" t="s">
        <v>1538</v>
      </c>
    </row>
    <row r="591" spans="1:26" s="8" customFormat="1" ht="20.100000000000001" customHeight="1" x14ac:dyDescent="0.25">
      <c r="A591" s="69" t="s">
        <v>1557</v>
      </c>
      <c r="B591" s="88">
        <v>1008</v>
      </c>
      <c r="C591" s="90" t="s">
        <v>1177</v>
      </c>
      <c r="D591" s="60">
        <v>0</v>
      </c>
      <c r="E591" s="61">
        <f t="shared" si="108"/>
        <v>0</v>
      </c>
      <c r="F591" s="60">
        <v>0</v>
      </c>
      <c r="G591" s="61">
        <f t="shared" si="109"/>
        <v>0</v>
      </c>
      <c r="H591" s="60">
        <v>0</v>
      </c>
      <c r="I591" s="61">
        <f t="shared" si="110"/>
        <v>0</v>
      </c>
      <c r="J591" s="60">
        <v>0</v>
      </c>
      <c r="K591" s="61">
        <f t="shared" si="111"/>
        <v>0</v>
      </c>
      <c r="L591" s="62"/>
      <c r="M591" s="61">
        <f t="shared" si="112"/>
        <v>0</v>
      </c>
      <c r="N591" s="63">
        <v>5</v>
      </c>
      <c r="O591" s="61">
        <f t="shared" si="113"/>
        <v>2500</v>
      </c>
      <c r="P591" s="60">
        <v>0</v>
      </c>
      <c r="Q591" s="61">
        <f t="shared" si="114"/>
        <v>0</v>
      </c>
      <c r="R591" s="60">
        <v>0</v>
      </c>
      <c r="S591" s="61">
        <f t="shared" si="115"/>
        <v>0</v>
      </c>
      <c r="T591" s="60">
        <v>0</v>
      </c>
      <c r="U591" s="64">
        <f t="shared" si="116"/>
        <v>0</v>
      </c>
      <c r="V591" s="65">
        <v>0</v>
      </c>
      <c r="W591" s="66">
        <f t="shared" si="117"/>
        <v>2500</v>
      </c>
      <c r="X591" s="67">
        <f t="shared" si="118"/>
        <v>2.5</v>
      </c>
      <c r="Y591" s="57" t="str">
        <f t="shared" si="119"/>
        <v>STOCK</v>
      </c>
      <c r="Z591" s="68" t="s">
        <v>1538</v>
      </c>
    </row>
    <row r="592" spans="1:26" s="8" customFormat="1" ht="20.100000000000001" customHeight="1" x14ac:dyDescent="0.25">
      <c r="A592" s="69" t="s">
        <v>1558</v>
      </c>
      <c r="B592" s="88">
        <v>1009</v>
      </c>
      <c r="C592" s="90" t="s">
        <v>1178</v>
      </c>
      <c r="D592" s="60">
        <v>0</v>
      </c>
      <c r="E592" s="61">
        <f t="shared" si="108"/>
        <v>0</v>
      </c>
      <c r="F592" s="60">
        <v>0</v>
      </c>
      <c r="G592" s="61">
        <f t="shared" si="109"/>
        <v>0</v>
      </c>
      <c r="H592" s="60">
        <v>0</v>
      </c>
      <c r="I592" s="61">
        <f t="shared" si="110"/>
        <v>0</v>
      </c>
      <c r="J592" s="60">
        <v>0</v>
      </c>
      <c r="K592" s="61">
        <f t="shared" si="111"/>
        <v>0</v>
      </c>
      <c r="L592" s="62"/>
      <c r="M592" s="61">
        <f t="shared" si="112"/>
        <v>0</v>
      </c>
      <c r="N592" s="63">
        <v>0</v>
      </c>
      <c r="O592" s="61">
        <f t="shared" si="113"/>
        <v>0</v>
      </c>
      <c r="P592" s="60">
        <v>0</v>
      </c>
      <c r="Q592" s="61">
        <f t="shared" si="114"/>
        <v>0</v>
      </c>
      <c r="R592" s="60">
        <v>0</v>
      </c>
      <c r="S592" s="61">
        <f t="shared" si="115"/>
        <v>0</v>
      </c>
      <c r="T592" s="60">
        <v>0</v>
      </c>
      <c r="U592" s="64">
        <f t="shared" si="116"/>
        <v>0</v>
      </c>
      <c r="V592" s="65">
        <v>0</v>
      </c>
      <c r="W592" s="66">
        <f t="shared" si="117"/>
        <v>0</v>
      </c>
      <c r="X592" s="67">
        <f t="shared" si="118"/>
        <v>0</v>
      </c>
      <c r="Y592" s="57" t="str">
        <f t="shared" si="119"/>
        <v>NIL PLEASE PURCHASE</v>
      </c>
      <c r="Z592" s="68" t="s">
        <v>1539</v>
      </c>
    </row>
    <row r="593" spans="1:26" s="8" customFormat="1" ht="20.100000000000001" customHeight="1" x14ac:dyDescent="0.25">
      <c r="A593" s="69" t="s">
        <v>1559</v>
      </c>
      <c r="B593" s="88">
        <v>1010</v>
      </c>
      <c r="C593" s="90" t="s">
        <v>1179</v>
      </c>
      <c r="D593" s="60">
        <v>0</v>
      </c>
      <c r="E593" s="61">
        <f t="shared" si="108"/>
        <v>0</v>
      </c>
      <c r="F593" s="60">
        <v>0</v>
      </c>
      <c r="G593" s="61">
        <f t="shared" si="109"/>
        <v>0</v>
      </c>
      <c r="H593" s="60">
        <v>0</v>
      </c>
      <c r="I593" s="61">
        <f t="shared" si="110"/>
        <v>0</v>
      </c>
      <c r="J593" s="60">
        <v>0</v>
      </c>
      <c r="K593" s="61">
        <f t="shared" si="111"/>
        <v>0</v>
      </c>
      <c r="L593" s="62"/>
      <c r="M593" s="61">
        <f t="shared" si="112"/>
        <v>0</v>
      </c>
      <c r="N593" s="63">
        <v>3</v>
      </c>
      <c r="O593" s="61">
        <f t="shared" si="113"/>
        <v>1500</v>
      </c>
      <c r="P593" s="60">
        <v>0</v>
      </c>
      <c r="Q593" s="61">
        <f t="shared" si="114"/>
        <v>0</v>
      </c>
      <c r="R593" s="60">
        <v>0</v>
      </c>
      <c r="S593" s="61">
        <f t="shared" si="115"/>
        <v>0</v>
      </c>
      <c r="T593" s="60">
        <v>0</v>
      </c>
      <c r="U593" s="64">
        <f t="shared" si="116"/>
        <v>0</v>
      </c>
      <c r="V593" s="65">
        <v>0</v>
      </c>
      <c r="W593" s="66">
        <f t="shared" si="117"/>
        <v>1500</v>
      </c>
      <c r="X593" s="67">
        <f t="shared" si="118"/>
        <v>1.5</v>
      </c>
      <c r="Y593" s="57" t="str">
        <f t="shared" si="119"/>
        <v>STOCK</v>
      </c>
      <c r="Z593" s="68" t="s">
        <v>1538</v>
      </c>
    </row>
    <row r="594" spans="1:26" s="8" customFormat="1" ht="20.100000000000001" customHeight="1" x14ac:dyDescent="0.25">
      <c r="A594" s="69" t="s">
        <v>1560</v>
      </c>
      <c r="B594" s="88">
        <v>1011</v>
      </c>
      <c r="C594" s="90" t="s">
        <v>1180</v>
      </c>
      <c r="D594" s="60">
        <v>0</v>
      </c>
      <c r="E594" s="61">
        <f t="shared" si="108"/>
        <v>0</v>
      </c>
      <c r="F594" s="60">
        <v>0</v>
      </c>
      <c r="G594" s="61">
        <f t="shared" si="109"/>
        <v>0</v>
      </c>
      <c r="H594" s="60">
        <v>0</v>
      </c>
      <c r="I594" s="61">
        <f t="shared" si="110"/>
        <v>0</v>
      </c>
      <c r="J594" s="60">
        <v>0</v>
      </c>
      <c r="K594" s="61">
        <f t="shared" si="111"/>
        <v>0</v>
      </c>
      <c r="L594" s="62"/>
      <c r="M594" s="61">
        <f t="shared" si="112"/>
        <v>0</v>
      </c>
      <c r="N594" s="63">
        <v>0</v>
      </c>
      <c r="O594" s="61">
        <f t="shared" si="113"/>
        <v>0</v>
      </c>
      <c r="P594" s="60">
        <v>0</v>
      </c>
      <c r="Q594" s="61">
        <f t="shared" si="114"/>
        <v>0</v>
      </c>
      <c r="R594" s="60">
        <v>0</v>
      </c>
      <c r="S594" s="61">
        <f t="shared" si="115"/>
        <v>0</v>
      </c>
      <c r="T594" s="60">
        <v>0</v>
      </c>
      <c r="U594" s="64">
        <f t="shared" si="116"/>
        <v>0</v>
      </c>
      <c r="V594" s="65">
        <v>0</v>
      </c>
      <c r="W594" s="66">
        <f t="shared" si="117"/>
        <v>0</v>
      </c>
      <c r="X594" s="67">
        <f t="shared" si="118"/>
        <v>0</v>
      </c>
      <c r="Y594" s="57" t="str">
        <f t="shared" si="119"/>
        <v>NIL PLEASE PURCHASE</v>
      </c>
      <c r="Z594" s="68" t="s">
        <v>1539</v>
      </c>
    </row>
    <row r="595" spans="1:26" s="8" customFormat="1" ht="20.100000000000001" customHeight="1" x14ac:dyDescent="0.25">
      <c r="A595" s="69" t="s">
        <v>1561</v>
      </c>
      <c r="B595" s="88">
        <v>1012</v>
      </c>
      <c r="C595" s="90" t="s">
        <v>1181</v>
      </c>
      <c r="D595" s="60">
        <v>0</v>
      </c>
      <c r="E595" s="61">
        <f t="shared" si="108"/>
        <v>0</v>
      </c>
      <c r="F595" s="60">
        <v>0</v>
      </c>
      <c r="G595" s="61">
        <f t="shared" si="109"/>
        <v>0</v>
      </c>
      <c r="H595" s="60">
        <v>0</v>
      </c>
      <c r="I595" s="61">
        <f t="shared" si="110"/>
        <v>0</v>
      </c>
      <c r="J595" s="60">
        <v>0</v>
      </c>
      <c r="K595" s="61">
        <f t="shared" si="111"/>
        <v>0</v>
      </c>
      <c r="L595" s="62"/>
      <c r="M595" s="61">
        <f t="shared" si="112"/>
        <v>0</v>
      </c>
      <c r="N595" s="63">
        <v>0</v>
      </c>
      <c r="O595" s="61">
        <f t="shared" si="113"/>
        <v>0</v>
      </c>
      <c r="P595" s="60">
        <v>0</v>
      </c>
      <c r="Q595" s="61">
        <f t="shared" si="114"/>
        <v>0</v>
      </c>
      <c r="R595" s="60">
        <v>0</v>
      </c>
      <c r="S595" s="61">
        <f t="shared" si="115"/>
        <v>0</v>
      </c>
      <c r="T595" s="60">
        <v>0</v>
      </c>
      <c r="U595" s="64">
        <f t="shared" si="116"/>
        <v>0</v>
      </c>
      <c r="V595" s="65">
        <v>0</v>
      </c>
      <c r="W595" s="66">
        <f t="shared" si="117"/>
        <v>0</v>
      </c>
      <c r="X595" s="67">
        <f t="shared" si="118"/>
        <v>0</v>
      </c>
      <c r="Y595" s="57" t="str">
        <f t="shared" si="119"/>
        <v>NIL PLEASE PURCHASE</v>
      </c>
      <c r="Z595" s="68" t="s">
        <v>1539</v>
      </c>
    </row>
    <row r="596" spans="1:26" s="8" customFormat="1" ht="20.100000000000001" customHeight="1" x14ac:dyDescent="0.25">
      <c r="A596" s="69" t="s">
        <v>1562</v>
      </c>
      <c r="B596" s="88">
        <v>1013</v>
      </c>
      <c r="C596" s="90" t="s">
        <v>1182</v>
      </c>
      <c r="D596" s="60">
        <v>0</v>
      </c>
      <c r="E596" s="61">
        <f t="shared" si="108"/>
        <v>0</v>
      </c>
      <c r="F596" s="60">
        <v>0</v>
      </c>
      <c r="G596" s="61">
        <f t="shared" si="109"/>
        <v>0</v>
      </c>
      <c r="H596" s="60">
        <v>0</v>
      </c>
      <c r="I596" s="61">
        <f t="shared" si="110"/>
        <v>0</v>
      </c>
      <c r="J596" s="60">
        <v>0</v>
      </c>
      <c r="K596" s="61">
        <f t="shared" si="111"/>
        <v>0</v>
      </c>
      <c r="L596" s="62"/>
      <c r="M596" s="61">
        <f t="shared" si="112"/>
        <v>0</v>
      </c>
      <c r="N596" s="63">
        <v>2</v>
      </c>
      <c r="O596" s="61">
        <f t="shared" si="113"/>
        <v>1000</v>
      </c>
      <c r="P596" s="60">
        <v>0</v>
      </c>
      <c r="Q596" s="61">
        <f t="shared" si="114"/>
        <v>0</v>
      </c>
      <c r="R596" s="60">
        <v>0</v>
      </c>
      <c r="S596" s="61">
        <f t="shared" si="115"/>
        <v>0</v>
      </c>
      <c r="T596" s="60">
        <v>0</v>
      </c>
      <c r="U596" s="64">
        <f t="shared" si="116"/>
        <v>0</v>
      </c>
      <c r="V596" s="65">
        <v>0</v>
      </c>
      <c r="W596" s="66">
        <f t="shared" si="117"/>
        <v>1000</v>
      </c>
      <c r="X596" s="67">
        <f t="shared" si="118"/>
        <v>1</v>
      </c>
      <c r="Y596" s="57" t="str">
        <f t="shared" si="119"/>
        <v>STOCK</v>
      </c>
      <c r="Z596" s="68" t="s">
        <v>1538</v>
      </c>
    </row>
    <row r="597" spans="1:26" s="8" customFormat="1" ht="20.100000000000001" customHeight="1" x14ac:dyDescent="0.25">
      <c r="A597" s="69" t="s">
        <v>1563</v>
      </c>
      <c r="B597" s="88">
        <v>1014</v>
      </c>
      <c r="C597" s="90" t="s">
        <v>1183</v>
      </c>
      <c r="D597" s="60">
        <v>0</v>
      </c>
      <c r="E597" s="61">
        <f t="shared" si="108"/>
        <v>0</v>
      </c>
      <c r="F597" s="60">
        <v>0</v>
      </c>
      <c r="G597" s="61">
        <f t="shared" si="109"/>
        <v>0</v>
      </c>
      <c r="H597" s="60">
        <v>0</v>
      </c>
      <c r="I597" s="61">
        <f t="shared" si="110"/>
        <v>0</v>
      </c>
      <c r="J597" s="60">
        <v>0</v>
      </c>
      <c r="K597" s="61">
        <f t="shared" si="111"/>
        <v>0</v>
      </c>
      <c r="L597" s="62"/>
      <c r="M597" s="61">
        <f t="shared" si="112"/>
        <v>0</v>
      </c>
      <c r="N597" s="63">
        <v>0</v>
      </c>
      <c r="O597" s="61">
        <f t="shared" si="113"/>
        <v>0</v>
      </c>
      <c r="P597" s="60">
        <v>0</v>
      </c>
      <c r="Q597" s="61">
        <f t="shared" si="114"/>
        <v>0</v>
      </c>
      <c r="R597" s="60">
        <v>0</v>
      </c>
      <c r="S597" s="61">
        <f t="shared" si="115"/>
        <v>0</v>
      </c>
      <c r="T597" s="60">
        <v>0</v>
      </c>
      <c r="U597" s="64">
        <f t="shared" si="116"/>
        <v>0</v>
      </c>
      <c r="V597" s="65">
        <v>0</v>
      </c>
      <c r="W597" s="66">
        <f t="shared" si="117"/>
        <v>0</v>
      </c>
      <c r="X597" s="67">
        <f t="shared" si="118"/>
        <v>0</v>
      </c>
      <c r="Y597" s="57" t="str">
        <f t="shared" si="119"/>
        <v>NIL PLEASE PURCHASE</v>
      </c>
      <c r="Z597" s="68" t="s">
        <v>1539</v>
      </c>
    </row>
    <row r="598" spans="1:26" s="8" customFormat="1" ht="20.100000000000001" customHeight="1" x14ac:dyDescent="0.25">
      <c r="A598" s="69" t="s">
        <v>1564</v>
      </c>
      <c r="B598" s="88">
        <v>1015</v>
      </c>
      <c r="C598" s="90" t="s">
        <v>1184</v>
      </c>
      <c r="D598" s="60">
        <v>0</v>
      </c>
      <c r="E598" s="61">
        <f t="shared" si="108"/>
        <v>0</v>
      </c>
      <c r="F598" s="60">
        <v>0</v>
      </c>
      <c r="G598" s="61">
        <f t="shared" si="109"/>
        <v>0</v>
      </c>
      <c r="H598" s="60">
        <v>0</v>
      </c>
      <c r="I598" s="61">
        <f t="shared" si="110"/>
        <v>0</v>
      </c>
      <c r="J598" s="60">
        <v>0</v>
      </c>
      <c r="K598" s="61">
        <f t="shared" si="111"/>
        <v>0</v>
      </c>
      <c r="L598" s="62"/>
      <c r="M598" s="61">
        <f t="shared" si="112"/>
        <v>0</v>
      </c>
      <c r="N598" s="63">
        <v>0</v>
      </c>
      <c r="O598" s="61">
        <f t="shared" si="113"/>
        <v>0</v>
      </c>
      <c r="P598" s="60">
        <v>0</v>
      </c>
      <c r="Q598" s="61">
        <f t="shared" si="114"/>
        <v>0</v>
      </c>
      <c r="R598" s="60">
        <v>0</v>
      </c>
      <c r="S598" s="61">
        <f t="shared" si="115"/>
        <v>0</v>
      </c>
      <c r="T598" s="60">
        <v>0</v>
      </c>
      <c r="U598" s="64">
        <f t="shared" si="116"/>
        <v>0</v>
      </c>
      <c r="V598" s="65">
        <v>0</v>
      </c>
      <c r="W598" s="66">
        <f t="shared" si="117"/>
        <v>0</v>
      </c>
      <c r="X598" s="67">
        <f t="shared" si="118"/>
        <v>0</v>
      </c>
      <c r="Y598" s="57" t="str">
        <f t="shared" si="119"/>
        <v>NIL PLEASE PURCHASE</v>
      </c>
      <c r="Z598" s="68" t="s">
        <v>1539</v>
      </c>
    </row>
    <row r="599" spans="1:26" s="8" customFormat="1" ht="20.100000000000001" customHeight="1" x14ac:dyDescent="0.25">
      <c r="A599" s="69" t="s">
        <v>1565</v>
      </c>
      <c r="B599" s="88">
        <v>1016</v>
      </c>
      <c r="C599" s="90" t="s">
        <v>1185</v>
      </c>
      <c r="D599" s="60">
        <v>0</v>
      </c>
      <c r="E599" s="61">
        <f t="shared" si="108"/>
        <v>0</v>
      </c>
      <c r="F599" s="60">
        <v>0</v>
      </c>
      <c r="G599" s="61">
        <f t="shared" si="109"/>
        <v>0</v>
      </c>
      <c r="H599" s="60">
        <v>0</v>
      </c>
      <c r="I599" s="61">
        <f t="shared" si="110"/>
        <v>0</v>
      </c>
      <c r="J599" s="60">
        <v>0</v>
      </c>
      <c r="K599" s="61">
        <f t="shared" si="111"/>
        <v>0</v>
      </c>
      <c r="L599" s="62"/>
      <c r="M599" s="61">
        <f t="shared" si="112"/>
        <v>0</v>
      </c>
      <c r="N599" s="63">
        <v>0</v>
      </c>
      <c r="O599" s="61">
        <f t="shared" si="113"/>
        <v>0</v>
      </c>
      <c r="P599" s="60">
        <v>1</v>
      </c>
      <c r="Q599" s="61">
        <f t="shared" si="114"/>
        <v>1000</v>
      </c>
      <c r="R599" s="60">
        <v>0</v>
      </c>
      <c r="S599" s="61">
        <f t="shared" si="115"/>
        <v>0</v>
      </c>
      <c r="T599" s="60">
        <v>0</v>
      </c>
      <c r="U599" s="64">
        <f t="shared" si="116"/>
        <v>0</v>
      </c>
      <c r="V599" s="65">
        <v>0</v>
      </c>
      <c r="W599" s="66">
        <f t="shared" si="117"/>
        <v>1000</v>
      </c>
      <c r="X599" s="67">
        <f t="shared" si="118"/>
        <v>1</v>
      </c>
      <c r="Y599" s="57" t="str">
        <f t="shared" si="119"/>
        <v>STOCK</v>
      </c>
      <c r="Z599" s="68" t="s">
        <v>1538</v>
      </c>
    </row>
    <row r="600" spans="1:26" s="8" customFormat="1" ht="20.100000000000001" customHeight="1" x14ac:dyDescent="0.25">
      <c r="A600" s="69" t="s">
        <v>1566</v>
      </c>
      <c r="B600" s="88">
        <v>1017</v>
      </c>
      <c r="C600" s="90" t="s">
        <v>1186</v>
      </c>
      <c r="D600" s="60">
        <v>0</v>
      </c>
      <c r="E600" s="61">
        <f t="shared" si="108"/>
        <v>0</v>
      </c>
      <c r="F600" s="60">
        <v>0</v>
      </c>
      <c r="G600" s="61">
        <f t="shared" si="109"/>
        <v>0</v>
      </c>
      <c r="H600" s="60">
        <v>0</v>
      </c>
      <c r="I600" s="61">
        <f t="shared" si="110"/>
        <v>0</v>
      </c>
      <c r="J600" s="60">
        <v>0</v>
      </c>
      <c r="K600" s="61">
        <f t="shared" si="111"/>
        <v>0</v>
      </c>
      <c r="L600" s="62"/>
      <c r="M600" s="61">
        <f t="shared" si="112"/>
        <v>0</v>
      </c>
      <c r="N600" s="63">
        <v>2</v>
      </c>
      <c r="O600" s="61">
        <f t="shared" si="113"/>
        <v>1000</v>
      </c>
      <c r="P600" s="60">
        <v>0</v>
      </c>
      <c r="Q600" s="61">
        <f t="shared" si="114"/>
        <v>0</v>
      </c>
      <c r="R600" s="60">
        <v>0</v>
      </c>
      <c r="S600" s="61">
        <f t="shared" si="115"/>
        <v>0</v>
      </c>
      <c r="T600" s="60">
        <v>0</v>
      </c>
      <c r="U600" s="64">
        <f t="shared" si="116"/>
        <v>0</v>
      </c>
      <c r="V600" s="65">
        <v>0</v>
      </c>
      <c r="W600" s="66">
        <f t="shared" si="117"/>
        <v>1000</v>
      </c>
      <c r="X600" s="67">
        <f t="shared" si="118"/>
        <v>1</v>
      </c>
      <c r="Y600" s="57" t="str">
        <f t="shared" si="119"/>
        <v>STOCK</v>
      </c>
      <c r="Z600" s="68" t="s">
        <v>1538</v>
      </c>
    </row>
    <row r="601" spans="1:26" s="8" customFormat="1" ht="20.100000000000001" customHeight="1" x14ac:dyDescent="0.25">
      <c r="A601" s="69" t="s">
        <v>1567</v>
      </c>
      <c r="B601" s="88">
        <v>1018</v>
      </c>
      <c r="C601" s="90" t="s">
        <v>1187</v>
      </c>
      <c r="D601" s="60">
        <v>0</v>
      </c>
      <c r="E601" s="61">
        <f t="shared" si="108"/>
        <v>0</v>
      </c>
      <c r="F601" s="60">
        <v>0</v>
      </c>
      <c r="G601" s="61">
        <f t="shared" si="109"/>
        <v>0</v>
      </c>
      <c r="H601" s="60">
        <v>1</v>
      </c>
      <c r="I601" s="61">
        <f t="shared" si="110"/>
        <v>50</v>
      </c>
      <c r="J601" s="60">
        <v>0</v>
      </c>
      <c r="K601" s="61">
        <f t="shared" si="111"/>
        <v>0</v>
      </c>
      <c r="L601" s="62"/>
      <c r="M601" s="61">
        <f t="shared" si="112"/>
        <v>0</v>
      </c>
      <c r="N601" s="63">
        <v>0</v>
      </c>
      <c r="O601" s="61">
        <f t="shared" si="113"/>
        <v>0</v>
      </c>
      <c r="P601" s="60">
        <v>0</v>
      </c>
      <c r="Q601" s="61">
        <f t="shared" si="114"/>
        <v>0</v>
      </c>
      <c r="R601" s="60">
        <v>0</v>
      </c>
      <c r="S601" s="61">
        <f t="shared" si="115"/>
        <v>0</v>
      </c>
      <c r="T601" s="60">
        <v>0</v>
      </c>
      <c r="U601" s="64">
        <f t="shared" si="116"/>
        <v>0</v>
      </c>
      <c r="V601" s="65">
        <v>0</v>
      </c>
      <c r="W601" s="66">
        <f t="shared" si="117"/>
        <v>50</v>
      </c>
      <c r="X601" s="67">
        <f t="shared" si="118"/>
        <v>0.05</v>
      </c>
      <c r="Y601" s="57" t="str">
        <f t="shared" si="119"/>
        <v>STOCK</v>
      </c>
      <c r="Z601" s="68" t="s">
        <v>1538</v>
      </c>
    </row>
    <row r="602" spans="1:26" s="8" customFormat="1" ht="20.100000000000001" customHeight="1" x14ac:dyDescent="0.25">
      <c r="A602" s="69" t="s">
        <v>1568</v>
      </c>
      <c r="B602" s="88">
        <v>1019</v>
      </c>
      <c r="C602" s="90" t="s">
        <v>1188</v>
      </c>
      <c r="D602" s="60">
        <v>0</v>
      </c>
      <c r="E602" s="61">
        <f t="shared" si="108"/>
        <v>0</v>
      </c>
      <c r="F602" s="60">
        <v>0</v>
      </c>
      <c r="G602" s="61">
        <f t="shared" si="109"/>
        <v>0</v>
      </c>
      <c r="H602" s="60">
        <v>0</v>
      </c>
      <c r="I602" s="61">
        <f t="shared" si="110"/>
        <v>0</v>
      </c>
      <c r="J602" s="60">
        <v>0</v>
      </c>
      <c r="K602" s="61">
        <f t="shared" si="111"/>
        <v>0</v>
      </c>
      <c r="L602" s="62"/>
      <c r="M602" s="61">
        <f t="shared" si="112"/>
        <v>0</v>
      </c>
      <c r="N602" s="63">
        <v>2</v>
      </c>
      <c r="O602" s="61">
        <f t="shared" si="113"/>
        <v>1000</v>
      </c>
      <c r="P602" s="60">
        <v>0</v>
      </c>
      <c r="Q602" s="61">
        <f t="shared" si="114"/>
        <v>0</v>
      </c>
      <c r="R602" s="60">
        <v>0</v>
      </c>
      <c r="S602" s="61">
        <f t="shared" si="115"/>
        <v>0</v>
      </c>
      <c r="T602" s="60">
        <v>0</v>
      </c>
      <c r="U602" s="64">
        <f t="shared" si="116"/>
        <v>0</v>
      </c>
      <c r="V602" s="65">
        <v>0</v>
      </c>
      <c r="W602" s="66">
        <f t="shared" si="117"/>
        <v>1000</v>
      </c>
      <c r="X602" s="67">
        <f t="shared" si="118"/>
        <v>1</v>
      </c>
      <c r="Y602" s="57" t="str">
        <f t="shared" si="119"/>
        <v>STOCK</v>
      </c>
      <c r="Z602" s="68" t="s">
        <v>1538</v>
      </c>
    </row>
    <row r="603" spans="1:26" s="8" customFormat="1" ht="20.100000000000001" customHeight="1" x14ac:dyDescent="0.25">
      <c r="A603" s="69" t="s">
        <v>1569</v>
      </c>
      <c r="B603" s="88">
        <v>1020</v>
      </c>
      <c r="C603" s="90" t="s">
        <v>1189</v>
      </c>
      <c r="D603" s="60">
        <v>0</v>
      </c>
      <c r="E603" s="61">
        <f t="shared" si="108"/>
        <v>0</v>
      </c>
      <c r="F603" s="60">
        <v>0</v>
      </c>
      <c r="G603" s="61">
        <f t="shared" si="109"/>
        <v>0</v>
      </c>
      <c r="H603" s="60">
        <v>0</v>
      </c>
      <c r="I603" s="61">
        <f t="shared" si="110"/>
        <v>0</v>
      </c>
      <c r="J603" s="60">
        <v>1</v>
      </c>
      <c r="K603" s="61">
        <f t="shared" si="111"/>
        <v>100</v>
      </c>
      <c r="L603" s="62"/>
      <c r="M603" s="61">
        <f t="shared" si="112"/>
        <v>0</v>
      </c>
      <c r="N603" s="63">
        <v>1</v>
      </c>
      <c r="O603" s="61">
        <f t="shared" si="113"/>
        <v>500</v>
      </c>
      <c r="P603" s="60">
        <v>0</v>
      </c>
      <c r="Q603" s="61">
        <f t="shared" si="114"/>
        <v>0</v>
      </c>
      <c r="R603" s="60">
        <v>0</v>
      </c>
      <c r="S603" s="61">
        <f t="shared" si="115"/>
        <v>0</v>
      </c>
      <c r="T603" s="60">
        <v>0</v>
      </c>
      <c r="U603" s="64">
        <f t="shared" si="116"/>
        <v>0</v>
      </c>
      <c r="V603" s="65">
        <v>0</v>
      </c>
      <c r="W603" s="66">
        <f t="shared" si="117"/>
        <v>600</v>
      </c>
      <c r="X603" s="67">
        <f t="shared" si="118"/>
        <v>0.6</v>
      </c>
      <c r="Y603" s="57" t="str">
        <f t="shared" si="119"/>
        <v>STOCK</v>
      </c>
      <c r="Z603" s="68" t="s">
        <v>1538</v>
      </c>
    </row>
    <row r="604" spans="1:26" s="8" customFormat="1" ht="20.100000000000001" customHeight="1" x14ac:dyDescent="0.25">
      <c r="A604" s="69" t="s">
        <v>1570</v>
      </c>
      <c r="B604" s="88">
        <v>1021</v>
      </c>
      <c r="C604" s="90" t="s">
        <v>1190</v>
      </c>
      <c r="D604" s="60">
        <v>0</v>
      </c>
      <c r="E604" s="61">
        <f t="shared" si="108"/>
        <v>0</v>
      </c>
      <c r="F604" s="60">
        <v>0</v>
      </c>
      <c r="G604" s="61">
        <f t="shared" si="109"/>
        <v>0</v>
      </c>
      <c r="H604" s="60">
        <v>0</v>
      </c>
      <c r="I604" s="61">
        <f t="shared" si="110"/>
        <v>0</v>
      </c>
      <c r="J604" s="60">
        <v>1</v>
      </c>
      <c r="K604" s="61">
        <f t="shared" si="111"/>
        <v>100</v>
      </c>
      <c r="L604" s="62"/>
      <c r="M604" s="61">
        <f t="shared" si="112"/>
        <v>0</v>
      </c>
      <c r="N604" s="63">
        <v>0</v>
      </c>
      <c r="O604" s="61">
        <f t="shared" si="113"/>
        <v>0</v>
      </c>
      <c r="P604" s="60">
        <v>0</v>
      </c>
      <c r="Q604" s="61">
        <f t="shared" si="114"/>
        <v>0</v>
      </c>
      <c r="R604" s="60">
        <v>0</v>
      </c>
      <c r="S604" s="61">
        <f t="shared" si="115"/>
        <v>0</v>
      </c>
      <c r="T604" s="60">
        <v>0</v>
      </c>
      <c r="U604" s="64">
        <f t="shared" si="116"/>
        <v>0</v>
      </c>
      <c r="V604" s="65">
        <v>0</v>
      </c>
      <c r="W604" s="66">
        <f t="shared" si="117"/>
        <v>100</v>
      </c>
      <c r="X604" s="67">
        <f t="shared" si="118"/>
        <v>0.1</v>
      </c>
      <c r="Y604" s="57" t="str">
        <f t="shared" si="119"/>
        <v>STOCK</v>
      </c>
      <c r="Z604" s="68" t="s">
        <v>1538</v>
      </c>
    </row>
    <row r="605" spans="1:26" s="8" customFormat="1" ht="20.100000000000001" customHeight="1" x14ac:dyDescent="0.25">
      <c r="A605" s="69" t="s">
        <v>1571</v>
      </c>
      <c r="B605" s="88">
        <v>1022</v>
      </c>
      <c r="C605" s="90" t="s">
        <v>1191</v>
      </c>
      <c r="D605" s="60">
        <v>0</v>
      </c>
      <c r="E605" s="61">
        <f t="shared" si="108"/>
        <v>0</v>
      </c>
      <c r="F605" s="60">
        <v>0</v>
      </c>
      <c r="G605" s="61">
        <f t="shared" si="109"/>
        <v>0</v>
      </c>
      <c r="H605" s="60">
        <v>0</v>
      </c>
      <c r="I605" s="61">
        <f t="shared" si="110"/>
        <v>0</v>
      </c>
      <c r="J605" s="60">
        <v>0</v>
      </c>
      <c r="K605" s="61">
        <f t="shared" si="111"/>
        <v>0</v>
      </c>
      <c r="L605" s="62"/>
      <c r="M605" s="61">
        <f t="shared" si="112"/>
        <v>0</v>
      </c>
      <c r="N605" s="63">
        <v>0</v>
      </c>
      <c r="O605" s="61">
        <f t="shared" si="113"/>
        <v>0</v>
      </c>
      <c r="P605" s="60">
        <v>0</v>
      </c>
      <c r="Q605" s="61">
        <f t="shared" si="114"/>
        <v>0</v>
      </c>
      <c r="R605" s="60">
        <v>0</v>
      </c>
      <c r="S605" s="61">
        <f t="shared" si="115"/>
        <v>0</v>
      </c>
      <c r="T605" s="60">
        <v>0</v>
      </c>
      <c r="U605" s="64">
        <f t="shared" si="116"/>
        <v>0</v>
      </c>
      <c r="V605" s="65">
        <v>0</v>
      </c>
      <c r="W605" s="66">
        <f t="shared" si="117"/>
        <v>0</v>
      </c>
      <c r="X605" s="67">
        <f t="shared" si="118"/>
        <v>0</v>
      </c>
      <c r="Y605" s="57" t="str">
        <f t="shared" si="119"/>
        <v>NIL PLEASE PURCHASE</v>
      </c>
      <c r="Z605" s="68" t="s">
        <v>1539</v>
      </c>
    </row>
    <row r="606" spans="1:26" s="8" customFormat="1" ht="20.100000000000001" customHeight="1" x14ac:dyDescent="0.25">
      <c r="A606" s="69" t="s">
        <v>1572</v>
      </c>
      <c r="B606" s="88">
        <v>1023</v>
      </c>
      <c r="C606" s="90" t="s">
        <v>1192</v>
      </c>
      <c r="D606" s="60">
        <v>0</v>
      </c>
      <c r="E606" s="61">
        <f t="shared" si="108"/>
        <v>0</v>
      </c>
      <c r="F606" s="60">
        <v>0</v>
      </c>
      <c r="G606" s="61">
        <f t="shared" si="109"/>
        <v>0</v>
      </c>
      <c r="H606" s="60">
        <v>0</v>
      </c>
      <c r="I606" s="61">
        <f t="shared" si="110"/>
        <v>0</v>
      </c>
      <c r="J606" s="60">
        <v>0</v>
      </c>
      <c r="K606" s="61">
        <f t="shared" si="111"/>
        <v>0</v>
      </c>
      <c r="L606" s="62"/>
      <c r="M606" s="61">
        <f t="shared" si="112"/>
        <v>0</v>
      </c>
      <c r="N606" s="63">
        <v>0</v>
      </c>
      <c r="O606" s="61">
        <f t="shared" si="113"/>
        <v>0</v>
      </c>
      <c r="P606" s="60">
        <v>0</v>
      </c>
      <c r="Q606" s="61">
        <f t="shared" si="114"/>
        <v>0</v>
      </c>
      <c r="R606" s="60">
        <v>0</v>
      </c>
      <c r="S606" s="61">
        <f t="shared" si="115"/>
        <v>0</v>
      </c>
      <c r="T606" s="60">
        <v>0</v>
      </c>
      <c r="U606" s="64">
        <f t="shared" si="116"/>
        <v>0</v>
      </c>
      <c r="V606" s="65">
        <v>0</v>
      </c>
      <c r="W606" s="66">
        <f t="shared" si="117"/>
        <v>0</v>
      </c>
      <c r="X606" s="67">
        <f t="shared" si="118"/>
        <v>0</v>
      </c>
      <c r="Y606" s="57" t="str">
        <f t="shared" si="119"/>
        <v>NIL PLEASE PURCHASE</v>
      </c>
      <c r="Z606" s="68" t="s">
        <v>1539</v>
      </c>
    </row>
    <row r="607" spans="1:26" s="8" customFormat="1" ht="20.100000000000001" customHeight="1" x14ac:dyDescent="0.25">
      <c r="A607" s="69" t="s">
        <v>1573</v>
      </c>
      <c r="B607" s="88">
        <v>1024</v>
      </c>
      <c r="C607" s="90" t="s">
        <v>1193</v>
      </c>
      <c r="D607" s="60">
        <v>0</v>
      </c>
      <c r="E607" s="61">
        <f t="shared" si="108"/>
        <v>0</v>
      </c>
      <c r="F607" s="60">
        <v>0</v>
      </c>
      <c r="G607" s="61">
        <f t="shared" si="109"/>
        <v>0</v>
      </c>
      <c r="H607" s="60">
        <v>0</v>
      </c>
      <c r="I607" s="61">
        <f t="shared" si="110"/>
        <v>0</v>
      </c>
      <c r="J607" s="60">
        <v>0</v>
      </c>
      <c r="K607" s="61">
        <f t="shared" si="111"/>
        <v>0</v>
      </c>
      <c r="L607" s="62"/>
      <c r="M607" s="61">
        <f t="shared" si="112"/>
        <v>0</v>
      </c>
      <c r="N607" s="63">
        <v>7</v>
      </c>
      <c r="O607" s="61">
        <f t="shared" si="113"/>
        <v>3500</v>
      </c>
      <c r="P607" s="60">
        <v>0</v>
      </c>
      <c r="Q607" s="61">
        <f t="shared" si="114"/>
        <v>0</v>
      </c>
      <c r="R607" s="60">
        <v>0</v>
      </c>
      <c r="S607" s="61">
        <f t="shared" si="115"/>
        <v>0</v>
      </c>
      <c r="T607" s="60">
        <v>0</v>
      </c>
      <c r="U607" s="64">
        <f t="shared" si="116"/>
        <v>0</v>
      </c>
      <c r="V607" s="65">
        <v>0</v>
      </c>
      <c r="W607" s="66">
        <f t="shared" si="117"/>
        <v>3500</v>
      </c>
      <c r="X607" s="67">
        <f t="shared" si="118"/>
        <v>3.5</v>
      </c>
      <c r="Y607" s="57" t="str">
        <f t="shared" si="119"/>
        <v>STOCK</v>
      </c>
      <c r="Z607" s="68" t="s">
        <v>1538</v>
      </c>
    </row>
    <row r="608" spans="1:26" s="8" customFormat="1" ht="20.100000000000001" customHeight="1" x14ac:dyDescent="0.25">
      <c r="A608" s="69" t="s">
        <v>1574</v>
      </c>
      <c r="B608" s="88">
        <v>1025</v>
      </c>
      <c r="C608" s="90" t="s">
        <v>1194</v>
      </c>
      <c r="D608" s="60">
        <v>0</v>
      </c>
      <c r="E608" s="61">
        <f t="shared" si="108"/>
        <v>0</v>
      </c>
      <c r="F608" s="60">
        <v>0</v>
      </c>
      <c r="G608" s="61">
        <f t="shared" si="109"/>
        <v>0</v>
      </c>
      <c r="H608" s="60">
        <v>0</v>
      </c>
      <c r="I608" s="61">
        <f t="shared" si="110"/>
        <v>0</v>
      </c>
      <c r="J608" s="60">
        <v>0</v>
      </c>
      <c r="K608" s="61">
        <f t="shared" si="111"/>
        <v>0</v>
      </c>
      <c r="L608" s="62"/>
      <c r="M608" s="61">
        <f t="shared" si="112"/>
        <v>0</v>
      </c>
      <c r="N608" s="63">
        <v>0</v>
      </c>
      <c r="O608" s="61">
        <f t="shared" si="113"/>
        <v>0</v>
      </c>
      <c r="P608" s="60">
        <v>0</v>
      </c>
      <c r="Q608" s="61">
        <f t="shared" si="114"/>
        <v>0</v>
      </c>
      <c r="R608" s="60">
        <v>0</v>
      </c>
      <c r="S608" s="61">
        <f t="shared" si="115"/>
        <v>0</v>
      </c>
      <c r="T608" s="60">
        <v>0</v>
      </c>
      <c r="U608" s="64">
        <f t="shared" si="116"/>
        <v>0</v>
      </c>
      <c r="V608" s="65">
        <v>0</v>
      </c>
      <c r="W608" s="66">
        <f t="shared" si="117"/>
        <v>0</v>
      </c>
      <c r="X608" s="67">
        <f t="shared" si="118"/>
        <v>0</v>
      </c>
      <c r="Y608" s="57" t="str">
        <f t="shared" si="119"/>
        <v>NIL PLEASE PURCHASE</v>
      </c>
      <c r="Z608" s="68" t="s">
        <v>1539</v>
      </c>
    </row>
    <row r="609" spans="1:26" s="8" customFormat="1" ht="20.100000000000001" customHeight="1" x14ac:dyDescent="0.25">
      <c r="A609" s="69" t="s">
        <v>1575</v>
      </c>
      <c r="B609" s="88">
        <v>1026</v>
      </c>
      <c r="C609" s="90" t="s">
        <v>1195</v>
      </c>
      <c r="D609" s="60">
        <v>0</v>
      </c>
      <c r="E609" s="61">
        <f t="shared" si="108"/>
        <v>0</v>
      </c>
      <c r="F609" s="60">
        <v>0</v>
      </c>
      <c r="G609" s="61">
        <f t="shared" si="109"/>
        <v>0</v>
      </c>
      <c r="H609" s="60">
        <v>0</v>
      </c>
      <c r="I609" s="61">
        <f t="shared" si="110"/>
        <v>0</v>
      </c>
      <c r="J609" s="60">
        <v>0</v>
      </c>
      <c r="K609" s="61">
        <f t="shared" si="111"/>
        <v>0</v>
      </c>
      <c r="L609" s="62"/>
      <c r="M609" s="61">
        <f t="shared" si="112"/>
        <v>0</v>
      </c>
      <c r="N609" s="63">
        <v>0</v>
      </c>
      <c r="O609" s="61">
        <f t="shared" si="113"/>
        <v>0</v>
      </c>
      <c r="P609" s="60">
        <v>0</v>
      </c>
      <c r="Q609" s="61">
        <f t="shared" si="114"/>
        <v>0</v>
      </c>
      <c r="R609" s="60">
        <v>0</v>
      </c>
      <c r="S609" s="61">
        <f t="shared" si="115"/>
        <v>0</v>
      </c>
      <c r="T609" s="60">
        <v>0</v>
      </c>
      <c r="U609" s="64">
        <f t="shared" si="116"/>
        <v>0</v>
      </c>
      <c r="V609" s="65">
        <v>0</v>
      </c>
      <c r="W609" s="66">
        <f t="shared" si="117"/>
        <v>0</v>
      </c>
      <c r="X609" s="67">
        <f t="shared" si="118"/>
        <v>0</v>
      </c>
      <c r="Y609" s="57" t="str">
        <f t="shared" si="119"/>
        <v>NIL PLEASE PURCHASE</v>
      </c>
      <c r="Z609" s="68" t="s">
        <v>1539</v>
      </c>
    </row>
    <row r="610" spans="1:26" s="8" customFormat="1" ht="20.100000000000001" customHeight="1" x14ac:dyDescent="0.25">
      <c r="A610" s="69" t="s">
        <v>1576</v>
      </c>
      <c r="B610" s="88">
        <v>1027</v>
      </c>
      <c r="C610" s="90" t="s">
        <v>1196</v>
      </c>
      <c r="D610" s="60">
        <v>0</v>
      </c>
      <c r="E610" s="61">
        <f t="shared" si="108"/>
        <v>0</v>
      </c>
      <c r="F610" s="60">
        <v>0</v>
      </c>
      <c r="G610" s="61">
        <f t="shared" si="109"/>
        <v>0</v>
      </c>
      <c r="H610" s="60">
        <v>0</v>
      </c>
      <c r="I610" s="61">
        <f t="shared" si="110"/>
        <v>0</v>
      </c>
      <c r="J610" s="60">
        <v>0</v>
      </c>
      <c r="K610" s="61">
        <f t="shared" si="111"/>
        <v>0</v>
      </c>
      <c r="L610" s="62"/>
      <c r="M610" s="61">
        <f t="shared" si="112"/>
        <v>0</v>
      </c>
      <c r="N610" s="63">
        <v>9</v>
      </c>
      <c r="O610" s="61">
        <f t="shared" si="113"/>
        <v>4500</v>
      </c>
      <c r="P610" s="60">
        <v>0</v>
      </c>
      <c r="Q610" s="61">
        <f t="shared" si="114"/>
        <v>0</v>
      </c>
      <c r="R610" s="60">
        <v>0</v>
      </c>
      <c r="S610" s="61">
        <f t="shared" si="115"/>
        <v>0</v>
      </c>
      <c r="T610" s="60">
        <v>0</v>
      </c>
      <c r="U610" s="64">
        <f t="shared" si="116"/>
        <v>0</v>
      </c>
      <c r="V610" s="65">
        <v>0</v>
      </c>
      <c r="W610" s="66">
        <f t="shared" si="117"/>
        <v>4500</v>
      </c>
      <c r="X610" s="67">
        <f t="shared" si="118"/>
        <v>4.5</v>
      </c>
      <c r="Y610" s="57" t="str">
        <f t="shared" si="119"/>
        <v>STOCK</v>
      </c>
      <c r="Z610" s="68" t="s">
        <v>1538</v>
      </c>
    </row>
    <row r="611" spans="1:26" s="8" customFormat="1" ht="20.100000000000001" customHeight="1" x14ac:dyDescent="0.25">
      <c r="A611" s="69" t="s">
        <v>1577</v>
      </c>
      <c r="B611" s="88">
        <v>1028</v>
      </c>
      <c r="C611" s="90" t="s">
        <v>1197</v>
      </c>
      <c r="D611" s="60">
        <v>0</v>
      </c>
      <c r="E611" s="61">
        <f t="shared" si="108"/>
        <v>0</v>
      </c>
      <c r="F611" s="60">
        <v>0</v>
      </c>
      <c r="G611" s="61">
        <f t="shared" si="109"/>
        <v>0</v>
      </c>
      <c r="H611" s="60">
        <v>0</v>
      </c>
      <c r="I611" s="61">
        <f t="shared" si="110"/>
        <v>0</v>
      </c>
      <c r="J611" s="60">
        <v>0</v>
      </c>
      <c r="K611" s="61">
        <f t="shared" si="111"/>
        <v>0</v>
      </c>
      <c r="L611" s="62"/>
      <c r="M611" s="61">
        <f t="shared" si="112"/>
        <v>0</v>
      </c>
      <c r="N611" s="63">
        <v>0</v>
      </c>
      <c r="O611" s="61">
        <f t="shared" si="113"/>
        <v>0</v>
      </c>
      <c r="P611" s="60">
        <v>0</v>
      </c>
      <c r="Q611" s="61">
        <f t="shared" si="114"/>
        <v>0</v>
      </c>
      <c r="R611" s="60">
        <v>0</v>
      </c>
      <c r="S611" s="61">
        <f t="shared" si="115"/>
        <v>0</v>
      </c>
      <c r="T611" s="60">
        <v>0</v>
      </c>
      <c r="U611" s="64">
        <f t="shared" si="116"/>
        <v>0</v>
      </c>
      <c r="V611" s="65">
        <v>0</v>
      </c>
      <c r="W611" s="66">
        <f t="shared" si="117"/>
        <v>0</v>
      </c>
      <c r="X611" s="67">
        <f t="shared" si="118"/>
        <v>0</v>
      </c>
      <c r="Y611" s="57" t="str">
        <f t="shared" si="119"/>
        <v>NIL PLEASE PURCHASE</v>
      </c>
      <c r="Z611" s="68" t="s">
        <v>1539</v>
      </c>
    </row>
    <row r="612" spans="1:26" s="8" customFormat="1" ht="20.100000000000001" customHeight="1" x14ac:dyDescent="0.25">
      <c r="A612" s="69" t="s">
        <v>1578</v>
      </c>
      <c r="B612" s="88">
        <v>1029</v>
      </c>
      <c r="C612" s="90" t="s">
        <v>1198</v>
      </c>
      <c r="D612" s="60">
        <v>0</v>
      </c>
      <c r="E612" s="61">
        <f t="shared" si="108"/>
        <v>0</v>
      </c>
      <c r="F612" s="60">
        <v>0</v>
      </c>
      <c r="G612" s="61">
        <f t="shared" si="109"/>
        <v>0</v>
      </c>
      <c r="H612" s="60">
        <v>0</v>
      </c>
      <c r="I612" s="61">
        <f t="shared" si="110"/>
        <v>0</v>
      </c>
      <c r="J612" s="60">
        <v>0</v>
      </c>
      <c r="K612" s="61">
        <f t="shared" si="111"/>
        <v>0</v>
      </c>
      <c r="L612" s="62"/>
      <c r="M612" s="61">
        <f t="shared" si="112"/>
        <v>0</v>
      </c>
      <c r="N612" s="63">
        <v>0</v>
      </c>
      <c r="O612" s="61">
        <f t="shared" si="113"/>
        <v>0</v>
      </c>
      <c r="P612" s="60">
        <v>0</v>
      </c>
      <c r="Q612" s="61">
        <f t="shared" si="114"/>
        <v>0</v>
      </c>
      <c r="R612" s="60">
        <v>0</v>
      </c>
      <c r="S612" s="61">
        <f t="shared" si="115"/>
        <v>0</v>
      </c>
      <c r="T612" s="60">
        <v>0</v>
      </c>
      <c r="U612" s="64">
        <f t="shared" si="116"/>
        <v>0</v>
      </c>
      <c r="V612" s="65">
        <v>0</v>
      </c>
      <c r="W612" s="66">
        <f t="shared" si="117"/>
        <v>0</v>
      </c>
      <c r="X612" s="67">
        <f t="shared" si="118"/>
        <v>0</v>
      </c>
      <c r="Y612" s="57" t="str">
        <f t="shared" si="119"/>
        <v>NIL PLEASE PURCHASE</v>
      </c>
      <c r="Z612" s="68" t="s">
        <v>1539</v>
      </c>
    </row>
    <row r="613" spans="1:26" s="8" customFormat="1" ht="20.100000000000001" customHeight="1" x14ac:dyDescent="0.25">
      <c r="A613" s="69" t="s">
        <v>1579</v>
      </c>
      <c r="B613" s="88">
        <v>1030</v>
      </c>
      <c r="C613" s="90" t="s">
        <v>1199</v>
      </c>
      <c r="D613" s="60">
        <v>0</v>
      </c>
      <c r="E613" s="61">
        <f t="shared" si="108"/>
        <v>0</v>
      </c>
      <c r="F613" s="60">
        <v>0</v>
      </c>
      <c r="G613" s="61">
        <f t="shared" si="109"/>
        <v>0</v>
      </c>
      <c r="H613" s="60">
        <v>0</v>
      </c>
      <c r="I613" s="61">
        <f t="shared" si="110"/>
        <v>0</v>
      </c>
      <c r="J613" s="60">
        <v>0</v>
      </c>
      <c r="K613" s="61">
        <f t="shared" si="111"/>
        <v>0</v>
      </c>
      <c r="L613" s="62"/>
      <c r="M613" s="61">
        <f t="shared" si="112"/>
        <v>0</v>
      </c>
      <c r="N613" s="63">
        <v>1</v>
      </c>
      <c r="O613" s="61">
        <f t="shared" si="113"/>
        <v>500</v>
      </c>
      <c r="P613" s="60">
        <v>0</v>
      </c>
      <c r="Q613" s="61">
        <f t="shared" si="114"/>
        <v>0</v>
      </c>
      <c r="R613" s="60">
        <v>0</v>
      </c>
      <c r="S613" s="61">
        <f t="shared" si="115"/>
        <v>0</v>
      </c>
      <c r="T613" s="60">
        <v>0</v>
      </c>
      <c r="U613" s="64">
        <f t="shared" si="116"/>
        <v>0</v>
      </c>
      <c r="V613" s="65">
        <v>0</v>
      </c>
      <c r="W613" s="66">
        <f t="shared" si="117"/>
        <v>500</v>
      </c>
      <c r="X613" s="67">
        <f t="shared" si="118"/>
        <v>0.5</v>
      </c>
      <c r="Y613" s="57" t="str">
        <f t="shared" si="119"/>
        <v>STOCK</v>
      </c>
      <c r="Z613" s="68" t="s">
        <v>1538</v>
      </c>
    </row>
    <row r="614" spans="1:26" s="8" customFormat="1" ht="20.100000000000001" customHeight="1" x14ac:dyDescent="0.25">
      <c r="A614" s="69" t="s">
        <v>1580</v>
      </c>
      <c r="B614" s="88">
        <v>1031</v>
      </c>
      <c r="C614" s="90" t="s">
        <v>1200</v>
      </c>
      <c r="D614" s="60">
        <v>0</v>
      </c>
      <c r="E614" s="61">
        <f t="shared" si="108"/>
        <v>0</v>
      </c>
      <c r="F614" s="60">
        <v>0</v>
      </c>
      <c r="G614" s="61">
        <f t="shared" si="109"/>
        <v>0</v>
      </c>
      <c r="H614" s="60">
        <v>0</v>
      </c>
      <c r="I614" s="61">
        <f t="shared" si="110"/>
        <v>0</v>
      </c>
      <c r="J614" s="60">
        <v>0</v>
      </c>
      <c r="K614" s="61">
        <f t="shared" si="111"/>
        <v>0</v>
      </c>
      <c r="L614" s="62"/>
      <c r="M614" s="61">
        <f t="shared" si="112"/>
        <v>0</v>
      </c>
      <c r="N614" s="63">
        <v>1</v>
      </c>
      <c r="O614" s="61">
        <f t="shared" si="113"/>
        <v>500</v>
      </c>
      <c r="P614" s="60">
        <v>0</v>
      </c>
      <c r="Q614" s="61">
        <f t="shared" si="114"/>
        <v>0</v>
      </c>
      <c r="R614" s="60">
        <v>0</v>
      </c>
      <c r="S614" s="61">
        <f t="shared" si="115"/>
        <v>0</v>
      </c>
      <c r="T614" s="60">
        <v>0</v>
      </c>
      <c r="U614" s="64">
        <f t="shared" si="116"/>
        <v>0</v>
      </c>
      <c r="V614" s="65">
        <v>0</v>
      </c>
      <c r="W614" s="66">
        <f t="shared" si="117"/>
        <v>500</v>
      </c>
      <c r="X614" s="67">
        <f t="shared" si="118"/>
        <v>0.5</v>
      </c>
      <c r="Y614" s="57" t="str">
        <f t="shared" si="119"/>
        <v>STOCK</v>
      </c>
      <c r="Z614" s="68" t="s">
        <v>1538</v>
      </c>
    </row>
    <row r="615" spans="1:26" s="8" customFormat="1" ht="20.100000000000001" customHeight="1" x14ac:dyDescent="0.25">
      <c r="A615" s="69" t="s">
        <v>1581</v>
      </c>
      <c r="B615" s="88">
        <v>1032</v>
      </c>
      <c r="C615" s="90" t="s">
        <v>1201</v>
      </c>
      <c r="D615" s="60">
        <v>0</v>
      </c>
      <c r="E615" s="61">
        <f t="shared" si="108"/>
        <v>0</v>
      </c>
      <c r="F615" s="60">
        <v>0</v>
      </c>
      <c r="G615" s="61">
        <f t="shared" si="109"/>
        <v>0</v>
      </c>
      <c r="H615" s="60">
        <v>0</v>
      </c>
      <c r="I615" s="61">
        <f t="shared" si="110"/>
        <v>0</v>
      </c>
      <c r="J615" s="60">
        <v>0</v>
      </c>
      <c r="K615" s="61">
        <f t="shared" si="111"/>
        <v>0</v>
      </c>
      <c r="L615" s="62">
        <v>1</v>
      </c>
      <c r="M615" s="61">
        <f t="shared" si="112"/>
        <v>250</v>
      </c>
      <c r="N615" s="63">
        <v>0</v>
      </c>
      <c r="O615" s="61">
        <f t="shared" si="113"/>
        <v>0</v>
      </c>
      <c r="P615" s="60">
        <v>0</v>
      </c>
      <c r="Q615" s="61">
        <f t="shared" si="114"/>
        <v>0</v>
      </c>
      <c r="R615" s="60">
        <v>0</v>
      </c>
      <c r="S615" s="61">
        <f t="shared" si="115"/>
        <v>0</v>
      </c>
      <c r="T615" s="60">
        <v>0</v>
      </c>
      <c r="U615" s="64">
        <f t="shared" si="116"/>
        <v>0</v>
      </c>
      <c r="V615" s="65">
        <v>0</v>
      </c>
      <c r="W615" s="66">
        <f t="shared" si="117"/>
        <v>250</v>
      </c>
      <c r="X615" s="67">
        <f t="shared" si="118"/>
        <v>0.25</v>
      </c>
      <c r="Y615" s="57" t="str">
        <f t="shared" si="119"/>
        <v>STOCK</v>
      </c>
      <c r="Z615" s="68" t="s">
        <v>1539</v>
      </c>
    </row>
    <row r="616" spans="1:26" s="8" customFormat="1" ht="20.100000000000001" customHeight="1" x14ac:dyDescent="0.25">
      <c r="A616" s="69" t="s">
        <v>1582</v>
      </c>
      <c r="B616" s="88">
        <v>1033</v>
      </c>
      <c r="C616" s="90" t="s">
        <v>1202</v>
      </c>
      <c r="D616" s="60">
        <v>0</v>
      </c>
      <c r="E616" s="61">
        <f t="shared" si="108"/>
        <v>0</v>
      </c>
      <c r="F616" s="60">
        <v>0</v>
      </c>
      <c r="G616" s="61">
        <f t="shared" si="109"/>
        <v>0</v>
      </c>
      <c r="H616" s="60">
        <v>0</v>
      </c>
      <c r="I616" s="61">
        <f t="shared" si="110"/>
        <v>0</v>
      </c>
      <c r="J616" s="60">
        <v>0</v>
      </c>
      <c r="K616" s="61">
        <f t="shared" si="111"/>
        <v>0</v>
      </c>
      <c r="L616" s="62"/>
      <c r="M616" s="61">
        <f t="shared" si="112"/>
        <v>0</v>
      </c>
      <c r="N616" s="63">
        <v>1</v>
      </c>
      <c r="O616" s="61">
        <f t="shared" si="113"/>
        <v>500</v>
      </c>
      <c r="P616" s="60">
        <v>0</v>
      </c>
      <c r="Q616" s="61">
        <f t="shared" si="114"/>
        <v>0</v>
      </c>
      <c r="R616" s="60">
        <v>0</v>
      </c>
      <c r="S616" s="61">
        <f t="shared" si="115"/>
        <v>0</v>
      </c>
      <c r="T616" s="60">
        <v>0</v>
      </c>
      <c r="U616" s="64">
        <f t="shared" si="116"/>
        <v>0</v>
      </c>
      <c r="V616" s="65">
        <v>0</v>
      </c>
      <c r="W616" s="66">
        <f t="shared" si="117"/>
        <v>500</v>
      </c>
      <c r="X616" s="67">
        <f t="shared" si="118"/>
        <v>0.5</v>
      </c>
      <c r="Y616" s="57" t="str">
        <f t="shared" si="119"/>
        <v>STOCK</v>
      </c>
      <c r="Z616" s="68" t="s">
        <v>1538</v>
      </c>
    </row>
    <row r="617" spans="1:26" s="8" customFormat="1" ht="20.100000000000001" customHeight="1" x14ac:dyDescent="0.25">
      <c r="A617" s="69" t="s">
        <v>1583</v>
      </c>
      <c r="B617" s="88">
        <v>1034</v>
      </c>
      <c r="C617" s="90" t="s">
        <v>1203</v>
      </c>
      <c r="D617" s="60">
        <v>0</v>
      </c>
      <c r="E617" s="61">
        <f t="shared" si="108"/>
        <v>0</v>
      </c>
      <c r="F617" s="60">
        <v>0</v>
      </c>
      <c r="G617" s="61">
        <f t="shared" si="109"/>
        <v>0</v>
      </c>
      <c r="H617" s="60">
        <v>0</v>
      </c>
      <c r="I617" s="61">
        <f t="shared" si="110"/>
        <v>0</v>
      </c>
      <c r="J617" s="60">
        <v>11</v>
      </c>
      <c r="K617" s="61">
        <f t="shared" si="111"/>
        <v>1100</v>
      </c>
      <c r="L617" s="62">
        <v>10</v>
      </c>
      <c r="M617" s="61">
        <f t="shared" si="112"/>
        <v>2500</v>
      </c>
      <c r="N617" s="63">
        <v>0</v>
      </c>
      <c r="O617" s="61">
        <f t="shared" si="113"/>
        <v>0</v>
      </c>
      <c r="P617" s="60">
        <v>0</v>
      </c>
      <c r="Q617" s="61">
        <f t="shared" si="114"/>
        <v>0</v>
      </c>
      <c r="R617" s="60">
        <v>0</v>
      </c>
      <c r="S617" s="61">
        <f t="shared" si="115"/>
        <v>0</v>
      </c>
      <c r="T617" s="60">
        <v>0</v>
      </c>
      <c r="U617" s="64">
        <f t="shared" si="116"/>
        <v>0</v>
      </c>
      <c r="V617" s="65">
        <v>0</v>
      </c>
      <c r="W617" s="66">
        <f t="shared" si="117"/>
        <v>3600</v>
      </c>
      <c r="X617" s="67">
        <f t="shared" si="118"/>
        <v>3.6</v>
      </c>
      <c r="Y617" s="57" t="str">
        <f t="shared" si="119"/>
        <v>STOCK</v>
      </c>
      <c r="Z617" s="68" t="s">
        <v>1538</v>
      </c>
    </row>
    <row r="618" spans="1:26" s="8" customFormat="1" ht="20.100000000000001" customHeight="1" x14ac:dyDescent="0.25">
      <c r="A618" s="69" t="s">
        <v>1584</v>
      </c>
      <c r="B618" s="88">
        <v>1035</v>
      </c>
      <c r="C618" s="90" t="s">
        <v>1204</v>
      </c>
      <c r="D618" s="60">
        <v>0</v>
      </c>
      <c r="E618" s="61">
        <f t="shared" si="108"/>
        <v>0</v>
      </c>
      <c r="F618" s="60">
        <v>0</v>
      </c>
      <c r="G618" s="61">
        <f t="shared" si="109"/>
        <v>0</v>
      </c>
      <c r="H618" s="60">
        <v>0</v>
      </c>
      <c r="I618" s="61">
        <f t="shared" si="110"/>
        <v>0</v>
      </c>
      <c r="J618" s="60">
        <v>0</v>
      </c>
      <c r="K618" s="61">
        <f t="shared" si="111"/>
        <v>0</v>
      </c>
      <c r="L618" s="62"/>
      <c r="M618" s="61">
        <f t="shared" si="112"/>
        <v>0</v>
      </c>
      <c r="N618" s="63">
        <v>0</v>
      </c>
      <c r="O618" s="61">
        <f t="shared" si="113"/>
        <v>0</v>
      </c>
      <c r="P618" s="60">
        <v>0</v>
      </c>
      <c r="Q618" s="61">
        <f t="shared" si="114"/>
        <v>0</v>
      </c>
      <c r="R618" s="60">
        <v>0</v>
      </c>
      <c r="S618" s="61">
        <f t="shared" si="115"/>
        <v>0</v>
      </c>
      <c r="T618" s="60">
        <v>0</v>
      </c>
      <c r="U618" s="64">
        <f t="shared" si="116"/>
        <v>0</v>
      </c>
      <c r="V618" s="65">
        <v>0</v>
      </c>
      <c r="W618" s="66">
        <f t="shared" si="117"/>
        <v>0</v>
      </c>
      <c r="X618" s="67">
        <f t="shared" si="118"/>
        <v>0</v>
      </c>
      <c r="Y618" s="57" t="str">
        <f t="shared" si="119"/>
        <v>NIL PLEASE PURCHASE</v>
      </c>
      <c r="Z618" s="68" t="s">
        <v>1539</v>
      </c>
    </row>
    <row r="619" spans="1:26" s="8" customFormat="1" ht="20.100000000000001" customHeight="1" x14ac:dyDescent="0.25">
      <c r="A619" s="69" t="s">
        <v>1585</v>
      </c>
      <c r="B619" s="88">
        <v>1036</v>
      </c>
      <c r="C619" s="90" t="s">
        <v>1205</v>
      </c>
      <c r="D619" s="60">
        <v>0</v>
      </c>
      <c r="E619" s="61">
        <f t="shared" si="108"/>
        <v>0</v>
      </c>
      <c r="F619" s="60">
        <v>0</v>
      </c>
      <c r="G619" s="61">
        <f t="shared" si="109"/>
        <v>0</v>
      </c>
      <c r="H619" s="60">
        <v>0</v>
      </c>
      <c r="I619" s="61">
        <f t="shared" si="110"/>
        <v>0</v>
      </c>
      <c r="J619" s="60">
        <v>0</v>
      </c>
      <c r="K619" s="61">
        <f t="shared" si="111"/>
        <v>0</v>
      </c>
      <c r="L619" s="62"/>
      <c r="M619" s="61">
        <f t="shared" si="112"/>
        <v>0</v>
      </c>
      <c r="N619" s="63">
        <v>0</v>
      </c>
      <c r="O619" s="61">
        <f t="shared" si="113"/>
        <v>0</v>
      </c>
      <c r="P619" s="60">
        <v>0</v>
      </c>
      <c r="Q619" s="61">
        <f t="shared" si="114"/>
        <v>0</v>
      </c>
      <c r="R619" s="60">
        <v>0</v>
      </c>
      <c r="S619" s="61">
        <f t="shared" si="115"/>
        <v>0</v>
      </c>
      <c r="T619" s="60">
        <v>0</v>
      </c>
      <c r="U619" s="64">
        <f t="shared" si="116"/>
        <v>0</v>
      </c>
      <c r="V619" s="65">
        <v>0</v>
      </c>
      <c r="W619" s="66">
        <f t="shared" si="117"/>
        <v>0</v>
      </c>
      <c r="X619" s="67">
        <f t="shared" si="118"/>
        <v>0</v>
      </c>
      <c r="Y619" s="57" t="str">
        <f t="shared" si="119"/>
        <v>NIL PLEASE PURCHASE</v>
      </c>
      <c r="Z619" s="68" t="s">
        <v>1539</v>
      </c>
    </row>
    <row r="620" spans="1:26" s="8" customFormat="1" ht="20.100000000000001" customHeight="1" x14ac:dyDescent="0.25">
      <c r="A620" s="69" t="s">
        <v>1586</v>
      </c>
      <c r="B620" s="88">
        <v>1037</v>
      </c>
      <c r="C620" s="90" t="s">
        <v>1206</v>
      </c>
      <c r="D620" s="60">
        <v>0</v>
      </c>
      <c r="E620" s="61">
        <f t="shared" si="108"/>
        <v>0</v>
      </c>
      <c r="F620" s="60">
        <v>0</v>
      </c>
      <c r="G620" s="61">
        <f t="shared" si="109"/>
        <v>0</v>
      </c>
      <c r="H620" s="60">
        <v>0</v>
      </c>
      <c r="I620" s="61">
        <f t="shared" si="110"/>
        <v>0</v>
      </c>
      <c r="J620" s="60">
        <v>0</v>
      </c>
      <c r="K620" s="61">
        <f t="shared" si="111"/>
        <v>0</v>
      </c>
      <c r="L620" s="62"/>
      <c r="M620" s="61">
        <f t="shared" si="112"/>
        <v>0</v>
      </c>
      <c r="N620" s="63">
        <v>0</v>
      </c>
      <c r="O620" s="61">
        <f t="shared" si="113"/>
        <v>0</v>
      </c>
      <c r="P620" s="60">
        <v>0</v>
      </c>
      <c r="Q620" s="61">
        <f t="shared" si="114"/>
        <v>0</v>
      </c>
      <c r="R620" s="60">
        <v>0</v>
      </c>
      <c r="S620" s="61">
        <f t="shared" si="115"/>
        <v>0</v>
      </c>
      <c r="T620" s="60">
        <v>0</v>
      </c>
      <c r="U620" s="64">
        <f t="shared" si="116"/>
        <v>0</v>
      </c>
      <c r="V620" s="65">
        <v>0</v>
      </c>
      <c r="W620" s="66">
        <f t="shared" si="117"/>
        <v>0</v>
      </c>
      <c r="X620" s="67">
        <f t="shared" si="118"/>
        <v>0</v>
      </c>
      <c r="Y620" s="57" t="str">
        <f t="shared" si="119"/>
        <v>NIL PLEASE PURCHASE</v>
      </c>
      <c r="Z620" s="68" t="s">
        <v>1539</v>
      </c>
    </row>
    <row r="621" spans="1:26" s="8" customFormat="1" ht="20.100000000000001" customHeight="1" x14ac:dyDescent="0.25">
      <c r="A621" s="69" t="s">
        <v>1587</v>
      </c>
      <c r="B621" s="88">
        <v>1038</v>
      </c>
      <c r="C621" s="90" t="s">
        <v>1207</v>
      </c>
      <c r="D621" s="60">
        <v>0</v>
      </c>
      <c r="E621" s="61">
        <f t="shared" si="108"/>
        <v>0</v>
      </c>
      <c r="F621" s="60">
        <v>0</v>
      </c>
      <c r="G621" s="61">
        <f t="shared" si="109"/>
        <v>0</v>
      </c>
      <c r="H621" s="60">
        <v>0</v>
      </c>
      <c r="I621" s="61">
        <f t="shared" si="110"/>
        <v>0</v>
      </c>
      <c r="J621" s="60">
        <v>0</v>
      </c>
      <c r="K621" s="61">
        <f t="shared" si="111"/>
        <v>0</v>
      </c>
      <c r="L621" s="62"/>
      <c r="M621" s="61">
        <f t="shared" si="112"/>
        <v>0</v>
      </c>
      <c r="N621" s="63">
        <v>0</v>
      </c>
      <c r="O621" s="61">
        <f t="shared" si="113"/>
        <v>0</v>
      </c>
      <c r="P621" s="60">
        <v>0</v>
      </c>
      <c r="Q621" s="61">
        <f t="shared" si="114"/>
        <v>0</v>
      </c>
      <c r="R621" s="60">
        <v>0</v>
      </c>
      <c r="S621" s="61">
        <f t="shared" si="115"/>
        <v>0</v>
      </c>
      <c r="T621" s="60">
        <v>0</v>
      </c>
      <c r="U621" s="64">
        <f t="shared" si="116"/>
        <v>0</v>
      </c>
      <c r="V621" s="65">
        <v>0</v>
      </c>
      <c r="W621" s="66">
        <f t="shared" si="117"/>
        <v>0</v>
      </c>
      <c r="X621" s="67">
        <f t="shared" si="118"/>
        <v>0</v>
      </c>
      <c r="Y621" s="57" t="str">
        <f t="shared" si="119"/>
        <v>NIL PLEASE PURCHASE</v>
      </c>
      <c r="Z621" s="68" t="s">
        <v>1539</v>
      </c>
    </row>
    <row r="622" spans="1:26" s="8" customFormat="1" ht="20.100000000000001" customHeight="1" x14ac:dyDescent="0.25">
      <c r="A622" s="69" t="s">
        <v>1588</v>
      </c>
      <c r="B622" s="88">
        <v>1039</v>
      </c>
      <c r="C622" s="90" t="s">
        <v>1208</v>
      </c>
      <c r="D622" s="60">
        <v>0</v>
      </c>
      <c r="E622" s="61">
        <f t="shared" si="108"/>
        <v>0</v>
      </c>
      <c r="F622" s="60">
        <v>0</v>
      </c>
      <c r="G622" s="61">
        <f t="shared" si="109"/>
        <v>0</v>
      </c>
      <c r="H622" s="60">
        <v>0</v>
      </c>
      <c r="I622" s="61">
        <f t="shared" si="110"/>
        <v>0</v>
      </c>
      <c r="J622" s="60">
        <v>0</v>
      </c>
      <c r="K622" s="61">
        <f t="shared" si="111"/>
        <v>0</v>
      </c>
      <c r="L622" s="62"/>
      <c r="M622" s="61">
        <f t="shared" si="112"/>
        <v>0</v>
      </c>
      <c r="N622" s="63">
        <v>0</v>
      </c>
      <c r="O622" s="61">
        <f t="shared" si="113"/>
        <v>0</v>
      </c>
      <c r="P622" s="60">
        <v>0</v>
      </c>
      <c r="Q622" s="61">
        <f t="shared" si="114"/>
        <v>0</v>
      </c>
      <c r="R622" s="60">
        <v>0</v>
      </c>
      <c r="S622" s="61">
        <f t="shared" si="115"/>
        <v>0</v>
      </c>
      <c r="T622" s="60">
        <v>0</v>
      </c>
      <c r="U622" s="64">
        <f t="shared" si="116"/>
        <v>0</v>
      </c>
      <c r="V622" s="65">
        <v>0</v>
      </c>
      <c r="W622" s="66">
        <f t="shared" si="117"/>
        <v>0</v>
      </c>
      <c r="X622" s="67">
        <f t="shared" si="118"/>
        <v>0</v>
      </c>
      <c r="Y622" s="57" t="str">
        <f t="shared" si="119"/>
        <v>NIL PLEASE PURCHASE</v>
      </c>
      <c r="Z622" s="68" t="s">
        <v>1539</v>
      </c>
    </row>
    <row r="623" spans="1:26" s="8" customFormat="1" ht="20.100000000000001" customHeight="1" x14ac:dyDescent="0.25">
      <c r="A623" s="69" t="s">
        <v>1589</v>
      </c>
      <c r="B623" s="88">
        <v>1040</v>
      </c>
      <c r="C623" s="90" t="s">
        <v>1209</v>
      </c>
      <c r="D623" s="60">
        <v>0</v>
      </c>
      <c r="E623" s="61">
        <f t="shared" si="108"/>
        <v>0</v>
      </c>
      <c r="F623" s="60">
        <v>0</v>
      </c>
      <c r="G623" s="61">
        <f t="shared" si="109"/>
        <v>0</v>
      </c>
      <c r="H623" s="60">
        <v>0</v>
      </c>
      <c r="I623" s="61">
        <f t="shared" si="110"/>
        <v>0</v>
      </c>
      <c r="J623" s="60">
        <v>5</v>
      </c>
      <c r="K623" s="61">
        <f t="shared" si="111"/>
        <v>500</v>
      </c>
      <c r="L623" s="62"/>
      <c r="M623" s="61">
        <f t="shared" si="112"/>
        <v>0</v>
      </c>
      <c r="N623" s="63">
        <v>0</v>
      </c>
      <c r="O623" s="61">
        <f t="shared" si="113"/>
        <v>0</v>
      </c>
      <c r="P623" s="60">
        <v>0</v>
      </c>
      <c r="Q623" s="61">
        <f t="shared" si="114"/>
        <v>0</v>
      </c>
      <c r="R623" s="60">
        <v>0</v>
      </c>
      <c r="S623" s="61">
        <f t="shared" si="115"/>
        <v>0</v>
      </c>
      <c r="T623" s="60">
        <v>0</v>
      </c>
      <c r="U623" s="64">
        <f t="shared" si="116"/>
        <v>0</v>
      </c>
      <c r="V623" s="65">
        <v>0</v>
      </c>
      <c r="W623" s="66">
        <f t="shared" si="117"/>
        <v>500</v>
      </c>
      <c r="X623" s="67">
        <f t="shared" si="118"/>
        <v>0.5</v>
      </c>
      <c r="Y623" s="57" t="str">
        <f t="shared" si="119"/>
        <v>STOCK</v>
      </c>
      <c r="Z623" s="68" t="s">
        <v>1538</v>
      </c>
    </row>
    <row r="624" spans="1:26" s="8" customFormat="1" ht="20.100000000000001" customHeight="1" x14ac:dyDescent="0.25">
      <c r="A624" s="69" t="s">
        <v>1590</v>
      </c>
      <c r="B624" s="88">
        <v>1041</v>
      </c>
      <c r="C624" s="90" t="s">
        <v>1210</v>
      </c>
      <c r="D624" s="60">
        <v>0</v>
      </c>
      <c r="E624" s="61">
        <f t="shared" si="108"/>
        <v>0</v>
      </c>
      <c r="F624" s="60">
        <v>0</v>
      </c>
      <c r="G624" s="61">
        <f t="shared" si="109"/>
        <v>0</v>
      </c>
      <c r="H624" s="60">
        <v>0</v>
      </c>
      <c r="I624" s="61">
        <f t="shared" si="110"/>
        <v>0</v>
      </c>
      <c r="J624" s="60">
        <v>0</v>
      </c>
      <c r="K624" s="61">
        <f t="shared" si="111"/>
        <v>0</v>
      </c>
      <c r="L624" s="62"/>
      <c r="M624" s="61">
        <f t="shared" si="112"/>
        <v>0</v>
      </c>
      <c r="N624" s="63">
        <v>1</v>
      </c>
      <c r="O624" s="61">
        <f t="shared" si="113"/>
        <v>500</v>
      </c>
      <c r="P624" s="60">
        <v>0</v>
      </c>
      <c r="Q624" s="61">
        <f t="shared" si="114"/>
        <v>0</v>
      </c>
      <c r="R624" s="60">
        <v>0</v>
      </c>
      <c r="S624" s="61">
        <f t="shared" si="115"/>
        <v>0</v>
      </c>
      <c r="T624" s="60">
        <v>0</v>
      </c>
      <c r="U624" s="64">
        <f t="shared" si="116"/>
        <v>0</v>
      </c>
      <c r="V624" s="65">
        <v>0</v>
      </c>
      <c r="W624" s="66">
        <f t="shared" si="117"/>
        <v>500</v>
      </c>
      <c r="X624" s="67">
        <f t="shared" si="118"/>
        <v>0.5</v>
      </c>
      <c r="Y624" s="57" t="str">
        <f t="shared" si="119"/>
        <v>STOCK</v>
      </c>
      <c r="Z624" s="68" t="s">
        <v>1538</v>
      </c>
    </row>
    <row r="625" spans="1:26" s="8" customFormat="1" ht="20.100000000000001" customHeight="1" x14ac:dyDescent="0.25">
      <c r="A625" s="69" t="s">
        <v>1591</v>
      </c>
      <c r="B625" s="88">
        <v>1042</v>
      </c>
      <c r="C625" s="90" t="s">
        <v>1211</v>
      </c>
      <c r="D625" s="60">
        <v>0</v>
      </c>
      <c r="E625" s="61">
        <f t="shared" si="108"/>
        <v>0</v>
      </c>
      <c r="F625" s="60">
        <v>0</v>
      </c>
      <c r="G625" s="61">
        <f t="shared" si="109"/>
        <v>0</v>
      </c>
      <c r="H625" s="60">
        <v>0</v>
      </c>
      <c r="I625" s="61">
        <f t="shared" si="110"/>
        <v>0</v>
      </c>
      <c r="J625" s="60">
        <v>0</v>
      </c>
      <c r="K625" s="61">
        <f t="shared" si="111"/>
        <v>0</v>
      </c>
      <c r="L625" s="62"/>
      <c r="M625" s="61">
        <f t="shared" si="112"/>
        <v>0</v>
      </c>
      <c r="N625" s="63">
        <v>9</v>
      </c>
      <c r="O625" s="61">
        <f t="shared" si="113"/>
        <v>4500</v>
      </c>
      <c r="P625" s="60">
        <v>0</v>
      </c>
      <c r="Q625" s="61">
        <f t="shared" si="114"/>
        <v>0</v>
      </c>
      <c r="R625" s="60">
        <v>0</v>
      </c>
      <c r="S625" s="61">
        <f t="shared" si="115"/>
        <v>0</v>
      </c>
      <c r="T625" s="60">
        <v>0</v>
      </c>
      <c r="U625" s="64">
        <f t="shared" si="116"/>
        <v>0</v>
      </c>
      <c r="V625" s="65">
        <v>0</v>
      </c>
      <c r="W625" s="66">
        <f t="shared" si="117"/>
        <v>4500</v>
      </c>
      <c r="X625" s="67">
        <f t="shared" si="118"/>
        <v>4.5</v>
      </c>
      <c r="Y625" s="57" t="str">
        <f t="shared" si="119"/>
        <v>STOCK</v>
      </c>
      <c r="Z625" s="68" t="s">
        <v>1538</v>
      </c>
    </row>
    <row r="626" spans="1:26" s="8" customFormat="1" ht="20.100000000000001" customHeight="1" x14ac:dyDescent="0.25">
      <c r="A626" s="69" t="s">
        <v>1592</v>
      </c>
      <c r="B626" s="88">
        <v>1043</v>
      </c>
      <c r="C626" s="90" t="s">
        <v>1212</v>
      </c>
      <c r="D626" s="60">
        <v>0</v>
      </c>
      <c r="E626" s="61">
        <f t="shared" si="108"/>
        <v>0</v>
      </c>
      <c r="F626" s="60">
        <v>0</v>
      </c>
      <c r="G626" s="61">
        <f t="shared" si="109"/>
        <v>0</v>
      </c>
      <c r="H626" s="60">
        <v>0</v>
      </c>
      <c r="I626" s="61">
        <f t="shared" si="110"/>
        <v>0</v>
      </c>
      <c r="J626" s="60">
        <v>0</v>
      </c>
      <c r="K626" s="61">
        <f t="shared" si="111"/>
        <v>0</v>
      </c>
      <c r="L626" s="62"/>
      <c r="M626" s="61">
        <f t="shared" si="112"/>
        <v>0</v>
      </c>
      <c r="N626" s="63">
        <v>9</v>
      </c>
      <c r="O626" s="61">
        <f t="shared" si="113"/>
        <v>4500</v>
      </c>
      <c r="P626" s="60">
        <v>0</v>
      </c>
      <c r="Q626" s="61">
        <f t="shared" si="114"/>
        <v>0</v>
      </c>
      <c r="R626" s="60">
        <v>0</v>
      </c>
      <c r="S626" s="61">
        <f t="shared" si="115"/>
        <v>0</v>
      </c>
      <c r="T626" s="60">
        <v>0</v>
      </c>
      <c r="U626" s="64">
        <f t="shared" si="116"/>
        <v>0</v>
      </c>
      <c r="V626" s="65">
        <v>0</v>
      </c>
      <c r="W626" s="66">
        <f t="shared" si="117"/>
        <v>4500</v>
      </c>
      <c r="X626" s="67">
        <f t="shared" si="118"/>
        <v>4.5</v>
      </c>
      <c r="Y626" s="57" t="str">
        <f t="shared" si="119"/>
        <v>STOCK</v>
      </c>
      <c r="Z626" s="68" t="s">
        <v>1538</v>
      </c>
    </row>
    <row r="627" spans="1:26" s="8" customFormat="1" ht="20.100000000000001" customHeight="1" x14ac:dyDescent="0.25">
      <c r="A627" s="69" t="s">
        <v>1593</v>
      </c>
      <c r="B627" s="88">
        <v>1044</v>
      </c>
      <c r="C627" s="90" t="s">
        <v>1213</v>
      </c>
      <c r="D627" s="60">
        <v>0</v>
      </c>
      <c r="E627" s="61">
        <f t="shared" si="108"/>
        <v>0</v>
      </c>
      <c r="F627" s="60">
        <v>0</v>
      </c>
      <c r="G627" s="61">
        <f t="shared" si="109"/>
        <v>0</v>
      </c>
      <c r="H627" s="60">
        <v>0</v>
      </c>
      <c r="I627" s="61">
        <f t="shared" si="110"/>
        <v>0</v>
      </c>
      <c r="J627" s="60">
        <v>0</v>
      </c>
      <c r="K627" s="61">
        <f t="shared" si="111"/>
        <v>0</v>
      </c>
      <c r="L627" s="62">
        <v>1</v>
      </c>
      <c r="M627" s="61">
        <f t="shared" si="112"/>
        <v>250</v>
      </c>
      <c r="N627" s="63">
        <v>3</v>
      </c>
      <c r="O627" s="61">
        <f t="shared" si="113"/>
        <v>1500</v>
      </c>
      <c r="P627" s="60">
        <v>0</v>
      </c>
      <c r="Q627" s="61">
        <f t="shared" si="114"/>
        <v>0</v>
      </c>
      <c r="R627" s="60">
        <v>0</v>
      </c>
      <c r="S627" s="61">
        <f t="shared" si="115"/>
        <v>0</v>
      </c>
      <c r="T627" s="60">
        <v>0</v>
      </c>
      <c r="U627" s="64">
        <f t="shared" si="116"/>
        <v>0</v>
      </c>
      <c r="V627" s="65">
        <v>0</v>
      </c>
      <c r="W627" s="66">
        <f t="shared" si="117"/>
        <v>1750</v>
      </c>
      <c r="X627" s="67">
        <f t="shared" si="118"/>
        <v>1.75</v>
      </c>
      <c r="Y627" s="57" t="str">
        <f t="shared" si="119"/>
        <v>STOCK</v>
      </c>
      <c r="Z627" s="68" t="s">
        <v>1538</v>
      </c>
    </row>
    <row r="628" spans="1:26" s="8" customFormat="1" ht="20.100000000000001" customHeight="1" x14ac:dyDescent="0.25">
      <c r="A628" s="69" t="s">
        <v>1594</v>
      </c>
      <c r="B628" s="88">
        <v>1045</v>
      </c>
      <c r="C628" s="90" t="s">
        <v>1214</v>
      </c>
      <c r="D628" s="60">
        <v>0</v>
      </c>
      <c r="E628" s="61">
        <f t="shared" si="108"/>
        <v>0</v>
      </c>
      <c r="F628" s="60">
        <v>0</v>
      </c>
      <c r="G628" s="61">
        <f t="shared" si="109"/>
        <v>0</v>
      </c>
      <c r="H628" s="60">
        <v>0</v>
      </c>
      <c r="I628" s="61">
        <f t="shared" si="110"/>
        <v>0</v>
      </c>
      <c r="J628" s="60">
        <v>0</v>
      </c>
      <c r="K628" s="61">
        <f t="shared" si="111"/>
        <v>0</v>
      </c>
      <c r="L628" s="62"/>
      <c r="M628" s="61">
        <f t="shared" si="112"/>
        <v>0</v>
      </c>
      <c r="N628" s="63">
        <v>3</v>
      </c>
      <c r="O628" s="61">
        <f t="shared" si="113"/>
        <v>1500</v>
      </c>
      <c r="P628" s="60">
        <v>0</v>
      </c>
      <c r="Q628" s="61">
        <f t="shared" si="114"/>
        <v>0</v>
      </c>
      <c r="R628" s="60">
        <v>0</v>
      </c>
      <c r="S628" s="61">
        <f t="shared" si="115"/>
        <v>0</v>
      </c>
      <c r="T628" s="60">
        <v>0</v>
      </c>
      <c r="U628" s="64">
        <f t="shared" si="116"/>
        <v>0</v>
      </c>
      <c r="V628" s="65">
        <v>0</v>
      </c>
      <c r="W628" s="66">
        <f t="shared" si="117"/>
        <v>1500</v>
      </c>
      <c r="X628" s="67">
        <f t="shared" si="118"/>
        <v>1.5</v>
      </c>
      <c r="Y628" s="57" t="str">
        <f t="shared" si="119"/>
        <v>STOCK</v>
      </c>
      <c r="Z628" s="68" t="s">
        <v>1538</v>
      </c>
    </row>
    <row r="629" spans="1:26" s="8" customFormat="1" ht="20.100000000000001" customHeight="1" x14ac:dyDescent="0.25">
      <c r="A629" s="69" t="s">
        <v>1595</v>
      </c>
      <c r="B629" s="88">
        <v>1046</v>
      </c>
      <c r="C629" s="90" t="s">
        <v>1215</v>
      </c>
      <c r="D629" s="60">
        <v>0</v>
      </c>
      <c r="E629" s="61">
        <f t="shared" si="108"/>
        <v>0</v>
      </c>
      <c r="F629" s="60">
        <v>0</v>
      </c>
      <c r="G629" s="61">
        <f t="shared" si="109"/>
        <v>0</v>
      </c>
      <c r="H629" s="60">
        <v>0</v>
      </c>
      <c r="I629" s="61">
        <f t="shared" si="110"/>
        <v>0</v>
      </c>
      <c r="J629" s="60">
        <v>0</v>
      </c>
      <c r="K629" s="61">
        <f t="shared" si="111"/>
        <v>0</v>
      </c>
      <c r="L629" s="62"/>
      <c r="M629" s="61">
        <f t="shared" si="112"/>
        <v>0</v>
      </c>
      <c r="N629" s="63">
        <v>4</v>
      </c>
      <c r="O629" s="61">
        <f t="shared" si="113"/>
        <v>2000</v>
      </c>
      <c r="P629" s="60">
        <v>0</v>
      </c>
      <c r="Q629" s="61">
        <f t="shared" si="114"/>
        <v>0</v>
      </c>
      <c r="R629" s="60">
        <v>0</v>
      </c>
      <c r="S629" s="61">
        <f t="shared" si="115"/>
        <v>0</v>
      </c>
      <c r="T629" s="60">
        <v>0</v>
      </c>
      <c r="U629" s="64">
        <f t="shared" si="116"/>
        <v>0</v>
      </c>
      <c r="V629" s="65">
        <v>0</v>
      </c>
      <c r="W629" s="66">
        <f t="shared" si="117"/>
        <v>2000</v>
      </c>
      <c r="X629" s="67">
        <f t="shared" si="118"/>
        <v>2</v>
      </c>
      <c r="Y629" s="57" t="str">
        <f t="shared" si="119"/>
        <v>STOCK</v>
      </c>
      <c r="Z629" s="68" t="s">
        <v>1538</v>
      </c>
    </row>
    <row r="630" spans="1:26" s="8" customFormat="1" ht="20.100000000000001" customHeight="1" x14ac:dyDescent="0.25">
      <c r="A630" s="69" t="s">
        <v>1596</v>
      </c>
      <c r="B630" s="88">
        <v>1047</v>
      </c>
      <c r="C630" s="90" t="s">
        <v>1216</v>
      </c>
      <c r="D630" s="60">
        <v>0</v>
      </c>
      <c r="E630" s="61">
        <f t="shared" si="108"/>
        <v>0</v>
      </c>
      <c r="F630" s="60">
        <v>0</v>
      </c>
      <c r="G630" s="61">
        <f t="shared" si="109"/>
        <v>0</v>
      </c>
      <c r="H630" s="60">
        <v>0</v>
      </c>
      <c r="I630" s="61">
        <f t="shared" si="110"/>
        <v>0</v>
      </c>
      <c r="J630" s="60">
        <v>0</v>
      </c>
      <c r="K630" s="61">
        <f t="shared" si="111"/>
        <v>0</v>
      </c>
      <c r="L630" s="62"/>
      <c r="M630" s="61">
        <f t="shared" si="112"/>
        <v>0</v>
      </c>
      <c r="N630" s="63">
        <v>4</v>
      </c>
      <c r="O630" s="61">
        <f t="shared" si="113"/>
        <v>2000</v>
      </c>
      <c r="P630" s="60">
        <v>0</v>
      </c>
      <c r="Q630" s="61">
        <f t="shared" si="114"/>
        <v>0</v>
      </c>
      <c r="R630" s="60">
        <v>0</v>
      </c>
      <c r="S630" s="61">
        <f t="shared" si="115"/>
        <v>0</v>
      </c>
      <c r="T630" s="60">
        <v>0</v>
      </c>
      <c r="U630" s="64">
        <f t="shared" si="116"/>
        <v>0</v>
      </c>
      <c r="V630" s="65">
        <v>0</v>
      </c>
      <c r="W630" s="66">
        <f t="shared" si="117"/>
        <v>2000</v>
      </c>
      <c r="X630" s="67">
        <f t="shared" si="118"/>
        <v>2</v>
      </c>
      <c r="Y630" s="57" t="str">
        <f t="shared" si="119"/>
        <v>STOCK</v>
      </c>
      <c r="Z630" s="68" t="s">
        <v>1538</v>
      </c>
    </row>
    <row r="631" spans="1:26" s="8" customFormat="1" ht="20.100000000000001" customHeight="1" x14ac:dyDescent="0.25">
      <c r="A631" s="69" t="s">
        <v>1597</v>
      </c>
      <c r="B631" s="88">
        <v>1048</v>
      </c>
      <c r="C631" s="90" t="s">
        <v>1217</v>
      </c>
      <c r="D631" s="60">
        <v>0</v>
      </c>
      <c r="E631" s="61">
        <f t="shared" si="108"/>
        <v>0</v>
      </c>
      <c r="F631" s="60">
        <v>0</v>
      </c>
      <c r="G631" s="61">
        <f t="shared" si="109"/>
        <v>0</v>
      </c>
      <c r="H631" s="60">
        <v>0</v>
      </c>
      <c r="I631" s="61">
        <f t="shared" si="110"/>
        <v>0</v>
      </c>
      <c r="J631" s="60">
        <v>0</v>
      </c>
      <c r="K631" s="61">
        <f t="shared" si="111"/>
        <v>0</v>
      </c>
      <c r="L631" s="62">
        <v>1</v>
      </c>
      <c r="M631" s="61">
        <f t="shared" si="112"/>
        <v>250</v>
      </c>
      <c r="N631" s="63">
        <v>0</v>
      </c>
      <c r="O631" s="61">
        <f t="shared" si="113"/>
        <v>0</v>
      </c>
      <c r="P631" s="60">
        <v>0</v>
      </c>
      <c r="Q631" s="61">
        <f t="shared" si="114"/>
        <v>0</v>
      </c>
      <c r="R631" s="60">
        <v>0</v>
      </c>
      <c r="S631" s="61">
        <f t="shared" si="115"/>
        <v>0</v>
      </c>
      <c r="T631" s="60">
        <v>0</v>
      </c>
      <c r="U631" s="64">
        <f t="shared" si="116"/>
        <v>0</v>
      </c>
      <c r="V631" s="65">
        <v>0</v>
      </c>
      <c r="W631" s="66">
        <f t="shared" si="117"/>
        <v>250</v>
      </c>
      <c r="X631" s="67">
        <f t="shared" si="118"/>
        <v>0.25</v>
      </c>
      <c r="Y631" s="57" t="str">
        <f t="shared" si="119"/>
        <v>STOCK</v>
      </c>
      <c r="Z631" s="68" t="s">
        <v>1538</v>
      </c>
    </row>
    <row r="632" spans="1:26" s="8" customFormat="1" ht="20.100000000000001" customHeight="1" x14ac:dyDescent="0.25">
      <c r="A632" s="69" t="s">
        <v>1598</v>
      </c>
      <c r="B632" s="88">
        <v>1049</v>
      </c>
      <c r="C632" s="90" t="s">
        <v>1218</v>
      </c>
      <c r="D632" s="60">
        <v>0</v>
      </c>
      <c r="E632" s="61">
        <f t="shared" si="108"/>
        <v>0</v>
      </c>
      <c r="F632" s="60">
        <v>0</v>
      </c>
      <c r="G632" s="61">
        <f t="shared" si="109"/>
        <v>0</v>
      </c>
      <c r="H632" s="60">
        <v>0</v>
      </c>
      <c r="I632" s="61">
        <f t="shared" si="110"/>
        <v>0</v>
      </c>
      <c r="J632" s="60">
        <v>0</v>
      </c>
      <c r="K632" s="61">
        <f t="shared" si="111"/>
        <v>0</v>
      </c>
      <c r="L632" s="62">
        <v>1</v>
      </c>
      <c r="M632" s="61">
        <f t="shared" si="112"/>
        <v>250</v>
      </c>
      <c r="N632" s="63">
        <v>12</v>
      </c>
      <c r="O632" s="61">
        <f t="shared" si="113"/>
        <v>6000</v>
      </c>
      <c r="P632" s="60">
        <v>0</v>
      </c>
      <c r="Q632" s="61">
        <f t="shared" si="114"/>
        <v>0</v>
      </c>
      <c r="R632" s="60">
        <v>0</v>
      </c>
      <c r="S632" s="61">
        <f t="shared" si="115"/>
        <v>0</v>
      </c>
      <c r="T632" s="60">
        <v>0</v>
      </c>
      <c r="U632" s="64">
        <f t="shared" si="116"/>
        <v>0</v>
      </c>
      <c r="V632" s="65">
        <v>0</v>
      </c>
      <c r="W632" s="66">
        <f t="shared" si="117"/>
        <v>6250</v>
      </c>
      <c r="X632" s="67">
        <f t="shared" si="118"/>
        <v>6.25</v>
      </c>
      <c r="Y632" s="57" t="str">
        <f t="shared" si="119"/>
        <v>STOCK</v>
      </c>
      <c r="Z632" s="68" t="s">
        <v>1538</v>
      </c>
    </row>
    <row r="633" spans="1:26" s="8" customFormat="1" ht="20.100000000000001" customHeight="1" x14ac:dyDescent="0.25">
      <c r="A633" s="69" t="s">
        <v>1599</v>
      </c>
      <c r="B633" s="88">
        <v>1050</v>
      </c>
      <c r="C633" s="90" t="s">
        <v>1219</v>
      </c>
      <c r="D633" s="60">
        <v>0</v>
      </c>
      <c r="E633" s="61">
        <f t="shared" si="108"/>
        <v>0</v>
      </c>
      <c r="F633" s="60">
        <v>0</v>
      </c>
      <c r="G633" s="61">
        <f t="shared" si="109"/>
        <v>0</v>
      </c>
      <c r="H633" s="60">
        <v>0</v>
      </c>
      <c r="I633" s="61">
        <f t="shared" si="110"/>
        <v>0</v>
      </c>
      <c r="J633" s="60">
        <v>0</v>
      </c>
      <c r="K633" s="61">
        <f t="shared" si="111"/>
        <v>0</v>
      </c>
      <c r="L633" s="62"/>
      <c r="M633" s="61">
        <f t="shared" si="112"/>
        <v>0</v>
      </c>
      <c r="N633" s="63">
        <v>0</v>
      </c>
      <c r="O633" s="61">
        <f t="shared" si="113"/>
        <v>0</v>
      </c>
      <c r="P633" s="60">
        <v>0</v>
      </c>
      <c r="Q633" s="61">
        <f t="shared" si="114"/>
        <v>0</v>
      </c>
      <c r="R633" s="60">
        <v>0</v>
      </c>
      <c r="S633" s="61">
        <f t="shared" si="115"/>
        <v>0</v>
      </c>
      <c r="T633" s="60">
        <v>0</v>
      </c>
      <c r="U633" s="64">
        <f t="shared" si="116"/>
        <v>0</v>
      </c>
      <c r="V633" s="65">
        <v>0</v>
      </c>
      <c r="W633" s="66">
        <f t="shared" si="117"/>
        <v>0</v>
      </c>
      <c r="X633" s="67">
        <f t="shared" si="118"/>
        <v>0</v>
      </c>
      <c r="Y633" s="57" t="str">
        <f t="shared" si="119"/>
        <v>NIL PLEASE PURCHASE</v>
      </c>
      <c r="Z633" s="68" t="s">
        <v>1539</v>
      </c>
    </row>
    <row r="634" spans="1:26" s="8" customFormat="1" ht="20.100000000000001" customHeight="1" x14ac:dyDescent="0.25">
      <c r="A634" s="69" t="s">
        <v>1600</v>
      </c>
      <c r="B634" s="88">
        <v>1051</v>
      </c>
      <c r="C634" s="90" t="s">
        <v>1220</v>
      </c>
      <c r="D634" s="60">
        <v>0</v>
      </c>
      <c r="E634" s="61">
        <f t="shared" si="108"/>
        <v>0</v>
      </c>
      <c r="F634" s="60">
        <v>0</v>
      </c>
      <c r="G634" s="61">
        <f t="shared" si="109"/>
        <v>0</v>
      </c>
      <c r="H634" s="60">
        <v>0</v>
      </c>
      <c r="I634" s="61">
        <f t="shared" si="110"/>
        <v>0</v>
      </c>
      <c r="J634" s="60">
        <v>0</v>
      </c>
      <c r="K634" s="61">
        <f t="shared" si="111"/>
        <v>0</v>
      </c>
      <c r="L634" s="62">
        <v>0</v>
      </c>
      <c r="M634" s="61">
        <f t="shared" si="112"/>
        <v>0</v>
      </c>
      <c r="N634" s="63">
        <v>8</v>
      </c>
      <c r="O634" s="61">
        <f t="shared" si="113"/>
        <v>4000</v>
      </c>
      <c r="P634" s="60">
        <v>0</v>
      </c>
      <c r="Q634" s="61">
        <f t="shared" si="114"/>
        <v>0</v>
      </c>
      <c r="R634" s="60">
        <v>0</v>
      </c>
      <c r="S634" s="61">
        <f t="shared" si="115"/>
        <v>0</v>
      </c>
      <c r="T634" s="60">
        <v>0</v>
      </c>
      <c r="U634" s="64">
        <f t="shared" si="116"/>
        <v>0</v>
      </c>
      <c r="V634" s="65">
        <v>0</v>
      </c>
      <c r="W634" s="66">
        <f t="shared" si="117"/>
        <v>4000</v>
      </c>
      <c r="X634" s="67">
        <f t="shared" si="118"/>
        <v>4</v>
      </c>
      <c r="Y634" s="57" t="str">
        <f t="shared" si="119"/>
        <v>STOCK</v>
      </c>
      <c r="Z634" s="68" t="s">
        <v>1538</v>
      </c>
    </row>
    <row r="635" spans="1:26" s="8" customFormat="1" ht="20.100000000000001" customHeight="1" x14ac:dyDescent="0.25">
      <c r="A635" s="69" t="s">
        <v>1601</v>
      </c>
      <c r="B635" s="88">
        <v>1052</v>
      </c>
      <c r="C635" s="90" t="s">
        <v>1221</v>
      </c>
      <c r="D635" s="60">
        <v>0</v>
      </c>
      <c r="E635" s="61">
        <f t="shared" si="108"/>
        <v>0</v>
      </c>
      <c r="F635" s="60">
        <v>0</v>
      </c>
      <c r="G635" s="61">
        <f t="shared" si="109"/>
        <v>0</v>
      </c>
      <c r="H635" s="60">
        <v>0</v>
      </c>
      <c r="I635" s="61">
        <f t="shared" si="110"/>
        <v>0</v>
      </c>
      <c r="J635" s="60">
        <v>0</v>
      </c>
      <c r="K635" s="61">
        <f t="shared" si="111"/>
        <v>0</v>
      </c>
      <c r="L635" s="62"/>
      <c r="M635" s="61">
        <f t="shared" si="112"/>
        <v>0</v>
      </c>
      <c r="N635" s="63">
        <v>0</v>
      </c>
      <c r="O635" s="61">
        <f t="shared" si="113"/>
        <v>0</v>
      </c>
      <c r="P635" s="60">
        <v>0</v>
      </c>
      <c r="Q635" s="61">
        <f t="shared" si="114"/>
        <v>0</v>
      </c>
      <c r="R635" s="60">
        <v>0</v>
      </c>
      <c r="S635" s="61">
        <f t="shared" si="115"/>
        <v>0</v>
      </c>
      <c r="T635" s="60">
        <v>0</v>
      </c>
      <c r="U635" s="64">
        <f t="shared" si="116"/>
        <v>0</v>
      </c>
      <c r="V635" s="65">
        <v>0</v>
      </c>
      <c r="W635" s="66">
        <f t="shared" si="117"/>
        <v>0</v>
      </c>
      <c r="X635" s="67">
        <f t="shared" si="118"/>
        <v>0</v>
      </c>
      <c r="Y635" s="57" t="str">
        <f t="shared" si="119"/>
        <v>NIL PLEASE PURCHASE</v>
      </c>
      <c r="Z635" s="68" t="s">
        <v>1539</v>
      </c>
    </row>
    <row r="636" spans="1:26" s="8" customFormat="1" ht="20.100000000000001" customHeight="1" x14ac:dyDescent="0.25">
      <c r="A636" s="69" t="s">
        <v>1602</v>
      </c>
      <c r="B636" s="88">
        <v>1053</v>
      </c>
      <c r="C636" s="90" t="s">
        <v>1222</v>
      </c>
      <c r="D636" s="60">
        <v>0</v>
      </c>
      <c r="E636" s="61">
        <f t="shared" si="108"/>
        <v>0</v>
      </c>
      <c r="F636" s="60">
        <v>0</v>
      </c>
      <c r="G636" s="61">
        <f t="shared" si="109"/>
        <v>0</v>
      </c>
      <c r="H636" s="60">
        <v>0</v>
      </c>
      <c r="I636" s="61">
        <f t="shared" si="110"/>
        <v>0</v>
      </c>
      <c r="J636" s="60">
        <v>0</v>
      </c>
      <c r="K636" s="61">
        <f t="shared" si="111"/>
        <v>0</v>
      </c>
      <c r="L636" s="62"/>
      <c r="M636" s="61">
        <f t="shared" si="112"/>
        <v>0</v>
      </c>
      <c r="N636" s="63">
        <v>5</v>
      </c>
      <c r="O636" s="61">
        <f t="shared" si="113"/>
        <v>2500</v>
      </c>
      <c r="P636" s="60">
        <v>0</v>
      </c>
      <c r="Q636" s="61">
        <f t="shared" si="114"/>
        <v>0</v>
      </c>
      <c r="R636" s="60">
        <v>0</v>
      </c>
      <c r="S636" s="61">
        <f t="shared" si="115"/>
        <v>0</v>
      </c>
      <c r="T636" s="60">
        <v>0</v>
      </c>
      <c r="U636" s="64">
        <f t="shared" si="116"/>
        <v>0</v>
      </c>
      <c r="V636" s="65">
        <v>0</v>
      </c>
      <c r="W636" s="66">
        <f t="shared" si="117"/>
        <v>2500</v>
      </c>
      <c r="X636" s="67">
        <f t="shared" si="118"/>
        <v>2.5</v>
      </c>
      <c r="Y636" s="57" t="str">
        <f t="shared" si="119"/>
        <v>STOCK</v>
      </c>
      <c r="Z636" s="68" t="s">
        <v>1538</v>
      </c>
    </row>
    <row r="637" spans="1:26" s="8" customFormat="1" ht="20.100000000000001" customHeight="1" x14ac:dyDescent="0.25">
      <c r="A637" s="69" t="s">
        <v>1603</v>
      </c>
      <c r="B637" s="88">
        <v>1054</v>
      </c>
      <c r="C637" s="90" t="s">
        <v>1223</v>
      </c>
      <c r="D637" s="60">
        <v>0</v>
      </c>
      <c r="E637" s="61">
        <f t="shared" si="108"/>
        <v>0</v>
      </c>
      <c r="F637" s="60">
        <v>0</v>
      </c>
      <c r="G637" s="61">
        <f t="shared" si="109"/>
        <v>0</v>
      </c>
      <c r="H637" s="60">
        <v>0</v>
      </c>
      <c r="I637" s="61">
        <f t="shared" si="110"/>
        <v>0</v>
      </c>
      <c r="J637" s="60">
        <v>0</v>
      </c>
      <c r="K637" s="61">
        <f t="shared" si="111"/>
        <v>0</v>
      </c>
      <c r="L637" s="62"/>
      <c r="M637" s="61">
        <f t="shared" si="112"/>
        <v>0</v>
      </c>
      <c r="N637" s="63">
        <v>3</v>
      </c>
      <c r="O637" s="61">
        <f t="shared" si="113"/>
        <v>1500</v>
      </c>
      <c r="P637" s="60">
        <v>0</v>
      </c>
      <c r="Q637" s="61">
        <f t="shared" si="114"/>
        <v>0</v>
      </c>
      <c r="R637" s="60">
        <v>0</v>
      </c>
      <c r="S637" s="61">
        <f t="shared" si="115"/>
        <v>0</v>
      </c>
      <c r="T637" s="60">
        <v>0</v>
      </c>
      <c r="U637" s="64">
        <f t="shared" si="116"/>
        <v>0</v>
      </c>
      <c r="V637" s="65">
        <v>0</v>
      </c>
      <c r="W637" s="66">
        <f t="shared" si="117"/>
        <v>1500</v>
      </c>
      <c r="X637" s="67">
        <f t="shared" si="118"/>
        <v>1.5</v>
      </c>
      <c r="Y637" s="57" t="str">
        <f t="shared" si="119"/>
        <v>STOCK</v>
      </c>
      <c r="Z637" s="68" t="s">
        <v>1538</v>
      </c>
    </row>
    <row r="638" spans="1:26" s="8" customFormat="1" ht="20.100000000000001" customHeight="1" x14ac:dyDescent="0.25">
      <c r="A638" s="69" t="s">
        <v>1604</v>
      </c>
      <c r="B638" s="88">
        <v>1055</v>
      </c>
      <c r="C638" s="90" t="s">
        <v>1224</v>
      </c>
      <c r="D638" s="60">
        <v>0</v>
      </c>
      <c r="E638" s="61">
        <f t="shared" si="108"/>
        <v>0</v>
      </c>
      <c r="F638" s="60">
        <v>0</v>
      </c>
      <c r="G638" s="61">
        <f t="shared" si="109"/>
        <v>0</v>
      </c>
      <c r="H638" s="60">
        <v>0</v>
      </c>
      <c r="I638" s="61">
        <f t="shared" si="110"/>
        <v>0</v>
      </c>
      <c r="J638" s="60">
        <v>0</v>
      </c>
      <c r="K638" s="61">
        <f t="shared" si="111"/>
        <v>0</v>
      </c>
      <c r="L638" s="62"/>
      <c r="M638" s="61">
        <f t="shared" si="112"/>
        <v>0</v>
      </c>
      <c r="N638" s="63">
        <v>0</v>
      </c>
      <c r="O638" s="61">
        <f t="shared" si="113"/>
        <v>0</v>
      </c>
      <c r="P638" s="60">
        <v>0</v>
      </c>
      <c r="Q638" s="61">
        <f t="shared" si="114"/>
        <v>0</v>
      </c>
      <c r="R638" s="60">
        <v>0</v>
      </c>
      <c r="S638" s="61">
        <f t="shared" si="115"/>
        <v>0</v>
      </c>
      <c r="T638" s="60">
        <v>0</v>
      </c>
      <c r="U638" s="64">
        <f t="shared" si="116"/>
        <v>0</v>
      </c>
      <c r="V638" s="65">
        <v>0</v>
      </c>
      <c r="W638" s="66">
        <f t="shared" si="117"/>
        <v>0</v>
      </c>
      <c r="X638" s="67">
        <f t="shared" si="118"/>
        <v>0</v>
      </c>
      <c r="Y638" s="57" t="str">
        <f t="shared" si="119"/>
        <v>NIL PLEASE PURCHASE</v>
      </c>
      <c r="Z638" s="68" t="s">
        <v>1539</v>
      </c>
    </row>
    <row r="639" spans="1:26" s="8" customFormat="1" ht="20.100000000000001" customHeight="1" x14ac:dyDescent="0.25">
      <c r="A639" s="69" t="s">
        <v>1605</v>
      </c>
      <c r="B639" s="88">
        <v>1056</v>
      </c>
      <c r="C639" s="90" t="s">
        <v>1225</v>
      </c>
      <c r="D639" s="60">
        <v>0</v>
      </c>
      <c r="E639" s="61">
        <f t="shared" si="108"/>
        <v>0</v>
      </c>
      <c r="F639" s="60">
        <v>0</v>
      </c>
      <c r="G639" s="61">
        <f t="shared" si="109"/>
        <v>0</v>
      </c>
      <c r="H639" s="60">
        <v>0</v>
      </c>
      <c r="I639" s="61">
        <f t="shared" si="110"/>
        <v>0</v>
      </c>
      <c r="J639" s="60">
        <v>0</v>
      </c>
      <c r="K639" s="61">
        <f t="shared" si="111"/>
        <v>0</v>
      </c>
      <c r="L639" s="62"/>
      <c r="M639" s="61">
        <f t="shared" si="112"/>
        <v>0</v>
      </c>
      <c r="N639" s="63">
        <v>0</v>
      </c>
      <c r="O639" s="61">
        <f t="shared" si="113"/>
        <v>0</v>
      </c>
      <c r="P639" s="60">
        <v>0</v>
      </c>
      <c r="Q639" s="61">
        <f t="shared" si="114"/>
        <v>0</v>
      </c>
      <c r="R639" s="60">
        <v>0</v>
      </c>
      <c r="S639" s="61">
        <f t="shared" si="115"/>
        <v>0</v>
      </c>
      <c r="T639" s="60">
        <v>0</v>
      </c>
      <c r="U639" s="64">
        <f t="shared" si="116"/>
        <v>0</v>
      </c>
      <c r="V639" s="65">
        <v>0</v>
      </c>
      <c r="W639" s="66">
        <f t="shared" si="117"/>
        <v>0</v>
      </c>
      <c r="X639" s="67">
        <f t="shared" si="118"/>
        <v>0</v>
      </c>
      <c r="Y639" s="57" t="str">
        <f t="shared" si="119"/>
        <v>NIL PLEASE PURCHASE</v>
      </c>
      <c r="Z639" s="68" t="s">
        <v>1539</v>
      </c>
    </row>
    <row r="640" spans="1:26" s="8" customFormat="1" ht="20.100000000000001" customHeight="1" x14ac:dyDescent="0.25">
      <c r="A640" s="69" t="s">
        <v>1606</v>
      </c>
      <c r="B640" s="88">
        <v>1057</v>
      </c>
      <c r="C640" s="90" t="s">
        <v>1226</v>
      </c>
      <c r="D640" s="60">
        <v>0</v>
      </c>
      <c r="E640" s="61">
        <f t="shared" si="108"/>
        <v>0</v>
      </c>
      <c r="F640" s="60">
        <v>0</v>
      </c>
      <c r="G640" s="61">
        <f t="shared" si="109"/>
        <v>0</v>
      </c>
      <c r="H640" s="60">
        <v>0</v>
      </c>
      <c r="I640" s="61">
        <f t="shared" si="110"/>
        <v>0</v>
      </c>
      <c r="J640" s="60">
        <v>0</v>
      </c>
      <c r="K640" s="61">
        <f t="shared" si="111"/>
        <v>0</v>
      </c>
      <c r="L640" s="62"/>
      <c r="M640" s="61">
        <f t="shared" si="112"/>
        <v>0</v>
      </c>
      <c r="N640" s="63">
        <v>0</v>
      </c>
      <c r="O640" s="61">
        <f t="shared" si="113"/>
        <v>0</v>
      </c>
      <c r="P640" s="60">
        <v>0</v>
      </c>
      <c r="Q640" s="61">
        <f t="shared" si="114"/>
        <v>0</v>
      </c>
      <c r="R640" s="60">
        <v>0</v>
      </c>
      <c r="S640" s="61">
        <f t="shared" si="115"/>
        <v>0</v>
      </c>
      <c r="T640" s="60">
        <v>0</v>
      </c>
      <c r="U640" s="64">
        <f t="shared" si="116"/>
        <v>0</v>
      </c>
      <c r="V640" s="65">
        <v>0</v>
      </c>
      <c r="W640" s="66">
        <f t="shared" si="117"/>
        <v>0</v>
      </c>
      <c r="X640" s="67">
        <f t="shared" si="118"/>
        <v>0</v>
      </c>
      <c r="Y640" s="57" t="str">
        <f t="shared" si="119"/>
        <v>NIL PLEASE PURCHASE</v>
      </c>
      <c r="Z640" s="68" t="s">
        <v>1539</v>
      </c>
    </row>
    <row r="641" spans="1:26" s="8" customFormat="1" ht="20.100000000000001" customHeight="1" x14ac:dyDescent="0.25">
      <c r="A641" s="69" t="s">
        <v>1607</v>
      </c>
      <c r="B641" s="88">
        <v>1058</v>
      </c>
      <c r="C641" s="90" t="s">
        <v>1227</v>
      </c>
      <c r="D641" s="60">
        <v>0</v>
      </c>
      <c r="E641" s="61">
        <f t="shared" si="108"/>
        <v>0</v>
      </c>
      <c r="F641" s="60">
        <v>0</v>
      </c>
      <c r="G641" s="61">
        <f t="shared" si="109"/>
        <v>0</v>
      </c>
      <c r="H641" s="60">
        <v>0</v>
      </c>
      <c r="I641" s="61">
        <f t="shared" si="110"/>
        <v>0</v>
      </c>
      <c r="J641" s="60">
        <v>0</v>
      </c>
      <c r="K641" s="61">
        <f t="shared" si="111"/>
        <v>0</v>
      </c>
      <c r="L641" s="62"/>
      <c r="M641" s="61">
        <f t="shared" si="112"/>
        <v>0</v>
      </c>
      <c r="N641" s="63">
        <v>0</v>
      </c>
      <c r="O641" s="61">
        <f t="shared" si="113"/>
        <v>0</v>
      </c>
      <c r="P641" s="60">
        <v>0</v>
      </c>
      <c r="Q641" s="61">
        <f t="shared" si="114"/>
        <v>0</v>
      </c>
      <c r="R641" s="60">
        <v>0</v>
      </c>
      <c r="S641" s="61">
        <f t="shared" si="115"/>
        <v>0</v>
      </c>
      <c r="T641" s="60">
        <v>0</v>
      </c>
      <c r="U641" s="64">
        <f t="shared" si="116"/>
        <v>0</v>
      </c>
      <c r="V641" s="65">
        <v>0</v>
      </c>
      <c r="W641" s="66">
        <f t="shared" si="117"/>
        <v>0</v>
      </c>
      <c r="X641" s="67">
        <f t="shared" si="118"/>
        <v>0</v>
      </c>
      <c r="Y641" s="57" t="str">
        <f t="shared" si="119"/>
        <v>NIL PLEASE PURCHASE</v>
      </c>
      <c r="Z641" s="68" t="s">
        <v>1539</v>
      </c>
    </row>
    <row r="642" spans="1:26" s="8" customFormat="1" ht="20.100000000000001" customHeight="1" x14ac:dyDescent="0.25">
      <c r="A642" s="69" t="s">
        <v>1608</v>
      </c>
      <c r="B642" s="88">
        <v>1059</v>
      </c>
      <c r="C642" s="90" t="s">
        <v>1228</v>
      </c>
      <c r="D642" s="60">
        <v>0</v>
      </c>
      <c r="E642" s="61">
        <f t="shared" si="108"/>
        <v>0</v>
      </c>
      <c r="F642" s="60">
        <v>0</v>
      </c>
      <c r="G642" s="61">
        <f t="shared" si="109"/>
        <v>0</v>
      </c>
      <c r="H642" s="60">
        <v>0</v>
      </c>
      <c r="I642" s="61">
        <f t="shared" si="110"/>
        <v>0</v>
      </c>
      <c r="J642" s="60">
        <v>0</v>
      </c>
      <c r="K642" s="61">
        <f t="shared" si="111"/>
        <v>0</v>
      </c>
      <c r="L642" s="62"/>
      <c r="M642" s="61">
        <f t="shared" si="112"/>
        <v>0</v>
      </c>
      <c r="N642" s="63">
        <v>0</v>
      </c>
      <c r="O642" s="61">
        <f t="shared" si="113"/>
        <v>0</v>
      </c>
      <c r="P642" s="60">
        <v>0</v>
      </c>
      <c r="Q642" s="61">
        <f t="shared" si="114"/>
        <v>0</v>
      </c>
      <c r="R642" s="60">
        <v>0</v>
      </c>
      <c r="S642" s="61">
        <f t="shared" si="115"/>
        <v>0</v>
      </c>
      <c r="T642" s="60">
        <v>0</v>
      </c>
      <c r="U642" s="64">
        <f t="shared" si="116"/>
        <v>0</v>
      </c>
      <c r="V642" s="65">
        <v>0</v>
      </c>
      <c r="W642" s="66">
        <f t="shared" si="117"/>
        <v>0</v>
      </c>
      <c r="X642" s="67">
        <f t="shared" si="118"/>
        <v>0</v>
      </c>
      <c r="Y642" s="57" t="str">
        <f t="shared" si="119"/>
        <v>NIL PLEASE PURCHASE</v>
      </c>
      <c r="Z642" s="68" t="s">
        <v>1539</v>
      </c>
    </row>
    <row r="643" spans="1:26" s="8" customFormat="1" ht="20.100000000000001" customHeight="1" x14ac:dyDescent="0.25">
      <c r="A643" s="69" t="s">
        <v>1609</v>
      </c>
      <c r="B643" s="88">
        <v>1060</v>
      </c>
      <c r="C643" s="90" t="s">
        <v>1229</v>
      </c>
      <c r="D643" s="60">
        <v>0</v>
      </c>
      <c r="E643" s="61">
        <f t="shared" si="108"/>
        <v>0</v>
      </c>
      <c r="F643" s="60">
        <v>0</v>
      </c>
      <c r="G643" s="61">
        <f t="shared" si="109"/>
        <v>0</v>
      </c>
      <c r="H643" s="60">
        <v>0</v>
      </c>
      <c r="I643" s="61">
        <f t="shared" si="110"/>
        <v>0</v>
      </c>
      <c r="J643" s="60">
        <v>0</v>
      </c>
      <c r="K643" s="61">
        <f t="shared" si="111"/>
        <v>0</v>
      </c>
      <c r="L643" s="62"/>
      <c r="M643" s="61">
        <f t="shared" si="112"/>
        <v>0</v>
      </c>
      <c r="N643" s="63">
        <v>0</v>
      </c>
      <c r="O643" s="61">
        <f t="shared" si="113"/>
        <v>0</v>
      </c>
      <c r="P643" s="60">
        <v>0</v>
      </c>
      <c r="Q643" s="61">
        <f t="shared" si="114"/>
        <v>0</v>
      </c>
      <c r="R643" s="60">
        <v>0</v>
      </c>
      <c r="S643" s="61">
        <f t="shared" si="115"/>
        <v>0</v>
      </c>
      <c r="T643" s="60">
        <v>0</v>
      </c>
      <c r="U643" s="64">
        <f t="shared" si="116"/>
        <v>0</v>
      </c>
      <c r="V643" s="65">
        <v>0</v>
      </c>
      <c r="W643" s="66">
        <f t="shared" si="117"/>
        <v>0</v>
      </c>
      <c r="X643" s="67">
        <f t="shared" si="118"/>
        <v>0</v>
      </c>
      <c r="Y643" s="57" t="str">
        <f t="shared" si="119"/>
        <v>NIL PLEASE PURCHASE</v>
      </c>
      <c r="Z643" s="68" t="s">
        <v>1539</v>
      </c>
    </row>
    <row r="644" spans="1:26" s="8" customFormat="1" ht="20.100000000000001" customHeight="1" x14ac:dyDescent="0.25">
      <c r="A644" s="69" t="s">
        <v>1610</v>
      </c>
      <c r="B644" s="88">
        <v>1061</v>
      </c>
      <c r="C644" s="90" t="s">
        <v>1230</v>
      </c>
      <c r="D644" s="60">
        <v>0</v>
      </c>
      <c r="E644" s="61">
        <f t="shared" si="108"/>
        <v>0</v>
      </c>
      <c r="F644" s="60">
        <v>0</v>
      </c>
      <c r="G644" s="61">
        <f t="shared" si="109"/>
        <v>0</v>
      </c>
      <c r="H644" s="60">
        <v>0</v>
      </c>
      <c r="I644" s="61">
        <f t="shared" si="110"/>
        <v>0</v>
      </c>
      <c r="J644" s="60">
        <v>0</v>
      </c>
      <c r="K644" s="61">
        <f t="shared" si="111"/>
        <v>0</v>
      </c>
      <c r="L644" s="62"/>
      <c r="M644" s="61">
        <f t="shared" si="112"/>
        <v>0</v>
      </c>
      <c r="N644" s="63">
        <v>0</v>
      </c>
      <c r="O644" s="61">
        <f t="shared" si="113"/>
        <v>0</v>
      </c>
      <c r="P644" s="60">
        <v>0</v>
      </c>
      <c r="Q644" s="61">
        <f t="shared" si="114"/>
        <v>0</v>
      </c>
      <c r="R644" s="60">
        <v>0</v>
      </c>
      <c r="S644" s="61">
        <f t="shared" si="115"/>
        <v>0</v>
      </c>
      <c r="T644" s="60">
        <v>0</v>
      </c>
      <c r="U644" s="64">
        <f t="shared" si="116"/>
        <v>0</v>
      </c>
      <c r="V644" s="65">
        <v>0</v>
      </c>
      <c r="W644" s="66">
        <f t="shared" si="117"/>
        <v>0</v>
      </c>
      <c r="X644" s="67">
        <f t="shared" si="118"/>
        <v>0</v>
      </c>
      <c r="Y644" s="57" t="str">
        <f t="shared" si="119"/>
        <v>NIL PLEASE PURCHASE</v>
      </c>
      <c r="Z644" s="68" t="s">
        <v>1539</v>
      </c>
    </row>
    <row r="645" spans="1:26" s="8" customFormat="1" ht="20.100000000000001" customHeight="1" x14ac:dyDescent="0.25">
      <c r="A645" s="69" t="s">
        <v>1611</v>
      </c>
      <c r="B645" s="88">
        <v>1062</v>
      </c>
      <c r="C645" s="90" t="s">
        <v>1231</v>
      </c>
      <c r="D645" s="60">
        <v>0</v>
      </c>
      <c r="E645" s="61">
        <f t="shared" ref="E645:E708" si="120">D645*10</f>
        <v>0</v>
      </c>
      <c r="F645" s="60">
        <v>0</v>
      </c>
      <c r="G645" s="61">
        <f t="shared" ref="G645:G708" si="121">F645*25</f>
        <v>0</v>
      </c>
      <c r="H645" s="60">
        <v>0</v>
      </c>
      <c r="I645" s="61">
        <f t="shared" ref="I645:I708" si="122">H645*50</f>
        <v>0</v>
      </c>
      <c r="J645" s="60">
        <v>0</v>
      </c>
      <c r="K645" s="61">
        <f t="shared" ref="K645:K708" si="123">J645*100</f>
        <v>0</v>
      </c>
      <c r="L645" s="62">
        <v>1</v>
      </c>
      <c r="M645" s="61">
        <f t="shared" ref="M645:M708" si="124">L645*250</f>
        <v>250</v>
      </c>
      <c r="N645" s="63">
        <v>0</v>
      </c>
      <c r="O645" s="61">
        <f t="shared" ref="O645:O708" si="125">N645*500</f>
        <v>0</v>
      </c>
      <c r="P645" s="60">
        <v>0</v>
      </c>
      <c r="Q645" s="61">
        <f t="shared" ref="Q645:Q708" si="126">P645*1000</f>
        <v>0</v>
      </c>
      <c r="R645" s="60">
        <v>0</v>
      </c>
      <c r="S645" s="61">
        <f t="shared" ref="S645:S708" si="127">R645*2500</f>
        <v>0</v>
      </c>
      <c r="T645" s="60">
        <v>0</v>
      </c>
      <c r="U645" s="64">
        <f t="shared" ref="U645:U708" si="128">T645*5000</f>
        <v>0</v>
      </c>
      <c r="V645" s="65">
        <v>0</v>
      </c>
      <c r="W645" s="66">
        <f t="shared" ref="W645:W708" si="129">E645+G645+I645+K645+M645+O645+Q645+S645+U645</f>
        <v>250</v>
      </c>
      <c r="X645" s="67">
        <f t="shared" ref="X645:X708" si="130">SUM(W645:W645)/1000</f>
        <v>0.25</v>
      </c>
      <c r="Y645" s="57" t="str">
        <f t="shared" ref="Y645:Y708" si="131">IF(W645=0,("NIL PLEASE PURCHASE"),("STOCK"))</f>
        <v>STOCK</v>
      </c>
      <c r="Z645" s="68" t="s">
        <v>1538</v>
      </c>
    </row>
    <row r="646" spans="1:26" s="8" customFormat="1" ht="20.100000000000001" customHeight="1" x14ac:dyDescent="0.25">
      <c r="A646" s="69" t="s">
        <v>1612</v>
      </c>
      <c r="B646" s="88">
        <v>1063</v>
      </c>
      <c r="C646" s="90" t="s">
        <v>1232</v>
      </c>
      <c r="D646" s="60">
        <v>0</v>
      </c>
      <c r="E646" s="61">
        <f t="shared" si="120"/>
        <v>0</v>
      </c>
      <c r="F646" s="60">
        <v>0</v>
      </c>
      <c r="G646" s="61">
        <f t="shared" si="121"/>
        <v>0</v>
      </c>
      <c r="H646" s="60">
        <v>0</v>
      </c>
      <c r="I646" s="61">
        <f t="shared" si="122"/>
        <v>0</v>
      </c>
      <c r="J646" s="60">
        <v>0</v>
      </c>
      <c r="K646" s="61">
        <f t="shared" si="123"/>
        <v>0</v>
      </c>
      <c r="L646" s="62"/>
      <c r="M646" s="61">
        <f t="shared" si="124"/>
        <v>0</v>
      </c>
      <c r="N646" s="63">
        <v>0</v>
      </c>
      <c r="O646" s="61">
        <f t="shared" si="125"/>
        <v>0</v>
      </c>
      <c r="P646" s="60">
        <v>0</v>
      </c>
      <c r="Q646" s="61">
        <f t="shared" si="126"/>
        <v>0</v>
      </c>
      <c r="R646" s="60">
        <v>0</v>
      </c>
      <c r="S646" s="61">
        <f t="shared" si="127"/>
        <v>0</v>
      </c>
      <c r="T646" s="60">
        <v>0</v>
      </c>
      <c r="U646" s="64">
        <f t="shared" si="128"/>
        <v>0</v>
      </c>
      <c r="V646" s="65">
        <v>0</v>
      </c>
      <c r="W646" s="66">
        <f t="shared" si="129"/>
        <v>0</v>
      </c>
      <c r="X646" s="67">
        <f t="shared" si="130"/>
        <v>0</v>
      </c>
      <c r="Y646" s="57" t="str">
        <f t="shared" si="131"/>
        <v>NIL PLEASE PURCHASE</v>
      </c>
      <c r="Z646" s="68" t="s">
        <v>1539</v>
      </c>
    </row>
    <row r="647" spans="1:26" s="8" customFormat="1" ht="20.100000000000001" customHeight="1" x14ac:dyDescent="0.25">
      <c r="A647" s="69" t="s">
        <v>1613</v>
      </c>
      <c r="B647" s="88">
        <v>1064</v>
      </c>
      <c r="C647" s="90" t="s">
        <v>1233</v>
      </c>
      <c r="D647" s="60">
        <v>0</v>
      </c>
      <c r="E647" s="61">
        <f t="shared" si="120"/>
        <v>0</v>
      </c>
      <c r="F647" s="60">
        <v>0</v>
      </c>
      <c r="G647" s="61">
        <f t="shared" si="121"/>
        <v>0</v>
      </c>
      <c r="H647" s="60">
        <v>0</v>
      </c>
      <c r="I647" s="61">
        <f t="shared" si="122"/>
        <v>0</v>
      </c>
      <c r="J647" s="60">
        <v>0</v>
      </c>
      <c r="K647" s="61">
        <f t="shared" si="123"/>
        <v>0</v>
      </c>
      <c r="L647" s="62"/>
      <c r="M647" s="61">
        <f t="shared" si="124"/>
        <v>0</v>
      </c>
      <c r="N647" s="63">
        <v>0</v>
      </c>
      <c r="O647" s="61">
        <f t="shared" si="125"/>
        <v>0</v>
      </c>
      <c r="P647" s="60">
        <v>0</v>
      </c>
      <c r="Q647" s="61">
        <f t="shared" si="126"/>
        <v>0</v>
      </c>
      <c r="R647" s="60">
        <v>0</v>
      </c>
      <c r="S647" s="61">
        <f t="shared" si="127"/>
        <v>0</v>
      </c>
      <c r="T647" s="60">
        <v>0</v>
      </c>
      <c r="U647" s="64">
        <f t="shared" si="128"/>
        <v>0</v>
      </c>
      <c r="V647" s="65">
        <v>0</v>
      </c>
      <c r="W647" s="66">
        <f t="shared" si="129"/>
        <v>0</v>
      </c>
      <c r="X647" s="67">
        <f t="shared" si="130"/>
        <v>0</v>
      </c>
      <c r="Y647" s="57" t="str">
        <f t="shared" si="131"/>
        <v>NIL PLEASE PURCHASE</v>
      </c>
      <c r="Z647" s="68" t="s">
        <v>1539</v>
      </c>
    </row>
    <row r="648" spans="1:26" s="8" customFormat="1" ht="20.100000000000001" customHeight="1" x14ac:dyDescent="0.25">
      <c r="A648" s="69" t="s">
        <v>1614</v>
      </c>
      <c r="B648" s="88">
        <v>1065</v>
      </c>
      <c r="C648" s="90" t="s">
        <v>1234</v>
      </c>
      <c r="D648" s="60">
        <v>0</v>
      </c>
      <c r="E648" s="61">
        <f t="shared" si="120"/>
        <v>0</v>
      </c>
      <c r="F648" s="60">
        <v>0</v>
      </c>
      <c r="G648" s="61">
        <f t="shared" si="121"/>
        <v>0</v>
      </c>
      <c r="H648" s="60">
        <v>0</v>
      </c>
      <c r="I648" s="61">
        <f t="shared" si="122"/>
        <v>0</v>
      </c>
      <c r="J648" s="60">
        <v>0</v>
      </c>
      <c r="K648" s="61">
        <f t="shared" si="123"/>
        <v>0</v>
      </c>
      <c r="L648" s="62"/>
      <c r="M648" s="61">
        <f t="shared" si="124"/>
        <v>0</v>
      </c>
      <c r="N648" s="63">
        <v>0</v>
      </c>
      <c r="O648" s="61">
        <f t="shared" si="125"/>
        <v>0</v>
      </c>
      <c r="P648" s="60">
        <v>0</v>
      </c>
      <c r="Q648" s="61">
        <f t="shared" si="126"/>
        <v>0</v>
      </c>
      <c r="R648" s="60">
        <v>0</v>
      </c>
      <c r="S648" s="61">
        <f t="shared" si="127"/>
        <v>0</v>
      </c>
      <c r="T648" s="60">
        <v>0</v>
      </c>
      <c r="U648" s="64">
        <f t="shared" si="128"/>
        <v>0</v>
      </c>
      <c r="V648" s="65">
        <v>0</v>
      </c>
      <c r="W648" s="66">
        <f t="shared" si="129"/>
        <v>0</v>
      </c>
      <c r="X648" s="67">
        <f t="shared" si="130"/>
        <v>0</v>
      </c>
      <c r="Y648" s="57" t="str">
        <f t="shared" si="131"/>
        <v>NIL PLEASE PURCHASE</v>
      </c>
      <c r="Z648" s="68" t="s">
        <v>1539</v>
      </c>
    </row>
    <row r="649" spans="1:26" s="8" customFormat="1" ht="20.100000000000001" customHeight="1" x14ac:dyDescent="0.25">
      <c r="A649" s="69" t="s">
        <v>1615</v>
      </c>
      <c r="B649" s="88">
        <v>1066</v>
      </c>
      <c r="C649" s="90" t="s">
        <v>1235</v>
      </c>
      <c r="D649" s="60">
        <v>0</v>
      </c>
      <c r="E649" s="61">
        <f t="shared" si="120"/>
        <v>0</v>
      </c>
      <c r="F649" s="60">
        <v>0</v>
      </c>
      <c r="G649" s="61">
        <f t="shared" si="121"/>
        <v>0</v>
      </c>
      <c r="H649" s="60">
        <v>0</v>
      </c>
      <c r="I649" s="61">
        <f t="shared" si="122"/>
        <v>0</v>
      </c>
      <c r="J649" s="60">
        <v>0</v>
      </c>
      <c r="K649" s="61">
        <f t="shared" si="123"/>
        <v>0</v>
      </c>
      <c r="L649" s="62"/>
      <c r="M649" s="61">
        <f t="shared" si="124"/>
        <v>0</v>
      </c>
      <c r="N649" s="63">
        <v>0</v>
      </c>
      <c r="O649" s="61">
        <f t="shared" si="125"/>
        <v>0</v>
      </c>
      <c r="P649" s="60">
        <v>0</v>
      </c>
      <c r="Q649" s="61">
        <f t="shared" si="126"/>
        <v>0</v>
      </c>
      <c r="R649" s="60">
        <v>0</v>
      </c>
      <c r="S649" s="61">
        <f t="shared" si="127"/>
        <v>0</v>
      </c>
      <c r="T649" s="60">
        <v>0</v>
      </c>
      <c r="U649" s="64">
        <f t="shared" si="128"/>
        <v>0</v>
      </c>
      <c r="V649" s="65">
        <v>0</v>
      </c>
      <c r="W649" s="66">
        <f t="shared" si="129"/>
        <v>0</v>
      </c>
      <c r="X649" s="67">
        <f t="shared" si="130"/>
        <v>0</v>
      </c>
      <c r="Y649" s="57" t="str">
        <f t="shared" si="131"/>
        <v>NIL PLEASE PURCHASE</v>
      </c>
      <c r="Z649" s="68" t="s">
        <v>1539</v>
      </c>
    </row>
    <row r="650" spans="1:26" s="8" customFormat="1" ht="20.100000000000001" customHeight="1" x14ac:dyDescent="0.25">
      <c r="A650" s="69" t="s">
        <v>1616</v>
      </c>
      <c r="B650" s="88">
        <v>1067</v>
      </c>
      <c r="C650" s="90" t="s">
        <v>1236</v>
      </c>
      <c r="D650" s="60">
        <v>0</v>
      </c>
      <c r="E650" s="61">
        <f t="shared" si="120"/>
        <v>0</v>
      </c>
      <c r="F650" s="60">
        <v>0</v>
      </c>
      <c r="G650" s="61">
        <f t="shared" si="121"/>
        <v>0</v>
      </c>
      <c r="H650" s="60">
        <v>0</v>
      </c>
      <c r="I650" s="61">
        <f t="shared" si="122"/>
        <v>0</v>
      </c>
      <c r="J650" s="60">
        <v>0</v>
      </c>
      <c r="K650" s="61">
        <f t="shared" si="123"/>
        <v>0</v>
      </c>
      <c r="L650" s="62"/>
      <c r="M650" s="61">
        <f t="shared" si="124"/>
        <v>0</v>
      </c>
      <c r="N650" s="63">
        <v>9</v>
      </c>
      <c r="O650" s="61">
        <f t="shared" si="125"/>
        <v>4500</v>
      </c>
      <c r="P650" s="60">
        <v>0</v>
      </c>
      <c r="Q650" s="61">
        <f t="shared" si="126"/>
        <v>0</v>
      </c>
      <c r="R650" s="60">
        <v>0</v>
      </c>
      <c r="S650" s="61">
        <f t="shared" si="127"/>
        <v>0</v>
      </c>
      <c r="T650" s="60">
        <v>0</v>
      </c>
      <c r="U650" s="64">
        <f t="shared" si="128"/>
        <v>0</v>
      </c>
      <c r="V650" s="65">
        <v>0</v>
      </c>
      <c r="W650" s="66">
        <f t="shared" si="129"/>
        <v>4500</v>
      </c>
      <c r="X650" s="67">
        <f t="shared" si="130"/>
        <v>4.5</v>
      </c>
      <c r="Y650" s="57" t="str">
        <f t="shared" si="131"/>
        <v>STOCK</v>
      </c>
      <c r="Z650" s="68" t="s">
        <v>1538</v>
      </c>
    </row>
    <row r="651" spans="1:26" s="8" customFormat="1" ht="20.100000000000001" customHeight="1" x14ac:dyDescent="0.25">
      <c r="A651" s="69" t="s">
        <v>1617</v>
      </c>
      <c r="B651" s="88">
        <v>1068</v>
      </c>
      <c r="C651" s="90" t="s">
        <v>1237</v>
      </c>
      <c r="D651" s="60">
        <v>0</v>
      </c>
      <c r="E651" s="61">
        <f t="shared" si="120"/>
        <v>0</v>
      </c>
      <c r="F651" s="60">
        <v>0</v>
      </c>
      <c r="G651" s="61">
        <f t="shared" si="121"/>
        <v>0</v>
      </c>
      <c r="H651" s="60">
        <v>0</v>
      </c>
      <c r="I651" s="61">
        <f t="shared" si="122"/>
        <v>0</v>
      </c>
      <c r="J651" s="60">
        <v>0</v>
      </c>
      <c r="K651" s="61">
        <f t="shared" si="123"/>
        <v>0</v>
      </c>
      <c r="L651" s="62"/>
      <c r="M651" s="61">
        <f t="shared" si="124"/>
        <v>0</v>
      </c>
      <c r="N651" s="63">
        <v>3</v>
      </c>
      <c r="O651" s="61">
        <f t="shared" si="125"/>
        <v>1500</v>
      </c>
      <c r="P651" s="60">
        <v>0</v>
      </c>
      <c r="Q651" s="61">
        <f t="shared" si="126"/>
        <v>0</v>
      </c>
      <c r="R651" s="60">
        <v>0</v>
      </c>
      <c r="S651" s="61">
        <f t="shared" si="127"/>
        <v>0</v>
      </c>
      <c r="T651" s="60">
        <v>0</v>
      </c>
      <c r="U651" s="64">
        <f t="shared" si="128"/>
        <v>0</v>
      </c>
      <c r="V651" s="65">
        <v>0</v>
      </c>
      <c r="W651" s="66">
        <f t="shared" si="129"/>
        <v>1500</v>
      </c>
      <c r="X651" s="67">
        <f t="shared" si="130"/>
        <v>1.5</v>
      </c>
      <c r="Y651" s="57" t="str">
        <f t="shared" si="131"/>
        <v>STOCK</v>
      </c>
      <c r="Z651" s="68" t="s">
        <v>1539</v>
      </c>
    </row>
    <row r="652" spans="1:26" s="8" customFormat="1" ht="20.100000000000001" customHeight="1" x14ac:dyDescent="0.25">
      <c r="A652" s="69" t="s">
        <v>1618</v>
      </c>
      <c r="B652" s="88">
        <v>1069</v>
      </c>
      <c r="C652" s="90" t="s">
        <v>1238</v>
      </c>
      <c r="D652" s="60">
        <v>0</v>
      </c>
      <c r="E652" s="61">
        <f t="shared" si="120"/>
        <v>0</v>
      </c>
      <c r="F652" s="60">
        <v>0</v>
      </c>
      <c r="G652" s="61">
        <f t="shared" si="121"/>
        <v>0</v>
      </c>
      <c r="H652" s="60">
        <v>0</v>
      </c>
      <c r="I652" s="61">
        <f t="shared" si="122"/>
        <v>0</v>
      </c>
      <c r="J652" s="60">
        <v>0</v>
      </c>
      <c r="K652" s="61">
        <f t="shared" si="123"/>
        <v>0</v>
      </c>
      <c r="L652" s="62"/>
      <c r="M652" s="61">
        <f t="shared" si="124"/>
        <v>0</v>
      </c>
      <c r="N652" s="63">
        <v>1</v>
      </c>
      <c r="O652" s="61">
        <f t="shared" si="125"/>
        <v>500</v>
      </c>
      <c r="P652" s="60">
        <v>0</v>
      </c>
      <c r="Q652" s="61">
        <f t="shared" si="126"/>
        <v>0</v>
      </c>
      <c r="R652" s="60">
        <v>0</v>
      </c>
      <c r="S652" s="61">
        <f t="shared" si="127"/>
        <v>0</v>
      </c>
      <c r="T652" s="60">
        <v>0</v>
      </c>
      <c r="U652" s="64">
        <f t="shared" si="128"/>
        <v>0</v>
      </c>
      <c r="V652" s="65">
        <v>0</v>
      </c>
      <c r="W652" s="66">
        <f t="shared" si="129"/>
        <v>500</v>
      </c>
      <c r="X652" s="67">
        <f t="shared" si="130"/>
        <v>0.5</v>
      </c>
      <c r="Y652" s="57" t="str">
        <f t="shared" si="131"/>
        <v>STOCK</v>
      </c>
      <c r="Z652" s="68" t="s">
        <v>1538</v>
      </c>
    </row>
    <row r="653" spans="1:26" s="8" customFormat="1" ht="20.100000000000001" customHeight="1" x14ac:dyDescent="0.25">
      <c r="A653" s="69" t="s">
        <v>1619</v>
      </c>
      <c r="B653" s="88">
        <v>1070</v>
      </c>
      <c r="C653" s="90" t="s">
        <v>1239</v>
      </c>
      <c r="D653" s="60">
        <v>0</v>
      </c>
      <c r="E653" s="61">
        <f t="shared" si="120"/>
        <v>0</v>
      </c>
      <c r="F653" s="60">
        <v>0</v>
      </c>
      <c r="G653" s="61">
        <f t="shared" si="121"/>
        <v>0</v>
      </c>
      <c r="H653" s="60">
        <v>0</v>
      </c>
      <c r="I653" s="61">
        <f t="shared" si="122"/>
        <v>0</v>
      </c>
      <c r="J653" s="60">
        <v>0</v>
      </c>
      <c r="K653" s="61">
        <f t="shared" si="123"/>
        <v>0</v>
      </c>
      <c r="L653" s="62"/>
      <c r="M653" s="61">
        <f t="shared" si="124"/>
        <v>0</v>
      </c>
      <c r="N653" s="63">
        <v>0</v>
      </c>
      <c r="O653" s="61">
        <f t="shared" si="125"/>
        <v>0</v>
      </c>
      <c r="P653" s="60">
        <v>0</v>
      </c>
      <c r="Q653" s="61">
        <f t="shared" si="126"/>
        <v>0</v>
      </c>
      <c r="R653" s="60">
        <v>0</v>
      </c>
      <c r="S653" s="61">
        <f t="shared" si="127"/>
        <v>0</v>
      </c>
      <c r="T653" s="60">
        <v>0</v>
      </c>
      <c r="U653" s="64">
        <f t="shared" si="128"/>
        <v>0</v>
      </c>
      <c r="V653" s="65">
        <v>0</v>
      </c>
      <c r="W653" s="66">
        <f t="shared" si="129"/>
        <v>0</v>
      </c>
      <c r="X653" s="67">
        <f t="shared" si="130"/>
        <v>0</v>
      </c>
      <c r="Y653" s="57" t="str">
        <f t="shared" si="131"/>
        <v>NIL PLEASE PURCHASE</v>
      </c>
      <c r="Z653" s="68" t="s">
        <v>1539</v>
      </c>
    </row>
    <row r="654" spans="1:26" s="8" customFormat="1" ht="20.100000000000001" customHeight="1" x14ac:dyDescent="0.25">
      <c r="A654" s="69" t="s">
        <v>1620</v>
      </c>
      <c r="B654" s="88">
        <v>1071</v>
      </c>
      <c r="C654" s="90" t="s">
        <v>1240</v>
      </c>
      <c r="D654" s="60">
        <v>0</v>
      </c>
      <c r="E654" s="61">
        <f t="shared" si="120"/>
        <v>0</v>
      </c>
      <c r="F654" s="60">
        <v>0</v>
      </c>
      <c r="G654" s="61">
        <f t="shared" si="121"/>
        <v>0</v>
      </c>
      <c r="H654" s="60">
        <v>0</v>
      </c>
      <c r="I654" s="61">
        <f t="shared" si="122"/>
        <v>0</v>
      </c>
      <c r="J654" s="60">
        <v>0</v>
      </c>
      <c r="K654" s="61">
        <f t="shared" si="123"/>
        <v>0</v>
      </c>
      <c r="L654" s="62"/>
      <c r="M654" s="61">
        <f t="shared" si="124"/>
        <v>0</v>
      </c>
      <c r="N654" s="63">
        <v>0</v>
      </c>
      <c r="O654" s="61">
        <f t="shared" si="125"/>
        <v>0</v>
      </c>
      <c r="P654" s="60">
        <v>0</v>
      </c>
      <c r="Q654" s="61">
        <f t="shared" si="126"/>
        <v>0</v>
      </c>
      <c r="R654" s="60">
        <v>0</v>
      </c>
      <c r="S654" s="61">
        <f t="shared" si="127"/>
        <v>0</v>
      </c>
      <c r="T654" s="60">
        <v>0</v>
      </c>
      <c r="U654" s="64">
        <f t="shared" si="128"/>
        <v>0</v>
      </c>
      <c r="V654" s="65">
        <v>0</v>
      </c>
      <c r="W654" s="66">
        <f t="shared" si="129"/>
        <v>0</v>
      </c>
      <c r="X654" s="67">
        <f t="shared" si="130"/>
        <v>0</v>
      </c>
      <c r="Y654" s="57" t="str">
        <f t="shared" si="131"/>
        <v>NIL PLEASE PURCHASE</v>
      </c>
      <c r="Z654" s="68" t="s">
        <v>1539</v>
      </c>
    </row>
    <row r="655" spans="1:26" s="8" customFormat="1" ht="20.100000000000001" customHeight="1" x14ac:dyDescent="0.25">
      <c r="A655" s="69" t="s">
        <v>1621</v>
      </c>
      <c r="B655" s="88">
        <v>1072</v>
      </c>
      <c r="C655" s="90" t="s">
        <v>1241</v>
      </c>
      <c r="D655" s="60">
        <v>0</v>
      </c>
      <c r="E655" s="61">
        <f t="shared" si="120"/>
        <v>0</v>
      </c>
      <c r="F655" s="60">
        <v>0</v>
      </c>
      <c r="G655" s="61">
        <f t="shared" si="121"/>
        <v>0</v>
      </c>
      <c r="H655" s="60">
        <v>0</v>
      </c>
      <c r="I655" s="61">
        <f t="shared" si="122"/>
        <v>0</v>
      </c>
      <c r="J655" s="60">
        <v>0</v>
      </c>
      <c r="K655" s="61">
        <f t="shared" si="123"/>
        <v>0</v>
      </c>
      <c r="L655" s="62"/>
      <c r="M655" s="61">
        <f t="shared" si="124"/>
        <v>0</v>
      </c>
      <c r="N655" s="63">
        <v>0</v>
      </c>
      <c r="O655" s="61">
        <f t="shared" si="125"/>
        <v>0</v>
      </c>
      <c r="P655" s="60">
        <v>0</v>
      </c>
      <c r="Q655" s="61">
        <f t="shared" si="126"/>
        <v>0</v>
      </c>
      <c r="R655" s="60">
        <v>0</v>
      </c>
      <c r="S655" s="61">
        <f t="shared" si="127"/>
        <v>0</v>
      </c>
      <c r="T655" s="60">
        <v>0</v>
      </c>
      <c r="U655" s="64">
        <f t="shared" si="128"/>
        <v>0</v>
      </c>
      <c r="V655" s="65">
        <v>0</v>
      </c>
      <c r="W655" s="66">
        <f t="shared" si="129"/>
        <v>0</v>
      </c>
      <c r="X655" s="67">
        <f t="shared" si="130"/>
        <v>0</v>
      </c>
      <c r="Y655" s="57" t="str">
        <f t="shared" si="131"/>
        <v>NIL PLEASE PURCHASE</v>
      </c>
      <c r="Z655" s="68" t="s">
        <v>1539</v>
      </c>
    </row>
    <row r="656" spans="1:26" s="8" customFormat="1" ht="20.100000000000001" customHeight="1" x14ac:dyDescent="0.25">
      <c r="A656" s="69" t="s">
        <v>1622</v>
      </c>
      <c r="B656" s="88">
        <v>1073</v>
      </c>
      <c r="C656" s="90" t="s">
        <v>1242</v>
      </c>
      <c r="D656" s="60">
        <v>0</v>
      </c>
      <c r="E656" s="61">
        <f t="shared" si="120"/>
        <v>0</v>
      </c>
      <c r="F656" s="60">
        <v>0</v>
      </c>
      <c r="G656" s="61">
        <f t="shared" si="121"/>
        <v>0</v>
      </c>
      <c r="H656" s="60">
        <v>0</v>
      </c>
      <c r="I656" s="61">
        <f t="shared" si="122"/>
        <v>0</v>
      </c>
      <c r="J656" s="60">
        <v>0</v>
      </c>
      <c r="K656" s="61">
        <f t="shared" si="123"/>
        <v>0</v>
      </c>
      <c r="L656" s="62"/>
      <c r="M656" s="61">
        <f t="shared" si="124"/>
        <v>0</v>
      </c>
      <c r="N656" s="63">
        <v>0</v>
      </c>
      <c r="O656" s="61">
        <f t="shared" si="125"/>
        <v>0</v>
      </c>
      <c r="P656" s="60">
        <v>0</v>
      </c>
      <c r="Q656" s="61">
        <f t="shared" si="126"/>
        <v>0</v>
      </c>
      <c r="R656" s="60">
        <v>0</v>
      </c>
      <c r="S656" s="61">
        <f t="shared" si="127"/>
        <v>0</v>
      </c>
      <c r="T656" s="60">
        <v>0</v>
      </c>
      <c r="U656" s="64">
        <f t="shared" si="128"/>
        <v>0</v>
      </c>
      <c r="V656" s="65">
        <v>0</v>
      </c>
      <c r="W656" s="66">
        <f t="shared" si="129"/>
        <v>0</v>
      </c>
      <c r="X656" s="67">
        <f t="shared" si="130"/>
        <v>0</v>
      </c>
      <c r="Y656" s="57" t="str">
        <f t="shared" si="131"/>
        <v>NIL PLEASE PURCHASE</v>
      </c>
      <c r="Z656" s="68" t="s">
        <v>1539</v>
      </c>
    </row>
    <row r="657" spans="1:26" s="8" customFormat="1" ht="20.100000000000001" customHeight="1" x14ac:dyDescent="0.25">
      <c r="A657" s="69" t="s">
        <v>1623</v>
      </c>
      <c r="B657" s="88">
        <v>1074</v>
      </c>
      <c r="C657" s="90" t="s">
        <v>1243</v>
      </c>
      <c r="D657" s="60">
        <v>0</v>
      </c>
      <c r="E657" s="61">
        <f t="shared" si="120"/>
        <v>0</v>
      </c>
      <c r="F657" s="60">
        <v>0</v>
      </c>
      <c r="G657" s="61">
        <f t="shared" si="121"/>
        <v>0</v>
      </c>
      <c r="H657" s="60">
        <v>0</v>
      </c>
      <c r="I657" s="61">
        <f t="shared" si="122"/>
        <v>0</v>
      </c>
      <c r="J657" s="60">
        <v>0</v>
      </c>
      <c r="K657" s="61">
        <f t="shared" si="123"/>
        <v>0</v>
      </c>
      <c r="L657" s="62"/>
      <c r="M657" s="61">
        <f t="shared" si="124"/>
        <v>0</v>
      </c>
      <c r="N657" s="63">
        <v>2</v>
      </c>
      <c r="O657" s="61">
        <f t="shared" si="125"/>
        <v>1000</v>
      </c>
      <c r="P657" s="60">
        <v>0</v>
      </c>
      <c r="Q657" s="61">
        <f t="shared" si="126"/>
        <v>0</v>
      </c>
      <c r="R657" s="60">
        <v>0</v>
      </c>
      <c r="S657" s="61">
        <f t="shared" si="127"/>
        <v>0</v>
      </c>
      <c r="T657" s="60">
        <v>0</v>
      </c>
      <c r="U657" s="64">
        <f t="shared" si="128"/>
        <v>0</v>
      </c>
      <c r="V657" s="65">
        <v>0</v>
      </c>
      <c r="W657" s="66">
        <f t="shared" si="129"/>
        <v>1000</v>
      </c>
      <c r="X657" s="67">
        <f t="shared" si="130"/>
        <v>1</v>
      </c>
      <c r="Y657" s="57" t="str">
        <f t="shared" si="131"/>
        <v>STOCK</v>
      </c>
      <c r="Z657" s="68" t="s">
        <v>1538</v>
      </c>
    </row>
    <row r="658" spans="1:26" s="8" customFormat="1" ht="20.100000000000001" customHeight="1" x14ac:dyDescent="0.25">
      <c r="A658" s="69" t="s">
        <v>1624</v>
      </c>
      <c r="B658" s="88">
        <v>1075</v>
      </c>
      <c r="C658" s="90" t="s">
        <v>1244</v>
      </c>
      <c r="D658" s="60">
        <v>0</v>
      </c>
      <c r="E658" s="61">
        <f t="shared" si="120"/>
        <v>0</v>
      </c>
      <c r="F658" s="60">
        <v>0</v>
      </c>
      <c r="G658" s="61">
        <f t="shared" si="121"/>
        <v>0</v>
      </c>
      <c r="H658" s="60">
        <v>0</v>
      </c>
      <c r="I658" s="61">
        <f t="shared" si="122"/>
        <v>0</v>
      </c>
      <c r="J658" s="60">
        <v>0</v>
      </c>
      <c r="K658" s="61">
        <f t="shared" si="123"/>
        <v>0</v>
      </c>
      <c r="L658" s="62"/>
      <c r="M658" s="61">
        <f t="shared" si="124"/>
        <v>0</v>
      </c>
      <c r="N658" s="63">
        <v>3</v>
      </c>
      <c r="O658" s="61">
        <f t="shared" si="125"/>
        <v>1500</v>
      </c>
      <c r="P658" s="60">
        <v>0</v>
      </c>
      <c r="Q658" s="61">
        <f t="shared" si="126"/>
        <v>0</v>
      </c>
      <c r="R658" s="60">
        <v>0</v>
      </c>
      <c r="S658" s="61">
        <f t="shared" si="127"/>
        <v>0</v>
      </c>
      <c r="T658" s="60">
        <v>0</v>
      </c>
      <c r="U658" s="64">
        <f t="shared" si="128"/>
        <v>0</v>
      </c>
      <c r="V658" s="65">
        <v>0</v>
      </c>
      <c r="W658" s="66">
        <f t="shared" si="129"/>
        <v>1500</v>
      </c>
      <c r="X658" s="67">
        <f t="shared" si="130"/>
        <v>1.5</v>
      </c>
      <c r="Y658" s="57" t="str">
        <f t="shared" si="131"/>
        <v>STOCK</v>
      </c>
      <c r="Z658" s="68" t="s">
        <v>1539</v>
      </c>
    </row>
    <row r="659" spans="1:26" s="8" customFormat="1" ht="20.100000000000001" customHeight="1" x14ac:dyDescent="0.25">
      <c r="A659" s="69" t="s">
        <v>1625</v>
      </c>
      <c r="B659" s="88">
        <v>1076</v>
      </c>
      <c r="C659" s="90" t="s">
        <v>1245</v>
      </c>
      <c r="D659" s="60">
        <v>0</v>
      </c>
      <c r="E659" s="61">
        <f t="shared" si="120"/>
        <v>0</v>
      </c>
      <c r="F659" s="60">
        <v>0</v>
      </c>
      <c r="G659" s="61">
        <f t="shared" si="121"/>
        <v>0</v>
      </c>
      <c r="H659" s="60">
        <v>0</v>
      </c>
      <c r="I659" s="61">
        <f t="shared" si="122"/>
        <v>0</v>
      </c>
      <c r="J659" s="60">
        <v>0</v>
      </c>
      <c r="K659" s="61">
        <f t="shared" si="123"/>
        <v>0</v>
      </c>
      <c r="L659" s="62"/>
      <c r="M659" s="61">
        <f t="shared" si="124"/>
        <v>0</v>
      </c>
      <c r="N659" s="63">
        <v>0</v>
      </c>
      <c r="O659" s="61">
        <f t="shared" si="125"/>
        <v>0</v>
      </c>
      <c r="P659" s="60">
        <v>0</v>
      </c>
      <c r="Q659" s="61">
        <f t="shared" si="126"/>
        <v>0</v>
      </c>
      <c r="R659" s="60">
        <v>0</v>
      </c>
      <c r="S659" s="61">
        <f t="shared" si="127"/>
        <v>0</v>
      </c>
      <c r="T659" s="60">
        <v>0</v>
      </c>
      <c r="U659" s="64">
        <f t="shared" si="128"/>
        <v>0</v>
      </c>
      <c r="V659" s="65">
        <v>0</v>
      </c>
      <c r="W659" s="66">
        <f t="shared" si="129"/>
        <v>0</v>
      </c>
      <c r="X659" s="67">
        <f t="shared" si="130"/>
        <v>0</v>
      </c>
      <c r="Y659" s="57" t="str">
        <f t="shared" si="131"/>
        <v>NIL PLEASE PURCHASE</v>
      </c>
      <c r="Z659" s="68" t="s">
        <v>1539</v>
      </c>
    </row>
    <row r="660" spans="1:26" s="8" customFormat="1" ht="20.100000000000001" customHeight="1" x14ac:dyDescent="0.25">
      <c r="A660" s="69" t="s">
        <v>1626</v>
      </c>
      <c r="B660" s="88">
        <v>1077</v>
      </c>
      <c r="C660" s="90" t="s">
        <v>1545</v>
      </c>
      <c r="D660" s="60">
        <v>0</v>
      </c>
      <c r="E660" s="61">
        <f t="shared" si="120"/>
        <v>0</v>
      </c>
      <c r="F660" s="60">
        <v>0</v>
      </c>
      <c r="G660" s="61">
        <f t="shared" si="121"/>
        <v>0</v>
      </c>
      <c r="H660" s="60">
        <v>0</v>
      </c>
      <c r="I660" s="61">
        <f t="shared" si="122"/>
        <v>0</v>
      </c>
      <c r="J660" s="60">
        <v>0</v>
      </c>
      <c r="K660" s="61">
        <f t="shared" si="123"/>
        <v>0</v>
      </c>
      <c r="L660" s="62">
        <v>1</v>
      </c>
      <c r="M660" s="61">
        <f t="shared" si="124"/>
        <v>250</v>
      </c>
      <c r="N660" s="63">
        <v>0</v>
      </c>
      <c r="O660" s="61">
        <f t="shared" si="125"/>
        <v>0</v>
      </c>
      <c r="P660" s="60">
        <v>0</v>
      </c>
      <c r="Q660" s="61">
        <f t="shared" si="126"/>
        <v>0</v>
      </c>
      <c r="R660" s="60">
        <v>0</v>
      </c>
      <c r="S660" s="61">
        <f t="shared" si="127"/>
        <v>0</v>
      </c>
      <c r="T660" s="60">
        <v>0</v>
      </c>
      <c r="U660" s="64">
        <f t="shared" si="128"/>
        <v>0</v>
      </c>
      <c r="V660" s="65">
        <v>0</v>
      </c>
      <c r="W660" s="66">
        <f t="shared" si="129"/>
        <v>250</v>
      </c>
      <c r="X660" s="67">
        <f t="shared" si="130"/>
        <v>0.25</v>
      </c>
      <c r="Y660" s="57" t="str">
        <f t="shared" si="131"/>
        <v>STOCK</v>
      </c>
      <c r="Z660" s="68" t="s">
        <v>1538</v>
      </c>
    </row>
    <row r="661" spans="1:26" s="8" customFormat="1" ht="20.100000000000001" customHeight="1" x14ac:dyDescent="0.25">
      <c r="A661" s="69" t="s">
        <v>1627</v>
      </c>
      <c r="B661" s="88">
        <v>1078</v>
      </c>
      <c r="C661" s="90" t="s">
        <v>1246</v>
      </c>
      <c r="D661" s="60">
        <v>0</v>
      </c>
      <c r="E661" s="61">
        <f t="shared" si="120"/>
        <v>0</v>
      </c>
      <c r="F661" s="60">
        <v>0</v>
      </c>
      <c r="G661" s="61">
        <f t="shared" si="121"/>
        <v>0</v>
      </c>
      <c r="H661" s="60">
        <v>0</v>
      </c>
      <c r="I661" s="61">
        <f t="shared" si="122"/>
        <v>0</v>
      </c>
      <c r="J661" s="60">
        <v>0</v>
      </c>
      <c r="K661" s="61">
        <f t="shared" si="123"/>
        <v>0</v>
      </c>
      <c r="L661" s="62"/>
      <c r="M661" s="61">
        <f t="shared" si="124"/>
        <v>0</v>
      </c>
      <c r="N661" s="63">
        <v>0</v>
      </c>
      <c r="O661" s="61">
        <f t="shared" si="125"/>
        <v>0</v>
      </c>
      <c r="P661" s="60">
        <v>0</v>
      </c>
      <c r="Q661" s="61">
        <f t="shared" si="126"/>
        <v>0</v>
      </c>
      <c r="R661" s="60">
        <v>0</v>
      </c>
      <c r="S661" s="61">
        <f t="shared" si="127"/>
        <v>0</v>
      </c>
      <c r="T661" s="60">
        <v>0</v>
      </c>
      <c r="U661" s="64">
        <f t="shared" si="128"/>
        <v>0</v>
      </c>
      <c r="V661" s="65">
        <v>0</v>
      </c>
      <c r="W661" s="66">
        <f t="shared" si="129"/>
        <v>0</v>
      </c>
      <c r="X661" s="67">
        <f t="shared" si="130"/>
        <v>0</v>
      </c>
      <c r="Y661" s="57" t="str">
        <f t="shared" si="131"/>
        <v>NIL PLEASE PURCHASE</v>
      </c>
      <c r="Z661" s="68" t="s">
        <v>1539</v>
      </c>
    </row>
    <row r="662" spans="1:26" s="8" customFormat="1" ht="20.100000000000001" customHeight="1" x14ac:dyDescent="0.25">
      <c r="A662" s="69" t="s">
        <v>1628</v>
      </c>
      <c r="B662" s="88">
        <v>1079</v>
      </c>
      <c r="C662" s="90" t="s">
        <v>1247</v>
      </c>
      <c r="D662" s="60">
        <v>0</v>
      </c>
      <c r="E662" s="61">
        <f t="shared" si="120"/>
        <v>0</v>
      </c>
      <c r="F662" s="60">
        <v>0</v>
      </c>
      <c r="G662" s="61">
        <f t="shared" si="121"/>
        <v>0</v>
      </c>
      <c r="H662" s="60">
        <v>0</v>
      </c>
      <c r="I662" s="61">
        <f t="shared" si="122"/>
        <v>0</v>
      </c>
      <c r="J662" s="60">
        <v>0</v>
      </c>
      <c r="K662" s="61">
        <f t="shared" si="123"/>
        <v>0</v>
      </c>
      <c r="L662" s="62"/>
      <c r="M662" s="61">
        <f t="shared" si="124"/>
        <v>0</v>
      </c>
      <c r="N662" s="63">
        <v>0</v>
      </c>
      <c r="O662" s="61">
        <f t="shared" si="125"/>
        <v>0</v>
      </c>
      <c r="P662" s="60">
        <v>0</v>
      </c>
      <c r="Q662" s="61">
        <f t="shared" si="126"/>
        <v>0</v>
      </c>
      <c r="R662" s="60">
        <v>0</v>
      </c>
      <c r="S662" s="61">
        <f t="shared" si="127"/>
        <v>0</v>
      </c>
      <c r="T662" s="60">
        <v>0</v>
      </c>
      <c r="U662" s="64">
        <f t="shared" si="128"/>
        <v>0</v>
      </c>
      <c r="V662" s="65">
        <v>0</v>
      </c>
      <c r="W662" s="66">
        <f t="shared" si="129"/>
        <v>0</v>
      </c>
      <c r="X662" s="67">
        <f t="shared" si="130"/>
        <v>0</v>
      </c>
      <c r="Y662" s="57" t="str">
        <f t="shared" si="131"/>
        <v>NIL PLEASE PURCHASE</v>
      </c>
      <c r="Z662" s="68" t="s">
        <v>1539</v>
      </c>
    </row>
    <row r="663" spans="1:26" s="8" customFormat="1" ht="20.100000000000001" customHeight="1" x14ac:dyDescent="0.25">
      <c r="A663" s="69" t="s">
        <v>1629</v>
      </c>
      <c r="B663" s="88">
        <v>1080</v>
      </c>
      <c r="C663" s="90" t="s">
        <v>1248</v>
      </c>
      <c r="D663" s="60">
        <v>0</v>
      </c>
      <c r="E663" s="61">
        <f t="shared" si="120"/>
        <v>0</v>
      </c>
      <c r="F663" s="60">
        <v>0</v>
      </c>
      <c r="G663" s="61">
        <f t="shared" si="121"/>
        <v>0</v>
      </c>
      <c r="H663" s="60">
        <v>0</v>
      </c>
      <c r="I663" s="61">
        <f t="shared" si="122"/>
        <v>0</v>
      </c>
      <c r="J663" s="60">
        <v>0</v>
      </c>
      <c r="K663" s="61">
        <f t="shared" si="123"/>
        <v>0</v>
      </c>
      <c r="L663" s="62"/>
      <c r="M663" s="61">
        <f t="shared" si="124"/>
        <v>0</v>
      </c>
      <c r="N663" s="63">
        <v>0</v>
      </c>
      <c r="O663" s="61">
        <f t="shared" si="125"/>
        <v>0</v>
      </c>
      <c r="P663" s="60">
        <v>0</v>
      </c>
      <c r="Q663" s="61">
        <f t="shared" si="126"/>
        <v>0</v>
      </c>
      <c r="R663" s="60">
        <v>0</v>
      </c>
      <c r="S663" s="61">
        <f t="shared" si="127"/>
        <v>0</v>
      </c>
      <c r="T663" s="60">
        <v>0</v>
      </c>
      <c r="U663" s="64">
        <f t="shared" si="128"/>
        <v>0</v>
      </c>
      <c r="V663" s="65">
        <v>0</v>
      </c>
      <c r="W663" s="66">
        <f t="shared" si="129"/>
        <v>0</v>
      </c>
      <c r="X663" s="67">
        <f t="shared" si="130"/>
        <v>0</v>
      </c>
      <c r="Y663" s="57" t="str">
        <f t="shared" si="131"/>
        <v>NIL PLEASE PURCHASE</v>
      </c>
      <c r="Z663" s="68" t="s">
        <v>1539</v>
      </c>
    </row>
    <row r="664" spans="1:26" s="8" customFormat="1" ht="20.100000000000001" customHeight="1" x14ac:dyDescent="0.25">
      <c r="A664" s="69" t="s">
        <v>1630</v>
      </c>
      <c r="B664" s="88">
        <v>1081</v>
      </c>
      <c r="C664" s="90" t="s">
        <v>1249</v>
      </c>
      <c r="D664" s="60">
        <v>0</v>
      </c>
      <c r="E664" s="61">
        <f t="shared" si="120"/>
        <v>0</v>
      </c>
      <c r="F664" s="60">
        <v>0</v>
      </c>
      <c r="G664" s="61">
        <f t="shared" si="121"/>
        <v>0</v>
      </c>
      <c r="H664" s="60">
        <v>0</v>
      </c>
      <c r="I664" s="61">
        <f t="shared" si="122"/>
        <v>0</v>
      </c>
      <c r="J664" s="60">
        <v>0</v>
      </c>
      <c r="K664" s="61">
        <f t="shared" si="123"/>
        <v>0</v>
      </c>
      <c r="L664" s="62"/>
      <c r="M664" s="61">
        <f t="shared" si="124"/>
        <v>0</v>
      </c>
      <c r="N664" s="63">
        <v>0</v>
      </c>
      <c r="O664" s="61">
        <f t="shared" si="125"/>
        <v>0</v>
      </c>
      <c r="P664" s="60">
        <v>0</v>
      </c>
      <c r="Q664" s="61">
        <f t="shared" si="126"/>
        <v>0</v>
      </c>
      <c r="R664" s="60">
        <v>0</v>
      </c>
      <c r="S664" s="61">
        <f t="shared" si="127"/>
        <v>0</v>
      </c>
      <c r="T664" s="60">
        <v>0</v>
      </c>
      <c r="U664" s="64">
        <f t="shared" si="128"/>
        <v>0</v>
      </c>
      <c r="V664" s="65">
        <v>0</v>
      </c>
      <c r="W664" s="66">
        <f t="shared" si="129"/>
        <v>0</v>
      </c>
      <c r="X664" s="67">
        <f t="shared" si="130"/>
        <v>0</v>
      </c>
      <c r="Y664" s="57" t="str">
        <f t="shared" si="131"/>
        <v>NIL PLEASE PURCHASE</v>
      </c>
      <c r="Z664" s="68" t="s">
        <v>1539</v>
      </c>
    </row>
    <row r="665" spans="1:26" s="8" customFormat="1" ht="20.100000000000001" customHeight="1" x14ac:dyDescent="0.25">
      <c r="A665" s="69" t="s">
        <v>1631</v>
      </c>
      <c r="B665" s="88">
        <v>1082</v>
      </c>
      <c r="C665" s="90" t="s">
        <v>1250</v>
      </c>
      <c r="D665" s="60">
        <v>0</v>
      </c>
      <c r="E665" s="61">
        <f t="shared" si="120"/>
        <v>0</v>
      </c>
      <c r="F665" s="60">
        <v>0</v>
      </c>
      <c r="G665" s="61">
        <f t="shared" si="121"/>
        <v>0</v>
      </c>
      <c r="H665" s="60">
        <v>0</v>
      </c>
      <c r="I665" s="61">
        <f t="shared" si="122"/>
        <v>0</v>
      </c>
      <c r="J665" s="60">
        <v>0</v>
      </c>
      <c r="K665" s="61">
        <f t="shared" si="123"/>
        <v>0</v>
      </c>
      <c r="L665" s="62"/>
      <c r="M665" s="61">
        <f t="shared" si="124"/>
        <v>0</v>
      </c>
      <c r="N665" s="63">
        <v>7</v>
      </c>
      <c r="O665" s="61">
        <f t="shared" si="125"/>
        <v>3500</v>
      </c>
      <c r="P665" s="60">
        <v>0</v>
      </c>
      <c r="Q665" s="61">
        <f t="shared" si="126"/>
        <v>0</v>
      </c>
      <c r="R665" s="60">
        <v>0</v>
      </c>
      <c r="S665" s="61">
        <f t="shared" si="127"/>
        <v>0</v>
      </c>
      <c r="T665" s="60">
        <v>0</v>
      </c>
      <c r="U665" s="64">
        <f t="shared" si="128"/>
        <v>0</v>
      </c>
      <c r="V665" s="65">
        <v>0</v>
      </c>
      <c r="W665" s="66">
        <f t="shared" si="129"/>
        <v>3500</v>
      </c>
      <c r="X665" s="67">
        <f t="shared" si="130"/>
        <v>3.5</v>
      </c>
      <c r="Y665" s="57" t="str">
        <f t="shared" si="131"/>
        <v>STOCK</v>
      </c>
      <c r="Z665" s="68" t="s">
        <v>1538</v>
      </c>
    </row>
    <row r="666" spans="1:26" s="8" customFormat="1" ht="20.100000000000001" customHeight="1" x14ac:dyDescent="0.25">
      <c r="A666" s="69" t="s">
        <v>1632</v>
      </c>
      <c r="B666" s="88">
        <v>1083</v>
      </c>
      <c r="C666" s="90" t="s">
        <v>1251</v>
      </c>
      <c r="D666" s="60">
        <v>0</v>
      </c>
      <c r="E666" s="61">
        <f t="shared" si="120"/>
        <v>0</v>
      </c>
      <c r="F666" s="60">
        <v>0</v>
      </c>
      <c r="G666" s="61">
        <f t="shared" si="121"/>
        <v>0</v>
      </c>
      <c r="H666" s="60">
        <v>0</v>
      </c>
      <c r="I666" s="61">
        <f t="shared" si="122"/>
        <v>0</v>
      </c>
      <c r="J666" s="60">
        <v>0</v>
      </c>
      <c r="K666" s="61">
        <f t="shared" si="123"/>
        <v>0</v>
      </c>
      <c r="L666" s="62"/>
      <c r="M666" s="61">
        <f t="shared" si="124"/>
        <v>0</v>
      </c>
      <c r="N666" s="63">
        <v>0</v>
      </c>
      <c r="O666" s="61">
        <f t="shared" si="125"/>
        <v>0</v>
      </c>
      <c r="P666" s="60">
        <v>0</v>
      </c>
      <c r="Q666" s="61">
        <f t="shared" si="126"/>
        <v>0</v>
      </c>
      <c r="R666" s="60">
        <v>0</v>
      </c>
      <c r="S666" s="61">
        <f t="shared" si="127"/>
        <v>0</v>
      </c>
      <c r="T666" s="60">
        <v>0</v>
      </c>
      <c r="U666" s="64">
        <f t="shared" si="128"/>
        <v>0</v>
      </c>
      <c r="V666" s="65">
        <v>0</v>
      </c>
      <c r="W666" s="66">
        <f t="shared" si="129"/>
        <v>0</v>
      </c>
      <c r="X666" s="67">
        <f t="shared" si="130"/>
        <v>0</v>
      </c>
      <c r="Y666" s="57" t="str">
        <f t="shared" si="131"/>
        <v>NIL PLEASE PURCHASE</v>
      </c>
      <c r="Z666" s="68" t="s">
        <v>1539</v>
      </c>
    </row>
    <row r="667" spans="1:26" s="8" customFormat="1" ht="20.100000000000001" customHeight="1" x14ac:dyDescent="0.25">
      <c r="A667" s="69" t="s">
        <v>1633</v>
      </c>
      <c r="B667" s="88">
        <v>1084</v>
      </c>
      <c r="C667" s="90" t="s">
        <v>1252</v>
      </c>
      <c r="D667" s="60">
        <v>0</v>
      </c>
      <c r="E667" s="61">
        <f t="shared" si="120"/>
        <v>0</v>
      </c>
      <c r="F667" s="60">
        <v>0</v>
      </c>
      <c r="G667" s="61">
        <f t="shared" si="121"/>
        <v>0</v>
      </c>
      <c r="H667" s="60">
        <v>0</v>
      </c>
      <c r="I667" s="61">
        <f t="shared" si="122"/>
        <v>0</v>
      </c>
      <c r="J667" s="60">
        <v>0</v>
      </c>
      <c r="K667" s="61">
        <f t="shared" si="123"/>
        <v>0</v>
      </c>
      <c r="L667" s="62"/>
      <c r="M667" s="61">
        <f t="shared" si="124"/>
        <v>0</v>
      </c>
      <c r="N667" s="63">
        <v>0</v>
      </c>
      <c r="O667" s="61">
        <f t="shared" si="125"/>
        <v>0</v>
      </c>
      <c r="P667" s="60">
        <v>0</v>
      </c>
      <c r="Q667" s="61">
        <f t="shared" si="126"/>
        <v>0</v>
      </c>
      <c r="R667" s="60">
        <v>0</v>
      </c>
      <c r="S667" s="61">
        <f t="shared" si="127"/>
        <v>0</v>
      </c>
      <c r="T667" s="60">
        <v>0</v>
      </c>
      <c r="U667" s="64">
        <f t="shared" si="128"/>
        <v>0</v>
      </c>
      <c r="V667" s="65">
        <v>0</v>
      </c>
      <c r="W667" s="66">
        <f t="shared" si="129"/>
        <v>0</v>
      </c>
      <c r="X667" s="67">
        <f t="shared" si="130"/>
        <v>0</v>
      </c>
      <c r="Y667" s="57" t="str">
        <f t="shared" si="131"/>
        <v>NIL PLEASE PURCHASE</v>
      </c>
      <c r="Z667" s="68" t="s">
        <v>1539</v>
      </c>
    </row>
    <row r="668" spans="1:26" s="8" customFormat="1" ht="20.100000000000001" customHeight="1" x14ac:dyDescent="0.25">
      <c r="A668" s="69" t="s">
        <v>1634</v>
      </c>
      <c r="B668" s="88">
        <v>1085</v>
      </c>
      <c r="C668" s="90" t="s">
        <v>1253</v>
      </c>
      <c r="D668" s="60">
        <v>0</v>
      </c>
      <c r="E668" s="61">
        <f t="shared" si="120"/>
        <v>0</v>
      </c>
      <c r="F668" s="60">
        <v>0</v>
      </c>
      <c r="G668" s="61">
        <f t="shared" si="121"/>
        <v>0</v>
      </c>
      <c r="H668" s="60">
        <v>0</v>
      </c>
      <c r="I668" s="61">
        <f t="shared" si="122"/>
        <v>0</v>
      </c>
      <c r="J668" s="60">
        <v>0</v>
      </c>
      <c r="K668" s="61">
        <f t="shared" si="123"/>
        <v>0</v>
      </c>
      <c r="L668" s="62"/>
      <c r="M668" s="61">
        <f t="shared" si="124"/>
        <v>0</v>
      </c>
      <c r="N668" s="63">
        <v>8</v>
      </c>
      <c r="O668" s="61">
        <f t="shared" si="125"/>
        <v>4000</v>
      </c>
      <c r="P668" s="60">
        <v>0</v>
      </c>
      <c r="Q668" s="61">
        <f t="shared" si="126"/>
        <v>0</v>
      </c>
      <c r="R668" s="60">
        <v>0</v>
      </c>
      <c r="S668" s="61">
        <f t="shared" si="127"/>
        <v>0</v>
      </c>
      <c r="T668" s="60">
        <v>0</v>
      </c>
      <c r="U668" s="64">
        <f t="shared" si="128"/>
        <v>0</v>
      </c>
      <c r="V668" s="65">
        <v>0</v>
      </c>
      <c r="W668" s="66">
        <f t="shared" si="129"/>
        <v>4000</v>
      </c>
      <c r="X668" s="67">
        <f t="shared" si="130"/>
        <v>4</v>
      </c>
      <c r="Y668" s="57" t="str">
        <f t="shared" si="131"/>
        <v>STOCK</v>
      </c>
      <c r="Z668" s="68" t="s">
        <v>1538</v>
      </c>
    </row>
    <row r="669" spans="1:26" s="8" customFormat="1" ht="20.100000000000001" customHeight="1" x14ac:dyDescent="0.25">
      <c r="A669" s="69" t="s">
        <v>1635</v>
      </c>
      <c r="B669" s="88">
        <v>1086</v>
      </c>
      <c r="C669" s="90" t="s">
        <v>1254</v>
      </c>
      <c r="D669" s="60">
        <v>0</v>
      </c>
      <c r="E669" s="61">
        <f t="shared" si="120"/>
        <v>0</v>
      </c>
      <c r="F669" s="60">
        <v>0</v>
      </c>
      <c r="G669" s="61">
        <f t="shared" si="121"/>
        <v>0</v>
      </c>
      <c r="H669" s="60">
        <v>0</v>
      </c>
      <c r="I669" s="61">
        <f t="shared" si="122"/>
        <v>0</v>
      </c>
      <c r="J669" s="60">
        <v>0</v>
      </c>
      <c r="K669" s="61">
        <f t="shared" si="123"/>
        <v>0</v>
      </c>
      <c r="L669" s="62"/>
      <c r="M669" s="61">
        <f t="shared" si="124"/>
        <v>0</v>
      </c>
      <c r="N669" s="63">
        <v>0</v>
      </c>
      <c r="O669" s="61">
        <f t="shared" si="125"/>
        <v>0</v>
      </c>
      <c r="P669" s="60">
        <v>0</v>
      </c>
      <c r="Q669" s="61">
        <f t="shared" si="126"/>
        <v>0</v>
      </c>
      <c r="R669" s="60">
        <v>0</v>
      </c>
      <c r="S669" s="61">
        <f t="shared" si="127"/>
        <v>0</v>
      </c>
      <c r="T669" s="60">
        <v>0</v>
      </c>
      <c r="U669" s="64">
        <f t="shared" si="128"/>
        <v>0</v>
      </c>
      <c r="V669" s="65">
        <v>0</v>
      </c>
      <c r="W669" s="66">
        <f t="shared" si="129"/>
        <v>0</v>
      </c>
      <c r="X669" s="67">
        <f t="shared" si="130"/>
        <v>0</v>
      </c>
      <c r="Y669" s="57" t="str">
        <f t="shared" si="131"/>
        <v>NIL PLEASE PURCHASE</v>
      </c>
      <c r="Z669" s="68" t="s">
        <v>1539</v>
      </c>
    </row>
    <row r="670" spans="1:26" s="8" customFormat="1" ht="20.100000000000001" customHeight="1" x14ac:dyDescent="0.25">
      <c r="A670" s="69" t="s">
        <v>1636</v>
      </c>
      <c r="B670" s="88">
        <v>1087</v>
      </c>
      <c r="C670" s="90" t="s">
        <v>1255</v>
      </c>
      <c r="D670" s="60">
        <v>0</v>
      </c>
      <c r="E670" s="61">
        <f t="shared" si="120"/>
        <v>0</v>
      </c>
      <c r="F670" s="60">
        <v>0</v>
      </c>
      <c r="G670" s="61">
        <f t="shared" si="121"/>
        <v>0</v>
      </c>
      <c r="H670" s="60">
        <v>0</v>
      </c>
      <c r="I670" s="61">
        <f t="shared" si="122"/>
        <v>0</v>
      </c>
      <c r="J670" s="60">
        <v>0</v>
      </c>
      <c r="K670" s="61">
        <f t="shared" si="123"/>
        <v>0</v>
      </c>
      <c r="L670" s="62"/>
      <c r="M670" s="61">
        <f t="shared" si="124"/>
        <v>0</v>
      </c>
      <c r="N670" s="63">
        <v>0</v>
      </c>
      <c r="O670" s="61">
        <f t="shared" si="125"/>
        <v>0</v>
      </c>
      <c r="P670" s="60">
        <v>0</v>
      </c>
      <c r="Q670" s="61">
        <f t="shared" si="126"/>
        <v>0</v>
      </c>
      <c r="R670" s="60">
        <v>0</v>
      </c>
      <c r="S670" s="61">
        <f t="shared" si="127"/>
        <v>0</v>
      </c>
      <c r="T670" s="60">
        <v>0</v>
      </c>
      <c r="U670" s="64">
        <f t="shared" si="128"/>
        <v>0</v>
      </c>
      <c r="V670" s="65">
        <v>0</v>
      </c>
      <c r="W670" s="66">
        <f t="shared" si="129"/>
        <v>0</v>
      </c>
      <c r="X670" s="67">
        <f t="shared" si="130"/>
        <v>0</v>
      </c>
      <c r="Y670" s="57" t="str">
        <f t="shared" si="131"/>
        <v>NIL PLEASE PURCHASE</v>
      </c>
      <c r="Z670" s="68" t="s">
        <v>1539</v>
      </c>
    </row>
    <row r="671" spans="1:26" s="8" customFormat="1" ht="20.100000000000001" customHeight="1" x14ac:dyDescent="0.25">
      <c r="A671" s="69" t="s">
        <v>1637</v>
      </c>
      <c r="B671" s="88">
        <v>1088</v>
      </c>
      <c r="C671" s="90" t="s">
        <v>1256</v>
      </c>
      <c r="D671" s="60">
        <v>0</v>
      </c>
      <c r="E671" s="61">
        <f t="shared" si="120"/>
        <v>0</v>
      </c>
      <c r="F671" s="60">
        <v>0</v>
      </c>
      <c r="G671" s="61">
        <f t="shared" si="121"/>
        <v>0</v>
      </c>
      <c r="H671" s="60">
        <v>0</v>
      </c>
      <c r="I671" s="61">
        <f t="shared" si="122"/>
        <v>0</v>
      </c>
      <c r="J671" s="60">
        <v>0</v>
      </c>
      <c r="K671" s="61">
        <f t="shared" si="123"/>
        <v>0</v>
      </c>
      <c r="L671" s="62"/>
      <c r="M671" s="61">
        <f t="shared" si="124"/>
        <v>0</v>
      </c>
      <c r="N671" s="63">
        <v>0</v>
      </c>
      <c r="O671" s="61">
        <f t="shared" si="125"/>
        <v>0</v>
      </c>
      <c r="P671" s="60">
        <v>0</v>
      </c>
      <c r="Q671" s="61">
        <f t="shared" si="126"/>
        <v>0</v>
      </c>
      <c r="R671" s="60">
        <v>0</v>
      </c>
      <c r="S671" s="61">
        <f t="shared" si="127"/>
        <v>0</v>
      </c>
      <c r="T671" s="60">
        <v>0</v>
      </c>
      <c r="U671" s="64">
        <f t="shared" si="128"/>
        <v>0</v>
      </c>
      <c r="V671" s="65">
        <v>0</v>
      </c>
      <c r="W671" s="66">
        <f t="shared" si="129"/>
        <v>0</v>
      </c>
      <c r="X671" s="67">
        <f t="shared" si="130"/>
        <v>0</v>
      </c>
      <c r="Y671" s="57" t="str">
        <f t="shared" si="131"/>
        <v>NIL PLEASE PURCHASE</v>
      </c>
      <c r="Z671" s="68" t="s">
        <v>1539</v>
      </c>
    </row>
    <row r="672" spans="1:26" s="8" customFormat="1" ht="20.100000000000001" customHeight="1" x14ac:dyDescent="0.25">
      <c r="A672" s="69" t="s">
        <v>1638</v>
      </c>
      <c r="B672" s="88">
        <v>1089</v>
      </c>
      <c r="C672" s="90" t="s">
        <v>1257</v>
      </c>
      <c r="D672" s="60">
        <v>0</v>
      </c>
      <c r="E672" s="61">
        <f t="shared" si="120"/>
        <v>0</v>
      </c>
      <c r="F672" s="60">
        <v>0</v>
      </c>
      <c r="G672" s="61">
        <f t="shared" si="121"/>
        <v>0</v>
      </c>
      <c r="H672" s="60">
        <v>0</v>
      </c>
      <c r="I672" s="61">
        <f t="shared" si="122"/>
        <v>0</v>
      </c>
      <c r="J672" s="60">
        <v>0</v>
      </c>
      <c r="K672" s="61">
        <f t="shared" si="123"/>
        <v>0</v>
      </c>
      <c r="L672" s="62"/>
      <c r="M672" s="61">
        <f t="shared" si="124"/>
        <v>0</v>
      </c>
      <c r="N672" s="63">
        <v>1</v>
      </c>
      <c r="O672" s="61">
        <f t="shared" si="125"/>
        <v>500</v>
      </c>
      <c r="P672" s="60">
        <v>0</v>
      </c>
      <c r="Q672" s="61">
        <f t="shared" si="126"/>
        <v>0</v>
      </c>
      <c r="R672" s="60">
        <v>0</v>
      </c>
      <c r="S672" s="61">
        <f t="shared" si="127"/>
        <v>0</v>
      </c>
      <c r="T672" s="60">
        <v>0</v>
      </c>
      <c r="U672" s="64">
        <f t="shared" si="128"/>
        <v>0</v>
      </c>
      <c r="V672" s="65">
        <v>0</v>
      </c>
      <c r="W672" s="66">
        <f t="shared" si="129"/>
        <v>500</v>
      </c>
      <c r="X672" s="67">
        <f t="shared" si="130"/>
        <v>0.5</v>
      </c>
      <c r="Y672" s="57" t="str">
        <f t="shared" si="131"/>
        <v>STOCK</v>
      </c>
      <c r="Z672" s="68" t="s">
        <v>1538</v>
      </c>
    </row>
    <row r="673" spans="1:26" s="8" customFormat="1" ht="20.100000000000001" customHeight="1" x14ac:dyDescent="0.25">
      <c r="A673" s="69" t="s">
        <v>1639</v>
      </c>
      <c r="B673" s="88">
        <v>1090</v>
      </c>
      <c r="C673" s="90" t="s">
        <v>1258</v>
      </c>
      <c r="D673" s="60">
        <v>0</v>
      </c>
      <c r="E673" s="61">
        <f t="shared" si="120"/>
        <v>0</v>
      </c>
      <c r="F673" s="60">
        <v>0</v>
      </c>
      <c r="G673" s="61">
        <f t="shared" si="121"/>
        <v>0</v>
      </c>
      <c r="H673" s="60">
        <v>0</v>
      </c>
      <c r="I673" s="61">
        <f t="shared" si="122"/>
        <v>0</v>
      </c>
      <c r="J673" s="60">
        <v>0</v>
      </c>
      <c r="K673" s="61">
        <f t="shared" si="123"/>
        <v>0</v>
      </c>
      <c r="L673" s="62"/>
      <c r="M673" s="61">
        <f t="shared" si="124"/>
        <v>0</v>
      </c>
      <c r="N673" s="63">
        <v>2</v>
      </c>
      <c r="O673" s="61">
        <f t="shared" si="125"/>
        <v>1000</v>
      </c>
      <c r="P673" s="60">
        <v>0</v>
      </c>
      <c r="Q673" s="61">
        <f t="shared" si="126"/>
        <v>0</v>
      </c>
      <c r="R673" s="60">
        <v>0</v>
      </c>
      <c r="S673" s="61">
        <f t="shared" si="127"/>
        <v>0</v>
      </c>
      <c r="T673" s="60">
        <v>0</v>
      </c>
      <c r="U673" s="64">
        <f t="shared" si="128"/>
        <v>0</v>
      </c>
      <c r="V673" s="65">
        <v>0</v>
      </c>
      <c r="W673" s="66">
        <f t="shared" si="129"/>
        <v>1000</v>
      </c>
      <c r="X673" s="67">
        <f t="shared" si="130"/>
        <v>1</v>
      </c>
      <c r="Y673" s="57" t="str">
        <f t="shared" si="131"/>
        <v>STOCK</v>
      </c>
      <c r="Z673" s="68" t="s">
        <v>1538</v>
      </c>
    </row>
    <row r="674" spans="1:26" s="8" customFormat="1" ht="20.100000000000001" customHeight="1" x14ac:dyDescent="0.25">
      <c r="A674" s="69" t="s">
        <v>1640</v>
      </c>
      <c r="B674" s="88">
        <v>1091</v>
      </c>
      <c r="C674" s="90" t="s">
        <v>1259</v>
      </c>
      <c r="D674" s="60">
        <v>0</v>
      </c>
      <c r="E674" s="61">
        <f t="shared" si="120"/>
        <v>0</v>
      </c>
      <c r="F674" s="60">
        <v>0</v>
      </c>
      <c r="G674" s="61">
        <f t="shared" si="121"/>
        <v>0</v>
      </c>
      <c r="H674" s="60">
        <v>0</v>
      </c>
      <c r="I674" s="61">
        <f t="shared" si="122"/>
        <v>0</v>
      </c>
      <c r="J674" s="60">
        <v>0</v>
      </c>
      <c r="K674" s="61">
        <f t="shared" si="123"/>
        <v>0</v>
      </c>
      <c r="L674" s="62"/>
      <c r="M674" s="61">
        <f t="shared" si="124"/>
        <v>0</v>
      </c>
      <c r="N674" s="63">
        <v>2</v>
      </c>
      <c r="O674" s="61">
        <f t="shared" si="125"/>
        <v>1000</v>
      </c>
      <c r="P674" s="60">
        <v>0</v>
      </c>
      <c r="Q674" s="61">
        <f t="shared" si="126"/>
        <v>0</v>
      </c>
      <c r="R674" s="60">
        <v>0</v>
      </c>
      <c r="S674" s="61">
        <f t="shared" si="127"/>
        <v>0</v>
      </c>
      <c r="T674" s="60">
        <v>0</v>
      </c>
      <c r="U674" s="64">
        <f t="shared" si="128"/>
        <v>0</v>
      </c>
      <c r="V674" s="65">
        <v>0</v>
      </c>
      <c r="W674" s="66">
        <f t="shared" si="129"/>
        <v>1000</v>
      </c>
      <c r="X674" s="67">
        <f t="shared" si="130"/>
        <v>1</v>
      </c>
      <c r="Y674" s="57" t="str">
        <f t="shared" si="131"/>
        <v>STOCK</v>
      </c>
      <c r="Z674" s="68" t="s">
        <v>1538</v>
      </c>
    </row>
    <row r="675" spans="1:26" s="8" customFormat="1" ht="20.100000000000001" customHeight="1" x14ac:dyDescent="0.25">
      <c r="A675" s="69" t="s">
        <v>1641</v>
      </c>
      <c r="B675" s="88">
        <v>1092</v>
      </c>
      <c r="C675" s="90" t="s">
        <v>1260</v>
      </c>
      <c r="D675" s="60">
        <v>0</v>
      </c>
      <c r="E675" s="61">
        <f t="shared" si="120"/>
        <v>0</v>
      </c>
      <c r="F675" s="60">
        <v>0</v>
      </c>
      <c r="G675" s="61">
        <f t="shared" si="121"/>
        <v>0</v>
      </c>
      <c r="H675" s="60">
        <v>0</v>
      </c>
      <c r="I675" s="61">
        <f t="shared" si="122"/>
        <v>0</v>
      </c>
      <c r="J675" s="60">
        <v>0</v>
      </c>
      <c r="K675" s="61">
        <f t="shared" si="123"/>
        <v>0</v>
      </c>
      <c r="L675" s="62"/>
      <c r="M675" s="61">
        <f t="shared" si="124"/>
        <v>0</v>
      </c>
      <c r="N675" s="63">
        <v>0</v>
      </c>
      <c r="O675" s="61">
        <f t="shared" si="125"/>
        <v>0</v>
      </c>
      <c r="P675" s="60">
        <v>0</v>
      </c>
      <c r="Q675" s="61">
        <f t="shared" si="126"/>
        <v>0</v>
      </c>
      <c r="R675" s="60">
        <v>0</v>
      </c>
      <c r="S675" s="61">
        <f t="shared" si="127"/>
        <v>0</v>
      </c>
      <c r="T675" s="60">
        <v>0</v>
      </c>
      <c r="U675" s="64">
        <f t="shared" si="128"/>
        <v>0</v>
      </c>
      <c r="V675" s="65">
        <v>0</v>
      </c>
      <c r="W675" s="66">
        <f t="shared" si="129"/>
        <v>0</v>
      </c>
      <c r="X675" s="67">
        <f t="shared" si="130"/>
        <v>0</v>
      </c>
      <c r="Y675" s="57" t="str">
        <f t="shared" si="131"/>
        <v>NIL PLEASE PURCHASE</v>
      </c>
      <c r="Z675" s="68" t="s">
        <v>1539</v>
      </c>
    </row>
    <row r="676" spans="1:26" s="8" customFormat="1" ht="20.100000000000001" customHeight="1" x14ac:dyDescent="0.25">
      <c r="A676" s="69" t="s">
        <v>1642</v>
      </c>
      <c r="B676" s="88">
        <v>1093</v>
      </c>
      <c r="C676" s="90" t="s">
        <v>1261</v>
      </c>
      <c r="D676" s="60">
        <v>0</v>
      </c>
      <c r="E676" s="61">
        <f t="shared" si="120"/>
        <v>0</v>
      </c>
      <c r="F676" s="60">
        <v>0</v>
      </c>
      <c r="G676" s="61">
        <f t="shared" si="121"/>
        <v>0</v>
      </c>
      <c r="H676" s="60">
        <v>0</v>
      </c>
      <c r="I676" s="61">
        <f t="shared" si="122"/>
        <v>0</v>
      </c>
      <c r="J676" s="60">
        <v>0</v>
      </c>
      <c r="K676" s="61">
        <f t="shared" si="123"/>
        <v>0</v>
      </c>
      <c r="L676" s="62"/>
      <c r="M676" s="61">
        <f t="shared" si="124"/>
        <v>0</v>
      </c>
      <c r="N676" s="63">
        <v>1</v>
      </c>
      <c r="O676" s="61">
        <f t="shared" si="125"/>
        <v>500</v>
      </c>
      <c r="P676" s="60">
        <v>0</v>
      </c>
      <c r="Q676" s="61">
        <f t="shared" si="126"/>
        <v>0</v>
      </c>
      <c r="R676" s="60">
        <v>0</v>
      </c>
      <c r="S676" s="61">
        <f t="shared" si="127"/>
        <v>0</v>
      </c>
      <c r="T676" s="60">
        <v>0</v>
      </c>
      <c r="U676" s="64">
        <f t="shared" si="128"/>
        <v>0</v>
      </c>
      <c r="V676" s="65">
        <v>0</v>
      </c>
      <c r="W676" s="66">
        <f t="shared" si="129"/>
        <v>500</v>
      </c>
      <c r="X676" s="67">
        <f t="shared" si="130"/>
        <v>0.5</v>
      </c>
      <c r="Y676" s="57" t="str">
        <f t="shared" si="131"/>
        <v>STOCK</v>
      </c>
      <c r="Z676" s="68" t="s">
        <v>1538</v>
      </c>
    </row>
    <row r="677" spans="1:26" s="8" customFormat="1" ht="20.100000000000001" customHeight="1" x14ac:dyDescent="0.25">
      <c r="A677" s="69" t="s">
        <v>1643</v>
      </c>
      <c r="B677" s="88">
        <v>1094</v>
      </c>
      <c r="C677" s="90" t="s">
        <v>1262</v>
      </c>
      <c r="D677" s="60">
        <v>0</v>
      </c>
      <c r="E677" s="61">
        <f t="shared" si="120"/>
        <v>0</v>
      </c>
      <c r="F677" s="60">
        <v>0</v>
      </c>
      <c r="G677" s="61">
        <f t="shared" si="121"/>
        <v>0</v>
      </c>
      <c r="H677" s="60">
        <v>0</v>
      </c>
      <c r="I677" s="61">
        <f t="shared" si="122"/>
        <v>0</v>
      </c>
      <c r="J677" s="60">
        <v>0</v>
      </c>
      <c r="K677" s="61">
        <f t="shared" si="123"/>
        <v>0</v>
      </c>
      <c r="L677" s="62"/>
      <c r="M677" s="61">
        <f t="shared" si="124"/>
        <v>0</v>
      </c>
      <c r="N677" s="63">
        <v>0</v>
      </c>
      <c r="O677" s="61">
        <f t="shared" si="125"/>
        <v>0</v>
      </c>
      <c r="P677" s="60">
        <v>0</v>
      </c>
      <c r="Q677" s="61">
        <f t="shared" si="126"/>
        <v>0</v>
      </c>
      <c r="R677" s="60">
        <v>0</v>
      </c>
      <c r="S677" s="61">
        <f t="shared" si="127"/>
        <v>0</v>
      </c>
      <c r="T677" s="60">
        <v>0</v>
      </c>
      <c r="U677" s="64">
        <f t="shared" si="128"/>
        <v>0</v>
      </c>
      <c r="V677" s="65">
        <v>0</v>
      </c>
      <c r="W677" s="66">
        <f t="shared" si="129"/>
        <v>0</v>
      </c>
      <c r="X677" s="67">
        <f t="shared" si="130"/>
        <v>0</v>
      </c>
      <c r="Y677" s="57" t="str">
        <f t="shared" si="131"/>
        <v>NIL PLEASE PURCHASE</v>
      </c>
      <c r="Z677" s="68" t="s">
        <v>1539</v>
      </c>
    </row>
    <row r="678" spans="1:26" s="8" customFormat="1" ht="20.100000000000001" customHeight="1" x14ac:dyDescent="0.25">
      <c r="A678" s="69" t="s">
        <v>1644</v>
      </c>
      <c r="B678" s="88">
        <v>1095</v>
      </c>
      <c r="C678" s="90" t="s">
        <v>1263</v>
      </c>
      <c r="D678" s="60">
        <v>0</v>
      </c>
      <c r="E678" s="61">
        <f t="shared" si="120"/>
        <v>0</v>
      </c>
      <c r="F678" s="60">
        <v>0</v>
      </c>
      <c r="G678" s="61">
        <f t="shared" si="121"/>
        <v>0</v>
      </c>
      <c r="H678" s="60">
        <v>0</v>
      </c>
      <c r="I678" s="61">
        <f t="shared" si="122"/>
        <v>0</v>
      </c>
      <c r="J678" s="60">
        <v>0</v>
      </c>
      <c r="K678" s="61">
        <f t="shared" si="123"/>
        <v>0</v>
      </c>
      <c r="L678" s="62">
        <v>3</v>
      </c>
      <c r="M678" s="61">
        <f t="shared" si="124"/>
        <v>750</v>
      </c>
      <c r="N678" s="63">
        <v>1</v>
      </c>
      <c r="O678" s="61">
        <f t="shared" si="125"/>
        <v>500</v>
      </c>
      <c r="P678" s="60">
        <v>0</v>
      </c>
      <c r="Q678" s="61">
        <f t="shared" si="126"/>
        <v>0</v>
      </c>
      <c r="R678" s="60">
        <v>0</v>
      </c>
      <c r="S678" s="61">
        <f t="shared" si="127"/>
        <v>0</v>
      </c>
      <c r="T678" s="60">
        <v>0</v>
      </c>
      <c r="U678" s="64">
        <f t="shared" si="128"/>
        <v>0</v>
      </c>
      <c r="V678" s="65">
        <v>0</v>
      </c>
      <c r="W678" s="66">
        <f t="shared" si="129"/>
        <v>1250</v>
      </c>
      <c r="X678" s="67">
        <f t="shared" si="130"/>
        <v>1.25</v>
      </c>
      <c r="Y678" s="57" t="str">
        <f t="shared" si="131"/>
        <v>STOCK</v>
      </c>
      <c r="Z678" s="68" t="s">
        <v>1538</v>
      </c>
    </row>
    <row r="679" spans="1:26" s="8" customFormat="1" ht="20.100000000000001" customHeight="1" x14ac:dyDescent="0.25">
      <c r="A679" s="69" t="s">
        <v>1645</v>
      </c>
      <c r="B679" s="88">
        <v>1096</v>
      </c>
      <c r="C679" s="90" t="s">
        <v>1264</v>
      </c>
      <c r="D679" s="60">
        <v>0</v>
      </c>
      <c r="E679" s="61">
        <f t="shared" si="120"/>
        <v>0</v>
      </c>
      <c r="F679" s="60">
        <v>0</v>
      </c>
      <c r="G679" s="61">
        <f t="shared" si="121"/>
        <v>0</v>
      </c>
      <c r="H679" s="60">
        <v>0</v>
      </c>
      <c r="I679" s="61">
        <f t="shared" si="122"/>
        <v>0</v>
      </c>
      <c r="J679" s="60">
        <v>0</v>
      </c>
      <c r="K679" s="61">
        <f t="shared" si="123"/>
        <v>0</v>
      </c>
      <c r="L679" s="62"/>
      <c r="M679" s="61">
        <f t="shared" si="124"/>
        <v>0</v>
      </c>
      <c r="N679" s="63">
        <v>1</v>
      </c>
      <c r="O679" s="61">
        <f t="shared" si="125"/>
        <v>500</v>
      </c>
      <c r="P679" s="60">
        <v>0</v>
      </c>
      <c r="Q679" s="61">
        <f t="shared" si="126"/>
        <v>0</v>
      </c>
      <c r="R679" s="60">
        <v>0</v>
      </c>
      <c r="S679" s="61">
        <f t="shared" si="127"/>
        <v>0</v>
      </c>
      <c r="T679" s="60">
        <v>0</v>
      </c>
      <c r="U679" s="64">
        <f t="shared" si="128"/>
        <v>0</v>
      </c>
      <c r="V679" s="65">
        <v>0</v>
      </c>
      <c r="W679" s="66">
        <f t="shared" si="129"/>
        <v>500</v>
      </c>
      <c r="X679" s="67">
        <f t="shared" si="130"/>
        <v>0.5</v>
      </c>
      <c r="Y679" s="57" t="str">
        <f t="shared" si="131"/>
        <v>STOCK</v>
      </c>
      <c r="Z679" s="68" t="s">
        <v>1538</v>
      </c>
    </row>
    <row r="680" spans="1:26" s="8" customFormat="1" ht="20.100000000000001" customHeight="1" x14ac:dyDescent="0.25">
      <c r="A680" s="69" t="s">
        <v>1646</v>
      </c>
      <c r="B680" s="88">
        <v>1097</v>
      </c>
      <c r="C680" s="90" t="s">
        <v>1265</v>
      </c>
      <c r="D680" s="60">
        <v>0</v>
      </c>
      <c r="E680" s="61">
        <f t="shared" si="120"/>
        <v>0</v>
      </c>
      <c r="F680" s="60">
        <v>0</v>
      </c>
      <c r="G680" s="61">
        <f t="shared" si="121"/>
        <v>0</v>
      </c>
      <c r="H680" s="60">
        <v>0</v>
      </c>
      <c r="I680" s="61">
        <f t="shared" si="122"/>
        <v>0</v>
      </c>
      <c r="J680" s="60">
        <v>0</v>
      </c>
      <c r="K680" s="61">
        <f t="shared" si="123"/>
        <v>0</v>
      </c>
      <c r="L680" s="62"/>
      <c r="M680" s="61">
        <f t="shared" si="124"/>
        <v>0</v>
      </c>
      <c r="N680" s="63">
        <v>0</v>
      </c>
      <c r="O680" s="61">
        <f t="shared" si="125"/>
        <v>0</v>
      </c>
      <c r="P680" s="60">
        <v>0</v>
      </c>
      <c r="Q680" s="61">
        <f t="shared" si="126"/>
        <v>0</v>
      </c>
      <c r="R680" s="60">
        <v>0</v>
      </c>
      <c r="S680" s="61">
        <f t="shared" si="127"/>
        <v>0</v>
      </c>
      <c r="T680" s="60">
        <v>0</v>
      </c>
      <c r="U680" s="64">
        <f t="shared" si="128"/>
        <v>0</v>
      </c>
      <c r="V680" s="65">
        <v>0</v>
      </c>
      <c r="W680" s="66">
        <f t="shared" si="129"/>
        <v>0</v>
      </c>
      <c r="X680" s="67">
        <f t="shared" si="130"/>
        <v>0</v>
      </c>
      <c r="Y680" s="57" t="str">
        <f t="shared" si="131"/>
        <v>NIL PLEASE PURCHASE</v>
      </c>
      <c r="Z680" s="68" t="s">
        <v>1539</v>
      </c>
    </row>
    <row r="681" spans="1:26" s="8" customFormat="1" ht="20.100000000000001" customHeight="1" x14ac:dyDescent="0.25">
      <c r="A681" s="69" t="s">
        <v>1647</v>
      </c>
      <c r="B681" s="88">
        <v>1098</v>
      </c>
      <c r="C681" s="90" t="s">
        <v>1266</v>
      </c>
      <c r="D681" s="60">
        <v>0</v>
      </c>
      <c r="E681" s="61">
        <f t="shared" si="120"/>
        <v>0</v>
      </c>
      <c r="F681" s="60">
        <v>1</v>
      </c>
      <c r="G681" s="61">
        <f t="shared" si="121"/>
        <v>25</v>
      </c>
      <c r="H681" s="60">
        <v>0</v>
      </c>
      <c r="I681" s="61">
        <f t="shared" si="122"/>
        <v>0</v>
      </c>
      <c r="J681" s="60">
        <v>0</v>
      </c>
      <c r="K681" s="61">
        <f t="shared" si="123"/>
        <v>0</v>
      </c>
      <c r="L681" s="62"/>
      <c r="M681" s="61">
        <f t="shared" si="124"/>
        <v>0</v>
      </c>
      <c r="N681" s="63">
        <v>0</v>
      </c>
      <c r="O681" s="61">
        <f t="shared" si="125"/>
        <v>0</v>
      </c>
      <c r="P681" s="60">
        <v>0</v>
      </c>
      <c r="Q681" s="61">
        <f t="shared" si="126"/>
        <v>0</v>
      </c>
      <c r="R681" s="60">
        <v>0</v>
      </c>
      <c r="S681" s="61">
        <f t="shared" si="127"/>
        <v>0</v>
      </c>
      <c r="T681" s="60">
        <v>0</v>
      </c>
      <c r="U681" s="64">
        <f t="shared" si="128"/>
        <v>0</v>
      </c>
      <c r="V681" s="65">
        <v>0</v>
      </c>
      <c r="W681" s="66">
        <f t="shared" si="129"/>
        <v>25</v>
      </c>
      <c r="X681" s="67">
        <f t="shared" si="130"/>
        <v>2.5000000000000001E-2</v>
      </c>
      <c r="Y681" s="57" t="str">
        <f t="shared" si="131"/>
        <v>STOCK</v>
      </c>
      <c r="Z681" s="68" t="s">
        <v>1538</v>
      </c>
    </row>
    <row r="682" spans="1:26" s="8" customFormat="1" ht="20.100000000000001" customHeight="1" x14ac:dyDescent="0.25">
      <c r="A682" s="69" t="s">
        <v>1648</v>
      </c>
      <c r="B682" s="88">
        <v>1099</v>
      </c>
      <c r="C682" s="90" t="s">
        <v>1267</v>
      </c>
      <c r="D682" s="60">
        <v>0</v>
      </c>
      <c r="E682" s="61">
        <f t="shared" si="120"/>
        <v>0</v>
      </c>
      <c r="F682" s="60">
        <v>0</v>
      </c>
      <c r="G682" s="61">
        <f t="shared" si="121"/>
        <v>0</v>
      </c>
      <c r="H682" s="60">
        <v>0</v>
      </c>
      <c r="I682" s="61">
        <f t="shared" si="122"/>
        <v>0</v>
      </c>
      <c r="J682" s="60">
        <v>0</v>
      </c>
      <c r="K682" s="61">
        <f t="shared" si="123"/>
        <v>0</v>
      </c>
      <c r="L682" s="62"/>
      <c r="M682" s="61">
        <f t="shared" si="124"/>
        <v>0</v>
      </c>
      <c r="N682" s="63">
        <v>5</v>
      </c>
      <c r="O682" s="61">
        <f t="shared" si="125"/>
        <v>2500</v>
      </c>
      <c r="P682" s="60">
        <v>0</v>
      </c>
      <c r="Q682" s="61">
        <f t="shared" si="126"/>
        <v>0</v>
      </c>
      <c r="R682" s="60">
        <v>0</v>
      </c>
      <c r="S682" s="61">
        <f t="shared" si="127"/>
        <v>0</v>
      </c>
      <c r="T682" s="60">
        <v>0</v>
      </c>
      <c r="U682" s="64">
        <f t="shared" si="128"/>
        <v>0</v>
      </c>
      <c r="V682" s="65">
        <v>0</v>
      </c>
      <c r="W682" s="66">
        <f t="shared" si="129"/>
        <v>2500</v>
      </c>
      <c r="X682" s="67">
        <f t="shared" si="130"/>
        <v>2.5</v>
      </c>
      <c r="Y682" s="57" t="str">
        <f t="shared" si="131"/>
        <v>STOCK</v>
      </c>
      <c r="Z682" s="68" t="s">
        <v>1538</v>
      </c>
    </row>
    <row r="683" spans="1:26" s="8" customFormat="1" ht="20.100000000000001" customHeight="1" x14ac:dyDescent="0.25">
      <c r="A683" s="69" t="s">
        <v>1649</v>
      </c>
      <c r="B683" s="88">
        <v>1100</v>
      </c>
      <c r="C683" s="90" t="s">
        <v>1268</v>
      </c>
      <c r="D683" s="60">
        <v>0</v>
      </c>
      <c r="E683" s="61">
        <f t="shared" si="120"/>
        <v>0</v>
      </c>
      <c r="F683" s="60">
        <v>0</v>
      </c>
      <c r="G683" s="61">
        <f t="shared" si="121"/>
        <v>0</v>
      </c>
      <c r="H683" s="60">
        <v>0</v>
      </c>
      <c r="I683" s="61">
        <f t="shared" si="122"/>
        <v>0</v>
      </c>
      <c r="J683" s="60">
        <v>0</v>
      </c>
      <c r="K683" s="61">
        <f t="shared" si="123"/>
        <v>0</v>
      </c>
      <c r="L683" s="62"/>
      <c r="M683" s="61">
        <f t="shared" si="124"/>
        <v>0</v>
      </c>
      <c r="N683" s="63">
        <v>2</v>
      </c>
      <c r="O683" s="61">
        <f t="shared" si="125"/>
        <v>1000</v>
      </c>
      <c r="P683" s="60">
        <v>0</v>
      </c>
      <c r="Q683" s="61">
        <f t="shared" si="126"/>
        <v>0</v>
      </c>
      <c r="R683" s="60">
        <v>0</v>
      </c>
      <c r="S683" s="61">
        <f t="shared" si="127"/>
        <v>0</v>
      </c>
      <c r="T683" s="60">
        <v>0</v>
      </c>
      <c r="U683" s="64">
        <f t="shared" si="128"/>
        <v>0</v>
      </c>
      <c r="V683" s="65">
        <v>0</v>
      </c>
      <c r="W683" s="66">
        <f t="shared" si="129"/>
        <v>1000</v>
      </c>
      <c r="X683" s="67">
        <f t="shared" si="130"/>
        <v>1</v>
      </c>
      <c r="Y683" s="57" t="str">
        <f t="shared" si="131"/>
        <v>STOCK</v>
      </c>
      <c r="Z683" s="68" t="s">
        <v>1538</v>
      </c>
    </row>
    <row r="684" spans="1:26" s="8" customFormat="1" ht="20.100000000000001" customHeight="1" x14ac:dyDescent="0.25">
      <c r="A684" s="69" t="s">
        <v>1650</v>
      </c>
      <c r="B684" s="88">
        <v>1101</v>
      </c>
      <c r="C684" s="90" t="s">
        <v>1269</v>
      </c>
      <c r="D684" s="60">
        <v>0</v>
      </c>
      <c r="E684" s="61">
        <f t="shared" si="120"/>
        <v>0</v>
      </c>
      <c r="F684" s="60">
        <v>0</v>
      </c>
      <c r="G684" s="61">
        <f t="shared" si="121"/>
        <v>0</v>
      </c>
      <c r="H684" s="60">
        <v>0</v>
      </c>
      <c r="I684" s="61">
        <f t="shared" si="122"/>
        <v>0</v>
      </c>
      <c r="J684" s="60">
        <v>0</v>
      </c>
      <c r="K684" s="61">
        <f t="shared" si="123"/>
        <v>0</v>
      </c>
      <c r="L684" s="62"/>
      <c r="M684" s="61">
        <f t="shared" si="124"/>
        <v>0</v>
      </c>
      <c r="N684" s="63">
        <v>3</v>
      </c>
      <c r="O684" s="61">
        <f t="shared" si="125"/>
        <v>1500</v>
      </c>
      <c r="P684" s="60">
        <v>0</v>
      </c>
      <c r="Q684" s="61">
        <f t="shared" si="126"/>
        <v>0</v>
      </c>
      <c r="R684" s="60">
        <v>0</v>
      </c>
      <c r="S684" s="61">
        <f t="shared" si="127"/>
        <v>0</v>
      </c>
      <c r="T684" s="60">
        <v>0</v>
      </c>
      <c r="U684" s="64">
        <f t="shared" si="128"/>
        <v>0</v>
      </c>
      <c r="V684" s="65">
        <v>0</v>
      </c>
      <c r="W684" s="66">
        <f t="shared" si="129"/>
        <v>1500</v>
      </c>
      <c r="X684" s="67">
        <f t="shared" si="130"/>
        <v>1.5</v>
      </c>
      <c r="Y684" s="57" t="str">
        <f t="shared" si="131"/>
        <v>STOCK</v>
      </c>
      <c r="Z684" s="68" t="s">
        <v>1538</v>
      </c>
    </row>
    <row r="685" spans="1:26" s="8" customFormat="1" ht="20.100000000000001" customHeight="1" x14ac:dyDescent="0.25">
      <c r="A685" s="69" t="s">
        <v>1651</v>
      </c>
      <c r="B685" s="88">
        <v>1102</v>
      </c>
      <c r="C685" s="90" t="s">
        <v>1270</v>
      </c>
      <c r="D685" s="60">
        <v>0</v>
      </c>
      <c r="E685" s="61">
        <f t="shared" si="120"/>
        <v>0</v>
      </c>
      <c r="F685" s="60">
        <v>0</v>
      </c>
      <c r="G685" s="61">
        <f t="shared" si="121"/>
        <v>0</v>
      </c>
      <c r="H685" s="60">
        <v>0</v>
      </c>
      <c r="I685" s="61">
        <f t="shared" si="122"/>
        <v>0</v>
      </c>
      <c r="J685" s="60">
        <v>0</v>
      </c>
      <c r="K685" s="61">
        <f t="shared" si="123"/>
        <v>0</v>
      </c>
      <c r="L685" s="62"/>
      <c r="M685" s="61">
        <f t="shared" si="124"/>
        <v>0</v>
      </c>
      <c r="N685" s="63">
        <v>0</v>
      </c>
      <c r="O685" s="61">
        <f t="shared" si="125"/>
        <v>0</v>
      </c>
      <c r="P685" s="60">
        <v>0</v>
      </c>
      <c r="Q685" s="61">
        <f t="shared" si="126"/>
        <v>0</v>
      </c>
      <c r="R685" s="60">
        <v>0</v>
      </c>
      <c r="S685" s="61">
        <f t="shared" si="127"/>
        <v>0</v>
      </c>
      <c r="T685" s="60">
        <v>0</v>
      </c>
      <c r="U685" s="64">
        <f t="shared" si="128"/>
        <v>0</v>
      </c>
      <c r="V685" s="65">
        <v>0</v>
      </c>
      <c r="W685" s="66">
        <f t="shared" si="129"/>
        <v>0</v>
      </c>
      <c r="X685" s="67">
        <f t="shared" si="130"/>
        <v>0</v>
      </c>
      <c r="Y685" s="57" t="str">
        <f t="shared" si="131"/>
        <v>NIL PLEASE PURCHASE</v>
      </c>
      <c r="Z685" s="68" t="s">
        <v>1539</v>
      </c>
    </row>
    <row r="686" spans="1:26" s="8" customFormat="1" ht="20.100000000000001" customHeight="1" x14ac:dyDescent="0.25">
      <c r="A686" s="69" t="s">
        <v>1652</v>
      </c>
      <c r="B686" s="88">
        <v>1103</v>
      </c>
      <c r="C686" s="90" t="s">
        <v>1271</v>
      </c>
      <c r="D686" s="60">
        <v>0</v>
      </c>
      <c r="E686" s="61">
        <f t="shared" si="120"/>
        <v>0</v>
      </c>
      <c r="F686" s="60">
        <v>0</v>
      </c>
      <c r="G686" s="61">
        <f t="shared" si="121"/>
        <v>0</v>
      </c>
      <c r="H686" s="60">
        <v>0</v>
      </c>
      <c r="I686" s="61">
        <f t="shared" si="122"/>
        <v>0</v>
      </c>
      <c r="J686" s="60">
        <v>0</v>
      </c>
      <c r="K686" s="61">
        <f t="shared" si="123"/>
        <v>0</v>
      </c>
      <c r="L686" s="62"/>
      <c r="M686" s="61">
        <f t="shared" si="124"/>
        <v>0</v>
      </c>
      <c r="N686" s="63">
        <v>0</v>
      </c>
      <c r="O686" s="61">
        <f t="shared" si="125"/>
        <v>0</v>
      </c>
      <c r="P686" s="60">
        <v>0</v>
      </c>
      <c r="Q686" s="61">
        <f t="shared" si="126"/>
        <v>0</v>
      </c>
      <c r="R686" s="60">
        <v>0</v>
      </c>
      <c r="S686" s="61">
        <f t="shared" si="127"/>
        <v>0</v>
      </c>
      <c r="T686" s="60">
        <v>0</v>
      </c>
      <c r="U686" s="64">
        <f t="shared" si="128"/>
        <v>0</v>
      </c>
      <c r="V686" s="65">
        <v>0</v>
      </c>
      <c r="W686" s="66">
        <f t="shared" si="129"/>
        <v>0</v>
      </c>
      <c r="X686" s="67">
        <f t="shared" si="130"/>
        <v>0</v>
      </c>
      <c r="Y686" s="57" t="str">
        <f t="shared" si="131"/>
        <v>NIL PLEASE PURCHASE</v>
      </c>
      <c r="Z686" s="68" t="s">
        <v>1539</v>
      </c>
    </row>
    <row r="687" spans="1:26" s="8" customFormat="1" ht="20.100000000000001" customHeight="1" x14ac:dyDescent="0.25">
      <c r="A687" s="69" t="s">
        <v>1653</v>
      </c>
      <c r="B687" s="88">
        <v>1104</v>
      </c>
      <c r="C687" s="90" t="s">
        <v>1272</v>
      </c>
      <c r="D687" s="60">
        <v>0</v>
      </c>
      <c r="E687" s="61">
        <f t="shared" si="120"/>
        <v>0</v>
      </c>
      <c r="F687" s="60">
        <v>0</v>
      </c>
      <c r="G687" s="61">
        <f t="shared" si="121"/>
        <v>0</v>
      </c>
      <c r="H687" s="60">
        <v>0</v>
      </c>
      <c r="I687" s="61">
        <f t="shared" si="122"/>
        <v>0</v>
      </c>
      <c r="J687" s="60">
        <v>0</v>
      </c>
      <c r="K687" s="61">
        <f t="shared" si="123"/>
        <v>0</v>
      </c>
      <c r="L687" s="62"/>
      <c r="M687" s="61">
        <f t="shared" si="124"/>
        <v>0</v>
      </c>
      <c r="N687" s="63">
        <v>1</v>
      </c>
      <c r="O687" s="61">
        <f t="shared" si="125"/>
        <v>500</v>
      </c>
      <c r="P687" s="60">
        <v>0</v>
      </c>
      <c r="Q687" s="61">
        <f t="shared" si="126"/>
        <v>0</v>
      </c>
      <c r="R687" s="60">
        <v>0</v>
      </c>
      <c r="S687" s="61">
        <f t="shared" si="127"/>
        <v>0</v>
      </c>
      <c r="T687" s="60">
        <v>0</v>
      </c>
      <c r="U687" s="64">
        <f t="shared" si="128"/>
        <v>0</v>
      </c>
      <c r="V687" s="65">
        <v>0</v>
      </c>
      <c r="W687" s="66">
        <f t="shared" si="129"/>
        <v>500</v>
      </c>
      <c r="X687" s="67">
        <f t="shared" si="130"/>
        <v>0.5</v>
      </c>
      <c r="Y687" s="57" t="str">
        <f t="shared" si="131"/>
        <v>STOCK</v>
      </c>
      <c r="Z687" s="68" t="s">
        <v>1538</v>
      </c>
    </row>
    <row r="688" spans="1:26" s="8" customFormat="1" ht="20.100000000000001" customHeight="1" x14ac:dyDescent="0.25">
      <c r="A688" s="69" t="s">
        <v>1654</v>
      </c>
      <c r="B688" s="88">
        <v>1105</v>
      </c>
      <c r="C688" s="90" t="s">
        <v>1273</v>
      </c>
      <c r="D688" s="60">
        <v>0</v>
      </c>
      <c r="E688" s="61">
        <f t="shared" si="120"/>
        <v>0</v>
      </c>
      <c r="F688" s="60">
        <v>0</v>
      </c>
      <c r="G688" s="61">
        <f t="shared" si="121"/>
        <v>0</v>
      </c>
      <c r="H688" s="60">
        <v>0</v>
      </c>
      <c r="I688" s="61">
        <f t="shared" si="122"/>
        <v>0</v>
      </c>
      <c r="J688" s="60">
        <v>0</v>
      </c>
      <c r="K688" s="61">
        <f t="shared" si="123"/>
        <v>0</v>
      </c>
      <c r="L688" s="62"/>
      <c r="M688" s="61">
        <f t="shared" si="124"/>
        <v>0</v>
      </c>
      <c r="N688" s="63">
        <v>2</v>
      </c>
      <c r="O688" s="61">
        <f t="shared" si="125"/>
        <v>1000</v>
      </c>
      <c r="P688" s="60">
        <v>0</v>
      </c>
      <c r="Q688" s="61">
        <f t="shared" si="126"/>
        <v>0</v>
      </c>
      <c r="R688" s="60">
        <v>0</v>
      </c>
      <c r="S688" s="61">
        <f t="shared" si="127"/>
        <v>0</v>
      </c>
      <c r="T688" s="60">
        <v>0</v>
      </c>
      <c r="U688" s="64">
        <f t="shared" si="128"/>
        <v>0</v>
      </c>
      <c r="V688" s="65">
        <v>0</v>
      </c>
      <c r="W688" s="66">
        <f t="shared" si="129"/>
        <v>1000</v>
      </c>
      <c r="X688" s="67">
        <f t="shared" si="130"/>
        <v>1</v>
      </c>
      <c r="Y688" s="57" t="str">
        <f t="shared" si="131"/>
        <v>STOCK</v>
      </c>
      <c r="Z688" s="68" t="s">
        <v>1538</v>
      </c>
    </row>
    <row r="689" spans="1:26" s="8" customFormat="1" ht="20.100000000000001" customHeight="1" x14ac:dyDescent="0.25">
      <c r="A689" s="69" t="s">
        <v>1655</v>
      </c>
      <c r="B689" s="88">
        <v>1106</v>
      </c>
      <c r="C689" s="90" t="s">
        <v>1274</v>
      </c>
      <c r="D689" s="60">
        <v>0</v>
      </c>
      <c r="E689" s="61">
        <f t="shared" si="120"/>
        <v>0</v>
      </c>
      <c r="F689" s="60">
        <v>0</v>
      </c>
      <c r="G689" s="61">
        <f t="shared" si="121"/>
        <v>0</v>
      </c>
      <c r="H689" s="60">
        <v>0</v>
      </c>
      <c r="I689" s="61">
        <f t="shared" si="122"/>
        <v>0</v>
      </c>
      <c r="J689" s="60">
        <v>0</v>
      </c>
      <c r="K689" s="61">
        <f t="shared" si="123"/>
        <v>0</v>
      </c>
      <c r="L689" s="62"/>
      <c r="M689" s="61">
        <f t="shared" si="124"/>
        <v>0</v>
      </c>
      <c r="N689" s="63">
        <v>3</v>
      </c>
      <c r="O689" s="61">
        <f t="shared" si="125"/>
        <v>1500</v>
      </c>
      <c r="P689" s="60">
        <v>0</v>
      </c>
      <c r="Q689" s="61">
        <f t="shared" si="126"/>
        <v>0</v>
      </c>
      <c r="R689" s="60">
        <v>0</v>
      </c>
      <c r="S689" s="61">
        <f t="shared" si="127"/>
        <v>0</v>
      </c>
      <c r="T689" s="60">
        <v>0</v>
      </c>
      <c r="U689" s="64">
        <f t="shared" si="128"/>
        <v>0</v>
      </c>
      <c r="V689" s="65">
        <v>0</v>
      </c>
      <c r="W689" s="66">
        <f t="shared" si="129"/>
        <v>1500</v>
      </c>
      <c r="X689" s="67">
        <f t="shared" si="130"/>
        <v>1.5</v>
      </c>
      <c r="Y689" s="57" t="str">
        <f t="shared" si="131"/>
        <v>STOCK</v>
      </c>
      <c r="Z689" s="68" t="s">
        <v>1538</v>
      </c>
    </row>
    <row r="690" spans="1:26" s="8" customFormat="1" ht="20.100000000000001" customHeight="1" x14ac:dyDescent="0.25">
      <c r="A690" s="69" t="s">
        <v>1656</v>
      </c>
      <c r="B690" s="88">
        <v>1107</v>
      </c>
      <c r="C690" s="90" t="s">
        <v>1275</v>
      </c>
      <c r="D690" s="60">
        <v>0</v>
      </c>
      <c r="E690" s="61">
        <f t="shared" si="120"/>
        <v>0</v>
      </c>
      <c r="F690" s="60">
        <v>0</v>
      </c>
      <c r="G690" s="61">
        <f t="shared" si="121"/>
        <v>0</v>
      </c>
      <c r="H690" s="60">
        <v>0</v>
      </c>
      <c r="I690" s="61">
        <f t="shared" si="122"/>
        <v>0</v>
      </c>
      <c r="J690" s="60">
        <v>0</v>
      </c>
      <c r="K690" s="61">
        <f t="shared" si="123"/>
        <v>0</v>
      </c>
      <c r="L690" s="62"/>
      <c r="M690" s="61">
        <f t="shared" si="124"/>
        <v>0</v>
      </c>
      <c r="N690" s="63">
        <v>1</v>
      </c>
      <c r="O690" s="61">
        <f t="shared" si="125"/>
        <v>500</v>
      </c>
      <c r="P690" s="60">
        <v>0</v>
      </c>
      <c r="Q690" s="61">
        <f t="shared" si="126"/>
        <v>0</v>
      </c>
      <c r="R690" s="60">
        <v>0</v>
      </c>
      <c r="S690" s="61">
        <f t="shared" si="127"/>
        <v>0</v>
      </c>
      <c r="T690" s="60">
        <v>0</v>
      </c>
      <c r="U690" s="64">
        <f t="shared" si="128"/>
        <v>0</v>
      </c>
      <c r="V690" s="65">
        <v>0</v>
      </c>
      <c r="W690" s="66">
        <f t="shared" si="129"/>
        <v>500</v>
      </c>
      <c r="X690" s="67">
        <f t="shared" si="130"/>
        <v>0.5</v>
      </c>
      <c r="Y690" s="57" t="str">
        <f t="shared" si="131"/>
        <v>STOCK</v>
      </c>
      <c r="Z690" s="68" t="s">
        <v>1538</v>
      </c>
    </row>
    <row r="691" spans="1:26" s="8" customFormat="1" ht="20.100000000000001" customHeight="1" x14ac:dyDescent="0.25">
      <c r="A691" s="69" t="s">
        <v>1657</v>
      </c>
      <c r="B691" s="88">
        <v>1108</v>
      </c>
      <c r="C691" s="90" t="s">
        <v>1276</v>
      </c>
      <c r="D691" s="60">
        <v>0</v>
      </c>
      <c r="E691" s="61">
        <f t="shared" si="120"/>
        <v>0</v>
      </c>
      <c r="F691" s="60">
        <v>0</v>
      </c>
      <c r="G691" s="61">
        <f t="shared" si="121"/>
        <v>0</v>
      </c>
      <c r="H691" s="60">
        <v>0</v>
      </c>
      <c r="I691" s="61">
        <f t="shared" si="122"/>
        <v>0</v>
      </c>
      <c r="J691" s="60">
        <v>0</v>
      </c>
      <c r="K691" s="61">
        <f t="shared" si="123"/>
        <v>0</v>
      </c>
      <c r="L691" s="62"/>
      <c r="M691" s="61">
        <f t="shared" si="124"/>
        <v>0</v>
      </c>
      <c r="N691" s="63">
        <v>0</v>
      </c>
      <c r="O691" s="61">
        <f t="shared" si="125"/>
        <v>0</v>
      </c>
      <c r="P691" s="60">
        <v>0</v>
      </c>
      <c r="Q691" s="61">
        <f t="shared" si="126"/>
        <v>0</v>
      </c>
      <c r="R691" s="60">
        <v>0</v>
      </c>
      <c r="S691" s="61">
        <f t="shared" si="127"/>
        <v>0</v>
      </c>
      <c r="T691" s="60">
        <v>0</v>
      </c>
      <c r="U691" s="64">
        <f t="shared" si="128"/>
        <v>0</v>
      </c>
      <c r="V691" s="65">
        <v>0</v>
      </c>
      <c r="W691" s="66">
        <f t="shared" si="129"/>
        <v>0</v>
      </c>
      <c r="X691" s="67">
        <f t="shared" si="130"/>
        <v>0</v>
      </c>
      <c r="Y691" s="57" t="str">
        <f t="shared" si="131"/>
        <v>NIL PLEASE PURCHASE</v>
      </c>
      <c r="Z691" s="68" t="s">
        <v>1539</v>
      </c>
    </row>
    <row r="692" spans="1:26" s="8" customFormat="1" ht="20.100000000000001" customHeight="1" x14ac:dyDescent="0.25">
      <c r="A692" s="69" t="s">
        <v>1658</v>
      </c>
      <c r="B692" s="88">
        <v>1109</v>
      </c>
      <c r="C692" s="90" t="s">
        <v>1277</v>
      </c>
      <c r="D692" s="60">
        <v>0</v>
      </c>
      <c r="E692" s="61">
        <f t="shared" si="120"/>
        <v>0</v>
      </c>
      <c r="F692" s="60">
        <v>0</v>
      </c>
      <c r="G692" s="61">
        <f t="shared" si="121"/>
        <v>0</v>
      </c>
      <c r="H692" s="60">
        <v>0</v>
      </c>
      <c r="I692" s="61">
        <f t="shared" si="122"/>
        <v>0</v>
      </c>
      <c r="J692" s="60">
        <v>0</v>
      </c>
      <c r="K692" s="61">
        <f t="shared" si="123"/>
        <v>0</v>
      </c>
      <c r="L692" s="62"/>
      <c r="M692" s="61">
        <f t="shared" si="124"/>
        <v>0</v>
      </c>
      <c r="N692" s="63">
        <v>9</v>
      </c>
      <c r="O692" s="61">
        <f t="shared" si="125"/>
        <v>4500</v>
      </c>
      <c r="P692" s="60">
        <v>0</v>
      </c>
      <c r="Q692" s="61">
        <f t="shared" si="126"/>
        <v>0</v>
      </c>
      <c r="R692" s="60">
        <v>0</v>
      </c>
      <c r="S692" s="61">
        <f t="shared" si="127"/>
        <v>0</v>
      </c>
      <c r="T692" s="60">
        <v>0</v>
      </c>
      <c r="U692" s="64">
        <f t="shared" si="128"/>
        <v>0</v>
      </c>
      <c r="V692" s="65">
        <v>0</v>
      </c>
      <c r="W692" s="66">
        <f t="shared" si="129"/>
        <v>4500</v>
      </c>
      <c r="X692" s="67">
        <f t="shared" si="130"/>
        <v>4.5</v>
      </c>
      <c r="Y692" s="57" t="str">
        <f t="shared" si="131"/>
        <v>STOCK</v>
      </c>
      <c r="Z692" s="68" t="s">
        <v>1538</v>
      </c>
    </row>
    <row r="693" spans="1:26" s="8" customFormat="1" ht="20.100000000000001" customHeight="1" x14ac:dyDescent="0.25">
      <c r="A693" s="69" t="s">
        <v>1659</v>
      </c>
      <c r="B693" s="88">
        <v>1110</v>
      </c>
      <c r="C693" s="90" t="s">
        <v>1278</v>
      </c>
      <c r="D693" s="60">
        <v>0</v>
      </c>
      <c r="E693" s="61">
        <f t="shared" si="120"/>
        <v>0</v>
      </c>
      <c r="F693" s="60">
        <v>0</v>
      </c>
      <c r="G693" s="61">
        <f t="shared" si="121"/>
        <v>0</v>
      </c>
      <c r="H693" s="60">
        <v>0</v>
      </c>
      <c r="I693" s="61">
        <f t="shared" si="122"/>
        <v>0</v>
      </c>
      <c r="J693" s="60">
        <v>0</v>
      </c>
      <c r="K693" s="61">
        <f t="shared" si="123"/>
        <v>0</v>
      </c>
      <c r="L693" s="62"/>
      <c r="M693" s="61">
        <f t="shared" si="124"/>
        <v>0</v>
      </c>
      <c r="N693" s="63">
        <v>0</v>
      </c>
      <c r="O693" s="61">
        <f t="shared" si="125"/>
        <v>0</v>
      </c>
      <c r="P693" s="60">
        <v>0</v>
      </c>
      <c r="Q693" s="61">
        <f t="shared" si="126"/>
        <v>0</v>
      </c>
      <c r="R693" s="60">
        <v>0</v>
      </c>
      <c r="S693" s="61">
        <f t="shared" si="127"/>
        <v>0</v>
      </c>
      <c r="T693" s="60">
        <v>0</v>
      </c>
      <c r="U693" s="64">
        <f t="shared" si="128"/>
        <v>0</v>
      </c>
      <c r="V693" s="65">
        <v>0</v>
      </c>
      <c r="W693" s="66">
        <f t="shared" si="129"/>
        <v>0</v>
      </c>
      <c r="X693" s="67">
        <f t="shared" si="130"/>
        <v>0</v>
      </c>
      <c r="Y693" s="57" t="str">
        <f t="shared" si="131"/>
        <v>NIL PLEASE PURCHASE</v>
      </c>
      <c r="Z693" s="68" t="s">
        <v>1539</v>
      </c>
    </row>
    <row r="694" spans="1:26" s="8" customFormat="1" ht="20.100000000000001" customHeight="1" x14ac:dyDescent="0.25">
      <c r="A694" s="69" t="s">
        <v>1660</v>
      </c>
      <c r="B694" s="88">
        <v>1111</v>
      </c>
      <c r="C694" s="90" t="s">
        <v>1279</v>
      </c>
      <c r="D694" s="60">
        <v>0</v>
      </c>
      <c r="E694" s="61">
        <f t="shared" si="120"/>
        <v>0</v>
      </c>
      <c r="F694" s="60">
        <v>0</v>
      </c>
      <c r="G694" s="61">
        <f t="shared" si="121"/>
        <v>0</v>
      </c>
      <c r="H694" s="60">
        <v>0</v>
      </c>
      <c r="I694" s="61">
        <f t="shared" si="122"/>
        <v>0</v>
      </c>
      <c r="J694" s="60">
        <v>0</v>
      </c>
      <c r="K694" s="61">
        <f t="shared" si="123"/>
        <v>0</v>
      </c>
      <c r="L694" s="62"/>
      <c r="M694" s="61">
        <f t="shared" si="124"/>
        <v>0</v>
      </c>
      <c r="N694" s="63">
        <v>4</v>
      </c>
      <c r="O694" s="61">
        <f t="shared" si="125"/>
        <v>2000</v>
      </c>
      <c r="P694" s="60">
        <v>0</v>
      </c>
      <c r="Q694" s="61">
        <f t="shared" si="126"/>
        <v>0</v>
      </c>
      <c r="R694" s="60">
        <v>0</v>
      </c>
      <c r="S694" s="61">
        <f t="shared" si="127"/>
        <v>0</v>
      </c>
      <c r="T694" s="60">
        <v>0</v>
      </c>
      <c r="U694" s="64">
        <f t="shared" si="128"/>
        <v>0</v>
      </c>
      <c r="V694" s="65">
        <v>0</v>
      </c>
      <c r="W694" s="66">
        <f t="shared" si="129"/>
        <v>2000</v>
      </c>
      <c r="X694" s="67">
        <f t="shared" si="130"/>
        <v>2</v>
      </c>
      <c r="Y694" s="57" t="str">
        <f t="shared" si="131"/>
        <v>STOCK</v>
      </c>
      <c r="Z694" s="68" t="s">
        <v>1538</v>
      </c>
    </row>
    <row r="695" spans="1:26" s="8" customFormat="1" ht="20.100000000000001" customHeight="1" x14ac:dyDescent="0.25">
      <c r="A695" s="69" t="s">
        <v>1661</v>
      </c>
      <c r="B695" s="88">
        <v>1112</v>
      </c>
      <c r="C695" s="90" t="s">
        <v>1280</v>
      </c>
      <c r="D695" s="60">
        <v>0</v>
      </c>
      <c r="E695" s="61">
        <f t="shared" si="120"/>
        <v>0</v>
      </c>
      <c r="F695" s="60">
        <v>0</v>
      </c>
      <c r="G695" s="61">
        <f t="shared" si="121"/>
        <v>0</v>
      </c>
      <c r="H695" s="60">
        <v>0</v>
      </c>
      <c r="I695" s="61">
        <f t="shared" si="122"/>
        <v>0</v>
      </c>
      <c r="J695" s="60">
        <v>0</v>
      </c>
      <c r="K695" s="61">
        <f t="shared" si="123"/>
        <v>0</v>
      </c>
      <c r="L695" s="62"/>
      <c r="M695" s="61">
        <f t="shared" si="124"/>
        <v>0</v>
      </c>
      <c r="N695" s="63">
        <v>1</v>
      </c>
      <c r="O695" s="61">
        <f t="shared" si="125"/>
        <v>500</v>
      </c>
      <c r="P695" s="60">
        <v>0</v>
      </c>
      <c r="Q695" s="61">
        <f t="shared" si="126"/>
        <v>0</v>
      </c>
      <c r="R695" s="60">
        <v>0</v>
      </c>
      <c r="S695" s="61">
        <f t="shared" si="127"/>
        <v>0</v>
      </c>
      <c r="T695" s="60">
        <v>0</v>
      </c>
      <c r="U695" s="64">
        <f t="shared" si="128"/>
        <v>0</v>
      </c>
      <c r="V695" s="65">
        <v>0</v>
      </c>
      <c r="W695" s="66">
        <f t="shared" si="129"/>
        <v>500</v>
      </c>
      <c r="X695" s="67">
        <f t="shared" si="130"/>
        <v>0.5</v>
      </c>
      <c r="Y695" s="57" t="str">
        <f t="shared" si="131"/>
        <v>STOCK</v>
      </c>
      <c r="Z695" s="68" t="s">
        <v>1538</v>
      </c>
    </row>
    <row r="696" spans="1:26" s="8" customFormat="1" ht="20.100000000000001" customHeight="1" x14ac:dyDescent="0.25">
      <c r="A696" s="69" t="s">
        <v>1662</v>
      </c>
      <c r="B696" s="88">
        <v>1113</v>
      </c>
      <c r="C696" s="90" t="s">
        <v>1281</v>
      </c>
      <c r="D696" s="60">
        <v>0</v>
      </c>
      <c r="E696" s="61">
        <f t="shared" si="120"/>
        <v>0</v>
      </c>
      <c r="F696" s="60">
        <v>0</v>
      </c>
      <c r="G696" s="61">
        <f t="shared" si="121"/>
        <v>0</v>
      </c>
      <c r="H696" s="60">
        <v>0</v>
      </c>
      <c r="I696" s="61">
        <f t="shared" si="122"/>
        <v>0</v>
      </c>
      <c r="J696" s="60">
        <v>0</v>
      </c>
      <c r="K696" s="61">
        <f t="shared" si="123"/>
        <v>0</v>
      </c>
      <c r="L696" s="62"/>
      <c r="M696" s="61">
        <f t="shared" si="124"/>
        <v>0</v>
      </c>
      <c r="N696" s="63">
        <v>6</v>
      </c>
      <c r="O696" s="61">
        <f t="shared" si="125"/>
        <v>3000</v>
      </c>
      <c r="P696" s="60">
        <v>0</v>
      </c>
      <c r="Q696" s="61">
        <f t="shared" si="126"/>
        <v>0</v>
      </c>
      <c r="R696" s="60">
        <v>0</v>
      </c>
      <c r="S696" s="61">
        <f t="shared" si="127"/>
        <v>0</v>
      </c>
      <c r="T696" s="60">
        <v>0</v>
      </c>
      <c r="U696" s="64">
        <f t="shared" si="128"/>
        <v>0</v>
      </c>
      <c r="V696" s="65">
        <v>0</v>
      </c>
      <c r="W696" s="66">
        <f t="shared" si="129"/>
        <v>3000</v>
      </c>
      <c r="X696" s="67">
        <f t="shared" si="130"/>
        <v>3</v>
      </c>
      <c r="Y696" s="57" t="str">
        <f t="shared" si="131"/>
        <v>STOCK</v>
      </c>
      <c r="Z696" s="68" t="s">
        <v>1538</v>
      </c>
    </row>
    <row r="697" spans="1:26" s="8" customFormat="1" ht="20.100000000000001" customHeight="1" x14ac:dyDescent="0.25">
      <c r="A697" s="69" t="s">
        <v>1663</v>
      </c>
      <c r="B697" s="88">
        <v>1114</v>
      </c>
      <c r="C697" s="90" t="s">
        <v>1282</v>
      </c>
      <c r="D697" s="60">
        <v>0</v>
      </c>
      <c r="E697" s="61">
        <f t="shared" si="120"/>
        <v>0</v>
      </c>
      <c r="F697" s="60">
        <v>0</v>
      </c>
      <c r="G697" s="61">
        <f t="shared" si="121"/>
        <v>0</v>
      </c>
      <c r="H697" s="60">
        <v>0</v>
      </c>
      <c r="I697" s="61">
        <f t="shared" si="122"/>
        <v>0</v>
      </c>
      <c r="J697" s="60">
        <v>0</v>
      </c>
      <c r="K697" s="61">
        <f t="shared" si="123"/>
        <v>0</v>
      </c>
      <c r="L697" s="62"/>
      <c r="M697" s="61">
        <f t="shared" si="124"/>
        <v>0</v>
      </c>
      <c r="N697" s="63">
        <v>3</v>
      </c>
      <c r="O697" s="61">
        <f t="shared" si="125"/>
        <v>1500</v>
      </c>
      <c r="P697" s="60">
        <v>0</v>
      </c>
      <c r="Q697" s="61">
        <f t="shared" si="126"/>
        <v>0</v>
      </c>
      <c r="R697" s="60">
        <v>0</v>
      </c>
      <c r="S697" s="61">
        <f t="shared" si="127"/>
        <v>0</v>
      </c>
      <c r="T697" s="60">
        <v>0</v>
      </c>
      <c r="U697" s="64">
        <f t="shared" si="128"/>
        <v>0</v>
      </c>
      <c r="V697" s="65">
        <v>0</v>
      </c>
      <c r="W697" s="66">
        <f t="shared" si="129"/>
        <v>1500</v>
      </c>
      <c r="X697" s="67">
        <f t="shared" si="130"/>
        <v>1.5</v>
      </c>
      <c r="Y697" s="57" t="str">
        <f t="shared" si="131"/>
        <v>STOCK</v>
      </c>
      <c r="Z697" s="68" t="s">
        <v>1538</v>
      </c>
    </row>
    <row r="698" spans="1:26" s="8" customFormat="1" ht="20.100000000000001" customHeight="1" x14ac:dyDescent="0.25">
      <c r="A698" s="69" t="s">
        <v>1664</v>
      </c>
      <c r="B698" s="88">
        <v>1115</v>
      </c>
      <c r="C698" s="90" t="s">
        <v>1283</v>
      </c>
      <c r="D698" s="60">
        <v>0</v>
      </c>
      <c r="E698" s="61">
        <f t="shared" si="120"/>
        <v>0</v>
      </c>
      <c r="F698" s="60">
        <v>0</v>
      </c>
      <c r="G698" s="61">
        <f t="shared" si="121"/>
        <v>0</v>
      </c>
      <c r="H698" s="60">
        <v>0</v>
      </c>
      <c r="I698" s="61">
        <f t="shared" si="122"/>
        <v>0</v>
      </c>
      <c r="J698" s="60">
        <v>0</v>
      </c>
      <c r="K698" s="61">
        <f t="shared" si="123"/>
        <v>0</v>
      </c>
      <c r="L698" s="62"/>
      <c r="M698" s="61">
        <f t="shared" si="124"/>
        <v>0</v>
      </c>
      <c r="N698" s="63">
        <v>10</v>
      </c>
      <c r="O698" s="61">
        <f t="shared" si="125"/>
        <v>5000</v>
      </c>
      <c r="P698" s="60">
        <v>0</v>
      </c>
      <c r="Q698" s="61">
        <f t="shared" si="126"/>
        <v>0</v>
      </c>
      <c r="R698" s="60">
        <v>0</v>
      </c>
      <c r="S698" s="61">
        <f t="shared" si="127"/>
        <v>0</v>
      </c>
      <c r="T698" s="60">
        <v>0</v>
      </c>
      <c r="U698" s="64">
        <f t="shared" si="128"/>
        <v>0</v>
      </c>
      <c r="V698" s="65">
        <v>0</v>
      </c>
      <c r="W698" s="66">
        <f t="shared" si="129"/>
        <v>5000</v>
      </c>
      <c r="X698" s="67">
        <f t="shared" si="130"/>
        <v>5</v>
      </c>
      <c r="Y698" s="57" t="str">
        <f t="shared" si="131"/>
        <v>STOCK</v>
      </c>
      <c r="Z698" s="68" t="s">
        <v>1538</v>
      </c>
    </row>
    <row r="699" spans="1:26" s="8" customFormat="1" ht="20.100000000000001" customHeight="1" x14ac:dyDescent="0.25">
      <c r="A699" s="69" t="s">
        <v>1665</v>
      </c>
      <c r="B699" s="88">
        <v>1116</v>
      </c>
      <c r="C699" s="90" t="s">
        <v>1284</v>
      </c>
      <c r="D699" s="60">
        <v>0</v>
      </c>
      <c r="E699" s="61">
        <f t="shared" si="120"/>
        <v>0</v>
      </c>
      <c r="F699" s="60">
        <v>0</v>
      </c>
      <c r="G699" s="61">
        <f t="shared" si="121"/>
        <v>0</v>
      </c>
      <c r="H699" s="60">
        <v>0</v>
      </c>
      <c r="I699" s="61">
        <f t="shared" si="122"/>
        <v>0</v>
      </c>
      <c r="J699" s="60">
        <v>0</v>
      </c>
      <c r="K699" s="61">
        <f t="shared" si="123"/>
        <v>0</v>
      </c>
      <c r="L699" s="62"/>
      <c r="M699" s="61">
        <f t="shared" si="124"/>
        <v>0</v>
      </c>
      <c r="N699" s="63">
        <v>0</v>
      </c>
      <c r="O699" s="61">
        <f t="shared" si="125"/>
        <v>0</v>
      </c>
      <c r="P699" s="60">
        <v>0</v>
      </c>
      <c r="Q699" s="61">
        <f t="shared" si="126"/>
        <v>0</v>
      </c>
      <c r="R699" s="60">
        <v>0</v>
      </c>
      <c r="S699" s="61">
        <f t="shared" si="127"/>
        <v>0</v>
      </c>
      <c r="T699" s="60">
        <v>0</v>
      </c>
      <c r="U699" s="64">
        <f t="shared" si="128"/>
        <v>0</v>
      </c>
      <c r="V699" s="65">
        <v>0</v>
      </c>
      <c r="W699" s="66">
        <f t="shared" si="129"/>
        <v>0</v>
      </c>
      <c r="X699" s="67">
        <f t="shared" si="130"/>
        <v>0</v>
      </c>
      <c r="Y699" s="57" t="str">
        <f t="shared" si="131"/>
        <v>NIL PLEASE PURCHASE</v>
      </c>
      <c r="Z699" s="68" t="s">
        <v>1539</v>
      </c>
    </row>
    <row r="700" spans="1:26" s="8" customFormat="1" ht="20.100000000000001" customHeight="1" x14ac:dyDescent="0.25">
      <c r="A700" s="69" t="s">
        <v>1666</v>
      </c>
      <c r="B700" s="88">
        <v>1117</v>
      </c>
      <c r="C700" s="90" t="s">
        <v>1285</v>
      </c>
      <c r="D700" s="60">
        <v>0</v>
      </c>
      <c r="E700" s="61">
        <f t="shared" si="120"/>
        <v>0</v>
      </c>
      <c r="F700" s="60">
        <v>0</v>
      </c>
      <c r="G700" s="61">
        <f t="shared" si="121"/>
        <v>0</v>
      </c>
      <c r="H700" s="60">
        <v>0</v>
      </c>
      <c r="I700" s="61">
        <f t="shared" si="122"/>
        <v>0</v>
      </c>
      <c r="J700" s="60">
        <v>2</v>
      </c>
      <c r="K700" s="61">
        <f t="shared" si="123"/>
        <v>200</v>
      </c>
      <c r="L700" s="62"/>
      <c r="M700" s="61">
        <f t="shared" si="124"/>
        <v>0</v>
      </c>
      <c r="N700" s="63">
        <v>5</v>
      </c>
      <c r="O700" s="61">
        <f t="shared" si="125"/>
        <v>2500</v>
      </c>
      <c r="P700" s="60">
        <v>0</v>
      </c>
      <c r="Q700" s="61">
        <f t="shared" si="126"/>
        <v>0</v>
      </c>
      <c r="R700" s="60">
        <v>0</v>
      </c>
      <c r="S700" s="61">
        <f t="shared" si="127"/>
        <v>0</v>
      </c>
      <c r="T700" s="60">
        <v>0</v>
      </c>
      <c r="U700" s="64">
        <f t="shared" si="128"/>
        <v>0</v>
      </c>
      <c r="V700" s="65">
        <v>0</v>
      </c>
      <c r="W700" s="66">
        <f t="shared" si="129"/>
        <v>2700</v>
      </c>
      <c r="X700" s="67">
        <f t="shared" si="130"/>
        <v>2.7</v>
      </c>
      <c r="Y700" s="57" t="str">
        <f t="shared" si="131"/>
        <v>STOCK</v>
      </c>
      <c r="Z700" s="68" t="s">
        <v>1538</v>
      </c>
    </row>
    <row r="701" spans="1:26" s="8" customFormat="1" ht="20.100000000000001" customHeight="1" x14ac:dyDescent="0.25">
      <c r="A701" s="69" t="s">
        <v>1667</v>
      </c>
      <c r="B701" s="88">
        <v>1118</v>
      </c>
      <c r="C701" s="90" t="s">
        <v>1286</v>
      </c>
      <c r="D701" s="60">
        <v>0</v>
      </c>
      <c r="E701" s="61">
        <f t="shared" si="120"/>
        <v>0</v>
      </c>
      <c r="F701" s="60">
        <v>0</v>
      </c>
      <c r="G701" s="61">
        <f t="shared" si="121"/>
        <v>0</v>
      </c>
      <c r="H701" s="60">
        <v>0</v>
      </c>
      <c r="I701" s="61">
        <f t="shared" si="122"/>
        <v>0</v>
      </c>
      <c r="J701" s="60">
        <v>0</v>
      </c>
      <c r="K701" s="61">
        <f t="shared" si="123"/>
        <v>0</v>
      </c>
      <c r="L701" s="62"/>
      <c r="M701" s="61">
        <f t="shared" si="124"/>
        <v>0</v>
      </c>
      <c r="N701" s="63">
        <v>0</v>
      </c>
      <c r="O701" s="61">
        <f t="shared" si="125"/>
        <v>0</v>
      </c>
      <c r="P701" s="60">
        <v>0</v>
      </c>
      <c r="Q701" s="61">
        <f t="shared" si="126"/>
        <v>0</v>
      </c>
      <c r="R701" s="60">
        <v>0</v>
      </c>
      <c r="S701" s="61">
        <f t="shared" si="127"/>
        <v>0</v>
      </c>
      <c r="T701" s="60">
        <v>0</v>
      </c>
      <c r="U701" s="64">
        <f t="shared" si="128"/>
        <v>0</v>
      </c>
      <c r="V701" s="65">
        <v>0</v>
      </c>
      <c r="W701" s="66">
        <f t="shared" si="129"/>
        <v>0</v>
      </c>
      <c r="X701" s="67">
        <f t="shared" si="130"/>
        <v>0</v>
      </c>
      <c r="Y701" s="57" t="str">
        <f t="shared" si="131"/>
        <v>NIL PLEASE PURCHASE</v>
      </c>
      <c r="Z701" s="68" t="s">
        <v>1539</v>
      </c>
    </row>
    <row r="702" spans="1:26" s="8" customFormat="1" ht="20.100000000000001" customHeight="1" x14ac:dyDescent="0.25">
      <c r="A702" s="69" t="s">
        <v>1668</v>
      </c>
      <c r="B702" s="88">
        <v>1119</v>
      </c>
      <c r="C702" s="90" t="s">
        <v>1287</v>
      </c>
      <c r="D702" s="60">
        <v>0</v>
      </c>
      <c r="E702" s="61">
        <f t="shared" si="120"/>
        <v>0</v>
      </c>
      <c r="F702" s="60">
        <v>0</v>
      </c>
      <c r="G702" s="61">
        <f t="shared" si="121"/>
        <v>0</v>
      </c>
      <c r="H702" s="60">
        <v>0</v>
      </c>
      <c r="I702" s="61">
        <f t="shared" si="122"/>
        <v>0</v>
      </c>
      <c r="J702" s="60">
        <v>0</v>
      </c>
      <c r="K702" s="61">
        <f t="shared" si="123"/>
        <v>0</v>
      </c>
      <c r="L702" s="62">
        <v>1</v>
      </c>
      <c r="M702" s="61"/>
      <c r="N702" s="63">
        <v>2</v>
      </c>
      <c r="O702" s="61">
        <f t="shared" si="125"/>
        <v>1000</v>
      </c>
      <c r="P702" s="60">
        <v>0</v>
      </c>
      <c r="Q702" s="61">
        <f t="shared" si="126"/>
        <v>0</v>
      </c>
      <c r="R702" s="60">
        <v>0</v>
      </c>
      <c r="S702" s="61">
        <f t="shared" si="127"/>
        <v>0</v>
      </c>
      <c r="T702" s="60">
        <v>0</v>
      </c>
      <c r="U702" s="64">
        <f t="shared" si="128"/>
        <v>0</v>
      </c>
      <c r="V702" s="65">
        <v>0</v>
      </c>
      <c r="W702" s="66">
        <f t="shared" si="129"/>
        <v>1000</v>
      </c>
      <c r="X702" s="67">
        <f t="shared" si="130"/>
        <v>1</v>
      </c>
      <c r="Y702" s="57" t="str">
        <f t="shared" si="131"/>
        <v>STOCK</v>
      </c>
      <c r="Z702" s="68" t="s">
        <v>1538</v>
      </c>
    </row>
    <row r="703" spans="1:26" s="8" customFormat="1" ht="20.100000000000001" customHeight="1" x14ac:dyDescent="0.25">
      <c r="A703" s="69" t="s">
        <v>1669</v>
      </c>
      <c r="B703" s="88">
        <v>1120</v>
      </c>
      <c r="C703" s="90" t="s">
        <v>1288</v>
      </c>
      <c r="D703" s="60">
        <v>0</v>
      </c>
      <c r="E703" s="61">
        <f t="shared" si="120"/>
        <v>0</v>
      </c>
      <c r="F703" s="60">
        <v>6</v>
      </c>
      <c r="G703" s="61">
        <f t="shared" si="121"/>
        <v>150</v>
      </c>
      <c r="H703" s="60">
        <v>0</v>
      </c>
      <c r="I703" s="61">
        <f t="shared" si="122"/>
        <v>0</v>
      </c>
      <c r="J703" s="60">
        <v>0</v>
      </c>
      <c r="K703" s="61">
        <f t="shared" si="123"/>
        <v>0</v>
      </c>
      <c r="L703" s="62"/>
      <c r="M703" s="61">
        <f t="shared" si="124"/>
        <v>0</v>
      </c>
      <c r="N703" s="63">
        <v>0</v>
      </c>
      <c r="O703" s="61">
        <f t="shared" si="125"/>
        <v>0</v>
      </c>
      <c r="P703" s="60">
        <v>0</v>
      </c>
      <c r="Q703" s="61">
        <f t="shared" si="126"/>
        <v>0</v>
      </c>
      <c r="R703" s="60">
        <v>0</v>
      </c>
      <c r="S703" s="61">
        <f t="shared" si="127"/>
        <v>0</v>
      </c>
      <c r="T703" s="60">
        <v>0</v>
      </c>
      <c r="U703" s="64">
        <f t="shared" si="128"/>
        <v>0</v>
      </c>
      <c r="V703" s="65">
        <v>0</v>
      </c>
      <c r="W703" s="66">
        <f t="shared" si="129"/>
        <v>150</v>
      </c>
      <c r="X703" s="67">
        <f t="shared" si="130"/>
        <v>0.15</v>
      </c>
      <c r="Y703" s="57" t="str">
        <f t="shared" si="131"/>
        <v>STOCK</v>
      </c>
      <c r="Z703" s="68" t="s">
        <v>1538</v>
      </c>
    </row>
    <row r="704" spans="1:26" s="8" customFormat="1" ht="20.100000000000001" customHeight="1" x14ac:dyDescent="0.25">
      <c r="A704" s="69" t="s">
        <v>1670</v>
      </c>
      <c r="B704" s="88">
        <v>1121</v>
      </c>
      <c r="C704" s="90" t="s">
        <v>1289</v>
      </c>
      <c r="D704" s="60">
        <v>0</v>
      </c>
      <c r="E704" s="61">
        <f t="shared" si="120"/>
        <v>0</v>
      </c>
      <c r="F704" s="60">
        <v>0</v>
      </c>
      <c r="G704" s="61">
        <f t="shared" si="121"/>
        <v>0</v>
      </c>
      <c r="H704" s="60">
        <v>0</v>
      </c>
      <c r="I704" s="61">
        <f t="shared" si="122"/>
        <v>0</v>
      </c>
      <c r="J704" s="60">
        <v>0</v>
      </c>
      <c r="K704" s="61">
        <f t="shared" si="123"/>
        <v>0</v>
      </c>
      <c r="L704" s="62"/>
      <c r="M704" s="61">
        <f t="shared" si="124"/>
        <v>0</v>
      </c>
      <c r="N704" s="63">
        <v>1</v>
      </c>
      <c r="O704" s="61">
        <f t="shared" si="125"/>
        <v>500</v>
      </c>
      <c r="P704" s="60">
        <v>0</v>
      </c>
      <c r="Q704" s="61">
        <f t="shared" si="126"/>
        <v>0</v>
      </c>
      <c r="R704" s="60">
        <v>0</v>
      </c>
      <c r="S704" s="61">
        <f t="shared" si="127"/>
        <v>0</v>
      </c>
      <c r="T704" s="60">
        <v>0</v>
      </c>
      <c r="U704" s="64">
        <f t="shared" si="128"/>
        <v>0</v>
      </c>
      <c r="V704" s="65">
        <v>0</v>
      </c>
      <c r="W704" s="66">
        <f t="shared" si="129"/>
        <v>500</v>
      </c>
      <c r="X704" s="67">
        <f t="shared" si="130"/>
        <v>0.5</v>
      </c>
      <c r="Y704" s="57" t="str">
        <f t="shared" si="131"/>
        <v>STOCK</v>
      </c>
      <c r="Z704" s="68" t="s">
        <v>1538</v>
      </c>
    </row>
    <row r="705" spans="1:26" s="8" customFormat="1" ht="20.100000000000001" customHeight="1" x14ac:dyDescent="0.25">
      <c r="A705" s="69" t="s">
        <v>1671</v>
      </c>
      <c r="B705" s="88">
        <v>1122</v>
      </c>
      <c r="C705" s="90" t="s">
        <v>1290</v>
      </c>
      <c r="D705" s="60">
        <v>0</v>
      </c>
      <c r="E705" s="61">
        <f t="shared" si="120"/>
        <v>0</v>
      </c>
      <c r="F705" s="60">
        <v>0</v>
      </c>
      <c r="G705" s="61">
        <f t="shared" si="121"/>
        <v>0</v>
      </c>
      <c r="H705" s="60">
        <v>0</v>
      </c>
      <c r="I705" s="61">
        <f t="shared" si="122"/>
        <v>0</v>
      </c>
      <c r="J705" s="60">
        <v>0</v>
      </c>
      <c r="K705" s="61">
        <f t="shared" si="123"/>
        <v>0</v>
      </c>
      <c r="L705" s="62"/>
      <c r="M705" s="61">
        <f t="shared" si="124"/>
        <v>0</v>
      </c>
      <c r="N705" s="63">
        <v>2</v>
      </c>
      <c r="O705" s="61">
        <f t="shared" si="125"/>
        <v>1000</v>
      </c>
      <c r="P705" s="60">
        <v>0</v>
      </c>
      <c r="Q705" s="61">
        <f t="shared" si="126"/>
        <v>0</v>
      </c>
      <c r="R705" s="60">
        <v>0</v>
      </c>
      <c r="S705" s="61">
        <f t="shared" si="127"/>
        <v>0</v>
      </c>
      <c r="T705" s="60">
        <v>0</v>
      </c>
      <c r="U705" s="64">
        <f t="shared" si="128"/>
        <v>0</v>
      </c>
      <c r="V705" s="65">
        <v>0</v>
      </c>
      <c r="W705" s="66">
        <f t="shared" si="129"/>
        <v>1000</v>
      </c>
      <c r="X705" s="67">
        <f t="shared" si="130"/>
        <v>1</v>
      </c>
      <c r="Y705" s="57" t="str">
        <f t="shared" si="131"/>
        <v>STOCK</v>
      </c>
      <c r="Z705" s="68" t="s">
        <v>1538</v>
      </c>
    </row>
    <row r="706" spans="1:26" s="8" customFormat="1" ht="20.100000000000001" customHeight="1" x14ac:dyDescent="0.25">
      <c r="A706" s="69" t="s">
        <v>1672</v>
      </c>
      <c r="B706" s="88">
        <v>1123</v>
      </c>
      <c r="C706" s="90" t="s">
        <v>1291</v>
      </c>
      <c r="D706" s="60">
        <v>0</v>
      </c>
      <c r="E706" s="61">
        <f t="shared" si="120"/>
        <v>0</v>
      </c>
      <c r="F706" s="60">
        <v>0</v>
      </c>
      <c r="G706" s="61">
        <f t="shared" si="121"/>
        <v>0</v>
      </c>
      <c r="H706" s="60">
        <v>0</v>
      </c>
      <c r="I706" s="61">
        <f t="shared" si="122"/>
        <v>0</v>
      </c>
      <c r="J706" s="60">
        <v>1</v>
      </c>
      <c r="K706" s="61">
        <f t="shared" si="123"/>
        <v>100</v>
      </c>
      <c r="L706" s="62">
        <v>10</v>
      </c>
      <c r="M706" s="61">
        <f t="shared" si="124"/>
        <v>2500</v>
      </c>
      <c r="N706" s="63">
        <v>0</v>
      </c>
      <c r="O706" s="61">
        <f t="shared" si="125"/>
        <v>0</v>
      </c>
      <c r="P706" s="60">
        <v>0</v>
      </c>
      <c r="Q706" s="61">
        <f t="shared" si="126"/>
        <v>0</v>
      </c>
      <c r="R706" s="60">
        <v>0</v>
      </c>
      <c r="S706" s="61">
        <f t="shared" si="127"/>
        <v>0</v>
      </c>
      <c r="T706" s="60">
        <v>0</v>
      </c>
      <c r="U706" s="64">
        <f t="shared" si="128"/>
        <v>0</v>
      </c>
      <c r="V706" s="65">
        <v>0</v>
      </c>
      <c r="W706" s="66">
        <f t="shared" si="129"/>
        <v>2600</v>
      </c>
      <c r="X706" s="67">
        <f t="shared" si="130"/>
        <v>2.6</v>
      </c>
      <c r="Y706" s="57" t="str">
        <f t="shared" si="131"/>
        <v>STOCK</v>
      </c>
      <c r="Z706" s="68" t="s">
        <v>1538</v>
      </c>
    </row>
    <row r="707" spans="1:26" s="8" customFormat="1" ht="20.100000000000001" customHeight="1" x14ac:dyDescent="0.25">
      <c r="A707" s="69" t="s">
        <v>1673</v>
      </c>
      <c r="B707" s="88">
        <v>1124</v>
      </c>
      <c r="C707" s="90" t="s">
        <v>1292</v>
      </c>
      <c r="D707" s="60">
        <v>0</v>
      </c>
      <c r="E707" s="61">
        <f t="shared" si="120"/>
        <v>0</v>
      </c>
      <c r="F707" s="60">
        <v>0</v>
      </c>
      <c r="G707" s="61">
        <f t="shared" si="121"/>
        <v>0</v>
      </c>
      <c r="H707" s="60">
        <v>0</v>
      </c>
      <c r="I707" s="61">
        <f t="shared" si="122"/>
        <v>0</v>
      </c>
      <c r="J707" s="60">
        <v>0</v>
      </c>
      <c r="K707" s="61">
        <f t="shared" si="123"/>
        <v>0</v>
      </c>
      <c r="L707" s="62"/>
      <c r="M707" s="61">
        <f t="shared" si="124"/>
        <v>0</v>
      </c>
      <c r="N707" s="63">
        <v>0</v>
      </c>
      <c r="O707" s="61">
        <f t="shared" si="125"/>
        <v>0</v>
      </c>
      <c r="P707" s="60">
        <v>0</v>
      </c>
      <c r="Q707" s="61">
        <f t="shared" si="126"/>
        <v>0</v>
      </c>
      <c r="R707" s="60">
        <v>0</v>
      </c>
      <c r="S707" s="61">
        <f t="shared" si="127"/>
        <v>0</v>
      </c>
      <c r="T707" s="60">
        <v>0</v>
      </c>
      <c r="U707" s="64">
        <f t="shared" si="128"/>
        <v>0</v>
      </c>
      <c r="V707" s="65">
        <v>0</v>
      </c>
      <c r="W707" s="66">
        <f t="shared" si="129"/>
        <v>0</v>
      </c>
      <c r="X707" s="67">
        <f t="shared" si="130"/>
        <v>0</v>
      </c>
      <c r="Y707" s="57" t="str">
        <f t="shared" si="131"/>
        <v>NIL PLEASE PURCHASE</v>
      </c>
      <c r="Z707" s="68" t="s">
        <v>1539</v>
      </c>
    </row>
    <row r="708" spans="1:26" s="8" customFormat="1" ht="20.100000000000001" customHeight="1" x14ac:dyDescent="0.25">
      <c r="A708" s="69" t="s">
        <v>1674</v>
      </c>
      <c r="B708" s="88">
        <v>1125</v>
      </c>
      <c r="C708" s="90" t="s">
        <v>1293</v>
      </c>
      <c r="D708" s="60">
        <v>0</v>
      </c>
      <c r="E708" s="61">
        <f t="shared" si="120"/>
        <v>0</v>
      </c>
      <c r="F708" s="60">
        <v>0</v>
      </c>
      <c r="G708" s="61">
        <f t="shared" si="121"/>
        <v>0</v>
      </c>
      <c r="H708" s="60">
        <v>13</v>
      </c>
      <c r="I708" s="61">
        <f t="shared" si="122"/>
        <v>650</v>
      </c>
      <c r="J708" s="60">
        <v>0</v>
      </c>
      <c r="K708" s="61">
        <f t="shared" si="123"/>
        <v>0</v>
      </c>
      <c r="L708" s="62"/>
      <c r="M708" s="61">
        <f t="shared" si="124"/>
        <v>0</v>
      </c>
      <c r="N708" s="63">
        <v>0</v>
      </c>
      <c r="O708" s="61">
        <f t="shared" si="125"/>
        <v>0</v>
      </c>
      <c r="P708" s="60">
        <v>0</v>
      </c>
      <c r="Q708" s="61">
        <f t="shared" si="126"/>
        <v>0</v>
      </c>
      <c r="R708" s="60">
        <v>0</v>
      </c>
      <c r="S708" s="61">
        <f t="shared" si="127"/>
        <v>0</v>
      </c>
      <c r="T708" s="60">
        <v>0</v>
      </c>
      <c r="U708" s="64">
        <f t="shared" si="128"/>
        <v>0</v>
      </c>
      <c r="V708" s="65">
        <v>0</v>
      </c>
      <c r="W708" s="66">
        <f t="shared" si="129"/>
        <v>650</v>
      </c>
      <c r="X708" s="67">
        <f t="shared" si="130"/>
        <v>0.65</v>
      </c>
      <c r="Y708" s="57" t="str">
        <f t="shared" si="131"/>
        <v>STOCK</v>
      </c>
      <c r="Z708" s="68" t="s">
        <v>1538</v>
      </c>
    </row>
    <row r="709" spans="1:26" s="8" customFormat="1" ht="20.100000000000001" customHeight="1" x14ac:dyDescent="0.25">
      <c r="A709" s="69" t="s">
        <v>1675</v>
      </c>
      <c r="B709" s="88">
        <v>1126</v>
      </c>
      <c r="C709" s="90" t="s">
        <v>1294</v>
      </c>
      <c r="D709" s="60">
        <v>0</v>
      </c>
      <c r="E709" s="61">
        <f t="shared" ref="E709:E772" si="132">D709*10</f>
        <v>0</v>
      </c>
      <c r="F709" s="60">
        <v>0</v>
      </c>
      <c r="G709" s="61">
        <f t="shared" ref="G709:G772" si="133">F709*25</f>
        <v>0</v>
      </c>
      <c r="H709" s="60">
        <v>0</v>
      </c>
      <c r="I709" s="61">
        <f t="shared" ref="I709:I772" si="134">H709*50</f>
        <v>0</v>
      </c>
      <c r="J709" s="60">
        <v>0</v>
      </c>
      <c r="K709" s="61">
        <f t="shared" ref="K709:K772" si="135">J709*100</f>
        <v>0</v>
      </c>
      <c r="L709" s="62"/>
      <c r="M709" s="61">
        <f t="shared" ref="M709:M772" si="136">L709*250</f>
        <v>0</v>
      </c>
      <c r="N709" s="63">
        <v>0</v>
      </c>
      <c r="O709" s="61">
        <f t="shared" ref="O709:O772" si="137">N709*500</f>
        <v>0</v>
      </c>
      <c r="P709" s="60">
        <v>0</v>
      </c>
      <c r="Q709" s="61">
        <f t="shared" ref="Q709:Q772" si="138">P709*1000</f>
        <v>0</v>
      </c>
      <c r="R709" s="60">
        <v>0</v>
      </c>
      <c r="S709" s="61">
        <f t="shared" ref="S709:S772" si="139">R709*2500</f>
        <v>0</v>
      </c>
      <c r="T709" s="60">
        <v>0</v>
      </c>
      <c r="U709" s="64">
        <f t="shared" ref="U709:U772" si="140">T709*5000</f>
        <v>0</v>
      </c>
      <c r="V709" s="65">
        <v>0</v>
      </c>
      <c r="W709" s="66">
        <f t="shared" ref="W709:W772" si="141">E709+G709+I709+K709+M709+O709+Q709+S709+U709</f>
        <v>0</v>
      </c>
      <c r="X709" s="67">
        <f t="shared" ref="X709:X772" si="142">SUM(W709:W709)/1000</f>
        <v>0</v>
      </c>
      <c r="Y709" s="57" t="str">
        <f t="shared" ref="Y709:Y772" si="143">IF(W709=0,("NIL PLEASE PURCHASE"),("STOCK"))</f>
        <v>NIL PLEASE PURCHASE</v>
      </c>
      <c r="Z709" s="68" t="s">
        <v>1539</v>
      </c>
    </row>
    <row r="710" spans="1:26" s="8" customFormat="1" ht="20.100000000000001" customHeight="1" x14ac:dyDescent="0.25">
      <c r="A710" s="69" t="s">
        <v>1676</v>
      </c>
      <c r="B710" s="88">
        <v>1127</v>
      </c>
      <c r="C710" s="90" t="s">
        <v>1295</v>
      </c>
      <c r="D710" s="60">
        <v>0</v>
      </c>
      <c r="E710" s="61">
        <f t="shared" si="132"/>
        <v>0</v>
      </c>
      <c r="F710" s="60">
        <v>0</v>
      </c>
      <c r="G710" s="61">
        <f t="shared" si="133"/>
        <v>0</v>
      </c>
      <c r="H710" s="60">
        <v>0</v>
      </c>
      <c r="I710" s="61">
        <f t="shared" si="134"/>
        <v>0</v>
      </c>
      <c r="J710" s="60">
        <v>3</v>
      </c>
      <c r="K710" s="61">
        <f t="shared" si="135"/>
        <v>300</v>
      </c>
      <c r="L710" s="62"/>
      <c r="M710" s="61">
        <f t="shared" si="136"/>
        <v>0</v>
      </c>
      <c r="N710" s="63">
        <v>0</v>
      </c>
      <c r="O710" s="61">
        <f t="shared" si="137"/>
        <v>0</v>
      </c>
      <c r="P710" s="60">
        <v>0</v>
      </c>
      <c r="Q710" s="61">
        <f t="shared" si="138"/>
        <v>0</v>
      </c>
      <c r="R710" s="60">
        <v>0</v>
      </c>
      <c r="S710" s="61">
        <f t="shared" si="139"/>
        <v>0</v>
      </c>
      <c r="T710" s="60">
        <v>0</v>
      </c>
      <c r="U710" s="64">
        <f t="shared" si="140"/>
        <v>0</v>
      </c>
      <c r="V710" s="65">
        <v>0</v>
      </c>
      <c r="W710" s="66">
        <f t="shared" si="141"/>
        <v>300</v>
      </c>
      <c r="X710" s="67">
        <f t="shared" si="142"/>
        <v>0.3</v>
      </c>
      <c r="Y710" s="57" t="str">
        <f t="shared" si="143"/>
        <v>STOCK</v>
      </c>
      <c r="Z710" s="68" t="s">
        <v>1538</v>
      </c>
    </row>
    <row r="711" spans="1:26" s="8" customFormat="1" ht="20.100000000000001" customHeight="1" x14ac:dyDescent="0.25">
      <c r="A711" s="69" t="s">
        <v>1677</v>
      </c>
      <c r="B711" s="88">
        <v>1128</v>
      </c>
      <c r="C711" s="90" t="s">
        <v>1296</v>
      </c>
      <c r="D711" s="60">
        <v>0</v>
      </c>
      <c r="E711" s="61">
        <f t="shared" si="132"/>
        <v>0</v>
      </c>
      <c r="F711" s="60">
        <v>0</v>
      </c>
      <c r="G711" s="61">
        <f t="shared" si="133"/>
        <v>0</v>
      </c>
      <c r="H711" s="60">
        <v>0</v>
      </c>
      <c r="I711" s="61">
        <f t="shared" si="134"/>
        <v>0</v>
      </c>
      <c r="J711" s="60">
        <v>0</v>
      </c>
      <c r="K711" s="61">
        <f t="shared" si="135"/>
        <v>0</v>
      </c>
      <c r="L711" s="62"/>
      <c r="M711" s="61">
        <f t="shared" si="136"/>
        <v>0</v>
      </c>
      <c r="N711" s="63">
        <v>0</v>
      </c>
      <c r="O711" s="61">
        <f t="shared" si="137"/>
        <v>0</v>
      </c>
      <c r="P711" s="60">
        <v>0</v>
      </c>
      <c r="Q711" s="61">
        <f t="shared" si="138"/>
        <v>0</v>
      </c>
      <c r="R711" s="60">
        <v>0</v>
      </c>
      <c r="S711" s="61">
        <f t="shared" si="139"/>
        <v>0</v>
      </c>
      <c r="T711" s="60">
        <v>0</v>
      </c>
      <c r="U711" s="64">
        <f t="shared" si="140"/>
        <v>0</v>
      </c>
      <c r="V711" s="65">
        <v>0</v>
      </c>
      <c r="W711" s="66">
        <f t="shared" si="141"/>
        <v>0</v>
      </c>
      <c r="X711" s="67">
        <f t="shared" si="142"/>
        <v>0</v>
      </c>
      <c r="Y711" s="57" t="str">
        <f t="shared" si="143"/>
        <v>NIL PLEASE PURCHASE</v>
      </c>
      <c r="Z711" s="68" t="s">
        <v>1539</v>
      </c>
    </row>
    <row r="712" spans="1:26" s="8" customFormat="1" ht="20.100000000000001" customHeight="1" x14ac:dyDescent="0.25">
      <c r="A712" s="69" t="s">
        <v>1678</v>
      </c>
      <c r="B712" s="88">
        <v>1129</v>
      </c>
      <c r="C712" s="90" t="s">
        <v>1297</v>
      </c>
      <c r="D712" s="60">
        <v>0</v>
      </c>
      <c r="E712" s="61">
        <f t="shared" si="132"/>
        <v>0</v>
      </c>
      <c r="F712" s="60">
        <v>0</v>
      </c>
      <c r="G712" s="61">
        <f t="shared" si="133"/>
        <v>0</v>
      </c>
      <c r="H712" s="60">
        <v>0</v>
      </c>
      <c r="I712" s="61">
        <f t="shared" si="134"/>
        <v>0</v>
      </c>
      <c r="J712" s="60">
        <v>0</v>
      </c>
      <c r="K712" s="61">
        <f t="shared" si="135"/>
        <v>0</v>
      </c>
      <c r="L712" s="62"/>
      <c r="M712" s="61">
        <f t="shared" si="136"/>
        <v>0</v>
      </c>
      <c r="N712" s="63">
        <v>0</v>
      </c>
      <c r="O712" s="61">
        <f t="shared" si="137"/>
        <v>0</v>
      </c>
      <c r="P712" s="60">
        <v>0</v>
      </c>
      <c r="Q712" s="61">
        <f t="shared" si="138"/>
        <v>0</v>
      </c>
      <c r="R712" s="60">
        <v>0</v>
      </c>
      <c r="S712" s="61">
        <f t="shared" si="139"/>
        <v>0</v>
      </c>
      <c r="T712" s="60">
        <v>0</v>
      </c>
      <c r="U712" s="64">
        <f t="shared" si="140"/>
        <v>0</v>
      </c>
      <c r="V712" s="65">
        <v>0</v>
      </c>
      <c r="W712" s="66">
        <f t="shared" si="141"/>
        <v>0</v>
      </c>
      <c r="X712" s="67">
        <f t="shared" si="142"/>
        <v>0</v>
      </c>
      <c r="Y712" s="57" t="str">
        <f t="shared" si="143"/>
        <v>NIL PLEASE PURCHASE</v>
      </c>
      <c r="Z712" s="68" t="s">
        <v>1539</v>
      </c>
    </row>
    <row r="713" spans="1:26" s="8" customFormat="1" ht="20.100000000000001" customHeight="1" x14ac:dyDescent="0.25">
      <c r="A713" s="69" t="s">
        <v>1679</v>
      </c>
      <c r="B713" s="88">
        <v>1130</v>
      </c>
      <c r="C713" s="90" t="s">
        <v>1297</v>
      </c>
      <c r="D713" s="60">
        <v>0</v>
      </c>
      <c r="E713" s="61">
        <f t="shared" si="132"/>
        <v>0</v>
      </c>
      <c r="F713" s="60">
        <v>0</v>
      </c>
      <c r="G713" s="61">
        <f t="shared" si="133"/>
        <v>0</v>
      </c>
      <c r="H713" s="60">
        <v>0</v>
      </c>
      <c r="I713" s="61">
        <f t="shared" si="134"/>
        <v>0</v>
      </c>
      <c r="J713" s="60">
        <v>0</v>
      </c>
      <c r="K713" s="61">
        <f t="shared" si="135"/>
        <v>0</v>
      </c>
      <c r="L713" s="62"/>
      <c r="M713" s="61">
        <f t="shared" si="136"/>
        <v>0</v>
      </c>
      <c r="N713" s="63">
        <v>0</v>
      </c>
      <c r="O713" s="61">
        <f t="shared" si="137"/>
        <v>0</v>
      </c>
      <c r="P713" s="60">
        <v>0</v>
      </c>
      <c r="Q713" s="61">
        <f t="shared" si="138"/>
        <v>0</v>
      </c>
      <c r="R713" s="60">
        <v>0</v>
      </c>
      <c r="S713" s="61">
        <f t="shared" si="139"/>
        <v>0</v>
      </c>
      <c r="T713" s="60">
        <v>0</v>
      </c>
      <c r="U713" s="64">
        <f t="shared" si="140"/>
        <v>0</v>
      </c>
      <c r="V713" s="65">
        <v>0</v>
      </c>
      <c r="W713" s="66">
        <f t="shared" si="141"/>
        <v>0</v>
      </c>
      <c r="X713" s="67">
        <f t="shared" si="142"/>
        <v>0</v>
      </c>
      <c r="Y713" s="57" t="str">
        <f t="shared" si="143"/>
        <v>NIL PLEASE PURCHASE</v>
      </c>
      <c r="Z713" s="68" t="s">
        <v>1539</v>
      </c>
    </row>
    <row r="714" spans="1:26" s="8" customFormat="1" ht="20.100000000000001" customHeight="1" x14ac:dyDescent="0.25">
      <c r="A714" s="69" t="s">
        <v>1680</v>
      </c>
      <c r="B714" s="88">
        <v>1131</v>
      </c>
      <c r="C714" s="90" t="s">
        <v>1169</v>
      </c>
      <c r="D714" s="60">
        <v>0</v>
      </c>
      <c r="E714" s="61">
        <f t="shared" si="132"/>
        <v>0</v>
      </c>
      <c r="F714" s="60">
        <v>0</v>
      </c>
      <c r="G714" s="61">
        <f t="shared" si="133"/>
        <v>0</v>
      </c>
      <c r="H714" s="60">
        <v>0</v>
      </c>
      <c r="I714" s="61">
        <f t="shared" si="134"/>
        <v>0</v>
      </c>
      <c r="J714" s="60">
        <v>15</v>
      </c>
      <c r="K714" s="61">
        <f t="shared" si="135"/>
        <v>1500</v>
      </c>
      <c r="L714" s="62"/>
      <c r="M714" s="61">
        <f t="shared" si="136"/>
        <v>0</v>
      </c>
      <c r="N714" s="63">
        <v>0</v>
      </c>
      <c r="O714" s="61">
        <f t="shared" si="137"/>
        <v>0</v>
      </c>
      <c r="P714" s="60">
        <v>0</v>
      </c>
      <c r="Q714" s="61">
        <f t="shared" si="138"/>
        <v>0</v>
      </c>
      <c r="R714" s="60">
        <v>0</v>
      </c>
      <c r="S714" s="61">
        <f t="shared" si="139"/>
        <v>0</v>
      </c>
      <c r="T714" s="60">
        <v>0</v>
      </c>
      <c r="U714" s="64">
        <f t="shared" si="140"/>
        <v>0</v>
      </c>
      <c r="V714" s="65">
        <v>0</v>
      </c>
      <c r="W714" s="66">
        <f t="shared" si="141"/>
        <v>1500</v>
      </c>
      <c r="X714" s="67">
        <f t="shared" si="142"/>
        <v>1.5</v>
      </c>
      <c r="Y714" s="57" t="str">
        <f t="shared" si="143"/>
        <v>STOCK</v>
      </c>
      <c r="Z714" s="68" t="s">
        <v>1538</v>
      </c>
    </row>
    <row r="715" spans="1:26" s="8" customFormat="1" ht="20.100000000000001" customHeight="1" x14ac:dyDescent="0.25">
      <c r="A715" s="69" t="s">
        <v>1681</v>
      </c>
      <c r="B715" s="88">
        <v>1132</v>
      </c>
      <c r="C715" s="90" t="s">
        <v>1298</v>
      </c>
      <c r="D715" s="60">
        <v>0</v>
      </c>
      <c r="E715" s="61">
        <f t="shared" si="132"/>
        <v>0</v>
      </c>
      <c r="F715" s="60">
        <v>0</v>
      </c>
      <c r="G715" s="61">
        <f t="shared" si="133"/>
        <v>0</v>
      </c>
      <c r="H715" s="60">
        <v>0</v>
      </c>
      <c r="I715" s="61">
        <f t="shared" si="134"/>
        <v>0</v>
      </c>
      <c r="J715" s="60">
        <v>0</v>
      </c>
      <c r="K715" s="61">
        <f t="shared" si="135"/>
        <v>0</v>
      </c>
      <c r="L715" s="62"/>
      <c r="M715" s="61">
        <f t="shared" si="136"/>
        <v>0</v>
      </c>
      <c r="N715" s="63">
        <v>0</v>
      </c>
      <c r="O715" s="61">
        <f t="shared" si="137"/>
        <v>0</v>
      </c>
      <c r="P715" s="60">
        <v>0</v>
      </c>
      <c r="Q715" s="61">
        <f t="shared" si="138"/>
        <v>0</v>
      </c>
      <c r="R715" s="60">
        <v>0</v>
      </c>
      <c r="S715" s="61">
        <f t="shared" si="139"/>
        <v>0</v>
      </c>
      <c r="T715" s="60">
        <v>0</v>
      </c>
      <c r="U715" s="64">
        <f t="shared" si="140"/>
        <v>0</v>
      </c>
      <c r="V715" s="65">
        <v>0</v>
      </c>
      <c r="W715" s="66">
        <f t="shared" si="141"/>
        <v>0</v>
      </c>
      <c r="X715" s="67">
        <f t="shared" si="142"/>
        <v>0</v>
      </c>
      <c r="Y715" s="57" t="str">
        <f t="shared" si="143"/>
        <v>NIL PLEASE PURCHASE</v>
      </c>
      <c r="Z715" s="68" t="s">
        <v>1539</v>
      </c>
    </row>
    <row r="716" spans="1:26" s="8" customFormat="1" ht="20.100000000000001" customHeight="1" x14ac:dyDescent="0.25">
      <c r="A716" s="69" t="s">
        <v>1682</v>
      </c>
      <c r="B716" s="88">
        <v>1133</v>
      </c>
      <c r="C716" s="90" t="s">
        <v>1299</v>
      </c>
      <c r="D716" s="60">
        <v>0</v>
      </c>
      <c r="E716" s="61">
        <f t="shared" si="132"/>
        <v>0</v>
      </c>
      <c r="F716" s="60">
        <v>3</v>
      </c>
      <c r="G716" s="61">
        <f t="shared" si="133"/>
        <v>75</v>
      </c>
      <c r="H716" s="60">
        <v>0</v>
      </c>
      <c r="I716" s="61">
        <f t="shared" si="134"/>
        <v>0</v>
      </c>
      <c r="J716" s="60">
        <v>0</v>
      </c>
      <c r="K716" s="61">
        <f t="shared" si="135"/>
        <v>0</v>
      </c>
      <c r="L716" s="62"/>
      <c r="M716" s="61">
        <f t="shared" si="136"/>
        <v>0</v>
      </c>
      <c r="N716" s="63">
        <v>0</v>
      </c>
      <c r="O716" s="61">
        <f t="shared" si="137"/>
        <v>0</v>
      </c>
      <c r="P716" s="60">
        <v>0</v>
      </c>
      <c r="Q716" s="61">
        <f t="shared" si="138"/>
        <v>0</v>
      </c>
      <c r="R716" s="60">
        <v>0</v>
      </c>
      <c r="S716" s="61">
        <f t="shared" si="139"/>
        <v>0</v>
      </c>
      <c r="T716" s="60">
        <v>0</v>
      </c>
      <c r="U716" s="64">
        <f t="shared" si="140"/>
        <v>0</v>
      </c>
      <c r="V716" s="65">
        <v>0</v>
      </c>
      <c r="W716" s="66">
        <f t="shared" si="141"/>
        <v>75</v>
      </c>
      <c r="X716" s="67">
        <f t="shared" si="142"/>
        <v>7.4999999999999997E-2</v>
      </c>
      <c r="Y716" s="57" t="str">
        <f t="shared" si="143"/>
        <v>STOCK</v>
      </c>
      <c r="Z716" s="68" t="s">
        <v>1538</v>
      </c>
    </row>
    <row r="717" spans="1:26" s="8" customFormat="1" ht="20.100000000000001" customHeight="1" x14ac:dyDescent="0.25">
      <c r="A717" s="69" t="s">
        <v>1683</v>
      </c>
      <c r="B717" s="88">
        <v>1134</v>
      </c>
      <c r="C717" s="90" t="s">
        <v>1300</v>
      </c>
      <c r="D717" s="60">
        <v>0</v>
      </c>
      <c r="E717" s="61">
        <f t="shared" si="132"/>
        <v>0</v>
      </c>
      <c r="F717" s="60">
        <v>0</v>
      </c>
      <c r="G717" s="61">
        <f t="shared" si="133"/>
        <v>0</v>
      </c>
      <c r="H717" s="60">
        <v>0</v>
      </c>
      <c r="I717" s="61">
        <f t="shared" si="134"/>
        <v>0</v>
      </c>
      <c r="J717" s="60">
        <v>0</v>
      </c>
      <c r="K717" s="61">
        <f t="shared" si="135"/>
        <v>0</v>
      </c>
      <c r="L717" s="62"/>
      <c r="M717" s="61">
        <f t="shared" si="136"/>
        <v>0</v>
      </c>
      <c r="N717" s="63">
        <v>0</v>
      </c>
      <c r="O717" s="61">
        <f t="shared" si="137"/>
        <v>0</v>
      </c>
      <c r="P717" s="60">
        <v>0</v>
      </c>
      <c r="Q717" s="61">
        <f t="shared" si="138"/>
        <v>0</v>
      </c>
      <c r="R717" s="60">
        <v>0</v>
      </c>
      <c r="S717" s="61">
        <f t="shared" si="139"/>
        <v>0</v>
      </c>
      <c r="T717" s="60">
        <v>0</v>
      </c>
      <c r="U717" s="64">
        <f t="shared" si="140"/>
        <v>0</v>
      </c>
      <c r="V717" s="65">
        <v>0</v>
      </c>
      <c r="W717" s="66">
        <f t="shared" si="141"/>
        <v>0</v>
      </c>
      <c r="X717" s="67">
        <f t="shared" si="142"/>
        <v>0</v>
      </c>
      <c r="Y717" s="57" t="str">
        <f t="shared" si="143"/>
        <v>NIL PLEASE PURCHASE</v>
      </c>
      <c r="Z717" s="68" t="s">
        <v>1539</v>
      </c>
    </row>
    <row r="718" spans="1:26" s="8" customFormat="1" ht="20.100000000000001" customHeight="1" x14ac:dyDescent="0.25">
      <c r="A718" s="69" t="s">
        <v>1684</v>
      </c>
      <c r="B718" s="88">
        <v>1135</v>
      </c>
      <c r="C718" s="90" t="s">
        <v>1301</v>
      </c>
      <c r="D718" s="60">
        <v>0</v>
      </c>
      <c r="E718" s="61">
        <f t="shared" si="132"/>
        <v>0</v>
      </c>
      <c r="F718" s="60">
        <v>0</v>
      </c>
      <c r="G718" s="61">
        <f t="shared" si="133"/>
        <v>0</v>
      </c>
      <c r="H718" s="60">
        <v>0</v>
      </c>
      <c r="I718" s="61">
        <f t="shared" si="134"/>
        <v>0</v>
      </c>
      <c r="J718" s="60">
        <v>0</v>
      </c>
      <c r="K718" s="61">
        <f t="shared" si="135"/>
        <v>0</v>
      </c>
      <c r="L718" s="62"/>
      <c r="M718" s="61">
        <f t="shared" si="136"/>
        <v>0</v>
      </c>
      <c r="N718" s="63">
        <v>0</v>
      </c>
      <c r="O718" s="61">
        <f t="shared" si="137"/>
        <v>0</v>
      </c>
      <c r="P718" s="60">
        <v>0</v>
      </c>
      <c r="Q718" s="61">
        <f t="shared" si="138"/>
        <v>0</v>
      </c>
      <c r="R718" s="60">
        <v>0</v>
      </c>
      <c r="S718" s="61">
        <f t="shared" si="139"/>
        <v>0</v>
      </c>
      <c r="T718" s="60">
        <v>0</v>
      </c>
      <c r="U718" s="64">
        <f t="shared" si="140"/>
        <v>0</v>
      </c>
      <c r="V718" s="65">
        <v>0</v>
      </c>
      <c r="W718" s="66">
        <f t="shared" si="141"/>
        <v>0</v>
      </c>
      <c r="X718" s="67">
        <f t="shared" si="142"/>
        <v>0</v>
      </c>
      <c r="Y718" s="57" t="str">
        <f t="shared" si="143"/>
        <v>NIL PLEASE PURCHASE</v>
      </c>
      <c r="Z718" s="68" t="s">
        <v>1539</v>
      </c>
    </row>
    <row r="719" spans="1:26" s="8" customFormat="1" ht="20.100000000000001" customHeight="1" x14ac:dyDescent="0.25">
      <c r="A719" s="69" t="s">
        <v>1685</v>
      </c>
      <c r="B719" s="88">
        <v>1136</v>
      </c>
      <c r="C719" s="90" t="s">
        <v>1302</v>
      </c>
      <c r="D719" s="60">
        <v>0</v>
      </c>
      <c r="E719" s="61">
        <f t="shared" si="132"/>
        <v>0</v>
      </c>
      <c r="F719" s="60">
        <v>0</v>
      </c>
      <c r="G719" s="61">
        <f t="shared" si="133"/>
        <v>0</v>
      </c>
      <c r="H719" s="60">
        <v>0</v>
      </c>
      <c r="I719" s="61">
        <f t="shared" si="134"/>
        <v>0</v>
      </c>
      <c r="J719" s="60">
        <v>0</v>
      </c>
      <c r="K719" s="61">
        <f t="shared" si="135"/>
        <v>0</v>
      </c>
      <c r="L719" s="62"/>
      <c r="M719" s="61">
        <f t="shared" si="136"/>
        <v>0</v>
      </c>
      <c r="N719" s="63">
        <v>0</v>
      </c>
      <c r="O719" s="61">
        <f t="shared" si="137"/>
        <v>0</v>
      </c>
      <c r="P719" s="60">
        <v>0</v>
      </c>
      <c r="Q719" s="61">
        <f t="shared" si="138"/>
        <v>0</v>
      </c>
      <c r="R719" s="60">
        <v>0</v>
      </c>
      <c r="S719" s="61">
        <f t="shared" si="139"/>
        <v>0</v>
      </c>
      <c r="T719" s="60">
        <v>0</v>
      </c>
      <c r="U719" s="64">
        <f t="shared" si="140"/>
        <v>0</v>
      </c>
      <c r="V719" s="65">
        <v>0</v>
      </c>
      <c r="W719" s="66">
        <f t="shared" si="141"/>
        <v>0</v>
      </c>
      <c r="X719" s="67">
        <f t="shared" si="142"/>
        <v>0</v>
      </c>
      <c r="Y719" s="57" t="str">
        <f t="shared" si="143"/>
        <v>NIL PLEASE PURCHASE</v>
      </c>
      <c r="Z719" s="68" t="s">
        <v>1539</v>
      </c>
    </row>
    <row r="720" spans="1:26" s="8" customFormat="1" ht="20.100000000000001" customHeight="1" x14ac:dyDescent="0.25">
      <c r="A720" s="69" t="s">
        <v>1686</v>
      </c>
      <c r="B720" s="88">
        <v>1137</v>
      </c>
      <c r="C720" s="90" t="s">
        <v>1303</v>
      </c>
      <c r="D720" s="60">
        <v>0</v>
      </c>
      <c r="E720" s="61">
        <f t="shared" si="132"/>
        <v>0</v>
      </c>
      <c r="F720" s="60">
        <v>0</v>
      </c>
      <c r="G720" s="61">
        <f t="shared" si="133"/>
        <v>0</v>
      </c>
      <c r="H720" s="60">
        <v>0</v>
      </c>
      <c r="I720" s="61">
        <f t="shared" si="134"/>
        <v>0</v>
      </c>
      <c r="J720" s="60">
        <v>0</v>
      </c>
      <c r="K720" s="61">
        <f t="shared" si="135"/>
        <v>0</v>
      </c>
      <c r="L720" s="62"/>
      <c r="M720" s="61">
        <f t="shared" si="136"/>
        <v>0</v>
      </c>
      <c r="N720" s="63">
        <v>5</v>
      </c>
      <c r="O720" s="61">
        <f t="shared" si="137"/>
        <v>2500</v>
      </c>
      <c r="P720" s="60">
        <v>0</v>
      </c>
      <c r="Q720" s="61">
        <f t="shared" si="138"/>
        <v>0</v>
      </c>
      <c r="R720" s="60">
        <v>0</v>
      </c>
      <c r="S720" s="61">
        <f t="shared" si="139"/>
        <v>0</v>
      </c>
      <c r="T720" s="60">
        <v>0</v>
      </c>
      <c r="U720" s="64">
        <f t="shared" si="140"/>
        <v>0</v>
      </c>
      <c r="V720" s="65">
        <v>0</v>
      </c>
      <c r="W720" s="66">
        <f t="shared" si="141"/>
        <v>2500</v>
      </c>
      <c r="X720" s="67">
        <f t="shared" si="142"/>
        <v>2.5</v>
      </c>
      <c r="Y720" s="57" t="str">
        <f t="shared" si="143"/>
        <v>STOCK</v>
      </c>
      <c r="Z720" s="68" t="s">
        <v>1538</v>
      </c>
    </row>
    <row r="721" spans="1:26" s="8" customFormat="1" ht="20.100000000000001" customHeight="1" x14ac:dyDescent="0.25">
      <c r="A721" s="69" t="s">
        <v>1687</v>
      </c>
      <c r="B721" s="88">
        <v>1138</v>
      </c>
      <c r="C721" s="90" t="s">
        <v>1304</v>
      </c>
      <c r="D721" s="60">
        <v>0</v>
      </c>
      <c r="E721" s="61">
        <f t="shared" si="132"/>
        <v>0</v>
      </c>
      <c r="F721" s="60">
        <v>0</v>
      </c>
      <c r="G721" s="61">
        <f t="shared" si="133"/>
        <v>0</v>
      </c>
      <c r="H721" s="60">
        <v>0</v>
      </c>
      <c r="I721" s="61">
        <f t="shared" si="134"/>
        <v>0</v>
      </c>
      <c r="J721" s="60">
        <v>0</v>
      </c>
      <c r="K721" s="61">
        <f t="shared" si="135"/>
        <v>0</v>
      </c>
      <c r="L721" s="62"/>
      <c r="M721" s="61">
        <f t="shared" si="136"/>
        <v>0</v>
      </c>
      <c r="N721" s="63">
        <v>3</v>
      </c>
      <c r="O721" s="61">
        <f t="shared" si="137"/>
        <v>1500</v>
      </c>
      <c r="P721" s="60">
        <v>0</v>
      </c>
      <c r="Q721" s="61">
        <f t="shared" si="138"/>
        <v>0</v>
      </c>
      <c r="R721" s="60">
        <v>0</v>
      </c>
      <c r="S721" s="61">
        <f t="shared" si="139"/>
        <v>0</v>
      </c>
      <c r="T721" s="60">
        <v>0</v>
      </c>
      <c r="U721" s="64">
        <f t="shared" si="140"/>
        <v>0</v>
      </c>
      <c r="V721" s="65">
        <v>0</v>
      </c>
      <c r="W721" s="66">
        <f t="shared" si="141"/>
        <v>1500</v>
      </c>
      <c r="X721" s="67">
        <f t="shared" si="142"/>
        <v>1.5</v>
      </c>
      <c r="Y721" s="57" t="str">
        <f t="shared" si="143"/>
        <v>STOCK</v>
      </c>
      <c r="Z721" s="68" t="s">
        <v>1539</v>
      </c>
    </row>
    <row r="722" spans="1:26" s="8" customFormat="1" ht="20.100000000000001" customHeight="1" x14ac:dyDescent="0.25">
      <c r="A722" s="69" t="s">
        <v>1688</v>
      </c>
      <c r="B722" s="88">
        <v>1139</v>
      </c>
      <c r="C722" s="90" t="s">
        <v>1305</v>
      </c>
      <c r="D722" s="60">
        <v>0</v>
      </c>
      <c r="E722" s="61">
        <f t="shared" si="132"/>
        <v>0</v>
      </c>
      <c r="F722" s="60">
        <v>0</v>
      </c>
      <c r="G722" s="61">
        <f t="shared" si="133"/>
        <v>0</v>
      </c>
      <c r="H722" s="60">
        <v>0</v>
      </c>
      <c r="I722" s="61">
        <f t="shared" si="134"/>
        <v>0</v>
      </c>
      <c r="J722" s="60">
        <v>0</v>
      </c>
      <c r="K722" s="61">
        <f t="shared" si="135"/>
        <v>0</v>
      </c>
      <c r="L722" s="62"/>
      <c r="M722" s="61">
        <f t="shared" si="136"/>
        <v>0</v>
      </c>
      <c r="N722" s="63">
        <v>0</v>
      </c>
      <c r="O722" s="61">
        <f t="shared" si="137"/>
        <v>0</v>
      </c>
      <c r="P722" s="60">
        <v>0</v>
      </c>
      <c r="Q722" s="61">
        <f t="shared" si="138"/>
        <v>0</v>
      </c>
      <c r="R722" s="60">
        <v>0</v>
      </c>
      <c r="S722" s="61">
        <f t="shared" si="139"/>
        <v>0</v>
      </c>
      <c r="T722" s="60">
        <v>0</v>
      </c>
      <c r="U722" s="64">
        <f t="shared" si="140"/>
        <v>0</v>
      </c>
      <c r="V722" s="65">
        <v>0</v>
      </c>
      <c r="W722" s="66">
        <f t="shared" si="141"/>
        <v>0</v>
      </c>
      <c r="X722" s="67">
        <f t="shared" si="142"/>
        <v>0</v>
      </c>
      <c r="Y722" s="57" t="str">
        <f t="shared" si="143"/>
        <v>NIL PLEASE PURCHASE</v>
      </c>
      <c r="Z722" s="68" t="s">
        <v>1539</v>
      </c>
    </row>
    <row r="723" spans="1:26" s="8" customFormat="1" ht="20.100000000000001" customHeight="1" x14ac:dyDescent="0.25">
      <c r="A723" s="69" t="s">
        <v>1689</v>
      </c>
      <c r="B723" s="88">
        <v>1140</v>
      </c>
      <c r="C723" s="90" t="s">
        <v>1306</v>
      </c>
      <c r="D723" s="60">
        <v>0</v>
      </c>
      <c r="E723" s="61">
        <f t="shared" si="132"/>
        <v>0</v>
      </c>
      <c r="F723" s="60">
        <v>0</v>
      </c>
      <c r="G723" s="61">
        <f t="shared" si="133"/>
        <v>0</v>
      </c>
      <c r="H723" s="60">
        <v>0</v>
      </c>
      <c r="I723" s="61">
        <f t="shared" si="134"/>
        <v>0</v>
      </c>
      <c r="J723" s="60">
        <v>0</v>
      </c>
      <c r="K723" s="61">
        <f t="shared" si="135"/>
        <v>0</v>
      </c>
      <c r="L723" s="62"/>
      <c r="M723" s="61">
        <f t="shared" si="136"/>
        <v>0</v>
      </c>
      <c r="N723" s="63">
        <v>2</v>
      </c>
      <c r="O723" s="61">
        <f t="shared" si="137"/>
        <v>1000</v>
      </c>
      <c r="P723" s="60">
        <v>0</v>
      </c>
      <c r="Q723" s="61">
        <f t="shared" si="138"/>
        <v>0</v>
      </c>
      <c r="R723" s="60">
        <v>0</v>
      </c>
      <c r="S723" s="61">
        <f t="shared" si="139"/>
        <v>0</v>
      </c>
      <c r="T723" s="60">
        <v>0</v>
      </c>
      <c r="U723" s="64">
        <f t="shared" si="140"/>
        <v>0</v>
      </c>
      <c r="V723" s="65">
        <v>0</v>
      </c>
      <c r="W723" s="66">
        <f t="shared" si="141"/>
        <v>1000</v>
      </c>
      <c r="X723" s="67">
        <f t="shared" si="142"/>
        <v>1</v>
      </c>
      <c r="Y723" s="57" t="str">
        <f t="shared" si="143"/>
        <v>STOCK</v>
      </c>
      <c r="Z723" s="68" t="s">
        <v>1539</v>
      </c>
    </row>
    <row r="724" spans="1:26" s="8" customFormat="1" ht="20.100000000000001" customHeight="1" x14ac:dyDescent="0.25">
      <c r="A724" s="69" t="s">
        <v>1690</v>
      </c>
      <c r="B724" s="88">
        <v>1141</v>
      </c>
      <c r="C724" s="90" t="s">
        <v>1307</v>
      </c>
      <c r="D724" s="60">
        <v>0</v>
      </c>
      <c r="E724" s="61">
        <f t="shared" si="132"/>
        <v>0</v>
      </c>
      <c r="F724" s="60">
        <v>0</v>
      </c>
      <c r="G724" s="61">
        <f t="shared" si="133"/>
        <v>0</v>
      </c>
      <c r="H724" s="60">
        <v>0</v>
      </c>
      <c r="I724" s="61">
        <f t="shared" si="134"/>
        <v>0</v>
      </c>
      <c r="J724" s="60">
        <v>0</v>
      </c>
      <c r="K724" s="61">
        <f t="shared" si="135"/>
        <v>0</v>
      </c>
      <c r="L724" s="62"/>
      <c r="M724" s="61">
        <f t="shared" si="136"/>
        <v>0</v>
      </c>
      <c r="N724" s="63">
        <v>0</v>
      </c>
      <c r="O724" s="61">
        <f t="shared" si="137"/>
        <v>0</v>
      </c>
      <c r="P724" s="60">
        <v>0</v>
      </c>
      <c r="Q724" s="61">
        <f t="shared" si="138"/>
        <v>0</v>
      </c>
      <c r="R724" s="60">
        <v>0</v>
      </c>
      <c r="S724" s="61">
        <f t="shared" si="139"/>
        <v>0</v>
      </c>
      <c r="T724" s="60">
        <v>0</v>
      </c>
      <c r="U724" s="64">
        <f t="shared" si="140"/>
        <v>0</v>
      </c>
      <c r="V724" s="65">
        <v>0</v>
      </c>
      <c r="W724" s="66">
        <f t="shared" si="141"/>
        <v>0</v>
      </c>
      <c r="X724" s="67">
        <f t="shared" si="142"/>
        <v>0</v>
      </c>
      <c r="Y724" s="57" t="str">
        <f t="shared" si="143"/>
        <v>NIL PLEASE PURCHASE</v>
      </c>
      <c r="Z724" s="68" t="s">
        <v>1539</v>
      </c>
    </row>
    <row r="725" spans="1:26" s="8" customFormat="1" ht="20.100000000000001" customHeight="1" x14ac:dyDescent="0.25">
      <c r="A725" s="69" t="s">
        <v>1691</v>
      </c>
      <c r="B725" s="88">
        <v>1142</v>
      </c>
      <c r="C725" s="90" t="s">
        <v>1308</v>
      </c>
      <c r="D725" s="60">
        <v>0</v>
      </c>
      <c r="E725" s="61">
        <f t="shared" si="132"/>
        <v>0</v>
      </c>
      <c r="F725" s="60">
        <v>0</v>
      </c>
      <c r="G725" s="61">
        <f t="shared" si="133"/>
        <v>0</v>
      </c>
      <c r="H725" s="60">
        <v>0</v>
      </c>
      <c r="I725" s="61">
        <f t="shared" si="134"/>
        <v>0</v>
      </c>
      <c r="J725" s="60">
        <v>0</v>
      </c>
      <c r="K725" s="61">
        <f t="shared" si="135"/>
        <v>0</v>
      </c>
      <c r="L725" s="62"/>
      <c r="M725" s="61">
        <f t="shared" si="136"/>
        <v>0</v>
      </c>
      <c r="N725" s="63">
        <v>1</v>
      </c>
      <c r="O725" s="61">
        <f t="shared" si="137"/>
        <v>500</v>
      </c>
      <c r="P725" s="60">
        <v>0</v>
      </c>
      <c r="Q725" s="61">
        <f t="shared" si="138"/>
        <v>0</v>
      </c>
      <c r="R725" s="60">
        <v>0</v>
      </c>
      <c r="S725" s="61">
        <f t="shared" si="139"/>
        <v>0</v>
      </c>
      <c r="T725" s="60">
        <v>0</v>
      </c>
      <c r="U725" s="64">
        <f t="shared" si="140"/>
        <v>0</v>
      </c>
      <c r="V725" s="65">
        <v>0</v>
      </c>
      <c r="W725" s="66">
        <f t="shared" si="141"/>
        <v>500</v>
      </c>
      <c r="X725" s="67">
        <f t="shared" si="142"/>
        <v>0.5</v>
      </c>
      <c r="Y725" s="57" t="str">
        <f t="shared" si="143"/>
        <v>STOCK</v>
      </c>
      <c r="Z725" s="68" t="s">
        <v>1539</v>
      </c>
    </row>
    <row r="726" spans="1:26" s="8" customFormat="1" ht="20.100000000000001" customHeight="1" x14ac:dyDescent="0.25">
      <c r="A726" s="69" t="s">
        <v>1692</v>
      </c>
      <c r="B726" s="88">
        <v>1143</v>
      </c>
      <c r="C726" s="90" t="s">
        <v>1309</v>
      </c>
      <c r="D726" s="60">
        <v>0</v>
      </c>
      <c r="E726" s="61">
        <f t="shared" si="132"/>
        <v>0</v>
      </c>
      <c r="F726" s="60">
        <v>0</v>
      </c>
      <c r="G726" s="61">
        <f t="shared" si="133"/>
        <v>0</v>
      </c>
      <c r="H726" s="60">
        <v>0</v>
      </c>
      <c r="I726" s="61">
        <f t="shared" si="134"/>
        <v>0</v>
      </c>
      <c r="J726" s="60">
        <v>0</v>
      </c>
      <c r="K726" s="61">
        <f t="shared" si="135"/>
        <v>0</v>
      </c>
      <c r="L726" s="62"/>
      <c r="M726" s="61">
        <f t="shared" si="136"/>
        <v>0</v>
      </c>
      <c r="N726" s="63">
        <v>2</v>
      </c>
      <c r="O726" s="61">
        <f t="shared" si="137"/>
        <v>1000</v>
      </c>
      <c r="P726" s="60">
        <v>0</v>
      </c>
      <c r="Q726" s="61">
        <f t="shared" si="138"/>
        <v>0</v>
      </c>
      <c r="R726" s="60">
        <v>0</v>
      </c>
      <c r="S726" s="61">
        <f t="shared" si="139"/>
        <v>0</v>
      </c>
      <c r="T726" s="60">
        <v>0</v>
      </c>
      <c r="U726" s="64">
        <f t="shared" si="140"/>
        <v>0</v>
      </c>
      <c r="V726" s="65">
        <v>0</v>
      </c>
      <c r="W726" s="66">
        <f t="shared" si="141"/>
        <v>1000</v>
      </c>
      <c r="X726" s="67">
        <f t="shared" si="142"/>
        <v>1</v>
      </c>
      <c r="Y726" s="57" t="str">
        <f t="shared" si="143"/>
        <v>STOCK</v>
      </c>
      <c r="Z726" s="68" t="s">
        <v>1538</v>
      </c>
    </row>
    <row r="727" spans="1:26" s="8" customFormat="1" ht="20.100000000000001" customHeight="1" x14ac:dyDescent="0.25">
      <c r="A727" s="69" t="s">
        <v>1693</v>
      </c>
      <c r="B727" s="88">
        <v>1144</v>
      </c>
      <c r="C727" s="90" t="s">
        <v>1310</v>
      </c>
      <c r="D727" s="60">
        <v>0</v>
      </c>
      <c r="E727" s="61">
        <f t="shared" si="132"/>
        <v>0</v>
      </c>
      <c r="F727" s="60">
        <v>0</v>
      </c>
      <c r="G727" s="61">
        <f t="shared" si="133"/>
        <v>0</v>
      </c>
      <c r="H727" s="60">
        <v>0</v>
      </c>
      <c r="I727" s="61">
        <f t="shared" si="134"/>
        <v>0</v>
      </c>
      <c r="J727" s="60">
        <v>0</v>
      </c>
      <c r="K727" s="61">
        <f t="shared" si="135"/>
        <v>0</v>
      </c>
      <c r="L727" s="62"/>
      <c r="M727" s="61">
        <f t="shared" si="136"/>
        <v>0</v>
      </c>
      <c r="N727" s="63">
        <v>0</v>
      </c>
      <c r="O727" s="61">
        <f t="shared" si="137"/>
        <v>0</v>
      </c>
      <c r="P727" s="60">
        <v>0</v>
      </c>
      <c r="Q727" s="61">
        <f t="shared" si="138"/>
        <v>0</v>
      </c>
      <c r="R727" s="60">
        <v>0</v>
      </c>
      <c r="S727" s="61">
        <f t="shared" si="139"/>
        <v>0</v>
      </c>
      <c r="T727" s="60">
        <v>0</v>
      </c>
      <c r="U727" s="64">
        <f t="shared" si="140"/>
        <v>0</v>
      </c>
      <c r="V727" s="65">
        <v>0</v>
      </c>
      <c r="W727" s="66">
        <f t="shared" si="141"/>
        <v>0</v>
      </c>
      <c r="X727" s="67">
        <f t="shared" si="142"/>
        <v>0</v>
      </c>
      <c r="Y727" s="57" t="str">
        <f t="shared" si="143"/>
        <v>NIL PLEASE PURCHASE</v>
      </c>
      <c r="Z727" s="68" t="s">
        <v>1539</v>
      </c>
    </row>
    <row r="728" spans="1:26" s="8" customFormat="1" ht="20.100000000000001" customHeight="1" x14ac:dyDescent="0.25">
      <c r="A728" s="69" t="s">
        <v>1694</v>
      </c>
      <c r="B728" s="88">
        <v>1145</v>
      </c>
      <c r="C728" s="90" t="s">
        <v>1311</v>
      </c>
      <c r="D728" s="60">
        <v>0</v>
      </c>
      <c r="E728" s="61">
        <f t="shared" si="132"/>
        <v>0</v>
      </c>
      <c r="F728" s="60">
        <v>0</v>
      </c>
      <c r="G728" s="61">
        <f t="shared" si="133"/>
        <v>0</v>
      </c>
      <c r="H728" s="60">
        <v>0</v>
      </c>
      <c r="I728" s="61">
        <f t="shared" si="134"/>
        <v>0</v>
      </c>
      <c r="J728" s="60">
        <v>0</v>
      </c>
      <c r="K728" s="61">
        <f t="shared" si="135"/>
        <v>0</v>
      </c>
      <c r="L728" s="62"/>
      <c r="M728" s="61">
        <f t="shared" si="136"/>
        <v>0</v>
      </c>
      <c r="N728" s="63">
        <v>0</v>
      </c>
      <c r="O728" s="61">
        <f t="shared" si="137"/>
        <v>0</v>
      </c>
      <c r="P728" s="60">
        <v>0</v>
      </c>
      <c r="Q728" s="61">
        <f t="shared" si="138"/>
        <v>0</v>
      </c>
      <c r="R728" s="60">
        <v>0</v>
      </c>
      <c r="S728" s="61">
        <f t="shared" si="139"/>
        <v>0</v>
      </c>
      <c r="T728" s="60">
        <v>0</v>
      </c>
      <c r="U728" s="64">
        <f t="shared" si="140"/>
        <v>0</v>
      </c>
      <c r="V728" s="65">
        <v>0</v>
      </c>
      <c r="W728" s="66">
        <f t="shared" si="141"/>
        <v>0</v>
      </c>
      <c r="X728" s="67">
        <f t="shared" si="142"/>
        <v>0</v>
      </c>
      <c r="Y728" s="57" t="str">
        <f t="shared" si="143"/>
        <v>NIL PLEASE PURCHASE</v>
      </c>
      <c r="Z728" s="68" t="s">
        <v>1539</v>
      </c>
    </row>
    <row r="729" spans="1:26" s="8" customFormat="1" ht="20.100000000000001" customHeight="1" x14ac:dyDescent="0.25">
      <c r="A729" s="69" t="s">
        <v>1695</v>
      </c>
      <c r="B729" s="88">
        <v>1146</v>
      </c>
      <c r="C729" s="90" t="s">
        <v>1312</v>
      </c>
      <c r="D729" s="60">
        <v>0</v>
      </c>
      <c r="E729" s="61">
        <f t="shared" si="132"/>
        <v>0</v>
      </c>
      <c r="F729" s="60">
        <v>0</v>
      </c>
      <c r="G729" s="61">
        <f t="shared" si="133"/>
        <v>0</v>
      </c>
      <c r="H729" s="60">
        <v>0</v>
      </c>
      <c r="I729" s="61">
        <f t="shared" si="134"/>
        <v>0</v>
      </c>
      <c r="J729" s="60">
        <v>0</v>
      </c>
      <c r="K729" s="61">
        <f t="shared" si="135"/>
        <v>0</v>
      </c>
      <c r="L729" s="62"/>
      <c r="M729" s="61">
        <f t="shared" si="136"/>
        <v>0</v>
      </c>
      <c r="N729" s="63">
        <v>0</v>
      </c>
      <c r="O729" s="61">
        <f t="shared" si="137"/>
        <v>0</v>
      </c>
      <c r="P729" s="60">
        <v>0</v>
      </c>
      <c r="Q729" s="61">
        <f t="shared" si="138"/>
        <v>0</v>
      </c>
      <c r="R729" s="60">
        <v>0</v>
      </c>
      <c r="S729" s="61">
        <f t="shared" si="139"/>
        <v>0</v>
      </c>
      <c r="T729" s="60">
        <v>0</v>
      </c>
      <c r="U729" s="64">
        <f t="shared" si="140"/>
        <v>0</v>
      </c>
      <c r="V729" s="65">
        <v>0</v>
      </c>
      <c r="W729" s="66">
        <f t="shared" si="141"/>
        <v>0</v>
      </c>
      <c r="X729" s="67">
        <f t="shared" si="142"/>
        <v>0</v>
      </c>
      <c r="Y729" s="57" t="str">
        <f t="shared" si="143"/>
        <v>NIL PLEASE PURCHASE</v>
      </c>
      <c r="Z729" s="68" t="s">
        <v>1539</v>
      </c>
    </row>
    <row r="730" spans="1:26" s="8" customFormat="1" ht="20.100000000000001" customHeight="1" x14ac:dyDescent="0.25">
      <c r="A730" s="69" t="s">
        <v>1696</v>
      </c>
      <c r="B730" s="88">
        <v>1147</v>
      </c>
      <c r="C730" s="90" t="s">
        <v>1313</v>
      </c>
      <c r="D730" s="60">
        <v>0</v>
      </c>
      <c r="E730" s="61">
        <f t="shared" si="132"/>
        <v>0</v>
      </c>
      <c r="F730" s="60">
        <v>0</v>
      </c>
      <c r="G730" s="61">
        <f t="shared" si="133"/>
        <v>0</v>
      </c>
      <c r="H730" s="60">
        <v>0</v>
      </c>
      <c r="I730" s="61">
        <f t="shared" si="134"/>
        <v>0</v>
      </c>
      <c r="J730" s="60">
        <v>0</v>
      </c>
      <c r="K730" s="61">
        <f t="shared" si="135"/>
        <v>0</v>
      </c>
      <c r="L730" s="62"/>
      <c r="M730" s="61">
        <f t="shared" si="136"/>
        <v>0</v>
      </c>
      <c r="N730" s="63">
        <v>0</v>
      </c>
      <c r="O730" s="61">
        <f t="shared" si="137"/>
        <v>0</v>
      </c>
      <c r="P730" s="60">
        <v>0</v>
      </c>
      <c r="Q730" s="61">
        <f t="shared" si="138"/>
        <v>0</v>
      </c>
      <c r="R730" s="60">
        <v>0</v>
      </c>
      <c r="S730" s="61">
        <f t="shared" si="139"/>
        <v>0</v>
      </c>
      <c r="T730" s="60">
        <v>0</v>
      </c>
      <c r="U730" s="64">
        <f t="shared" si="140"/>
        <v>0</v>
      </c>
      <c r="V730" s="65">
        <v>0</v>
      </c>
      <c r="W730" s="66">
        <f t="shared" si="141"/>
        <v>0</v>
      </c>
      <c r="X730" s="67">
        <f t="shared" si="142"/>
        <v>0</v>
      </c>
      <c r="Y730" s="57" t="str">
        <f t="shared" si="143"/>
        <v>NIL PLEASE PURCHASE</v>
      </c>
      <c r="Z730" s="68" t="s">
        <v>1539</v>
      </c>
    </row>
    <row r="731" spans="1:26" s="8" customFormat="1" ht="20.100000000000001" customHeight="1" x14ac:dyDescent="0.25">
      <c r="A731" s="69" t="s">
        <v>1697</v>
      </c>
      <c r="B731" s="88">
        <v>1148</v>
      </c>
      <c r="C731" s="90" t="s">
        <v>1314</v>
      </c>
      <c r="D731" s="60">
        <v>0</v>
      </c>
      <c r="E731" s="61">
        <f t="shared" si="132"/>
        <v>0</v>
      </c>
      <c r="F731" s="60">
        <v>0</v>
      </c>
      <c r="G731" s="61">
        <f t="shared" si="133"/>
        <v>0</v>
      </c>
      <c r="H731" s="60">
        <v>0</v>
      </c>
      <c r="I731" s="61">
        <f t="shared" si="134"/>
        <v>0</v>
      </c>
      <c r="J731" s="60">
        <v>0</v>
      </c>
      <c r="K731" s="61">
        <f t="shared" si="135"/>
        <v>0</v>
      </c>
      <c r="L731" s="62"/>
      <c r="M731" s="61">
        <f t="shared" si="136"/>
        <v>0</v>
      </c>
      <c r="N731" s="63">
        <v>0</v>
      </c>
      <c r="O731" s="61">
        <f t="shared" si="137"/>
        <v>0</v>
      </c>
      <c r="P731" s="60">
        <v>0</v>
      </c>
      <c r="Q731" s="61">
        <f t="shared" si="138"/>
        <v>0</v>
      </c>
      <c r="R731" s="60">
        <v>0</v>
      </c>
      <c r="S731" s="61">
        <f t="shared" si="139"/>
        <v>0</v>
      </c>
      <c r="T731" s="60">
        <v>0</v>
      </c>
      <c r="U731" s="64">
        <f t="shared" si="140"/>
        <v>0</v>
      </c>
      <c r="V731" s="65">
        <v>0</v>
      </c>
      <c r="W731" s="66">
        <f t="shared" si="141"/>
        <v>0</v>
      </c>
      <c r="X731" s="67">
        <f t="shared" si="142"/>
        <v>0</v>
      </c>
      <c r="Y731" s="57" t="str">
        <f t="shared" si="143"/>
        <v>NIL PLEASE PURCHASE</v>
      </c>
      <c r="Z731" s="68" t="s">
        <v>1539</v>
      </c>
    </row>
    <row r="732" spans="1:26" s="8" customFormat="1" ht="20.100000000000001" customHeight="1" x14ac:dyDescent="0.25">
      <c r="A732" s="69" t="s">
        <v>1698</v>
      </c>
      <c r="B732" s="88">
        <v>1149</v>
      </c>
      <c r="C732" s="90" t="s">
        <v>1315</v>
      </c>
      <c r="D732" s="60">
        <v>0</v>
      </c>
      <c r="E732" s="61">
        <f t="shared" si="132"/>
        <v>0</v>
      </c>
      <c r="F732" s="60">
        <v>0</v>
      </c>
      <c r="G732" s="61">
        <f t="shared" si="133"/>
        <v>0</v>
      </c>
      <c r="H732" s="60">
        <v>0</v>
      </c>
      <c r="I732" s="61">
        <f t="shared" si="134"/>
        <v>0</v>
      </c>
      <c r="J732" s="60">
        <v>0</v>
      </c>
      <c r="K732" s="61">
        <f t="shared" si="135"/>
        <v>0</v>
      </c>
      <c r="L732" s="62"/>
      <c r="M732" s="61">
        <f t="shared" si="136"/>
        <v>0</v>
      </c>
      <c r="N732" s="63">
        <v>0</v>
      </c>
      <c r="O732" s="61">
        <f t="shared" si="137"/>
        <v>0</v>
      </c>
      <c r="P732" s="60">
        <v>0</v>
      </c>
      <c r="Q732" s="61">
        <f t="shared" si="138"/>
        <v>0</v>
      </c>
      <c r="R732" s="60">
        <v>0</v>
      </c>
      <c r="S732" s="61">
        <f t="shared" si="139"/>
        <v>0</v>
      </c>
      <c r="T732" s="60">
        <v>0</v>
      </c>
      <c r="U732" s="64">
        <f t="shared" si="140"/>
        <v>0</v>
      </c>
      <c r="V732" s="65">
        <v>0</v>
      </c>
      <c r="W732" s="66">
        <f t="shared" si="141"/>
        <v>0</v>
      </c>
      <c r="X732" s="67">
        <f t="shared" si="142"/>
        <v>0</v>
      </c>
      <c r="Y732" s="57" t="str">
        <f t="shared" si="143"/>
        <v>NIL PLEASE PURCHASE</v>
      </c>
      <c r="Z732" s="68" t="s">
        <v>1539</v>
      </c>
    </row>
    <row r="733" spans="1:26" s="8" customFormat="1" ht="20.100000000000001" customHeight="1" x14ac:dyDescent="0.25">
      <c r="A733" s="69" t="s">
        <v>1699</v>
      </c>
      <c r="B733" s="88">
        <v>1150</v>
      </c>
      <c r="C733" s="90" t="s">
        <v>1316</v>
      </c>
      <c r="D733" s="60">
        <v>0</v>
      </c>
      <c r="E733" s="61">
        <f t="shared" si="132"/>
        <v>0</v>
      </c>
      <c r="F733" s="60">
        <v>0</v>
      </c>
      <c r="G733" s="61">
        <f t="shared" si="133"/>
        <v>0</v>
      </c>
      <c r="H733" s="60">
        <v>0</v>
      </c>
      <c r="I733" s="61">
        <f t="shared" si="134"/>
        <v>0</v>
      </c>
      <c r="J733" s="60">
        <v>0</v>
      </c>
      <c r="K733" s="61">
        <f t="shared" si="135"/>
        <v>0</v>
      </c>
      <c r="L733" s="62"/>
      <c r="M733" s="61">
        <f t="shared" si="136"/>
        <v>0</v>
      </c>
      <c r="N733" s="63">
        <v>0</v>
      </c>
      <c r="O733" s="61">
        <f t="shared" si="137"/>
        <v>0</v>
      </c>
      <c r="P733" s="60">
        <v>0</v>
      </c>
      <c r="Q733" s="61">
        <f t="shared" si="138"/>
        <v>0</v>
      </c>
      <c r="R733" s="60">
        <v>0</v>
      </c>
      <c r="S733" s="61">
        <f t="shared" si="139"/>
        <v>0</v>
      </c>
      <c r="T733" s="60">
        <v>0</v>
      </c>
      <c r="U733" s="64">
        <f t="shared" si="140"/>
        <v>0</v>
      </c>
      <c r="V733" s="65">
        <v>0</v>
      </c>
      <c r="W733" s="66">
        <f t="shared" si="141"/>
        <v>0</v>
      </c>
      <c r="X733" s="67">
        <f t="shared" si="142"/>
        <v>0</v>
      </c>
      <c r="Y733" s="57" t="str">
        <f t="shared" si="143"/>
        <v>NIL PLEASE PURCHASE</v>
      </c>
      <c r="Z733" s="68" t="s">
        <v>1539</v>
      </c>
    </row>
    <row r="734" spans="1:26" s="8" customFormat="1" ht="20.100000000000001" customHeight="1" x14ac:dyDescent="0.25">
      <c r="A734" s="69" t="s">
        <v>1700</v>
      </c>
      <c r="B734" s="88">
        <v>1151</v>
      </c>
      <c r="C734" s="90" t="s">
        <v>1317</v>
      </c>
      <c r="D734" s="60">
        <v>0</v>
      </c>
      <c r="E734" s="61">
        <f t="shared" si="132"/>
        <v>0</v>
      </c>
      <c r="F734" s="60">
        <v>0</v>
      </c>
      <c r="G734" s="61">
        <f t="shared" si="133"/>
        <v>0</v>
      </c>
      <c r="H734" s="60">
        <v>0</v>
      </c>
      <c r="I734" s="61">
        <f t="shared" si="134"/>
        <v>0</v>
      </c>
      <c r="J734" s="60">
        <v>1</v>
      </c>
      <c r="K734" s="61">
        <f t="shared" si="135"/>
        <v>100</v>
      </c>
      <c r="L734" s="62"/>
      <c r="M734" s="61">
        <f t="shared" si="136"/>
        <v>0</v>
      </c>
      <c r="N734" s="63">
        <v>0</v>
      </c>
      <c r="O734" s="61">
        <f t="shared" si="137"/>
        <v>0</v>
      </c>
      <c r="P734" s="60">
        <v>0</v>
      </c>
      <c r="Q734" s="61">
        <f t="shared" si="138"/>
        <v>0</v>
      </c>
      <c r="R734" s="60">
        <v>0</v>
      </c>
      <c r="S734" s="61">
        <f t="shared" si="139"/>
        <v>0</v>
      </c>
      <c r="T734" s="60">
        <v>0</v>
      </c>
      <c r="U734" s="64">
        <f t="shared" si="140"/>
        <v>0</v>
      </c>
      <c r="V734" s="65">
        <v>0</v>
      </c>
      <c r="W734" s="66">
        <f t="shared" si="141"/>
        <v>100</v>
      </c>
      <c r="X734" s="67">
        <f t="shared" si="142"/>
        <v>0.1</v>
      </c>
      <c r="Y734" s="57" t="str">
        <f t="shared" si="143"/>
        <v>STOCK</v>
      </c>
      <c r="Z734" s="68" t="s">
        <v>1538</v>
      </c>
    </row>
    <row r="735" spans="1:26" s="8" customFormat="1" ht="20.100000000000001" customHeight="1" x14ac:dyDescent="0.25">
      <c r="A735" s="69" t="s">
        <v>1701</v>
      </c>
      <c r="B735" s="88">
        <v>1152</v>
      </c>
      <c r="C735" s="90" t="s">
        <v>1318</v>
      </c>
      <c r="D735" s="60">
        <v>0</v>
      </c>
      <c r="E735" s="61">
        <f t="shared" si="132"/>
        <v>0</v>
      </c>
      <c r="F735" s="60">
        <v>0</v>
      </c>
      <c r="G735" s="61">
        <f t="shared" si="133"/>
        <v>0</v>
      </c>
      <c r="H735" s="60">
        <v>0</v>
      </c>
      <c r="I735" s="61">
        <f t="shared" si="134"/>
        <v>0</v>
      </c>
      <c r="J735" s="60">
        <v>0</v>
      </c>
      <c r="K735" s="61">
        <f t="shared" si="135"/>
        <v>0</v>
      </c>
      <c r="L735" s="62"/>
      <c r="M735" s="61">
        <f t="shared" si="136"/>
        <v>0</v>
      </c>
      <c r="N735" s="63">
        <v>0</v>
      </c>
      <c r="O735" s="61">
        <f t="shared" si="137"/>
        <v>0</v>
      </c>
      <c r="P735" s="60">
        <v>0</v>
      </c>
      <c r="Q735" s="61">
        <f t="shared" si="138"/>
        <v>0</v>
      </c>
      <c r="R735" s="60">
        <v>0</v>
      </c>
      <c r="S735" s="61">
        <f t="shared" si="139"/>
        <v>0</v>
      </c>
      <c r="T735" s="60">
        <v>0</v>
      </c>
      <c r="U735" s="64">
        <f t="shared" si="140"/>
        <v>0</v>
      </c>
      <c r="V735" s="65">
        <v>0</v>
      </c>
      <c r="W735" s="66">
        <f t="shared" si="141"/>
        <v>0</v>
      </c>
      <c r="X735" s="67">
        <f t="shared" si="142"/>
        <v>0</v>
      </c>
      <c r="Y735" s="57" t="str">
        <f t="shared" si="143"/>
        <v>NIL PLEASE PURCHASE</v>
      </c>
      <c r="Z735" s="68" t="s">
        <v>1539</v>
      </c>
    </row>
    <row r="736" spans="1:26" s="8" customFormat="1" ht="20.100000000000001" customHeight="1" x14ac:dyDescent="0.25">
      <c r="A736" s="69" t="s">
        <v>1702</v>
      </c>
      <c r="B736" s="88">
        <v>1153</v>
      </c>
      <c r="C736" s="90" t="s">
        <v>1319</v>
      </c>
      <c r="D736" s="60">
        <v>0</v>
      </c>
      <c r="E736" s="61">
        <f t="shared" si="132"/>
        <v>0</v>
      </c>
      <c r="F736" s="60">
        <v>0</v>
      </c>
      <c r="G736" s="61">
        <f t="shared" si="133"/>
        <v>0</v>
      </c>
      <c r="H736" s="60">
        <v>0</v>
      </c>
      <c r="I736" s="61">
        <f t="shared" si="134"/>
        <v>0</v>
      </c>
      <c r="J736" s="60">
        <v>0</v>
      </c>
      <c r="K736" s="61">
        <f t="shared" si="135"/>
        <v>0</v>
      </c>
      <c r="L736" s="62"/>
      <c r="M736" s="61">
        <f t="shared" si="136"/>
        <v>0</v>
      </c>
      <c r="N736" s="63">
        <v>0</v>
      </c>
      <c r="O736" s="61">
        <f t="shared" si="137"/>
        <v>0</v>
      </c>
      <c r="P736" s="60">
        <v>0</v>
      </c>
      <c r="Q736" s="61">
        <f t="shared" si="138"/>
        <v>0</v>
      </c>
      <c r="R736" s="60">
        <v>0</v>
      </c>
      <c r="S736" s="61">
        <f t="shared" si="139"/>
        <v>0</v>
      </c>
      <c r="T736" s="60">
        <v>0</v>
      </c>
      <c r="U736" s="64">
        <f t="shared" si="140"/>
        <v>0</v>
      </c>
      <c r="V736" s="65">
        <v>0</v>
      </c>
      <c r="W736" s="66">
        <f t="shared" si="141"/>
        <v>0</v>
      </c>
      <c r="X736" s="67">
        <f t="shared" si="142"/>
        <v>0</v>
      </c>
      <c r="Y736" s="57" t="str">
        <f t="shared" si="143"/>
        <v>NIL PLEASE PURCHASE</v>
      </c>
      <c r="Z736" s="68" t="s">
        <v>1539</v>
      </c>
    </row>
    <row r="737" spans="1:26" s="8" customFormat="1" ht="20.100000000000001" customHeight="1" x14ac:dyDescent="0.25">
      <c r="A737" s="69" t="s">
        <v>1703</v>
      </c>
      <c r="B737" s="88">
        <v>1154</v>
      </c>
      <c r="C737" s="90" t="s">
        <v>1320</v>
      </c>
      <c r="D737" s="60">
        <v>0</v>
      </c>
      <c r="E737" s="61">
        <f t="shared" si="132"/>
        <v>0</v>
      </c>
      <c r="F737" s="60">
        <v>0</v>
      </c>
      <c r="G737" s="61">
        <f t="shared" si="133"/>
        <v>0</v>
      </c>
      <c r="H737" s="60">
        <v>0</v>
      </c>
      <c r="I737" s="61">
        <f t="shared" si="134"/>
        <v>0</v>
      </c>
      <c r="J737" s="60">
        <v>0</v>
      </c>
      <c r="K737" s="61">
        <f t="shared" si="135"/>
        <v>0</v>
      </c>
      <c r="L737" s="62"/>
      <c r="M737" s="61">
        <f t="shared" si="136"/>
        <v>0</v>
      </c>
      <c r="N737" s="63">
        <v>0</v>
      </c>
      <c r="O737" s="61">
        <f t="shared" si="137"/>
        <v>0</v>
      </c>
      <c r="P737" s="60">
        <v>0</v>
      </c>
      <c r="Q737" s="61">
        <f t="shared" si="138"/>
        <v>0</v>
      </c>
      <c r="R737" s="60">
        <v>0</v>
      </c>
      <c r="S737" s="61">
        <f t="shared" si="139"/>
        <v>0</v>
      </c>
      <c r="T737" s="60">
        <v>0</v>
      </c>
      <c r="U737" s="64">
        <f t="shared" si="140"/>
        <v>0</v>
      </c>
      <c r="V737" s="65">
        <v>0</v>
      </c>
      <c r="W737" s="66">
        <f t="shared" si="141"/>
        <v>0</v>
      </c>
      <c r="X737" s="67">
        <f t="shared" si="142"/>
        <v>0</v>
      </c>
      <c r="Y737" s="57" t="str">
        <f t="shared" si="143"/>
        <v>NIL PLEASE PURCHASE</v>
      </c>
      <c r="Z737" s="68" t="s">
        <v>1539</v>
      </c>
    </row>
    <row r="738" spans="1:26" s="8" customFormat="1" ht="20.100000000000001" customHeight="1" x14ac:dyDescent="0.25">
      <c r="A738" s="69" t="s">
        <v>1704</v>
      </c>
      <c r="B738" s="88">
        <v>1155</v>
      </c>
      <c r="C738" s="90" t="s">
        <v>1321</v>
      </c>
      <c r="D738" s="60">
        <v>0</v>
      </c>
      <c r="E738" s="61">
        <f t="shared" si="132"/>
        <v>0</v>
      </c>
      <c r="F738" s="60">
        <v>0</v>
      </c>
      <c r="G738" s="61">
        <f t="shared" si="133"/>
        <v>0</v>
      </c>
      <c r="H738" s="60">
        <v>0</v>
      </c>
      <c r="I738" s="61">
        <f t="shared" si="134"/>
        <v>0</v>
      </c>
      <c r="J738" s="60">
        <v>0</v>
      </c>
      <c r="K738" s="61">
        <f t="shared" si="135"/>
        <v>0</v>
      </c>
      <c r="L738" s="62"/>
      <c r="M738" s="61">
        <f t="shared" si="136"/>
        <v>0</v>
      </c>
      <c r="N738" s="63">
        <v>3</v>
      </c>
      <c r="O738" s="61">
        <f t="shared" si="137"/>
        <v>1500</v>
      </c>
      <c r="P738" s="60">
        <v>0</v>
      </c>
      <c r="Q738" s="61">
        <f t="shared" si="138"/>
        <v>0</v>
      </c>
      <c r="R738" s="60">
        <v>0</v>
      </c>
      <c r="S738" s="61">
        <f t="shared" si="139"/>
        <v>0</v>
      </c>
      <c r="T738" s="60">
        <v>0</v>
      </c>
      <c r="U738" s="64">
        <f t="shared" si="140"/>
        <v>0</v>
      </c>
      <c r="V738" s="65">
        <v>0</v>
      </c>
      <c r="W738" s="66">
        <f t="shared" si="141"/>
        <v>1500</v>
      </c>
      <c r="X738" s="67">
        <f t="shared" si="142"/>
        <v>1.5</v>
      </c>
      <c r="Y738" s="57" t="str">
        <f t="shared" si="143"/>
        <v>STOCK</v>
      </c>
      <c r="Z738" s="68" t="s">
        <v>1538</v>
      </c>
    </row>
    <row r="739" spans="1:26" s="8" customFormat="1" ht="20.100000000000001" customHeight="1" x14ac:dyDescent="0.25">
      <c r="A739" s="69" t="s">
        <v>1705</v>
      </c>
      <c r="B739" s="88">
        <v>1156</v>
      </c>
      <c r="C739" s="90" t="s">
        <v>1322</v>
      </c>
      <c r="D739" s="60">
        <v>0</v>
      </c>
      <c r="E739" s="61">
        <f t="shared" si="132"/>
        <v>0</v>
      </c>
      <c r="F739" s="60">
        <v>0</v>
      </c>
      <c r="G739" s="61">
        <f t="shared" si="133"/>
        <v>0</v>
      </c>
      <c r="H739" s="60">
        <v>0</v>
      </c>
      <c r="I739" s="61">
        <f t="shared" si="134"/>
        <v>0</v>
      </c>
      <c r="J739" s="60">
        <v>0</v>
      </c>
      <c r="K739" s="61">
        <f t="shared" si="135"/>
        <v>0</v>
      </c>
      <c r="L739" s="62"/>
      <c r="M739" s="61">
        <f t="shared" si="136"/>
        <v>0</v>
      </c>
      <c r="N739" s="63">
        <v>2</v>
      </c>
      <c r="O739" s="61">
        <f t="shared" si="137"/>
        <v>1000</v>
      </c>
      <c r="P739" s="60">
        <v>0</v>
      </c>
      <c r="Q739" s="61">
        <f t="shared" si="138"/>
        <v>0</v>
      </c>
      <c r="R739" s="60">
        <v>0</v>
      </c>
      <c r="S739" s="61">
        <f t="shared" si="139"/>
        <v>0</v>
      </c>
      <c r="T739" s="60">
        <v>0</v>
      </c>
      <c r="U739" s="64">
        <f t="shared" si="140"/>
        <v>0</v>
      </c>
      <c r="V739" s="65">
        <v>0</v>
      </c>
      <c r="W739" s="66">
        <f t="shared" si="141"/>
        <v>1000</v>
      </c>
      <c r="X739" s="67">
        <f t="shared" si="142"/>
        <v>1</v>
      </c>
      <c r="Y739" s="57" t="str">
        <f t="shared" si="143"/>
        <v>STOCK</v>
      </c>
      <c r="Z739" s="68" t="s">
        <v>1538</v>
      </c>
    </row>
    <row r="740" spans="1:26" s="8" customFormat="1" ht="20.100000000000001" customHeight="1" x14ac:dyDescent="0.25">
      <c r="A740" s="69" t="s">
        <v>1706</v>
      </c>
      <c r="B740" s="88">
        <v>1157</v>
      </c>
      <c r="C740" s="90" t="s">
        <v>1323</v>
      </c>
      <c r="D740" s="60">
        <v>0</v>
      </c>
      <c r="E740" s="61">
        <f t="shared" si="132"/>
        <v>0</v>
      </c>
      <c r="F740" s="60">
        <v>0</v>
      </c>
      <c r="G740" s="61">
        <f t="shared" si="133"/>
        <v>0</v>
      </c>
      <c r="H740" s="60">
        <v>0</v>
      </c>
      <c r="I740" s="61">
        <f t="shared" si="134"/>
        <v>0</v>
      </c>
      <c r="J740" s="60">
        <v>0</v>
      </c>
      <c r="K740" s="61">
        <f t="shared" si="135"/>
        <v>0</v>
      </c>
      <c r="L740" s="62"/>
      <c r="M740" s="61">
        <f t="shared" si="136"/>
        <v>0</v>
      </c>
      <c r="N740" s="63">
        <v>0</v>
      </c>
      <c r="O740" s="61">
        <f t="shared" si="137"/>
        <v>0</v>
      </c>
      <c r="P740" s="60">
        <v>0</v>
      </c>
      <c r="Q740" s="61">
        <f t="shared" si="138"/>
        <v>0</v>
      </c>
      <c r="R740" s="60">
        <v>0</v>
      </c>
      <c r="S740" s="61">
        <f t="shared" si="139"/>
        <v>0</v>
      </c>
      <c r="T740" s="60">
        <v>0</v>
      </c>
      <c r="U740" s="64">
        <f t="shared" si="140"/>
        <v>0</v>
      </c>
      <c r="V740" s="65">
        <v>0</v>
      </c>
      <c r="W740" s="66">
        <f t="shared" si="141"/>
        <v>0</v>
      </c>
      <c r="X740" s="67">
        <f t="shared" si="142"/>
        <v>0</v>
      </c>
      <c r="Y740" s="57" t="str">
        <f t="shared" si="143"/>
        <v>NIL PLEASE PURCHASE</v>
      </c>
      <c r="Z740" s="68" t="s">
        <v>1538</v>
      </c>
    </row>
    <row r="741" spans="1:26" s="8" customFormat="1" ht="20.100000000000001" customHeight="1" x14ac:dyDescent="0.25">
      <c r="A741" s="69" t="s">
        <v>1707</v>
      </c>
      <c r="B741" s="88">
        <v>1158</v>
      </c>
      <c r="C741" s="90" t="s">
        <v>1324</v>
      </c>
      <c r="D741" s="60">
        <v>0</v>
      </c>
      <c r="E741" s="61">
        <f t="shared" si="132"/>
        <v>0</v>
      </c>
      <c r="F741" s="60">
        <v>0</v>
      </c>
      <c r="G741" s="61">
        <f t="shared" si="133"/>
        <v>0</v>
      </c>
      <c r="H741" s="60">
        <v>0</v>
      </c>
      <c r="I741" s="61">
        <f t="shared" si="134"/>
        <v>0</v>
      </c>
      <c r="J741" s="60">
        <v>0</v>
      </c>
      <c r="K741" s="61">
        <f t="shared" si="135"/>
        <v>0</v>
      </c>
      <c r="L741" s="62"/>
      <c r="M741" s="61">
        <f t="shared" si="136"/>
        <v>0</v>
      </c>
      <c r="N741" s="63">
        <v>0</v>
      </c>
      <c r="O741" s="61">
        <f t="shared" si="137"/>
        <v>0</v>
      </c>
      <c r="P741" s="60">
        <v>0</v>
      </c>
      <c r="Q741" s="61">
        <f t="shared" si="138"/>
        <v>0</v>
      </c>
      <c r="R741" s="60">
        <v>0</v>
      </c>
      <c r="S741" s="61">
        <f t="shared" si="139"/>
        <v>0</v>
      </c>
      <c r="T741" s="60">
        <v>0</v>
      </c>
      <c r="U741" s="64">
        <f t="shared" si="140"/>
        <v>0</v>
      </c>
      <c r="V741" s="65">
        <v>0</v>
      </c>
      <c r="W741" s="66">
        <f t="shared" si="141"/>
        <v>0</v>
      </c>
      <c r="X741" s="67">
        <f t="shared" si="142"/>
        <v>0</v>
      </c>
      <c r="Y741" s="57" t="str">
        <f t="shared" si="143"/>
        <v>NIL PLEASE PURCHASE</v>
      </c>
      <c r="Z741" s="68" t="s">
        <v>1539</v>
      </c>
    </row>
    <row r="742" spans="1:26" s="8" customFormat="1" ht="20.100000000000001" customHeight="1" x14ac:dyDescent="0.25">
      <c r="A742" s="69" t="s">
        <v>1708</v>
      </c>
      <c r="B742" s="88">
        <v>1159</v>
      </c>
      <c r="C742" s="90" t="s">
        <v>1325</v>
      </c>
      <c r="D742" s="60">
        <v>0</v>
      </c>
      <c r="E742" s="61">
        <f t="shared" si="132"/>
        <v>0</v>
      </c>
      <c r="F742" s="60">
        <v>0</v>
      </c>
      <c r="G742" s="61">
        <f t="shared" si="133"/>
        <v>0</v>
      </c>
      <c r="H742" s="60">
        <v>0</v>
      </c>
      <c r="I742" s="61">
        <f t="shared" si="134"/>
        <v>0</v>
      </c>
      <c r="J742" s="60">
        <v>0</v>
      </c>
      <c r="K742" s="61">
        <f t="shared" si="135"/>
        <v>0</v>
      </c>
      <c r="L742" s="62"/>
      <c r="M742" s="61">
        <f t="shared" si="136"/>
        <v>0</v>
      </c>
      <c r="N742" s="63">
        <v>0</v>
      </c>
      <c r="O742" s="61">
        <f t="shared" si="137"/>
        <v>0</v>
      </c>
      <c r="P742" s="60">
        <v>0</v>
      </c>
      <c r="Q742" s="61">
        <f t="shared" si="138"/>
        <v>0</v>
      </c>
      <c r="R742" s="60">
        <v>0</v>
      </c>
      <c r="S742" s="61">
        <f t="shared" si="139"/>
        <v>0</v>
      </c>
      <c r="T742" s="60">
        <v>0</v>
      </c>
      <c r="U742" s="64">
        <f t="shared" si="140"/>
        <v>0</v>
      </c>
      <c r="V742" s="65">
        <v>0</v>
      </c>
      <c r="W742" s="66">
        <f t="shared" si="141"/>
        <v>0</v>
      </c>
      <c r="X742" s="67">
        <f t="shared" si="142"/>
        <v>0</v>
      </c>
      <c r="Y742" s="57" t="str">
        <f t="shared" si="143"/>
        <v>NIL PLEASE PURCHASE</v>
      </c>
      <c r="Z742" s="68" t="s">
        <v>1539</v>
      </c>
    </row>
    <row r="743" spans="1:26" s="8" customFormat="1" ht="20.100000000000001" customHeight="1" x14ac:dyDescent="0.25">
      <c r="A743" s="69" t="s">
        <v>1709</v>
      </c>
      <c r="B743" s="88">
        <v>1160</v>
      </c>
      <c r="C743" s="90" t="s">
        <v>1326</v>
      </c>
      <c r="D743" s="60">
        <v>0</v>
      </c>
      <c r="E743" s="61">
        <f t="shared" si="132"/>
        <v>0</v>
      </c>
      <c r="F743" s="60">
        <v>0</v>
      </c>
      <c r="G743" s="61">
        <f t="shared" si="133"/>
        <v>0</v>
      </c>
      <c r="H743" s="60">
        <v>0</v>
      </c>
      <c r="I743" s="61">
        <f t="shared" si="134"/>
        <v>0</v>
      </c>
      <c r="J743" s="60">
        <v>0</v>
      </c>
      <c r="K743" s="61">
        <f t="shared" si="135"/>
        <v>0</v>
      </c>
      <c r="L743" s="62"/>
      <c r="M743" s="61">
        <f t="shared" si="136"/>
        <v>0</v>
      </c>
      <c r="N743" s="63">
        <v>0</v>
      </c>
      <c r="O743" s="61">
        <f t="shared" si="137"/>
        <v>0</v>
      </c>
      <c r="P743" s="60">
        <v>0</v>
      </c>
      <c r="Q743" s="61">
        <f t="shared" si="138"/>
        <v>0</v>
      </c>
      <c r="R743" s="60">
        <v>0</v>
      </c>
      <c r="S743" s="61">
        <f t="shared" si="139"/>
        <v>0</v>
      </c>
      <c r="T743" s="60">
        <v>0</v>
      </c>
      <c r="U743" s="64">
        <f t="shared" si="140"/>
        <v>0</v>
      </c>
      <c r="V743" s="65">
        <v>0</v>
      </c>
      <c r="W743" s="66">
        <f t="shared" si="141"/>
        <v>0</v>
      </c>
      <c r="X743" s="67">
        <f t="shared" si="142"/>
        <v>0</v>
      </c>
      <c r="Y743" s="57" t="str">
        <f t="shared" si="143"/>
        <v>NIL PLEASE PURCHASE</v>
      </c>
      <c r="Z743" s="68" t="s">
        <v>1539</v>
      </c>
    </row>
    <row r="744" spans="1:26" s="8" customFormat="1" ht="20.100000000000001" customHeight="1" x14ac:dyDescent="0.25">
      <c r="A744" s="69" t="s">
        <v>1710</v>
      </c>
      <c r="B744" s="88">
        <v>1161</v>
      </c>
      <c r="C744" s="90" t="s">
        <v>1327</v>
      </c>
      <c r="D744" s="60">
        <v>0</v>
      </c>
      <c r="E744" s="61">
        <f t="shared" si="132"/>
        <v>0</v>
      </c>
      <c r="F744" s="60">
        <v>0</v>
      </c>
      <c r="G744" s="61">
        <f t="shared" si="133"/>
        <v>0</v>
      </c>
      <c r="H744" s="60">
        <v>0</v>
      </c>
      <c r="I744" s="61">
        <f t="shared" si="134"/>
        <v>0</v>
      </c>
      <c r="J744" s="60">
        <v>0</v>
      </c>
      <c r="K744" s="61">
        <f t="shared" si="135"/>
        <v>0</v>
      </c>
      <c r="L744" s="62"/>
      <c r="M744" s="61">
        <f t="shared" si="136"/>
        <v>0</v>
      </c>
      <c r="N744" s="63">
        <v>0</v>
      </c>
      <c r="O744" s="61">
        <f t="shared" si="137"/>
        <v>0</v>
      </c>
      <c r="P744" s="60">
        <v>0</v>
      </c>
      <c r="Q744" s="61">
        <f t="shared" si="138"/>
        <v>0</v>
      </c>
      <c r="R744" s="60">
        <v>0</v>
      </c>
      <c r="S744" s="61">
        <f t="shared" si="139"/>
        <v>0</v>
      </c>
      <c r="T744" s="60">
        <v>0</v>
      </c>
      <c r="U744" s="64">
        <f t="shared" si="140"/>
        <v>0</v>
      </c>
      <c r="V744" s="65">
        <v>0</v>
      </c>
      <c r="W744" s="66">
        <f t="shared" si="141"/>
        <v>0</v>
      </c>
      <c r="X744" s="67">
        <f t="shared" si="142"/>
        <v>0</v>
      </c>
      <c r="Y744" s="57" t="str">
        <f t="shared" si="143"/>
        <v>NIL PLEASE PURCHASE</v>
      </c>
      <c r="Z744" s="68" t="s">
        <v>1539</v>
      </c>
    </row>
    <row r="745" spans="1:26" s="8" customFormat="1" ht="20.100000000000001" customHeight="1" x14ac:dyDescent="0.25">
      <c r="A745" s="69" t="s">
        <v>1711</v>
      </c>
      <c r="B745" s="88">
        <v>1162</v>
      </c>
      <c r="C745" s="90" t="s">
        <v>1328</v>
      </c>
      <c r="D745" s="60">
        <v>0</v>
      </c>
      <c r="E745" s="61">
        <f t="shared" si="132"/>
        <v>0</v>
      </c>
      <c r="F745" s="60">
        <v>0</v>
      </c>
      <c r="G745" s="61">
        <f t="shared" si="133"/>
        <v>0</v>
      </c>
      <c r="H745" s="60">
        <v>0</v>
      </c>
      <c r="I745" s="61">
        <f t="shared" si="134"/>
        <v>0</v>
      </c>
      <c r="J745" s="60">
        <v>0</v>
      </c>
      <c r="K745" s="61">
        <f t="shared" si="135"/>
        <v>0</v>
      </c>
      <c r="L745" s="62"/>
      <c r="M745" s="61">
        <f t="shared" si="136"/>
        <v>0</v>
      </c>
      <c r="N745" s="63">
        <v>0</v>
      </c>
      <c r="O745" s="61">
        <f t="shared" si="137"/>
        <v>0</v>
      </c>
      <c r="P745" s="60">
        <v>0</v>
      </c>
      <c r="Q745" s="61">
        <f t="shared" si="138"/>
        <v>0</v>
      </c>
      <c r="R745" s="60">
        <v>0</v>
      </c>
      <c r="S745" s="61">
        <f t="shared" si="139"/>
        <v>0</v>
      </c>
      <c r="T745" s="60">
        <v>0</v>
      </c>
      <c r="U745" s="64">
        <f t="shared" si="140"/>
        <v>0</v>
      </c>
      <c r="V745" s="65">
        <v>0</v>
      </c>
      <c r="W745" s="66">
        <f t="shared" si="141"/>
        <v>0</v>
      </c>
      <c r="X745" s="67">
        <f t="shared" si="142"/>
        <v>0</v>
      </c>
      <c r="Y745" s="57" t="str">
        <f t="shared" si="143"/>
        <v>NIL PLEASE PURCHASE</v>
      </c>
      <c r="Z745" s="68" t="s">
        <v>1539</v>
      </c>
    </row>
    <row r="746" spans="1:26" s="8" customFormat="1" ht="20.100000000000001" customHeight="1" x14ac:dyDescent="0.25">
      <c r="A746" s="69" t="s">
        <v>1712</v>
      </c>
      <c r="B746" s="88">
        <v>1163</v>
      </c>
      <c r="C746" s="90" t="s">
        <v>1329</v>
      </c>
      <c r="D746" s="60">
        <v>0</v>
      </c>
      <c r="E746" s="61">
        <f t="shared" si="132"/>
        <v>0</v>
      </c>
      <c r="F746" s="60">
        <v>0</v>
      </c>
      <c r="G746" s="61">
        <f t="shared" si="133"/>
        <v>0</v>
      </c>
      <c r="H746" s="60">
        <v>0</v>
      </c>
      <c r="I746" s="61">
        <f t="shared" si="134"/>
        <v>0</v>
      </c>
      <c r="J746" s="60">
        <v>0</v>
      </c>
      <c r="K746" s="61">
        <f t="shared" si="135"/>
        <v>0</v>
      </c>
      <c r="L746" s="62"/>
      <c r="M746" s="61">
        <f t="shared" si="136"/>
        <v>0</v>
      </c>
      <c r="N746" s="63">
        <v>0</v>
      </c>
      <c r="O746" s="61">
        <f t="shared" si="137"/>
        <v>0</v>
      </c>
      <c r="P746" s="60">
        <v>0</v>
      </c>
      <c r="Q746" s="61">
        <f t="shared" si="138"/>
        <v>0</v>
      </c>
      <c r="R746" s="60">
        <v>0</v>
      </c>
      <c r="S746" s="61">
        <f t="shared" si="139"/>
        <v>0</v>
      </c>
      <c r="T746" s="60">
        <v>0</v>
      </c>
      <c r="U746" s="64">
        <f t="shared" si="140"/>
        <v>0</v>
      </c>
      <c r="V746" s="65">
        <v>0</v>
      </c>
      <c r="W746" s="66">
        <f t="shared" si="141"/>
        <v>0</v>
      </c>
      <c r="X746" s="67">
        <f t="shared" si="142"/>
        <v>0</v>
      </c>
      <c r="Y746" s="57" t="str">
        <f t="shared" si="143"/>
        <v>NIL PLEASE PURCHASE</v>
      </c>
      <c r="Z746" s="68" t="s">
        <v>1539</v>
      </c>
    </row>
    <row r="747" spans="1:26" s="8" customFormat="1" ht="20.100000000000001" customHeight="1" x14ac:dyDescent="0.25">
      <c r="A747" s="69" t="s">
        <v>1713</v>
      </c>
      <c r="B747" s="88">
        <v>1164</v>
      </c>
      <c r="C747" s="90" t="s">
        <v>1330</v>
      </c>
      <c r="D747" s="60">
        <v>0</v>
      </c>
      <c r="E747" s="61">
        <f t="shared" si="132"/>
        <v>0</v>
      </c>
      <c r="F747" s="60">
        <v>0</v>
      </c>
      <c r="G747" s="61">
        <f t="shared" si="133"/>
        <v>0</v>
      </c>
      <c r="H747" s="60">
        <v>0</v>
      </c>
      <c r="I747" s="61">
        <f t="shared" si="134"/>
        <v>0</v>
      </c>
      <c r="J747" s="60">
        <v>0</v>
      </c>
      <c r="K747" s="61">
        <f t="shared" si="135"/>
        <v>0</v>
      </c>
      <c r="L747" s="62"/>
      <c r="M747" s="61">
        <f t="shared" si="136"/>
        <v>0</v>
      </c>
      <c r="N747" s="63">
        <v>0</v>
      </c>
      <c r="O747" s="61">
        <f t="shared" si="137"/>
        <v>0</v>
      </c>
      <c r="P747" s="60">
        <v>0</v>
      </c>
      <c r="Q747" s="61">
        <f t="shared" si="138"/>
        <v>0</v>
      </c>
      <c r="R747" s="60">
        <v>0</v>
      </c>
      <c r="S747" s="61">
        <f t="shared" si="139"/>
        <v>0</v>
      </c>
      <c r="T747" s="60">
        <v>0</v>
      </c>
      <c r="U747" s="64">
        <f t="shared" si="140"/>
        <v>0</v>
      </c>
      <c r="V747" s="65">
        <v>0</v>
      </c>
      <c r="W747" s="66">
        <f t="shared" si="141"/>
        <v>0</v>
      </c>
      <c r="X747" s="67">
        <f t="shared" si="142"/>
        <v>0</v>
      </c>
      <c r="Y747" s="57" t="str">
        <f t="shared" si="143"/>
        <v>NIL PLEASE PURCHASE</v>
      </c>
      <c r="Z747" s="68" t="s">
        <v>1539</v>
      </c>
    </row>
    <row r="748" spans="1:26" s="8" customFormat="1" ht="20.100000000000001" customHeight="1" x14ac:dyDescent="0.25">
      <c r="A748" s="69" t="s">
        <v>1714</v>
      </c>
      <c r="B748" s="88">
        <v>1165</v>
      </c>
      <c r="C748" s="90" t="s">
        <v>1331</v>
      </c>
      <c r="D748" s="60">
        <v>0</v>
      </c>
      <c r="E748" s="61">
        <f t="shared" si="132"/>
        <v>0</v>
      </c>
      <c r="F748" s="60">
        <v>0</v>
      </c>
      <c r="G748" s="61">
        <f t="shared" si="133"/>
        <v>0</v>
      </c>
      <c r="H748" s="60">
        <v>0</v>
      </c>
      <c r="I748" s="61">
        <f t="shared" si="134"/>
        <v>0</v>
      </c>
      <c r="J748" s="60">
        <v>0</v>
      </c>
      <c r="K748" s="61">
        <f t="shared" si="135"/>
        <v>0</v>
      </c>
      <c r="L748" s="62"/>
      <c r="M748" s="61">
        <f t="shared" si="136"/>
        <v>0</v>
      </c>
      <c r="N748" s="63">
        <v>0</v>
      </c>
      <c r="O748" s="61">
        <f t="shared" si="137"/>
        <v>0</v>
      </c>
      <c r="P748" s="60">
        <v>0</v>
      </c>
      <c r="Q748" s="61">
        <f t="shared" si="138"/>
        <v>0</v>
      </c>
      <c r="R748" s="60">
        <v>0</v>
      </c>
      <c r="S748" s="61">
        <f t="shared" si="139"/>
        <v>0</v>
      </c>
      <c r="T748" s="60">
        <v>0</v>
      </c>
      <c r="U748" s="64">
        <f t="shared" si="140"/>
        <v>0</v>
      </c>
      <c r="V748" s="65">
        <v>0</v>
      </c>
      <c r="W748" s="66">
        <f t="shared" si="141"/>
        <v>0</v>
      </c>
      <c r="X748" s="67">
        <f t="shared" si="142"/>
        <v>0</v>
      </c>
      <c r="Y748" s="57" t="str">
        <f t="shared" si="143"/>
        <v>NIL PLEASE PURCHASE</v>
      </c>
      <c r="Z748" s="68" t="s">
        <v>1539</v>
      </c>
    </row>
    <row r="749" spans="1:26" s="8" customFormat="1" ht="20.100000000000001" customHeight="1" x14ac:dyDescent="0.25">
      <c r="A749" s="69" t="s">
        <v>1715</v>
      </c>
      <c r="B749" s="88">
        <v>1166</v>
      </c>
      <c r="C749" s="90" t="s">
        <v>1332</v>
      </c>
      <c r="D749" s="60">
        <v>0</v>
      </c>
      <c r="E749" s="61">
        <f t="shared" si="132"/>
        <v>0</v>
      </c>
      <c r="F749" s="60">
        <v>0</v>
      </c>
      <c r="G749" s="61">
        <f t="shared" si="133"/>
        <v>0</v>
      </c>
      <c r="H749" s="60">
        <v>0</v>
      </c>
      <c r="I749" s="61">
        <f t="shared" si="134"/>
        <v>0</v>
      </c>
      <c r="J749" s="60">
        <v>0</v>
      </c>
      <c r="K749" s="61">
        <f t="shared" si="135"/>
        <v>0</v>
      </c>
      <c r="L749" s="62"/>
      <c r="M749" s="61">
        <f t="shared" si="136"/>
        <v>0</v>
      </c>
      <c r="N749" s="63">
        <v>0</v>
      </c>
      <c r="O749" s="61">
        <f t="shared" si="137"/>
        <v>0</v>
      </c>
      <c r="P749" s="60">
        <v>0</v>
      </c>
      <c r="Q749" s="61">
        <f t="shared" si="138"/>
        <v>0</v>
      </c>
      <c r="R749" s="60">
        <v>0</v>
      </c>
      <c r="S749" s="61">
        <f t="shared" si="139"/>
        <v>0</v>
      </c>
      <c r="T749" s="60">
        <v>0</v>
      </c>
      <c r="U749" s="64">
        <f t="shared" si="140"/>
        <v>0</v>
      </c>
      <c r="V749" s="65">
        <v>0</v>
      </c>
      <c r="W749" s="66">
        <f t="shared" si="141"/>
        <v>0</v>
      </c>
      <c r="X749" s="67">
        <f t="shared" si="142"/>
        <v>0</v>
      </c>
      <c r="Y749" s="57" t="str">
        <f t="shared" si="143"/>
        <v>NIL PLEASE PURCHASE</v>
      </c>
      <c r="Z749" s="68" t="s">
        <v>1539</v>
      </c>
    </row>
    <row r="750" spans="1:26" s="8" customFormat="1" ht="20.100000000000001" customHeight="1" x14ac:dyDescent="0.25">
      <c r="A750" s="69" t="s">
        <v>1716</v>
      </c>
      <c r="B750" s="88">
        <v>1167</v>
      </c>
      <c r="C750" s="90" t="s">
        <v>1333</v>
      </c>
      <c r="D750" s="60">
        <v>0</v>
      </c>
      <c r="E750" s="61">
        <f t="shared" si="132"/>
        <v>0</v>
      </c>
      <c r="F750" s="60">
        <v>0</v>
      </c>
      <c r="G750" s="61">
        <f t="shared" si="133"/>
        <v>0</v>
      </c>
      <c r="H750" s="60">
        <v>0</v>
      </c>
      <c r="I750" s="61">
        <f t="shared" si="134"/>
        <v>0</v>
      </c>
      <c r="J750" s="60">
        <v>0</v>
      </c>
      <c r="K750" s="61">
        <f t="shared" si="135"/>
        <v>0</v>
      </c>
      <c r="L750" s="62"/>
      <c r="M750" s="61">
        <f t="shared" si="136"/>
        <v>0</v>
      </c>
      <c r="N750" s="63">
        <v>9</v>
      </c>
      <c r="O750" s="61">
        <f t="shared" si="137"/>
        <v>4500</v>
      </c>
      <c r="P750" s="60">
        <v>0</v>
      </c>
      <c r="Q750" s="61">
        <f t="shared" si="138"/>
        <v>0</v>
      </c>
      <c r="R750" s="60">
        <v>0</v>
      </c>
      <c r="S750" s="61">
        <f t="shared" si="139"/>
        <v>0</v>
      </c>
      <c r="T750" s="60">
        <v>0</v>
      </c>
      <c r="U750" s="64">
        <f t="shared" si="140"/>
        <v>0</v>
      </c>
      <c r="V750" s="65">
        <v>0</v>
      </c>
      <c r="W750" s="66">
        <f t="shared" si="141"/>
        <v>4500</v>
      </c>
      <c r="X750" s="67">
        <f t="shared" si="142"/>
        <v>4.5</v>
      </c>
      <c r="Y750" s="57" t="str">
        <f t="shared" si="143"/>
        <v>STOCK</v>
      </c>
      <c r="Z750" s="68" t="s">
        <v>1538</v>
      </c>
    </row>
    <row r="751" spans="1:26" s="8" customFormat="1" ht="20.100000000000001" customHeight="1" x14ac:dyDescent="0.25">
      <c r="A751" s="69" t="s">
        <v>1717</v>
      </c>
      <c r="B751" s="88">
        <v>1168</v>
      </c>
      <c r="C751" s="90" t="s">
        <v>1334</v>
      </c>
      <c r="D751" s="60">
        <v>0</v>
      </c>
      <c r="E751" s="61">
        <f t="shared" si="132"/>
        <v>0</v>
      </c>
      <c r="F751" s="60">
        <v>0</v>
      </c>
      <c r="G751" s="61">
        <f t="shared" si="133"/>
        <v>0</v>
      </c>
      <c r="H751" s="60">
        <v>0</v>
      </c>
      <c r="I751" s="61">
        <f t="shared" si="134"/>
        <v>0</v>
      </c>
      <c r="J751" s="60">
        <v>0</v>
      </c>
      <c r="K751" s="61">
        <f t="shared" si="135"/>
        <v>0</v>
      </c>
      <c r="L751" s="62"/>
      <c r="M751" s="61">
        <f t="shared" si="136"/>
        <v>0</v>
      </c>
      <c r="N751" s="63">
        <v>0</v>
      </c>
      <c r="O751" s="61">
        <f t="shared" si="137"/>
        <v>0</v>
      </c>
      <c r="P751" s="60">
        <v>2</v>
      </c>
      <c r="Q751" s="61">
        <f t="shared" si="138"/>
        <v>2000</v>
      </c>
      <c r="R751" s="60">
        <v>0</v>
      </c>
      <c r="S751" s="61">
        <f t="shared" si="139"/>
        <v>0</v>
      </c>
      <c r="T751" s="60">
        <v>0</v>
      </c>
      <c r="U751" s="64">
        <f t="shared" si="140"/>
        <v>0</v>
      </c>
      <c r="V751" s="65">
        <v>0</v>
      </c>
      <c r="W751" s="66">
        <f t="shared" si="141"/>
        <v>2000</v>
      </c>
      <c r="X751" s="67">
        <f t="shared" si="142"/>
        <v>2</v>
      </c>
      <c r="Y751" s="57" t="str">
        <f t="shared" si="143"/>
        <v>STOCK</v>
      </c>
      <c r="Z751" s="68" t="s">
        <v>1538</v>
      </c>
    </row>
    <row r="752" spans="1:26" s="8" customFormat="1" ht="20.100000000000001" customHeight="1" x14ac:dyDescent="0.25">
      <c r="A752" s="69" t="s">
        <v>1718</v>
      </c>
      <c r="B752" s="88">
        <v>1169</v>
      </c>
      <c r="C752" s="90" t="s">
        <v>1335</v>
      </c>
      <c r="D752" s="60">
        <v>0</v>
      </c>
      <c r="E752" s="61">
        <f t="shared" si="132"/>
        <v>0</v>
      </c>
      <c r="F752" s="60">
        <v>0</v>
      </c>
      <c r="G752" s="61">
        <f t="shared" si="133"/>
        <v>0</v>
      </c>
      <c r="H752" s="60">
        <v>0</v>
      </c>
      <c r="I752" s="61">
        <f t="shared" si="134"/>
        <v>0</v>
      </c>
      <c r="J752" s="60">
        <v>0</v>
      </c>
      <c r="K752" s="61">
        <f t="shared" si="135"/>
        <v>0</v>
      </c>
      <c r="L752" s="62"/>
      <c r="M752" s="61">
        <f t="shared" si="136"/>
        <v>0</v>
      </c>
      <c r="N752" s="63">
        <v>0</v>
      </c>
      <c r="O752" s="61">
        <f t="shared" si="137"/>
        <v>0</v>
      </c>
      <c r="P752" s="60">
        <v>0</v>
      </c>
      <c r="Q752" s="61">
        <f t="shared" si="138"/>
        <v>0</v>
      </c>
      <c r="R752" s="60">
        <v>0</v>
      </c>
      <c r="S752" s="61">
        <f t="shared" si="139"/>
        <v>0</v>
      </c>
      <c r="T752" s="60">
        <v>0</v>
      </c>
      <c r="U752" s="64">
        <f t="shared" si="140"/>
        <v>0</v>
      </c>
      <c r="V752" s="65">
        <v>0</v>
      </c>
      <c r="W752" s="66">
        <f t="shared" si="141"/>
        <v>0</v>
      </c>
      <c r="X752" s="67">
        <f t="shared" si="142"/>
        <v>0</v>
      </c>
      <c r="Y752" s="57" t="str">
        <f t="shared" si="143"/>
        <v>NIL PLEASE PURCHASE</v>
      </c>
      <c r="Z752" s="68" t="s">
        <v>1539</v>
      </c>
    </row>
    <row r="753" spans="1:26" s="8" customFormat="1" ht="20.100000000000001" customHeight="1" x14ac:dyDescent="0.25">
      <c r="A753" s="69" t="s">
        <v>1719</v>
      </c>
      <c r="B753" s="88">
        <v>1170</v>
      </c>
      <c r="C753" s="90" t="s">
        <v>1336</v>
      </c>
      <c r="D753" s="60">
        <v>0</v>
      </c>
      <c r="E753" s="61">
        <f t="shared" si="132"/>
        <v>0</v>
      </c>
      <c r="F753" s="60">
        <v>0</v>
      </c>
      <c r="G753" s="61">
        <f t="shared" si="133"/>
        <v>0</v>
      </c>
      <c r="H753" s="60">
        <v>0</v>
      </c>
      <c r="I753" s="61">
        <f t="shared" si="134"/>
        <v>0</v>
      </c>
      <c r="J753" s="60">
        <v>0</v>
      </c>
      <c r="K753" s="61">
        <f t="shared" si="135"/>
        <v>0</v>
      </c>
      <c r="L753" s="62"/>
      <c r="M753" s="61">
        <f t="shared" si="136"/>
        <v>0</v>
      </c>
      <c r="N753" s="63">
        <v>0</v>
      </c>
      <c r="O753" s="61">
        <f t="shared" si="137"/>
        <v>0</v>
      </c>
      <c r="P753" s="60">
        <v>0</v>
      </c>
      <c r="Q753" s="61">
        <f t="shared" si="138"/>
        <v>0</v>
      </c>
      <c r="R753" s="60">
        <v>0</v>
      </c>
      <c r="S753" s="61">
        <f t="shared" si="139"/>
        <v>0</v>
      </c>
      <c r="T753" s="60">
        <v>0</v>
      </c>
      <c r="U753" s="64">
        <f t="shared" si="140"/>
        <v>0</v>
      </c>
      <c r="V753" s="65">
        <v>0</v>
      </c>
      <c r="W753" s="66">
        <f t="shared" si="141"/>
        <v>0</v>
      </c>
      <c r="X753" s="67">
        <f t="shared" si="142"/>
        <v>0</v>
      </c>
      <c r="Y753" s="57" t="str">
        <f t="shared" si="143"/>
        <v>NIL PLEASE PURCHASE</v>
      </c>
      <c r="Z753" s="68" t="s">
        <v>1539</v>
      </c>
    </row>
    <row r="754" spans="1:26" s="8" customFormat="1" ht="20.100000000000001" customHeight="1" x14ac:dyDescent="0.25">
      <c r="A754" s="69" t="s">
        <v>1720</v>
      </c>
      <c r="B754" s="88">
        <v>1171</v>
      </c>
      <c r="C754" s="90" t="s">
        <v>1337</v>
      </c>
      <c r="D754" s="60">
        <v>0</v>
      </c>
      <c r="E754" s="61">
        <f t="shared" si="132"/>
        <v>0</v>
      </c>
      <c r="F754" s="60">
        <v>0</v>
      </c>
      <c r="G754" s="61">
        <f t="shared" si="133"/>
        <v>0</v>
      </c>
      <c r="H754" s="60">
        <v>0</v>
      </c>
      <c r="I754" s="61">
        <f t="shared" si="134"/>
        <v>0</v>
      </c>
      <c r="J754" s="60">
        <v>0</v>
      </c>
      <c r="K754" s="61">
        <f t="shared" si="135"/>
        <v>0</v>
      </c>
      <c r="L754" s="62"/>
      <c r="M754" s="61">
        <f t="shared" si="136"/>
        <v>0</v>
      </c>
      <c r="N754" s="63">
        <v>0</v>
      </c>
      <c r="O754" s="61">
        <f t="shared" si="137"/>
        <v>0</v>
      </c>
      <c r="P754" s="60">
        <v>0</v>
      </c>
      <c r="Q754" s="61">
        <f t="shared" si="138"/>
        <v>0</v>
      </c>
      <c r="R754" s="60">
        <v>0</v>
      </c>
      <c r="S754" s="61">
        <f t="shared" si="139"/>
        <v>0</v>
      </c>
      <c r="T754" s="60">
        <v>0</v>
      </c>
      <c r="U754" s="64">
        <f t="shared" si="140"/>
        <v>0</v>
      </c>
      <c r="V754" s="65">
        <v>0</v>
      </c>
      <c r="W754" s="66">
        <f t="shared" si="141"/>
        <v>0</v>
      </c>
      <c r="X754" s="67">
        <f t="shared" si="142"/>
        <v>0</v>
      </c>
      <c r="Y754" s="57" t="str">
        <f t="shared" si="143"/>
        <v>NIL PLEASE PURCHASE</v>
      </c>
      <c r="Z754" s="68" t="s">
        <v>1539</v>
      </c>
    </row>
    <row r="755" spans="1:26" s="8" customFormat="1" ht="20.100000000000001" customHeight="1" x14ac:dyDescent="0.25">
      <c r="A755" s="69" t="s">
        <v>1721</v>
      </c>
      <c r="B755" s="88">
        <v>1172</v>
      </c>
      <c r="C755" s="90" t="s">
        <v>1338</v>
      </c>
      <c r="D755" s="60">
        <v>0</v>
      </c>
      <c r="E755" s="61">
        <f t="shared" si="132"/>
        <v>0</v>
      </c>
      <c r="F755" s="60">
        <v>0</v>
      </c>
      <c r="G755" s="61">
        <f t="shared" si="133"/>
        <v>0</v>
      </c>
      <c r="H755" s="60">
        <v>0</v>
      </c>
      <c r="I755" s="61">
        <f t="shared" si="134"/>
        <v>0</v>
      </c>
      <c r="J755" s="60">
        <v>0</v>
      </c>
      <c r="K755" s="61">
        <f t="shared" si="135"/>
        <v>0</v>
      </c>
      <c r="L755" s="62"/>
      <c r="M755" s="61">
        <f t="shared" si="136"/>
        <v>0</v>
      </c>
      <c r="N755" s="63">
        <v>0</v>
      </c>
      <c r="O755" s="61">
        <f t="shared" si="137"/>
        <v>0</v>
      </c>
      <c r="P755" s="60">
        <v>0</v>
      </c>
      <c r="Q755" s="61">
        <f t="shared" si="138"/>
        <v>0</v>
      </c>
      <c r="R755" s="60">
        <v>0</v>
      </c>
      <c r="S755" s="61">
        <f t="shared" si="139"/>
        <v>0</v>
      </c>
      <c r="T755" s="60">
        <v>0</v>
      </c>
      <c r="U755" s="64">
        <f t="shared" si="140"/>
        <v>0</v>
      </c>
      <c r="V755" s="65">
        <v>0</v>
      </c>
      <c r="W755" s="66">
        <f t="shared" si="141"/>
        <v>0</v>
      </c>
      <c r="X755" s="67">
        <f t="shared" si="142"/>
        <v>0</v>
      </c>
      <c r="Y755" s="57" t="str">
        <f t="shared" si="143"/>
        <v>NIL PLEASE PURCHASE</v>
      </c>
      <c r="Z755" s="68" t="s">
        <v>1539</v>
      </c>
    </row>
    <row r="756" spans="1:26" s="8" customFormat="1" ht="20.100000000000001" customHeight="1" x14ac:dyDescent="0.25">
      <c r="A756" s="69" t="s">
        <v>1722</v>
      </c>
      <c r="B756" s="88">
        <v>1173</v>
      </c>
      <c r="C756" s="90" t="s">
        <v>1339</v>
      </c>
      <c r="D756" s="60">
        <v>0</v>
      </c>
      <c r="E756" s="61">
        <f t="shared" si="132"/>
        <v>0</v>
      </c>
      <c r="F756" s="60">
        <v>0</v>
      </c>
      <c r="G756" s="61">
        <f t="shared" si="133"/>
        <v>0</v>
      </c>
      <c r="H756" s="60">
        <v>0</v>
      </c>
      <c r="I756" s="61">
        <f t="shared" si="134"/>
        <v>0</v>
      </c>
      <c r="J756" s="60">
        <v>0</v>
      </c>
      <c r="K756" s="61">
        <f t="shared" si="135"/>
        <v>0</v>
      </c>
      <c r="L756" s="62"/>
      <c r="M756" s="61">
        <f t="shared" si="136"/>
        <v>0</v>
      </c>
      <c r="N756" s="63">
        <v>0</v>
      </c>
      <c r="O756" s="61">
        <f t="shared" si="137"/>
        <v>0</v>
      </c>
      <c r="P756" s="60">
        <v>0</v>
      </c>
      <c r="Q756" s="61">
        <f t="shared" si="138"/>
        <v>0</v>
      </c>
      <c r="R756" s="60">
        <v>0</v>
      </c>
      <c r="S756" s="61">
        <f t="shared" si="139"/>
        <v>0</v>
      </c>
      <c r="T756" s="60">
        <v>0</v>
      </c>
      <c r="U756" s="64">
        <f t="shared" si="140"/>
        <v>0</v>
      </c>
      <c r="V756" s="65">
        <v>0</v>
      </c>
      <c r="W756" s="66">
        <f t="shared" si="141"/>
        <v>0</v>
      </c>
      <c r="X756" s="67">
        <f t="shared" si="142"/>
        <v>0</v>
      </c>
      <c r="Y756" s="57" t="str">
        <f t="shared" si="143"/>
        <v>NIL PLEASE PURCHASE</v>
      </c>
      <c r="Z756" s="68" t="s">
        <v>1539</v>
      </c>
    </row>
    <row r="757" spans="1:26" s="8" customFormat="1" ht="20.100000000000001" customHeight="1" x14ac:dyDescent="0.25">
      <c r="A757" s="69" t="s">
        <v>1723</v>
      </c>
      <c r="B757" s="88">
        <v>1174</v>
      </c>
      <c r="C757" s="90" t="s">
        <v>1340</v>
      </c>
      <c r="D757" s="60">
        <v>0</v>
      </c>
      <c r="E757" s="61">
        <f t="shared" si="132"/>
        <v>0</v>
      </c>
      <c r="F757" s="60">
        <v>0</v>
      </c>
      <c r="G757" s="61">
        <f t="shared" si="133"/>
        <v>0</v>
      </c>
      <c r="H757" s="60">
        <v>0</v>
      </c>
      <c r="I757" s="61">
        <f t="shared" si="134"/>
        <v>0</v>
      </c>
      <c r="J757" s="60">
        <v>0</v>
      </c>
      <c r="K757" s="61">
        <f t="shared" si="135"/>
        <v>0</v>
      </c>
      <c r="L757" s="62"/>
      <c r="M757" s="61">
        <f t="shared" si="136"/>
        <v>0</v>
      </c>
      <c r="N757" s="63">
        <v>0</v>
      </c>
      <c r="O757" s="61">
        <f t="shared" si="137"/>
        <v>0</v>
      </c>
      <c r="P757" s="60">
        <v>0</v>
      </c>
      <c r="Q757" s="61">
        <f t="shared" si="138"/>
        <v>0</v>
      </c>
      <c r="R757" s="60">
        <v>0</v>
      </c>
      <c r="S757" s="61">
        <f t="shared" si="139"/>
        <v>0</v>
      </c>
      <c r="T757" s="60">
        <v>0</v>
      </c>
      <c r="U757" s="64">
        <f t="shared" si="140"/>
        <v>0</v>
      </c>
      <c r="V757" s="65">
        <v>0</v>
      </c>
      <c r="W757" s="66">
        <f t="shared" si="141"/>
        <v>0</v>
      </c>
      <c r="X757" s="67">
        <f t="shared" si="142"/>
        <v>0</v>
      </c>
      <c r="Y757" s="57" t="str">
        <f t="shared" si="143"/>
        <v>NIL PLEASE PURCHASE</v>
      </c>
      <c r="Z757" s="68" t="s">
        <v>1539</v>
      </c>
    </row>
    <row r="758" spans="1:26" s="8" customFormat="1" ht="20.100000000000001" customHeight="1" x14ac:dyDescent="0.25">
      <c r="A758" s="69" t="s">
        <v>1724</v>
      </c>
      <c r="B758" s="88">
        <v>1175</v>
      </c>
      <c r="C758" s="90" t="s">
        <v>1341</v>
      </c>
      <c r="D758" s="60">
        <v>0</v>
      </c>
      <c r="E758" s="61">
        <f t="shared" si="132"/>
        <v>0</v>
      </c>
      <c r="F758" s="60">
        <v>0</v>
      </c>
      <c r="G758" s="61">
        <f t="shared" si="133"/>
        <v>0</v>
      </c>
      <c r="H758" s="60">
        <v>0</v>
      </c>
      <c r="I758" s="61">
        <f t="shared" si="134"/>
        <v>0</v>
      </c>
      <c r="J758" s="60">
        <v>0</v>
      </c>
      <c r="K758" s="61">
        <f t="shared" si="135"/>
        <v>0</v>
      </c>
      <c r="L758" s="62"/>
      <c r="M758" s="61">
        <f t="shared" si="136"/>
        <v>0</v>
      </c>
      <c r="N758" s="63">
        <v>0</v>
      </c>
      <c r="O758" s="61">
        <f t="shared" si="137"/>
        <v>0</v>
      </c>
      <c r="P758" s="60">
        <v>0</v>
      </c>
      <c r="Q758" s="61">
        <f t="shared" si="138"/>
        <v>0</v>
      </c>
      <c r="R758" s="60">
        <v>0</v>
      </c>
      <c r="S758" s="61">
        <f t="shared" si="139"/>
        <v>0</v>
      </c>
      <c r="T758" s="60">
        <v>0</v>
      </c>
      <c r="U758" s="64">
        <f t="shared" si="140"/>
        <v>0</v>
      </c>
      <c r="V758" s="65">
        <v>0</v>
      </c>
      <c r="W758" s="66">
        <f t="shared" si="141"/>
        <v>0</v>
      </c>
      <c r="X758" s="67">
        <f t="shared" si="142"/>
        <v>0</v>
      </c>
      <c r="Y758" s="57" t="str">
        <f t="shared" si="143"/>
        <v>NIL PLEASE PURCHASE</v>
      </c>
      <c r="Z758" s="68" t="s">
        <v>1539</v>
      </c>
    </row>
    <row r="759" spans="1:26" s="8" customFormat="1" ht="20.100000000000001" customHeight="1" x14ac:dyDescent="0.25">
      <c r="A759" s="69" t="s">
        <v>1725</v>
      </c>
      <c r="B759" s="88">
        <v>1176</v>
      </c>
      <c r="C759" s="90" t="s">
        <v>1342</v>
      </c>
      <c r="D759" s="60">
        <v>0</v>
      </c>
      <c r="E759" s="61">
        <f t="shared" si="132"/>
        <v>0</v>
      </c>
      <c r="F759" s="60">
        <v>0</v>
      </c>
      <c r="G759" s="61">
        <f t="shared" si="133"/>
        <v>0</v>
      </c>
      <c r="H759" s="60">
        <v>0</v>
      </c>
      <c r="I759" s="61">
        <f t="shared" si="134"/>
        <v>0</v>
      </c>
      <c r="J759" s="60">
        <v>0</v>
      </c>
      <c r="K759" s="61">
        <f t="shared" si="135"/>
        <v>0</v>
      </c>
      <c r="L759" s="62"/>
      <c r="M759" s="61">
        <f t="shared" si="136"/>
        <v>0</v>
      </c>
      <c r="N759" s="63">
        <v>2</v>
      </c>
      <c r="O759" s="61">
        <f t="shared" si="137"/>
        <v>1000</v>
      </c>
      <c r="P759" s="60">
        <v>0</v>
      </c>
      <c r="Q759" s="61">
        <f t="shared" si="138"/>
        <v>0</v>
      </c>
      <c r="R759" s="60">
        <v>0</v>
      </c>
      <c r="S759" s="61">
        <f t="shared" si="139"/>
        <v>0</v>
      </c>
      <c r="T759" s="60">
        <v>0</v>
      </c>
      <c r="U759" s="64">
        <f t="shared" si="140"/>
        <v>0</v>
      </c>
      <c r="V759" s="65">
        <v>0</v>
      </c>
      <c r="W759" s="66">
        <f t="shared" si="141"/>
        <v>1000</v>
      </c>
      <c r="X759" s="67">
        <f t="shared" si="142"/>
        <v>1</v>
      </c>
      <c r="Y759" s="57" t="str">
        <f t="shared" si="143"/>
        <v>STOCK</v>
      </c>
      <c r="Z759" s="68" t="s">
        <v>1538</v>
      </c>
    </row>
    <row r="760" spans="1:26" s="8" customFormat="1" ht="20.100000000000001" customHeight="1" x14ac:dyDescent="0.25">
      <c r="A760" s="69" t="s">
        <v>1726</v>
      </c>
      <c r="B760" s="88">
        <v>1177</v>
      </c>
      <c r="C760" s="90" t="s">
        <v>1343</v>
      </c>
      <c r="D760" s="60">
        <v>0</v>
      </c>
      <c r="E760" s="61">
        <f t="shared" si="132"/>
        <v>0</v>
      </c>
      <c r="F760" s="60">
        <v>0</v>
      </c>
      <c r="G760" s="61">
        <f t="shared" si="133"/>
        <v>0</v>
      </c>
      <c r="H760" s="60">
        <v>0</v>
      </c>
      <c r="I760" s="61">
        <f t="shared" si="134"/>
        <v>0</v>
      </c>
      <c r="J760" s="60">
        <v>0</v>
      </c>
      <c r="K760" s="61">
        <f t="shared" si="135"/>
        <v>0</v>
      </c>
      <c r="L760" s="62"/>
      <c r="M760" s="61">
        <f t="shared" si="136"/>
        <v>0</v>
      </c>
      <c r="N760" s="63">
        <v>0</v>
      </c>
      <c r="O760" s="61">
        <f t="shared" si="137"/>
        <v>0</v>
      </c>
      <c r="P760" s="60">
        <v>0</v>
      </c>
      <c r="Q760" s="61">
        <f t="shared" si="138"/>
        <v>0</v>
      </c>
      <c r="R760" s="60">
        <v>0</v>
      </c>
      <c r="S760" s="61">
        <f t="shared" si="139"/>
        <v>0</v>
      </c>
      <c r="T760" s="60">
        <v>0</v>
      </c>
      <c r="U760" s="64">
        <f t="shared" si="140"/>
        <v>0</v>
      </c>
      <c r="V760" s="65">
        <v>0</v>
      </c>
      <c r="W760" s="66">
        <f t="shared" si="141"/>
        <v>0</v>
      </c>
      <c r="X760" s="67">
        <f t="shared" si="142"/>
        <v>0</v>
      </c>
      <c r="Y760" s="57" t="str">
        <f t="shared" si="143"/>
        <v>NIL PLEASE PURCHASE</v>
      </c>
      <c r="Z760" s="68" t="s">
        <v>1539</v>
      </c>
    </row>
    <row r="761" spans="1:26" s="8" customFormat="1" ht="20.100000000000001" customHeight="1" x14ac:dyDescent="0.25">
      <c r="A761" s="69" t="s">
        <v>1727</v>
      </c>
      <c r="B761" s="88">
        <v>1178</v>
      </c>
      <c r="C761" s="90" t="s">
        <v>1344</v>
      </c>
      <c r="D761" s="60">
        <v>0</v>
      </c>
      <c r="E761" s="61">
        <f t="shared" si="132"/>
        <v>0</v>
      </c>
      <c r="F761" s="60">
        <v>0</v>
      </c>
      <c r="G761" s="61">
        <f t="shared" si="133"/>
        <v>0</v>
      </c>
      <c r="H761" s="60">
        <v>0</v>
      </c>
      <c r="I761" s="61">
        <f t="shared" si="134"/>
        <v>0</v>
      </c>
      <c r="J761" s="60">
        <v>0</v>
      </c>
      <c r="K761" s="61">
        <f t="shared" si="135"/>
        <v>0</v>
      </c>
      <c r="L761" s="62"/>
      <c r="M761" s="61">
        <f t="shared" si="136"/>
        <v>0</v>
      </c>
      <c r="N761" s="63">
        <v>0</v>
      </c>
      <c r="O761" s="61">
        <f t="shared" si="137"/>
        <v>0</v>
      </c>
      <c r="P761" s="60">
        <v>0</v>
      </c>
      <c r="Q761" s="61">
        <f t="shared" si="138"/>
        <v>0</v>
      </c>
      <c r="R761" s="60">
        <v>0</v>
      </c>
      <c r="S761" s="61">
        <f t="shared" si="139"/>
        <v>0</v>
      </c>
      <c r="T761" s="60">
        <v>0</v>
      </c>
      <c r="U761" s="64">
        <f t="shared" si="140"/>
        <v>0</v>
      </c>
      <c r="V761" s="65">
        <v>0</v>
      </c>
      <c r="W761" s="66">
        <f t="shared" si="141"/>
        <v>0</v>
      </c>
      <c r="X761" s="67">
        <f t="shared" si="142"/>
        <v>0</v>
      </c>
      <c r="Y761" s="57" t="str">
        <f t="shared" si="143"/>
        <v>NIL PLEASE PURCHASE</v>
      </c>
      <c r="Z761" s="68" t="s">
        <v>1539</v>
      </c>
    </row>
    <row r="762" spans="1:26" s="8" customFormat="1" ht="20.100000000000001" customHeight="1" x14ac:dyDescent="0.25">
      <c r="A762" s="69" t="s">
        <v>1728</v>
      </c>
      <c r="B762" s="88">
        <v>1179</v>
      </c>
      <c r="C762" s="90" t="s">
        <v>1345</v>
      </c>
      <c r="D762" s="60">
        <v>0</v>
      </c>
      <c r="E762" s="61">
        <f t="shared" si="132"/>
        <v>0</v>
      </c>
      <c r="F762" s="60">
        <v>0</v>
      </c>
      <c r="G762" s="61">
        <f t="shared" si="133"/>
        <v>0</v>
      </c>
      <c r="H762" s="60">
        <v>0</v>
      </c>
      <c r="I762" s="61">
        <f t="shared" si="134"/>
        <v>0</v>
      </c>
      <c r="J762" s="60">
        <v>0</v>
      </c>
      <c r="K762" s="61">
        <f t="shared" si="135"/>
        <v>0</v>
      </c>
      <c r="L762" s="62"/>
      <c r="M762" s="61">
        <f t="shared" si="136"/>
        <v>0</v>
      </c>
      <c r="N762" s="63">
        <v>0</v>
      </c>
      <c r="O762" s="61">
        <f t="shared" si="137"/>
        <v>0</v>
      </c>
      <c r="P762" s="60">
        <v>0</v>
      </c>
      <c r="Q762" s="61">
        <f t="shared" si="138"/>
        <v>0</v>
      </c>
      <c r="R762" s="60">
        <v>0</v>
      </c>
      <c r="S762" s="61">
        <f t="shared" si="139"/>
        <v>0</v>
      </c>
      <c r="T762" s="60">
        <v>0</v>
      </c>
      <c r="U762" s="64">
        <f t="shared" si="140"/>
        <v>0</v>
      </c>
      <c r="V762" s="65">
        <v>0</v>
      </c>
      <c r="W762" s="66">
        <f t="shared" si="141"/>
        <v>0</v>
      </c>
      <c r="X762" s="67">
        <f t="shared" si="142"/>
        <v>0</v>
      </c>
      <c r="Y762" s="57" t="str">
        <f t="shared" si="143"/>
        <v>NIL PLEASE PURCHASE</v>
      </c>
      <c r="Z762" s="68" t="s">
        <v>1539</v>
      </c>
    </row>
    <row r="763" spans="1:26" s="8" customFormat="1" ht="20.100000000000001" customHeight="1" x14ac:dyDescent="0.25">
      <c r="A763" s="69" t="s">
        <v>1729</v>
      </c>
      <c r="B763" s="88">
        <v>1180</v>
      </c>
      <c r="C763" s="90" t="s">
        <v>1346</v>
      </c>
      <c r="D763" s="60">
        <v>0</v>
      </c>
      <c r="E763" s="61">
        <f t="shared" si="132"/>
        <v>0</v>
      </c>
      <c r="F763" s="60">
        <v>0</v>
      </c>
      <c r="G763" s="61">
        <f t="shared" si="133"/>
        <v>0</v>
      </c>
      <c r="H763" s="60">
        <v>0</v>
      </c>
      <c r="I763" s="61">
        <f t="shared" si="134"/>
        <v>0</v>
      </c>
      <c r="J763" s="60">
        <v>0</v>
      </c>
      <c r="K763" s="61">
        <f t="shared" si="135"/>
        <v>0</v>
      </c>
      <c r="L763" s="62"/>
      <c r="M763" s="61">
        <f t="shared" si="136"/>
        <v>0</v>
      </c>
      <c r="N763" s="63">
        <v>0</v>
      </c>
      <c r="O763" s="61">
        <f t="shared" si="137"/>
        <v>0</v>
      </c>
      <c r="P763" s="60">
        <v>0</v>
      </c>
      <c r="Q763" s="61">
        <f t="shared" si="138"/>
        <v>0</v>
      </c>
      <c r="R763" s="60">
        <v>0</v>
      </c>
      <c r="S763" s="61">
        <f t="shared" si="139"/>
        <v>0</v>
      </c>
      <c r="T763" s="60">
        <v>0</v>
      </c>
      <c r="U763" s="64">
        <f t="shared" si="140"/>
        <v>0</v>
      </c>
      <c r="V763" s="65">
        <v>0</v>
      </c>
      <c r="W763" s="66">
        <f t="shared" si="141"/>
        <v>0</v>
      </c>
      <c r="X763" s="67">
        <f t="shared" si="142"/>
        <v>0</v>
      </c>
      <c r="Y763" s="57" t="str">
        <f t="shared" si="143"/>
        <v>NIL PLEASE PURCHASE</v>
      </c>
      <c r="Z763" s="68" t="s">
        <v>1539</v>
      </c>
    </row>
    <row r="764" spans="1:26" s="8" customFormat="1" ht="20.100000000000001" customHeight="1" x14ac:dyDescent="0.25">
      <c r="A764" s="69" t="s">
        <v>1730</v>
      </c>
      <c r="B764" s="88">
        <v>1181</v>
      </c>
      <c r="C764" s="90" t="s">
        <v>1347</v>
      </c>
      <c r="D764" s="60">
        <v>0</v>
      </c>
      <c r="E764" s="61">
        <f t="shared" si="132"/>
        <v>0</v>
      </c>
      <c r="F764" s="60">
        <v>0</v>
      </c>
      <c r="G764" s="61">
        <f t="shared" si="133"/>
        <v>0</v>
      </c>
      <c r="H764" s="60">
        <v>0</v>
      </c>
      <c r="I764" s="61">
        <f t="shared" si="134"/>
        <v>0</v>
      </c>
      <c r="J764" s="60">
        <v>0</v>
      </c>
      <c r="K764" s="61">
        <f t="shared" si="135"/>
        <v>0</v>
      </c>
      <c r="L764" s="62"/>
      <c r="M764" s="61">
        <f t="shared" si="136"/>
        <v>0</v>
      </c>
      <c r="N764" s="63">
        <v>0</v>
      </c>
      <c r="O764" s="61">
        <f t="shared" si="137"/>
        <v>0</v>
      </c>
      <c r="P764" s="60">
        <v>0</v>
      </c>
      <c r="Q764" s="61">
        <f t="shared" si="138"/>
        <v>0</v>
      </c>
      <c r="R764" s="60">
        <v>0</v>
      </c>
      <c r="S764" s="61">
        <f t="shared" si="139"/>
        <v>0</v>
      </c>
      <c r="T764" s="60">
        <v>0</v>
      </c>
      <c r="U764" s="64">
        <f t="shared" si="140"/>
        <v>0</v>
      </c>
      <c r="V764" s="65">
        <v>0</v>
      </c>
      <c r="W764" s="66">
        <f t="shared" si="141"/>
        <v>0</v>
      </c>
      <c r="X764" s="67">
        <f t="shared" si="142"/>
        <v>0</v>
      </c>
      <c r="Y764" s="57" t="str">
        <f t="shared" si="143"/>
        <v>NIL PLEASE PURCHASE</v>
      </c>
      <c r="Z764" s="68" t="s">
        <v>1539</v>
      </c>
    </row>
    <row r="765" spans="1:26" s="8" customFormat="1" ht="20.100000000000001" customHeight="1" x14ac:dyDescent="0.25">
      <c r="A765" s="69" t="s">
        <v>1731</v>
      </c>
      <c r="B765" s="88">
        <v>1182</v>
      </c>
      <c r="C765" s="90" t="s">
        <v>1348</v>
      </c>
      <c r="D765" s="60">
        <v>0</v>
      </c>
      <c r="E765" s="61">
        <f t="shared" si="132"/>
        <v>0</v>
      </c>
      <c r="F765" s="60">
        <v>0</v>
      </c>
      <c r="G765" s="61">
        <f t="shared" si="133"/>
        <v>0</v>
      </c>
      <c r="H765" s="60">
        <v>0</v>
      </c>
      <c r="I765" s="61">
        <f t="shared" si="134"/>
        <v>0</v>
      </c>
      <c r="J765" s="60">
        <v>0</v>
      </c>
      <c r="K765" s="61">
        <f t="shared" si="135"/>
        <v>0</v>
      </c>
      <c r="L765" s="62"/>
      <c r="M765" s="61">
        <f t="shared" si="136"/>
        <v>0</v>
      </c>
      <c r="N765" s="63">
        <v>0</v>
      </c>
      <c r="O765" s="61">
        <f t="shared" si="137"/>
        <v>0</v>
      </c>
      <c r="P765" s="60">
        <v>0</v>
      </c>
      <c r="Q765" s="61">
        <f t="shared" si="138"/>
        <v>0</v>
      </c>
      <c r="R765" s="60">
        <v>0</v>
      </c>
      <c r="S765" s="61">
        <f t="shared" si="139"/>
        <v>0</v>
      </c>
      <c r="T765" s="60">
        <v>0</v>
      </c>
      <c r="U765" s="64">
        <f t="shared" si="140"/>
        <v>0</v>
      </c>
      <c r="V765" s="65">
        <v>0</v>
      </c>
      <c r="W765" s="66">
        <f t="shared" si="141"/>
        <v>0</v>
      </c>
      <c r="X765" s="67">
        <f t="shared" si="142"/>
        <v>0</v>
      </c>
      <c r="Y765" s="57" t="str">
        <f t="shared" si="143"/>
        <v>NIL PLEASE PURCHASE</v>
      </c>
      <c r="Z765" s="68" t="s">
        <v>1539</v>
      </c>
    </row>
    <row r="766" spans="1:26" s="8" customFormat="1" ht="20.100000000000001" customHeight="1" x14ac:dyDescent="0.25">
      <c r="A766" s="69" t="s">
        <v>1732</v>
      </c>
      <c r="B766" s="88">
        <v>1183</v>
      </c>
      <c r="C766" s="90" t="s">
        <v>1349</v>
      </c>
      <c r="D766" s="60">
        <v>0</v>
      </c>
      <c r="E766" s="61">
        <f t="shared" si="132"/>
        <v>0</v>
      </c>
      <c r="F766" s="60">
        <v>0</v>
      </c>
      <c r="G766" s="61">
        <f t="shared" si="133"/>
        <v>0</v>
      </c>
      <c r="H766" s="60">
        <v>0</v>
      </c>
      <c r="I766" s="61">
        <f t="shared" si="134"/>
        <v>0</v>
      </c>
      <c r="J766" s="60">
        <v>0</v>
      </c>
      <c r="K766" s="61">
        <f t="shared" si="135"/>
        <v>0</v>
      </c>
      <c r="L766" s="62"/>
      <c r="M766" s="61">
        <f t="shared" si="136"/>
        <v>0</v>
      </c>
      <c r="N766" s="63">
        <v>0</v>
      </c>
      <c r="O766" s="61">
        <f t="shared" si="137"/>
        <v>0</v>
      </c>
      <c r="P766" s="60">
        <v>0</v>
      </c>
      <c r="Q766" s="61">
        <f t="shared" si="138"/>
        <v>0</v>
      </c>
      <c r="R766" s="60">
        <v>0</v>
      </c>
      <c r="S766" s="61">
        <f t="shared" si="139"/>
        <v>0</v>
      </c>
      <c r="T766" s="60">
        <v>0</v>
      </c>
      <c r="U766" s="64">
        <f t="shared" si="140"/>
        <v>0</v>
      </c>
      <c r="V766" s="65">
        <v>0</v>
      </c>
      <c r="W766" s="66">
        <f t="shared" si="141"/>
        <v>0</v>
      </c>
      <c r="X766" s="67">
        <f t="shared" si="142"/>
        <v>0</v>
      </c>
      <c r="Y766" s="57" t="str">
        <f t="shared" si="143"/>
        <v>NIL PLEASE PURCHASE</v>
      </c>
      <c r="Z766" s="68" t="s">
        <v>1539</v>
      </c>
    </row>
    <row r="767" spans="1:26" s="8" customFormat="1" ht="20.100000000000001" customHeight="1" x14ac:dyDescent="0.25">
      <c r="A767" s="69" t="s">
        <v>1733</v>
      </c>
      <c r="B767" s="88">
        <v>1184</v>
      </c>
      <c r="C767" s="90" t="s">
        <v>1350</v>
      </c>
      <c r="D767" s="60">
        <v>0</v>
      </c>
      <c r="E767" s="61">
        <f t="shared" si="132"/>
        <v>0</v>
      </c>
      <c r="F767" s="60">
        <v>0</v>
      </c>
      <c r="G767" s="61">
        <f t="shared" si="133"/>
        <v>0</v>
      </c>
      <c r="H767" s="60">
        <v>0</v>
      </c>
      <c r="I767" s="61">
        <f t="shared" si="134"/>
        <v>0</v>
      </c>
      <c r="J767" s="60">
        <v>0</v>
      </c>
      <c r="K767" s="61">
        <f t="shared" si="135"/>
        <v>0</v>
      </c>
      <c r="L767" s="62"/>
      <c r="M767" s="61">
        <f t="shared" si="136"/>
        <v>0</v>
      </c>
      <c r="N767" s="63">
        <v>0</v>
      </c>
      <c r="O767" s="61">
        <f t="shared" si="137"/>
        <v>0</v>
      </c>
      <c r="P767" s="60">
        <v>0</v>
      </c>
      <c r="Q767" s="61">
        <f t="shared" si="138"/>
        <v>0</v>
      </c>
      <c r="R767" s="60">
        <v>0</v>
      </c>
      <c r="S767" s="61">
        <f t="shared" si="139"/>
        <v>0</v>
      </c>
      <c r="T767" s="60">
        <v>0</v>
      </c>
      <c r="U767" s="64">
        <f t="shared" si="140"/>
        <v>0</v>
      </c>
      <c r="V767" s="65">
        <v>0</v>
      </c>
      <c r="W767" s="66">
        <f t="shared" si="141"/>
        <v>0</v>
      </c>
      <c r="X767" s="67">
        <f t="shared" si="142"/>
        <v>0</v>
      </c>
      <c r="Y767" s="57" t="str">
        <f t="shared" si="143"/>
        <v>NIL PLEASE PURCHASE</v>
      </c>
      <c r="Z767" s="68" t="s">
        <v>1539</v>
      </c>
    </row>
    <row r="768" spans="1:26" s="8" customFormat="1" ht="20.100000000000001" customHeight="1" x14ac:dyDescent="0.25">
      <c r="A768" s="69" t="s">
        <v>1734</v>
      </c>
      <c r="B768" s="88">
        <v>1185</v>
      </c>
      <c r="C768" s="90" t="s">
        <v>1351</v>
      </c>
      <c r="D768" s="60">
        <v>0</v>
      </c>
      <c r="E768" s="61">
        <f t="shared" si="132"/>
        <v>0</v>
      </c>
      <c r="F768" s="60">
        <v>0</v>
      </c>
      <c r="G768" s="61">
        <f t="shared" si="133"/>
        <v>0</v>
      </c>
      <c r="H768" s="60">
        <v>0</v>
      </c>
      <c r="I768" s="61">
        <f t="shared" si="134"/>
        <v>0</v>
      </c>
      <c r="J768" s="60">
        <v>0</v>
      </c>
      <c r="K768" s="61">
        <f t="shared" si="135"/>
        <v>0</v>
      </c>
      <c r="L768" s="62"/>
      <c r="M768" s="61">
        <f t="shared" si="136"/>
        <v>0</v>
      </c>
      <c r="N768" s="63">
        <v>0</v>
      </c>
      <c r="O768" s="61">
        <f t="shared" si="137"/>
        <v>0</v>
      </c>
      <c r="P768" s="60">
        <v>0</v>
      </c>
      <c r="Q768" s="61">
        <f t="shared" si="138"/>
        <v>0</v>
      </c>
      <c r="R768" s="60">
        <v>0</v>
      </c>
      <c r="S768" s="61">
        <f t="shared" si="139"/>
        <v>0</v>
      </c>
      <c r="T768" s="60">
        <v>0</v>
      </c>
      <c r="U768" s="64">
        <f t="shared" si="140"/>
        <v>0</v>
      </c>
      <c r="V768" s="65">
        <v>0</v>
      </c>
      <c r="W768" s="66">
        <f t="shared" si="141"/>
        <v>0</v>
      </c>
      <c r="X768" s="67">
        <f t="shared" si="142"/>
        <v>0</v>
      </c>
      <c r="Y768" s="57" t="str">
        <f t="shared" si="143"/>
        <v>NIL PLEASE PURCHASE</v>
      </c>
      <c r="Z768" s="68" t="s">
        <v>1539</v>
      </c>
    </row>
    <row r="769" spans="1:26" s="8" customFormat="1" ht="20.100000000000001" customHeight="1" x14ac:dyDescent="0.25">
      <c r="A769" s="69" t="s">
        <v>1735</v>
      </c>
      <c r="B769" s="88">
        <v>1186</v>
      </c>
      <c r="C769" s="90" t="s">
        <v>1352</v>
      </c>
      <c r="D769" s="60">
        <v>0</v>
      </c>
      <c r="E769" s="61">
        <f t="shared" si="132"/>
        <v>0</v>
      </c>
      <c r="F769" s="60">
        <v>0</v>
      </c>
      <c r="G769" s="61">
        <f t="shared" si="133"/>
        <v>0</v>
      </c>
      <c r="H769" s="60">
        <v>0</v>
      </c>
      <c r="I769" s="61">
        <f t="shared" si="134"/>
        <v>0</v>
      </c>
      <c r="J769" s="60">
        <v>0</v>
      </c>
      <c r="K769" s="61">
        <f t="shared" si="135"/>
        <v>0</v>
      </c>
      <c r="L769" s="62"/>
      <c r="M769" s="61">
        <f t="shared" si="136"/>
        <v>0</v>
      </c>
      <c r="N769" s="63">
        <v>0</v>
      </c>
      <c r="O769" s="61">
        <f t="shared" si="137"/>
        <v>0</v>
      </c>
      <c r="P769" s="60">
        <v>0</v>
      </c>
      <c r="Q769" s="61">
        <f t="shared" si="138"/>
        <v>0</v>
      </c>
      <c r="R769" s="60">
        <v>0</v>
      </c>
      <c r="S769" s="61">
        <f t="shared" si="139"/>
        <v>0</v>
      </c>
      <c r="T769" s="60">
        <v>0</v>
      </c>
      <c r="U769" s="64">
        <f t="shared" si="140"/>
        <v>0</v>
      </c>
      <c r="V769" s="65">
        <v>0</v>
      </c>
      <c r="W769" s="66">
        <f t="shared" si="141"/>
        <v>0</v>
      </c>
      <c r="X769" s="67">
        <f t="shared" si="142"/>
        <v>0</v>
      </c>
      <c r="Y769" s="57" t="str">
        <f t="shared" si="143"/>
        <v>NIL PLEASE PURCHASE</v>
      </c>
      <c r="Z769" s="68" t="s">
        <v>1539</v>
      </c>
    </row>
    <row r="770" spans="1:26" s="8" customFormat="1" ht="20.100000000000001" customHeight="1" x14ac:dyDescent="0.25">
      <c r="A770" s="69" t="s">
        <v>1736</v>
      </c>
      <c r="B770" s="88">
        <v>1187</v>
      </c>
      <c r="C770" s="90" t="s">
        <v>1353</v>
      </c>
      <c r="D770" s="60">
        <v>0</v>
      </c>
      <c r="E770" s="61">
        <f t="shared" si="132"/>
        <v>0</v>
      </c>
      <c r="F770" s="60">
        <v>0</v>
      </c>
      <c r="G770" s="61">
        <f t="shared" si="133"/>
        <v>0</v>
      </c>
      <c r="H770" s="60">
        <v>0</v>
      </c>
      <c r="I770" s="61">
        <f t="shared" si="134"/>
        <v>0</v>
      </c>
      <c r="J770" s="60">
        <v>0</v>
      </c>
      <c r="K770" s="61">
        <f t="shared" si="135"/>
        <v>0</v>
      </c>
      <c r="L770" s="62"/>
      <c r="M770" s="61">
        <f t="shared" si="136"/>
        <v>0</v>
      </c>
      <c r="N770" s="63">
        <v>0</v>
      </c>
      <c r="O770" s="61">
        <f t="shared" si="137"/>
        <v>0</v>
      </c>
      <c r="P770" s="60">
        <v>0</v>
      </c>
      <c r="Q770" s="61">
        <f t="shared" si="138"/>
        <v>0</v>
      </c>
      <c r="R770" s="60">
        <v>0</v>
      </c>
      <c r="S770" s="61">
        <f t="shared" si="139"/>
        <v>0</v>
      </c>
      <c r="T770" s="60">
        <v>0</v>
      </c>
      <c r="U770" s="64">
        <f t="shared" si="140"/>
        <v>0</v>
      </c>
      <c r="V770" s="65">
        <v>0</v>
      </c>
      <c r="W770" s="66">
        <f t="shared" si="141"/>
        <v>0</v>
      </c>
      <c r="X770" s="67">
        <f t="shared" si="142"/>
        <v>0</v>
      </c>
      <c r="Y770" s="57" t="str">
        <f t="shared" si="143"/>
        <v>NIL PLEASE PURCHASE</v>
      </c>
      <c r="Z770" s="68" t="s">
        <v>1539</v>
      </c>
    </row>
    <row r="771" spans="1:26" s="8" customFormat="1" ht="20.100000000000001" customHeight="1" x14ac:dyDescent="0.25">
      <c r="A771" s="69" t="s">
        <v>1737</v>
      </c>
      <c r="B771" s="88">
        <v>1188</v>
      </c>
      <c r="C771" s="90" t="s">
        <v>1354</v>
      </c>
      <c r="D771" s="60">
        <v>0</v>
      </c>
      <c r="E771" s="61">
        <f t="shared" si="132"/>
        <v>0</v>
      </c>
      <c r="F771" s="60">
        <v>0</v>
      </c>
      <c r="G771" s="61">
        <f t="shared" si="133"/>
        <v>0</v>
      </c>
      <c r="H771" s="60">
        <v>0</v>
      </c>
      <c r="I771" s="61">
        <f t="shared" si="134"/>
        <v>0</v>
      </c>
      <c r="J771" s="60">
        <v>0</v>
      </c>
      <c r="K771" s="61">
        <f t="shared" si="135"/>
        <v>0</v>
      </c>
      <c r="L771" s="62"/>
      <c r="M771" s="61">
        <f t="shared" si="136"/>
        <v>0</v>
      </c>
      <c r="N771" s="63">
        <v>0</v>
      </c>
      <c r="O771" s="61">
        <f t="shared" si="137"/>
        <v>0</v>
      </c>
      <c r="P771" s="60">
        <v>0</v>
      </c>
      <c r="Q771" s="61">
        <f t="shared" si="138"/>
        <v>0</v>
      </c>
      <c r="R771" s="60">
        <v>0</v>
      </c>
      <c r="S771" s="61">
        <f t="shared" si="139"/>
        <v>0</v>
      </c>
      <c r="T771" s="60">
        <v>0</v>
      </c>
      <c r="U771" s="64">
        <f t="shared" si="140"/>
        <v>0</v>
      </c>
      <c r="V771" s="65">
        <v>0</v>
      </c>
      <c r="W771" s="66">
        <f t="shared" si="141"/>
        <v>0</v>
      </c>
      <c r="X771" s="67">
        <f t="shared" si="142"/>
        <v>0</v>
      </c>
      <c r="Y771" s="57" t="str">
        <f t="shared" si="143"/>
        <v>NIL PLEASE PURCHASE</v>
      </c>
      <c r="Z771" s="68" t="s">
        <v>1539</v>
      </c>
    </row>
    <row r="772" spans="1:26" s="8" customFormat="1" ht="20.100000000000001" customHeight="1" x14ac:dyDescent="0.25">
      <c r="A772" s="69" t="s">
        <v>1738</v>
      </c>
      <c r="B772" s="88">
        <v>1189</v>
      </c>
      <c r="C772" s="90" t="s">
        <v>1355</v>
      </c>
      <c r="D772" s="60">
        <v>0</v>
      </c>
      <c r="E772" s="61">
        <f t="shared" si="132"/>
        <v>0</v>
      </c>
      <c r="F772" s="60">
        <v>0</v>
      </c>
      <c r="G772" s="61">
        <f t="shared" si="133"/>
        <v>0</v>
      </c>
      <c r="H772" s="60">
        <v>0</v>
      </c>
      <c r="I772" s="61">
        <f t="shared" si="134"/>
        <v>0</v>
      </c>
      <c r="J772" s="60">
        <v>0</v>
      </c>
      <c r="K772" s="61">
        <f t="shared" si="135"/>
        <v>0</v>
      </c>
      <c r="L772" s="62"/>
      <c r="M772" s="61">
        <f t="shared" si="136"/>
        <v>0</v>
      </c>
      <c r="N772" s="63">
        <v>0</v>
      </c>
      <c r="O772" s="61">
        <f t="shared" si="137"/>
        <v>0</v>
      </c>
      <c r="P772" s="60">
        <v>0</v>
      </c>
      <c r="Q772" s="61">
        <f t="shared" si="138"/>
        <v>0</v>
      </c>
      <c r="R772" s="60">
        <v>0</v>
      </c>
      <c r="S772" s="61">
        <f t="shared" si="139"/>
        <v>0</v>
      </c>
      <c r="T772" s="60">
        <v>0</v>
      </c>
      <c r="U772" s="64">
        <f t="shared" si="140"/>
        <v>0</v>
      </c>
      <c r="V772" s="65">
        <v>0</v>
      </c>
      <c r="W772" s="66">
        <f t="shared" si="141"/>
        <v>0</v>
      </c>
      <c r="X772" s="67">
        <f t="shared" si="142"/>
        <v>0</v>
      </c>
      <c r="Y772" s="57" t="str">
        <f t="shared" si="143"/>
        <v>NIL PLEASE PURCHASE</v>
      </c>
      <c r="Z772" s="68" t="s">
        <v>1539</v>
      </c>
    </row>
    <row r="773" spans="1:26" s="8" customFormat="1" ht="20.100000000000001" customHeight="1" x14ac:dyDescent="0.25">
      <c r="A773" s="69" t="s">
        <v>1739</v>
      </c>
      <c r="B773" s="88">
        <v>1190</v>
      </c>
      <c r="C773" s="90" t="s">
        <v>1356</v>
      </c>
      <c r="D773" s="60">
        <v>0</v>
      </c>
      <c r="E773" s="61">
        <f t="shared" ref="E773:E836" si="144">D773*10</f>
        <v>0</v>
      </c>
      <c r="F773" s="60">
        <v>0</v>
      </c>
      <c r="G773" s="61">
        <f t="shared" ref="G773:G836" si="145">F773*25</f>
        <v>0</v>
      </c>
      <c r="H773" s="60">
        <v>0</v>
      </c>
      <c r="I773" s="61">
        <f t="shared" ref="I773:I836" si="146">H773*50</f>
        <v>0</v>
      </c>
      <c r="J773" s="60">
        <v>0</v>
      </c>
      <c r="K773" s="61">
        <f t="shared" ref="K773:K836" si="147">J773*100</f>
        <v>0</v>
      </c>
      <c r="L773" s="62"/>
      <c r="M773" s="61">
        <f t="shared" ref="M773:M836" si="148">L773*250</f>
        <v>0</v>
      </c>
      <c r="N773" s="63">
        <v>0</v>
      </c>
      <c r="O773" s="61">
        <f t="shared" ref="O773:O836" si="149">N773*500</f>
        <v>0</v>
      </c>
      <c r="P773" s="60">
        <v>0</v>
      </c>
      <c r="Q773" s="61">
        <f t="shared" ref="Q773:Q836" si="150">P773*1000</f>
        <v>0</v>
      </c>
      <c r="R773" s="60">
        <v>0</v>
      </c>
      <c r="S773" s="61">
        <f t="shared" ref="S773:S836" si="151">R773*2500</f>
        <v>0</v>
      </c>
      <c r="T773" s="60">
        <v>0</v>
      </c>
      <c r="U773" s="64">
        <f t="shared" ref="U773:U836" si="152">T773*5000</f>
        <v>0</v>
      </c>
      <c r="V773" s="65">
        <v>0</v>
      </c>
      <c r="W773" s="66">
        <f t="shared" ref="W773:W836" si="153">E773+G773+I773+K773+M773+O773+Q773+S773+U773</f>
        <v>0</v>
      </c>
      <c r="X773" s="67">
        <f t="shared" ref="X773:X836" si="154">SUM(W773:W773)/1000</f>
        <v>0</v>
      </c>
      <c r="Y773" s="57" t="str">
        <f t="shared" ref="Y773:Y836" si="155">IF(W773=0,("NIL PLEASE PURCHASE"),("STOCK"))</f>
        <v>NIL PLEASE PURCHASE</v>
      </c>
      <c r="Z773" s="68" t="s">
        <v>1539</v>
      </c>
    </row>
    <row r="774" spans="1:26" s="8" customFormat="1" ht="20.100000000000001" customHeight="1" x14ac:dyDescent="0.25">
      <c r="A774" s="69" t="s">
        <v>1740</v>
      </c>
      <c r="B774" s="88">
        <v>1191</v>
      </c>
      <c r="C774" s="90" t="s">
        <v>1357</v>
      </c>
      <c r="D774" s="60">
        <v>0</v>
      </c>
      <c r="E774" s="61">
        <f t="shared" si="144"/>
        <v>0</v>
      </c>
      <c r="F774" s="60">
        <v>0</v>
      </c>
      <c r="G774" s="61">
        <f t="shared" si="145"/>
        <v>0</v>
      </c>
      <c r="H774" s="60">
        <v>0</v>
      </c>
      <c r="I774" s="61">
        <f t="shared" si="146"/>
        <v>0</v>
      </c>
      <c r="J774" s="60">
        <v>0</v>
      </c>
      <c r="K774" s="61">
        <f t="shared" si="147"/>
        <v>0</v>
      </c>
      <c r="L774" s="62"/>
      <c r="M774" s="61">
        <f t="shared" si="148"/>
        <v>0</v>
      </c>
      <c r="N774" s="63">
        <v>0</v>
      </c>
      <c r="O774" s="61">
        <f t="shared" si="149"/>
        <v>0</v>
      </c>
      <c r="P774" s="60">
        <v>0</v>
      </c>
      <c r="Q774" s="61">
        <f t="shared" si="150"/>
        <v>0</v>
      </c>
      <c r="R774" s="60">
        <v>0</v>
      </c>
      <c r="S774" s="61">
        <f t="shared" si="151"/>
        <v>0</v>
      </c>
      <c r="T774" s="60">
        <v>0</v>
      </c>
      <c r="U774" s="64">
        <f t="shared" si="152"/>
        <v>0</v>
      </c>
      <c r="V774" s="65">
        <v>0</v>
      </c>
      <c r="W774" s="66">
        <f t="shared" si="153"/>
        <v>0</v>
      </c>
      <c r="X774" s="67">
        <f t="shared" si="154"/>
        <v>0</v>
      </c>
      <c r="Y774" s="57" t="str">
        <f t="shared" si="155"/>
        <v>NIL PLEASE PURCHASE</v>
      </c>
      <c r="Z774" s="68" t="s">
        <v>1539</v>
      </c>
    </row>
    <row r="775" spans="1:26" s="8" customFormat="1" ht="20.100000000000001" customHeight="1" x14ac:dyDescent="0.25">
      <c r="A775" s="69" t="s">
        <v>1741</v>
      </c>
      <c r="B775" s="88">
        <v>1192</v>
      </c>
      <c r="C775" s="90" t="s">
        <v>1358</v>
      </c>
      <c r="D775" s="60">
        <v>0</v>
      </c>
      <c r="E775" s="61">
        <f t="shared" si="144"/>
        <v>0</v>
      </c>
      <c r="F775" s="60">
        <v>0</v>
      </c>
      <c r="G775" s="61">
        <f t="shared" si="145"/>
        <v>0</v>
      </c>
      <c r="H775" s="60">
        <v>0</v>
      </c>
      <c r="I775" s="61">
        <f t="shared" si="146"/>
        <v>0</v>
      </c>
      <c r="J775" s="60">
        <v>0</v>
      </c>
      <c r="K775" s="61">
        <f t="shared" si="147"/>
        <v>0</v>
      </c>
      <c r="L775" s="62"/>
      <c r="M775" s="61">
        <f t="shared" si="148"/>
        <v>0</v>
      </c>
      <c r="N775" s="63">
        <v>0</v>
      </c>
      <c r="O775" s="61">
        <f t="shared" si="149"/>
        <v>0</v>
      </c>
      <c r="P775" s="60">
        <v>0</v>
      </c>
      <c r="Q775" s="61">
        <f t="shared" si="150"/>
        <v>0</v>
      </c>
      <c r="R775" s="60">
        <v>0</v>
      </c>
      <c r="S775" s="61">
        <f t="shared" si="151"/>
        <v>0</v>
      </c>
      <c r="T775" s="60">
        <v>0</v>
      </c>
      <c r="U775" s="64">
        <f t="shared" si="152"/>
        <v>0</v>
      </c>
      <c r="V775" s="65">
        <v>0</v>
      </c>
      <c r="W775" s="66">
        <f t="shared" si="153"/>
        <v>0</v>
      </c>
      <c r="X775" s="67">
        <f t="shared" si="154"/>
        <v>0</v>
      </c>
      <c r="Y775" s="57" t="str">
        <f t="shared" si="155"/>
        <v>NIL PLEASE PURCHASE</v>
      </c>
      <c r="Z775" s="68" t="s">
        <v>1539</v>
      </c>
    </row>
    <row r="776" spans="1:26" s="8" customFormat="1" ht="20.100000000000001" customHeight="1" x14ac:dyDescent="0.25">
      <c r="A776" s="69" t="s">
        <v>1742</v>
      </c>
      <c r="B776" s="88">
        <v>1193</v>
      </c>
      <c r="C776" s="90" t="s">
        <v>1359</v>
      </c>
      <c r="D776" s="60">
        <v>0</v>
      </c>
      <c r="E776" s="61">
        <f t="shared" si="144"/>
        <v>0</v>
      </c>
      <c r="F776" s="60">
        <v>0</v>
      </c>
      <c r="G776" s="61">
        <f t="shared" si="145"/>
        <v>0</v>
      </c>
      <c r="H776" s="60">
        <v>0</v>
      </c>
      <c r="I776" s="61">
        <f t="shared" si="146"/>
        <v>0</v>
      </c>
      <c r="J776" s="60">
        <v>0</v>
      </c>
      <c r="K776" s="61">
        <f t="shared" si="147"/>
        <v>0</v>
      </c>
      <c r="L776" s="62"/>
      <c r="M776" s="61">
        <f t="shared" si="148"/>
        <v>0</v>
      </c>
      <c r="N776" s="63">
        <v>0</v>
      </c>
      <c r="O776" s="61">
        <f t="shared" si="149"/>
        <v>0</v>
      </c>
      <c r="P776" s="60">
        <v>0</v>
      </c>
      <c r="Q776" s="61">
        <f t="shared" si="150"/>
        <v>0</v>
      </c>
      <c r="R776" s="60">
        <v>0</v>
      </c>
      <c r="S776" s="61">
        <f t="shared" si="151"/>
        <v>0</v>
      </c>
      <c r="T776" s="60">
        <v>0</v>
      </c>
      <c r="U776" s="64">
        <f t="shared" si="152"/>
        <v>0</v>
      </c>
      <c r="V776" s="65">
        <v>0</v>
      </c>
      <c r="W776" s="66">
        <f t="shared" si="153"/>
        <v>0</v>
      </c>
      <c r="X776" s="67">
        <f t="shared" si="154"/>
        <v>0</v>
      </c>
      <c r="Y776" s="57" t="str">
        <f t="shared" si="155"/>
        <v>NIL PLEASE PURCHASE</v>
      </c>
      <c r="Z776" s="68" t="s">
        <v>1539</v>
      </c>
    </row>
    <row r="777" spans="1:26" s="8" customFormat="1" ht="20.100000000000001" customHeight="1" x14ac:dyDescent="0.25">
      <c r="A777" s="69" t="s">
        <v>1743</v>
      </c>
      <c r="B777" s="88">
        <v>1194</v>
      </c>
      <c r="C777" s="90" t="s">
        <v>1360</v>
      </c>
      <c r="D777" s="60">
        <v>0</v>
      </c>
      <c r="E777" s="61">
        <f t="shared" si="144"/>
        <v>0</v>
      </c>
      <c r="F777" s="60">
        <v>0</v>
      </c>
      <c r="G777" s="61">
        <f t="shared" si="145"/>
        <v>0</v>
      </c>
      <c r="H777" s="60">
        <v>0</v>
      </c>
      <c r="I777" s="61">
        <f t="shared" si="146"/>
        <v>0</v>
      </c>
      <c r="J777" s="60">
        <v>0</v>
      </c>
      <c r="K777" s="61">
        <f t="shared" si="147"/>
        <v>0</v>
      </c>
      <c r="L777" s="62"/>
      <c r="M777" s="61">
        <f t="shared" si="148"/>
        <v>0</v>
      </c>
      <c r="N777" s="63">
        <v>4</v>
      </c>
      <c r="O777" s="61">
        <f t="shared" si="149"/>
        <v>2000</v>
      </c>
      <c r="P777" s="60">
        <v>0</v>
      </c>
      <c r="Q777" s="61">
        <f t="shared" si="150"/>
        <v>0</v>
      </c>
      <c r="R777" s="60">
        <v>0</v>
      </c>
      <c r="S777" s="61">
        <f t="shared" si="151"/>
        <v>0</v>
      </c>
      <c r="T777" s="60">
        <v>0</v>
      </c>
      <c r="U777" s="64">
        <f t="shared" si="152"/>
        <v>0</v>
      </c>
      <c r="V777" s="65">
        <v>0</v>
      </c>
      <c r="W777" s="66">
        <f t="shared" si="153"/>
        <v>2000</v>
      </c>
      <c r="X777" s="67">
        <f t="shared" si="154"/>
        <v>2</v>
      </c>
      <c r="Y777" s="57" t="str">
        <f t="shared" si="155"/>
        <v>STOCK</v>
      </c>
      <c r="Z777" s="68" t="s">
        <v>1538</v>
      </c>
    </row>
    <row r="778" spans="1:26" s="8" customFormat="1" ht="20.100000000000001" customHeight="1" x14ac:dyDescent="0.25">
      <c r="A778" s="69" t="s">
        <v>1744</v>
      </c>
      <c r="B778" s="88">
        <v>1195</v>
      </c>
      <c r="C778" s="90" t="s">
        <v>1361</v>
      </c>
      <c r="D778" s="60">
        <v>0</v>
      </c>
      <c r="E778" s="61">
        <f t="shared" si="144"/>
        <v>0</v>
      </c>
      <c r="F778" s="60">
        <v>0</v>
      </c>
      <c r="G778" s="61">
        <f t="shared" si="145"/>
        <v>0</v>
      </c>
      <c r="H778" s="60">
        <v>0</v>
      </c>
      <c r="I778" s="61">
        <f t="shared" si="146"/>
        <v>0</v>
      </c>
      <c r="J778" s="60">
        <v>0</v>
      </c>
      <c r="K778" s="61">
        <f t="shared" si="147"/>
        <v>0</v>
      </c>
      <c r="L778" s="62"/>
      <c r="M778" s="61">
        <f t="shared" si="148"/>
        <v>0</v>
      </c>
      <c r="N778" s="63">
        <v>0</v>
      </c>
      <c r="O778" s="61">
        <f t="shared" si="149"/>
        <v>0</v>
      </c>
      <c r="P778" s="60">
        <v>0</v>
      </c>
      <c r="Q778" s="61">
        <f t="shared" si="150"/>
        <v>0</v>
      </c>
      <c r="R778" s="60">
        <v>0</v>
      </c>
      <c r="S778" s="61">
        <f t="shared" si="151"/>
        <v>0</v>
      </c>
      <c r="T778" s="60">
        <v>0</v>
      </c>
      <c r="U778" s="64">
        <f t="shared" si="152"/>
        <v>0</v>
      </c>
      <c r="V778" s="65">
        <v>0</v>
      </c>
      <c r="W778" s="66">
        <f t="shared" si="153"/>
        <v>0</v>
      </c>
      <c r="X778" s="67">
        <f t="shared" si="154"/>
        <v>0</v>
      </c>
      <c r="Y778" s="57" t="str">
        <f t="shared" si="155"/>
        <v>NIL PLEASE PURCHASE</v>
      </c>
      <c r="Z778" s="68" t="s">
        <v>1539</v>
      </c>
    </row>
    <row r="779" spans="1:26" s="8" customFormat="1" ht="20.100000000000001" customHeight="1" x14ac:dyDescent="0.25">
      <c r="A779" s="69" t="s">
        <v>1745</v>
      </c>
      <c r="B779" s="88">
        <v>1196</v>
      </c>
      <c r="C779" s="90" t="s">
        <v>1362</v>
      </c>
      <c r="D779" s="60">
        <v>0</v>
      </c>
      <c r="E779" s="61">
        <f t="shared" si="144"/>
        <v>0</v>
      </c>
      <c r="F779" s="60">
        <v>0</v>
      </c>
      <c r="G779" s="61">
        <f t="shared" si="145"/>
        <v>0</v>
      </c>
      <c r="H779" s="60">
        <v>0</v>
      </c>
      <c r="I779" s="61">
        <f t="shared" si="146"/>
        <v>0</v>
      </c>
      <c r="J779" s="60">
        <v>0</v>
      </c>
      <c r="K779" s="61">
        <f t="shared" si="147"/>
        <v>0</v>
      </c>
      <c r="L779" s="62"/>
      <c r="M779" s="61">
        <f t="shared" si="148"/>
        <v>0</v>
      </c>
      <c r="N779" s="63">
        <v>0</v>
      </c>
      <c r="O779" s="61">
        <f t="shared" si="149"/>
        <v>0</v>
      </c>
      <c r="P779" s="60">
        <v>0</v>
      </c>
      <c r="Q779" s="61">
        <f t="shared" si="150"/>
        <v>0</v>
      </c>
      <c r="R779" s="60">
        <v>0</v>
      </c>
      <c r="S779" s="61">
        <f t="shared" si="151"/>
        <v>0</v>
      </c>
      <c r="T779" s="60">
        <v>0</v>
      </c>
      <c r="U779" s="64">
        <f t="shared" si="152"/>
        <v>0</v>
      </c>
      <c r="V779" s="65">
        <v>0</v>
      </c>
      <c r="W779" s="66">
        <f t="shared" si="153"/>
        <v>0</v>
      </c>
      <c r="X779" s="67">
        <f t="shared" si="154"/>
        <v>0</v>
      </c>
      <c r="Y779" s="57" t="str">
        <f t="shared" si="155"/>
        <v>NIL PLEASE PURCHASE</v>
      </c>
      <c r="Z779" s="68" t="s">
        <v>1539</v>
      </c>
    </row>
    <row r="780" spans="1:26" s="8" customFormat="1" ht="20.100000000000001" customHeight="1" x14ac:dyDescent="0.25">
      <c r="A780" s="69" t="s">
        <v>1746</v>
      </c>
      <c r="B780" s="88">
        <v>1197</v>
      </c>
      <c r="C780" s="90" t="s">
        <v>1363</v>
      </c>
      <c r="D780" s="60">
        <v>0</v>
      </c>
      <c r="E780" s="61">
        <f t="shared" si="144"/>
        <v>0</v>
      </c>
      <c r="F780" s="60">
        <v>0</v>
      </c>
      <c r="G780" s="61">
        <f t="shared" si="145"/>
        <v>0</v>
      </c>
      <c r="H780" s="60">
        <v>0</v>
      </c>
      <c r="I780" s="61">
        <f t="shared" si="146"/>
        <v>0</v>
      </c>
      <c r="J780" s="60">
        <v>0</v>
      </c>
      <c r="K780" s="61">
        <f t="shared" si="147"/>
        <v>0</v>
      </c>
      <c r="L780" s="62"/>
      <c r="M780" s="61">
        <f t="shared" si="148"/>
        <v>0</v>
      </c>
      <c r="N780" s="63">
        <v>0</v>
      </c>
      <c r="O780" s="61">
        <f t="shared" si="149"/>
        <v>0</v>
      </c>
      <c r="P780" s="60">
        <v>0</v>
      </c>
      <c r="Q780" s="61">
        <f t="shared" si="150"/>
        <v>0</v>
      </c>
      <c r="R780" s="60">
        <v>0</v>
      </c>
      <c r="S780" s="61">
        <f t="shared" si="151"/>
        <v>0</v>
      </c>
      <c r="T780" s="60">
        <v>0</v>
      </c>
      <c r="U780" s="64">
        <f t="shared" si="152"/>
        <v>0</v>
      </c>
      <c r="V780" s="65">
        <v>0</v>
      </c>
      <c r="W780" s="66">
        <f t="shared" si="153"/>
        <v>0</v>
      </c>
      <c r="X780" s="67">
        <f t="shared" si="154"/>
        <v>0</v>
      </c>
      <c r="Y780" s="57" t="str">
        <f t="shared" si="155"/>
        <v>NIL PLEASE PURCHASE</v>
      </c>
      <c r="Z780" s="68" t="s">
        <v>1539</v>
      </c>
    </row>
    <row r="781" spans="1:26" s="8" customFormat="1" ht="20.100000000000001" customHeight="1" x14ac:dyDescent="0.25">
      <c r="A781" s="69" t="s">
        <v>1747</v>
      </c>
      <c r="B781" s="88">
        <v>1198</v>
      </c>
      <c r="C781" s="90" t="s">
        <v>1364</v>
      </c>
      <c r="D781" s="60">
        <v>0</v>
      </c>
      <c r="E781" s="61">
        <f t="shared" si="144"/>
        <v>0</v>
      </c>
      <c r="F781" s="60">
        <v>0</v>
      </c>
      <c r="G781" s="61">
        <f t="shared" si="145"/>
        <v>0</v>
      </c>
      <c r="H781" s="60">
        <v>0</v>
      </c>
      <c r="I781" s="61">
        <f t="shared" si="146"/>
        <v>0</v>
      </c>
      <c r="J781" s="60">
        <v>0</v>
      </c>
      <c r="K781" s="61">
        <f t="shared" si="147"/>
        <v>0</v>
      </c>
      <c r="L781" s="62"/>
      <c r="M781" s="61">
        <f t="shared" si="148"/>
        <v>0</v>
      </c>
      <c r="N781" s="63">
        <v>0</v>
      </c>
      <c r="O781" s="61">
        <f t="shared" si="149"/>
        <v>0</v>
      </c>
      <c r="P781" s="60">
        <v>0</v>
      </c>
      <c r="Q781" s="61">
        <f t="shared" si="150"/>
        <v>0</v>
      </c>
      <c r="R781" s="60">
        <v>0</v>
      </c>
      <c r="S781" s="61">
        <f t="shared" si="151"/>
        <v>0</v>
      </c>
      <c r="T781" s="60">
        <v>0</v>
      </c>
      <c r="U781" s="64">
        <f t="shared" si="152"/>
        <v>0</v>
      </c>
      <c r="V781" s="65">
        <v>0</v>
      </c>
      <c r="W781" s="66">
        <f t="shared" si="153"/>
        <v>0</v>
      </c>
      <c r="X781" s="67">
        <f t="shared" si="154"/>
        <v>0</v>
      </c>
      <c r="Y781" s="57" t="str">
        <f t="shared" si="155"/>
        <v>NIL PLEASE PURCHASE</v>
      </c>
      <c r="Z781" s="68" t="s">
        <v>1539</v>
      </c>
    </row>
    <row r="782" spans="1:26" s="8" customFormat="1" ht="20.100000000000001" customHeight="1" x14ac:dyDescent="0.25">
      <c r="A782" s="69" t="s">
        <v>1748</v>
      </c>
      <c r="B782" s="88">
        <v>1199</v>
      </c>
      <c r="C782" s="90" t="s">
        <v>1365</v>
      </c>
      <c r="D782" s="60">
        <v>0</v>
      </c>
      <c r="E782" s="61">
        <f t="shared" si="144"/>
        <v>0</v>
      </c>
      <c r="F782" s="60">
        <v>0</v>
      </c>
      <c r="G782" s="61">
        <f t="shared" si="145"/>
        <v>0</v>
      </c>
      <c r="H782" s="60">
        <v>0</v>
      </c>
      <c r="I782" s="61">
        <f t="shared" si="146"/>
        <v>0</v>
      </c>
      <c r="J782" s="60">
        <v>0</v>
      </c>
      <c r="K782" s="61">
        <f t="shared" si="147"/>
        <v>0</v>
      </c>
      <c r="L782" s="62"/>
      <c r="M782" s="61">
        <f t="shared" si="148"/>
        <v>0</v>
      </c>
      <c r="N782" s="63">
        <v>0</v>
      </c>
      <c r="O782" s="61">
        <f t="shared" si="149"/>
        <v>0</v>
      </c>
      <c r="P782" s="60">
        <v>0</v>
      </c>
      <c r="Q782" s="61">
        <f t="shared" si="150"/>
        <v>0</v>
      </c>
      <c r="R782" s="60">
        <v>0</v>
      </c>
      <c r="S782" s="61">
        <f t="shared" si="151"/>
        <v>0</v>
      </c>
      <c r="T782" s="60">
        <v>0</v>
      </c>
      <c r="U782" s="64">
        <f t="shared" si="152"/>
        <v>0</v>
      </c>
      <c r="V782" s="65">
        <v>0</v>
      </c>
      <c r="W782" s="66">
        <f t="shared" si="153"/>
        <v>0</v>
      </c>
      <c r="X782" s="67">
        <f t="shared" si="154"/>
        <v>0</v>
      </c>
      <c r="Y782" s="57" t="str">
        <f t="shared" si="155"/>
        <v>NIL PLEASE PURCHASE</v>
      </c>
      <c r="Z782" s="68" t="s">
        <v>1539</v>
      </c>
    </row>
    <row r="783" spans="1:26" s="8" customFormat="1" ht="20.100000000000001" customHeight="1" x14ac:dyDescent="0.25">
      <c r="A783" s="69" t="s">
        <v>1749</v>
      </c>
      <c r="B783" s="88">
        <v>1200</v>
      </c>
      <c r="C783" s="90" t="s">
        <v>1366</v>
      </c>
      <c r="D783" s="60">
        <v>0</v>
      </c>
      <c r="E783" s="61">
        <f t="shared" si="144"/>
        <v>0</v>
      </c>
      <c r="F783" s="60">
        <v>0</v>
      </c>
      <c r="G783" s="61">
        <f t="shared" si="145"/>
        <v>0</v>
      </c>
      <c r="H783" s="60">
        <v>0</v>
      </c>
      <c r="I783" s="61">
        <f t="shared" si="146"/>
        <v>0</v>
      </c>
      <c r="J783" s="60">
        <v>0</v>
      </c>
      <c r="K783" s="61">
        <f t="shared" si="147"/>
        <v>0</v>
      </c>
      <c r="L783" s="62"/>
      <c r="M783" s="61">
        <f t="shared" si="148"/>
        <v>0</v>
      </c>
      <c r="N783" s="63">
        <v>1</v>
      </c>
      <c r="O783" s="61">
        <f t="shared" si="149"/>
        <v>500</v>
      </c>
      <c r="P783" s="60">
        <v>0</v>
      </c>
      <c r="Q783" s="61">
        <f t="shared" si="150"/>
        <v>0</v>
      </c>
      <c r="R783" s="60">
        <v>0</v>
      </c>
      <c r="S783" s="61">
        <f t="shared" si="151"/>
        <v>0</v>
      </c>
      <c r="T783" s="60">
        <v>0</v>
      </c>
      <c r="U783" s="64">
        <f t="shared" si="152"/>
        <v>0</v>
      </c>
      <c r="V783" s="65">
        <v>0</v>
      </c>
      <c r="W783" s="66">
        <f t="shared" si="153"/>
        <v>500</v>
      </c>
      <c r="X783" s="67">
        <f t="shared" si="154"/>
        <v>0.5</v>
      </c>
      <c r="Y783" s="57" t="str">
        <f t="shared" si="155"/>
        <v>STOCK</v>
      </c>
      <c r="Z783" s="68" t="s">
        <v>1538</v>
      </c>
    </row>
    <row r="784" spans="1:26" s="8" customFormat="1" ht="20.100000000000001" customHeight="1" x14ac:dyDescent="0.25">
      <c r="A784" s="69" t="s">
        <v>1750</v>
      </c>
      <c r="B784" s="88">
        <v>1201</v>
      </c>
      <c r="C784" s="90" t="s">
        <v>1367</v>
      </c>
      <c r="D784" s="60">
        <v>0</v>
      </c>
      <c r="E784" s="61">
        <f t="shared" si="144"/>
        <v>0</v>
      </c>
      <c r="F784" s="60">
        <v>0</v>
      </c>
      <c r="G784" s="61">
        <f t="shared" si="145"/>
        <v>0</v>
      </c>
      <c r="H784" s="60">
        <v>0</v>
      </c>
      <c r="I784" s="61">
        <f t="shared" si="146"/>
        <v>0</v>
      </c>
      <c r="J784" s="60">
        <v>0</v>
      </c>
      <c r="K784" s="61">
        <f t="shared" si="147"/>
        <v>0</v>
      </c>
      <c r="L784" s="62"/>
      <c r="M784" s="61">
        <f t="shared" si="148"/>
        <v>0</v>
      </c>
      <c r="N784" s="63">
        <v>0</v>
      </c>
      <c r="O784" s="61">
        <f t="shared" si="149"/>
        <v>0</v>
      </c>
      <c r="P784" s="60">
        <v>0</v>
      </c>
      <c r="Q784" s="61">
        <f t="shared" si="150"/>
        <v>0</v>
      </c>
      <c r="R784" s="60">
        <v>0</v>
      </c>
      <c r="S784" s="61">
        <f t="shared" si="151"/>
        <v>0</v>
      </c>
      <c r="T784" s="60">
        <v>0</v>
      </c>
      <c r="U784" s="64">
        <f t="shared" si="152"/>
        <v>0</v>
      </c>
      <c r="V784" s="65">
        <v>0</v>
      </c>
      <c r="W784" s="66">
        <f t="shared" si="153"/>
        <v>0</v>
      </c>
      <c r="X784" s="67">
        <f t="shared" si="154"/>
        <v>0</v>
      </c>
      <c r="Y784" s="57" t="str">
        <f t="shared" si="155"/>
        <v>NIL PLEASE PURCHASE</v>
      </c>
      <c r="Z784" s="68" t="s">
        <v>1539</v>
      </c>
    </row>
    <row r="785" spans="1:26" s="8" customFormat="1" ht="20.100000000000001" customHeight="1" x14ac:dyDescent="0.25">
      <c r="A785" s="69" t="s">
        <v>1751</v>
      </c>
      <c r="B785" s="88">
        <v>1202</v>
      </c>
      <c r="C785" s="90" t="s">
        <v>1368</v>
      </c>
      <c r="D785" s="60">
        <v>0</v>
      </c>
      <c r="E785" s="61">
        <f t="shared" si="144"/>
        <v>0</v>
      </c>
      <c r="F785" s="60">
        <v>0</v>
      </c>
      <c r="G785" s="61">
        <f t="shared" si="145"/>
        <v>0</v>
      </c>
      <c r="H785" s="60">
        <v>0</v>
      </c>
      <c r="I785" s="61">
        <f t="shared" si="146"/>
        <v>0</v>
      </c>
      <c r="J785" s="60">
        <v>0</v>
      </c>
      <c r="K785" s="61">
        <f t="shared" si="147"/>
        <v>0</v>
      </c>
      <c r="L785" s="62"/>
      <c r="M785" s="61">
        <f t="shared" si="148"/>
        <v>0</v>
      </c>
      <c r="N785" s="63">
        <v>0</v>
      </c>
      <c r="O785" s="61">
        <f t="shared" si="149"/>
        <v>0</v>
      </c>
      <c r="P785" s="60">
        <v>0</v>
      </c>
      <c r="Q785" s="61">
        <f t="shared" si="150"/>
        <v>0</v>
      </c>
      <c r="R785" s="60">
        <v>0</v>
      </c>
      <c r="S785" s="61">
        <f t="shared" si="151"/>
        <v>0</v>
      </c>
      <c r="T785" s="60">
        <v>0</v>
      </c>
      <c r="U785" s="64">
        <f t="shared" si="152"/>
        <v>0</v>
      </c>
      <c r="V785" s="65">
        <v>0</v>
      </c>
      <c r="W785" s="66">
        <f t="shared" si="153"/>
        <v>0</v>
      </c>
      <c r="X785" s="67">
        <f t="shared" si="154"/>
        <v>0</v>
      </c>
      <c r="Y785" s="57" t="str">
        <f t="shared" si="155"/>
        <v>NIL PLEASE PURCHASE</v>
      </c>
      <c r="Z785" s="68" t="s">
        <v>1539</v>
      </c>
    </row>
    <row r="786" spans="1:26" s="8" customFormat="1" ht="20.100000000000001" customHeight="1" x14ac:dyDescent="0.25">
      <c r="A786" s="69" t="s">
        <v>1752</v>
      </c>
      <c r="B786" s="88">
        <v>1203</v>
      </c>
      <c r="C786" s="90" t="s">
        <v>1369</v>
      </c>
      <c r="D786" s="60">
        <v>0</v>
      </c>
      <c r="E786" s="61">
        <f t="shared" si="144"/>
        <v>0</v>
      </c>
      <c r="F786" s="60">
        <v>0</v>
      </c>
      <c r="G786" s="61">
        <f t="shared" si="145"/>
        <v>0</v>
      </c>
      <c r="H786" s="60">
        <v>0</v>
      </c>
      <c r="I786" s="61">
        <f t="shared" si="146"/>
        <v>0</v>
      </c>
      <c r="J786" s="60">
        <v>0</v>
      </c>
      <c r="K786" s="61">
        <f t="shared" si="147"/>
        <v>0</v>
      </c>
      <c r="L786" s="62"/>
      <c r="M786" s="61">
        <f t="shared" si="148"/>
        <v>0</v>
      </c>
      <c r="N786" s="63">
        <v>0</v>
      </c>
      <c r="O786" s="61">
        <f t="shared" si="149"/>
        <v>0</v>
      </c>
      <c r="P786" s="60">
        <v>0</v>
      </c>
      <c r="Q786" s="61">
        <f t="shared" si="150"/>
        <v>0</v>
      </c>
      <c r="R786" s="60">
        <v>0</v>
      </c>
      <c r="S786" s="61">
        <f t="shared" si="151"/>
        <v>0</v>
      </c>
      <c r="T786" s="60">
        <v>0</v>
      </c>
      <c r="U786" s="64">
        <f t="shared" si="152"/>
        <v>0</v>
      </c>
      <c r="V786" s="65">
        <v>0</v>
      </c>
      <c r="W786" s="66">
        <f t="shared" si="153"/>
        <v>0</v>
      </c>
      <c r="X786" s="67">
        <f t="shared" si="154"/>
        <v>0</v>
      </c>
      <c r="Y786" s="57" t="str">
        <f t="shared" si="155"/>
        <v>NIL PLEASE PURCHASE</v>
      </c>
      <c r="Z786" s="68" t="s">
        <v>1539</v>
      </c>
    </row>
    <row r="787" spans="1:26" s="8" customFormat="1" ht="20.100000000000001" customHeight="1" x14ac:dyDescent="0.25">
      <c r="A787" s="69" t="s">
        <v>1753</v>
      </c>
      <c r="B787" s="88">
        <v>1204</v>
      </c>
      <c r="C787" s="90" t="s">
        <v>1370</v>
      </c>
      <c r="D787" s="60">
        <v>0</v>
      </c>
      <c r="E787" s="61">
        <f t="shared" si="144"/>
        <v>0</v>
      </c>
      <c r="F787" s="60">
        <v>0</v>
      </c>
      <c r="G787" s="61">
        <f t="shared" si="145"/>
        <v>0</v>
      </c>
      <c r="H787" s="60">
        <v>0</v>
      </c>
      <c r="I787" s="61">
        <f t="shared" si="146"/>
        <v>0</v>
      </c>
      <c r="J787" s="60">
        <v>0</v>
      </c>
      <c r="K787" s="61">
        <f t="shared" si="147"/>
        <v>0</v>
      </c>
      <c r="L787" s="62"/>
      <c r="M787" s="61">
        <f t="shared" si="148"/>
        <v>0</v>
      </c>
      <c r="N787" s="63">
        <v>1</v>
      </c>
      <c r="O787" s="61">
        <f t="shared" si="149"/>
        <v>500</v>
      </c>
      <c r="P787" s="60">
        <v>0</v>
      </c>
      <c r="Q787" s="61">
        <f t="shared" si="150"/>
        <v>0</v>
      </c>
      <c r="R787" s="60">
        <v>0</v>
      </c>
      <c r="S787" s="61">
        <f t="shared" si="151"/>
        <v>0</v>
      </c>
      <c r="T787" s="60">
        <v>0</v>
      </c>
      <c r="U787" s="64">
        <f t="shared" si="152"/>
        <v>0</v>
      </c>
      <c r="V787" s="65">
        <v>0</v>
      </c>
      <c r="W787" s="66">
        <f t="shared" si="153"/>
        <v>500</v>
      </c>
      <c r="X787" s="67">
        <f t="shared" si="154"/>
        <v>0.5</v>
      </c>
      <c r="Y787" s="57" t="str">
        <f t="shared" si="155"/>
        <v>STOCK</v>
      </c>
      <c r="Z787" s="68" t="s">
        <v>1538</v>
      </c>
    </row>
    <row r="788" spans="1:26" s="8" customFormat="1" ht="20.100000000000001" customHeight="1" x14ac:dyDescent="0.25">
      <c r="A788" s="69" t="s">
        <v>1754</v>
      </c>
      <c r="B788" s="88">
        <v>1205</v>
      </c>
      <c r="C788" s="90" t="s">
        <v>1371</v>
      </c>
      <c r="D788" s="60">
        <v>0</v>
      </c>
      <c r="E788" s="61">
        <f t="shared" si="144"/>
        <v>0</v>
      </c>
      <c r="F788" s="60">
        <v>0</v>
      </c>
      <c r="G788" s="61">
        <f t="shared" si="145"/>
        <v>0</v>
      </c>
      <c r="H788" s="60">
        <v>0</v>
      </c>
      <c r="I788" s="61">
        <f t="shared" si="146"/>
        <v>0</v>
      </c>
      <c r="J788" s="60">
        <v>0</v>
      </c>
      <c r="K788" s="61">
        <f t="shared" si="147"/>
        <v>0</v>
      </c>
      <c r="L788" s="62"/>
      <c r="M788" s="61">
        <f t="shared" si="148"/>
        <v>0</v>
      </c>
      <c r="N788" s="63">
        <v>0</v>
      </c>
      <c r="O788" s="61">
        <f t="shared" si="149"/>
        <v>0</v>
      </c>
      <c r="P788" s="60">
        <v>0</v>
      </c>
      <c r="Q788" s="61">
        <f t="shared" si="150"/>
        <v>0</v>
      </c>
      <c r="R788" s="60">
        <v>0</v>
      </c>
      <c r="S788" s="61">
        <f t="shared" si="151"/>
        <v>0</v>
      </c>
      <c r="T788" s="60">
        <v>0</v>
      </c>
      <c r="U788" s="64">
        <f t="shared" si="152"/>
        <v>0</v>
      </c>
      <c r="V788" s="65">
        <v>0</v>
      </c>
      <c r="W788" s="66">
        <f t="shared" si="153"/>
        <v>0</v>
      </c>
      <c r="X788" s="67">
        <f t="shared" si="154"/>
        <v>0</v>
      </c>
      <c r="Y788" s="57" t="str">
        <f t="shared" si="155"/>
        <v>NIL PLEASE PURCHASE</v>
      </c>
      <c r="Z788" s="68" t="s">
        <v>1539</v>
      </c>
    </row>
    <row r="789" spans="1:26" s="8" customFormat="1" ht="20.100000000000001" customHeight="1" x14ac:dyDescent="0.25">
      <c r="A789" s="69" t="s">
        <v>1755</v>
      </c>
      <c r="B789" s="88">
        <v>1206</v>
      </c>
      <c r="C789" s="90" t="s">
        <v>1372</v>
      </c>
      <c r="D789" s="60">
        <v>0</v>
      </c>
      <c r="E789" s="61">
        <f t="shared" si="144"/>
        <v>0</v>
      </c>
      <c r="F789" s="60">
        <v>0</v>
      </c>
      <c r="G789" s="61">
        <f t="shared" si="145"/>
        <v>0</v>
      </c>
      <c r="H789" s="60">
        <v>0</v>
      </c>
      <c r="I789" s="61">
        <f t="shared" si="146"/>
        <v>0</v>
      </c>
      <c r="J789" s="60">
        <v>0</v>
      </c>
      <c r="K789" s="61">
        <f t="shared" si="147"/>
        <v>0</v>
      </c>
      <c r="L789" s="62"/>
      <c r="M789" s="61">
        <f t="shared" si="148"/>
        <v>0</v>
      </c>
      <c r="N789" s="63">
        <v>2</v>
      </c>
      <c r="O789" s="61">
        <f t="shared" si="149"/>
        <v>1000</v>
      </c>
      <c r="P789" s="60">
        <v>0</v>
      </c>
      <c r="Q789" s="61">
        <f t="shared" si="150"/>
        <v>0</v>
      </c>
      <c r="R789" s="60">
        <v>0</v>
      </c>
      <c r="S789" s="61">
        <f t="shared" si="151"/>
        <v>0</v>
      </c>
      <c r="T789" s="60">
        <v>0</v>
      </c>
      <c r="U789" s="64">
        <f t="shared" si="152"/>
        <v>0</v>
      </c>
      <c r="V789" s="65">
        <v>0</v>
      </c>
      <c r="W789" s="66">
        <f t="shared" si="153"/>
        <v>1000</v>
      </c>
      <c r="X789" s="67">
        <f t="shared" si="154"/>
        <v>1</v>
      </c>
      <c r="Y789" s="57" t="str">
        <f t="shared" si="155"/>
        <v>STOCK</v>
      </c>
      <c r="Z789" s="68" t="s">
        <v>1539</v>
      </c>
    </row>
    <row r="790" spans="1:26" s="8" customFormat="1" ht="20.100000000000001" customHeight="1" x14ac:dyDescent="0.25">
      <c r="A790" s="69" t="s">
        <v>1756</v>
      </c>
      <c r="B790" s="88">
        <v>1207</v>
      </c>
      <c r="C790" s="90" t="s">
        <v>1373</v>
      </c>
      <c r="D790" s="60">
        <v>0</v>
      </c>
      <c r="E790" s="61">
        <f t="shared" si="144"/>
        <v>0</v>
      </c>
      <c r="F790" s="60">
        <v>0</v>
      </c>
      <c r="G790" s="61">
        <f t="shared" si="145"/>
        <v>0</v>
      </c>
      <c r="H790" s="60">
        <v>0</v>
      </c>
      <c r="I790" s="61">
        <f t="shared" si="146"/>
        <v>0</v>
      </c>
      <c r="J790" s="60">
        <v>0</v>
      </c>
      <c r="K790" s="61">
        <f t="shared" si="147"/>
        <v>0</v>
      </c>
      <c r="L790" s="62"/>
      <c r="M790" s="61">
        <f t="shared" si="148"/>
        <v>0</v>
      </c>
      <c r="N790" s="63">
        <v>0</v>
      </c>
      <c r="O790" s="61">
        <f t="shared" si="149"/>
        <v>0</v>
      </c>
      <c r="P790" s="60">
        <v>0</v>
      </c>
      <c r="Q790" s="61">
        <f t="shared" si="150"/>
        <v>0</v>
      </c>
      <c r="R790" s="60">
        <v>0</v>
      </c>
      <c r="S790" s="61">
        <f t="shared" si="151"/>
        <v>0</v>
      </c>
      <c r="T790" s="60">
        <v>0</v>
      </c>
      <c r="U790" s="64">
        <f t="shared" si="152"/>
        <v>0</v>
      </c>
      <c r="V790" s="65">
        <v>0</v>
      </c>
      <c r="W790" s="66">
        <f t="shared" si="153"/>
        <v>0</v>
      </c>
      <c r="X790" s="67">
        <f t="shared" si="154"/>
        <v>0</v>
      </c>
      <c r="Y790" s="57" t="str">
        <f t="shared" si="155"/>
        <v>NIL PLEASE PURCHASE</v>
      </c>
      <c r="Z790" s="68" t="s">
        <v>1539</v>
      </c>
    </row>
    <row r="791" spans="1:26" s="8" customFormat="1" ht="20.100000000000001" customHeight="1" x14ac:dyDescent="0.25">
      <c r="A791" s="69" t="s">
        <v>1757</v>
      </c>
      <c r="B791" s="88">
        <v>1208</v>
      </c>
      <c r="C791" s="90" t="s">
        <v>1373</v>
      </c>
      <c r="D791" s="60">
        <v>0</v>
      </c>
      <c r="E791" s="61">
        <f t="shared" si="144"/>
        <v>0</v>
      </c>
      <c r="F791" s="60">
        <v>0</v>
      </c>
      <c r="G791" s="61">
        <f t="shared" si="145"/>
        <v>0</v>
      </c>
      <c r="H791" s="60">
        <v>0</v>
      </c>
      <c r="I791" s="61">
        <f t="shared" si="146"/>
        <v>0</v>
      </c>
      <c r="J791" s="60">
        <v>0</v>
      </c>
      <c r="K791" s="61">
        <f t="shared" si="147"/>
        <v>0</v>
      </c>
      <c r="L791" s="62"/>
      <c r="M791" s="61">
        <f t="shared" si="148"/>
        <v>0</v>
      </c>
      <c r="N791" s="63">
        <v>0</v>
      </c>
      <c r="O791" s="61">
        <f t="shared" si="149"/>
        <v>0</v>
      </c>
      <c r="P791" s="60">
        <v>0</v>
      </c>
      <c r="Q791" s="61">
        <f t="shared" si="150"/>
        <v>0</v>
      </c>
      <c r="R791" s="60">
        <v>0</v>
      </c>
      <c r="S791" s="61">
        <f t="shared" si="151"/>
        <v>0</v>
      </c>
      <c r="T791" s="60">
        <v>0</v>
      </c>
      <c r="U791" s="64">
        <f t="shared" si="152"/>
        <v>0</v>
      </c>
      <c r="V791" s="65">
        <v>0</v>
      </c>
      <c r="W791" s="66">
        <f t="shared" si="153"/>
        <v>0</v>
      </c>
      <c r="X791" s="67">
        <f t="shared" si="154"/>
        <v>0</v>
      </c>
      <c r="Y791" s="57" t="str">
        <f t="shared" si="155"/>
        <v>NIL PLEASE PURCHASE</v>
      </c>
      <c r="Z791" s="68" t="s">
        <v>1539</v>
      </c>
    </row>
    <row r="792" spans="1:26" s="8" customFormat="1" ht="20.100000000000001" customHeight="1" x14ac:dyDescent="0.25">
      <c r="A792" s="69" t="s">
        <v>1758</v>
      </c>
      <c r="B792" s="88">
        <v>1209</v>
      </c>
      <c r="C792" s="90" t="s">
        <v>1374</v>
      </c>
      <c r="D792" s="60">
        <v>0</v>
      </c>
      <c r="E792" s="61">
        <f t="shared" si="144"/>
        <v>0</v>
      </c>
      <c r="F792" s="60">
        <v>0</v>
      </c>
      <c r="G792" s="61">
        <f t="shared" si="145"/>
        <v>0</v>
      </c>
      <c r="H792" s="60">
        <v>0</v>
      </c>
      <c r="I792" s="61">
        <f t="shared" si="146"/>
        <v>0</v>
      </c>
      <c r="J792" s="60">
        <v>0</v>
      </c>
      <c r="K792" s="61">
        <f t="shared" si="147"/>
        <v>0</v>
      </c>
      <c r="L792" s="62"/>
      <c r="M792" s="61">
        <f t="shared" si="148"/>
        <v>0</v>
      </c>
      <c r="N792" s="63">
        <v>0</v>
      </c>
      <c r="O792" s="61">
        <f t="shared" si="149"/>
        <v>0</v>
      </c>
      <c r="P792" s="60">
        <v>0</v>
      </c>
      <c r="Q792" s="61">
        <f t="shared" si="150"/>
        <v>0</v>
      </c>
      <c r="R792" s="60">
        <v>0</v>
      </c>
      <c r="S792" s="61">
        <f t="shared" si="151"/>
        <v>0</v>
      </c>
      <c r="T792" s="60">
        <v>0</v>
      </c>
      <c r="U792" s="64">
        <f t="shared" si="152"/>
        <v>0</v>
      </c>
      <c r="V792" s="65">
        <v>0</v>
      </c>
      <c r="W792" s="66">
        <f t="shared" si="153"/>
        <v>0</v>
      </c>
      <c r="X792" s="67">
        <f t="shared" si="154"/>
        <v>0</v>
      </c>
      <c r="Y792" s="57" t="str">
        <f t="shared" si="155"/>
        <v>NIL PLEASE PURCHASE</v>
      </c>
      <c r="Z792" s="68" t="s">
        <v>1539</v>
      </c>
    </row>
    <row r="793" spans="1:26" s="8" customFormat="1" ht="20.100000000000001" customHeight="1" x14ac:dyDescent="0.25">
      <c r="A793" s="69" t="s">
        <v>1759</v>
      </c>
      <c r="B793" s="88">
        <v>1210</v>
      </c>
      <c r="C793" s="90" t="s">
        <v>1375</v>
      </c>
      <c r="D793" s="60">
        <v>0</v>
      </c>
      <c r="E793" s="61">
        <f t="shared" si="144"/>
        <v>0</v>
      </c>
      <c r="F793" s="60">
        <v>0</v>
      </c>
      <c r="G793" s="61">
        <f t="shared" si="145"/>
        <v>0</v>
      </c>
      <c r="H793" s="60">
        <v>0</v>
      </c>
      <c r="I793" s="61">
        <f t="shared" si="146"/>
        <v>0</v>
      </c>
      <c r="J793" s="60">
        <v>0</v>
      </c>
      <c r="K793" s="61">
        <f t="shared" si="147"/>
        <v>0</v>
      </c>
      <c r="L793" s="62"/>
      <c r="M793" s="61">
        <f t="shared" si="148"/>
        <v>0</v>
      </c>
      <c r="N793" s="63">
        <v>0</v>
      </c>
      <c r="O793" s="61">
        <f t="shared" si="149"/>
        <v>0</v>
      </c>
      <c r="P793" s="60">
        <v>0</v>
      </c>
      <c r="Q793" s="61">
        <f t="shared" si="150"/>
        <v>0</v>
      </c>
      <c r="R793" s="60">
        <v>0</v>
      </c>
      <c r="S793" s="61">
        <f t="shared" si="151"/>
        <v>0</v>
      </c>
      <c r="T793" s="60">
        <v>0</v>
      </c>
      <c r="U793" s="64">
        <f t="shared" si="152"/>
        <v>0</v>
      </c>
      <c r="V793" s="65">
        <v>0</v>
      </c>
      <c r="W793" s="66">
        <f t="shared" si="153"/>
        <v>0</v>
      </c>
      <c r="X793" s="67">
        <f t="shared" si="154"/>
        <v>0</v>
      </c>
      <c r="Y793" s="57" t="str">
        <f t="shared" si="155"/>
        <v>NIL PLEASE PURCHASE</v>
      </c>
      <c r="Z793" s="68" t="s">
        <v>1539</v>
      </c>
    </row>
    <row r="794" spans="1:26" s="8" customFormat="1" ht="20.100000000000001" customHeight="1" x14ac:dyDescent="0.25">
      <c r="A794" s="69" t="s">
        <v>1760</v>
      </c>
      <c r="B794" s="88">
        <v>1211</v>
      </c>
      <c r="C794" s="90" t="s">
        <v>1376</v>
      </c>
      <c r="D794" s="60">
        <v>0</v>
      </c>
      <c r="E794" s="61">
        <f t="shared" si="144"/>
        <v>0</v>
      </c>
      <c r="F794" s="60">
        <v>6</v>
      </c>
      <c r="G794" s="61">
        <f t="shared" si="145"/>
        <v>150</v>
      </c>
      <c r="H794" s="60">
        <v>0</v>
      </c>
      <c r="I794" s="61">
        <f t="shared" si="146"/>
        <v>0</v>
      </c>
      <c r="J794" s="60">
        <v>0</v>
      </c>
      <c r="K794" s="61">
        <f t="shared" si="147"/>
        <v>0</v>
      </c>
      <c r="L794" s="62"/>
      <c r="M794" s="61">
        <f t="shared" si="148"/>
        <v>0</v>
      </c>
      <c r="N794" s="63">
        <v>0</v>
      </c>
      <c r="O794" s="61">
        <f t="shared" si="149"/>
        <v>0</v>
      </c>
      <c r="P794" s="60">
        <v>0</v>
      </c>
      <c r="Q794" s="61">
        <f t="shared" si="150"/>
        <v>0</v>
      </c>
      <c r="R794" s="60">
        <v>0</v>
      </c>
      <c r="S794" s="61">
        <f t="shared" si="151"/>
        <v>0</v>
      </c>
      <c r="T794" s="60">
        <v>0</v>
      </c>
      <c r="U794" s="64">
        <f t="shared" si="152"/>
        <v>0</v>
      </c>
      <c r="V794" s="65">
        <v>0</v>
      </c>
      <c r="W794" s="66">
        <f t="shared" si="153"/>
        <v>150</v>
      </c>
      <c r="X794" s="67">
        <f t="shared" si="154"/>
        <v>0.15</v>
      </c>
      <c r="Y794" s="57" t="str">
        <f t="shared" si="155"/>
        <v>STOCK</v>
      </c>
      <c r="Z794" s="68" t="s">
        <v>1539</v>
      </c>
    </row>
    <row r="795" spans="1:26" s="8" customFormat="1" ht="20.100000000000001" customHeight="1" x14ac:dyDescent="0.25">
      <c r="A795" s="69" t="s">
        <v>1761</v>
      </c>
      <c r="B795" s="88">
        <v>1212</v>
      </c>
      <c r="C795" s="90" t="s">
        <v>1377</v>
      </c>
      <c r="D795" s="60">
        <v>0</v>
      </c>
      <c r="E795" s="61">
        <f t="shared" si="144"/>
        <v>0</v>
      </c>
      <c r="F795" s="60">
        <v>0</v>
      </c>
      <c r="G795" s="61">
        <f t="shared" si="145"/>
        <v>0</v>
      </c>
      <c r="H795" s="60">
        <v>0</v>
      </c>
      <c r="I795" s="61">
        <f t="shared" si="146"/>
        <v>0</v>
      </c>
      <c r="J795" s="60">
        <v>0</v>
      </c>
      <c r="K795" s="61">
        <f t="shared" si="147"/>
        <v>0</v>
      </c>
      <c r="L795" s="62"/>
      <c r="M795" s="61">
        <f t="shared" si="148"/>
        <v>0</v>
      </c>
      <c r="N795" s="63">
        <v>0</v>
      </c>
      <c r="O795" s="61">
        <f t="shared" si="149"/>
        <v>0</v>
      </c>
      <c r="P795" s="60">
        <v>0</v>
      </c>
      <c r="Q795" s="61">
        <f t="shared" si="150"/>
        <v>0</v>
      </c>
      <c r="R795" s="60">
        <v>0</v>
      </c>
      <c r="S795" s="61">
        <f t="shared" si="151"/>
        <v>0</v>
      </c>
      <c r="T795" s="60">
        <v>0</v>
      </c>
      <c r="U795" s="64">
        <f t="shared" si="152"/>
        <v>0</v>
      </c>
      <c r="V795" s="65">
        <v>0</v>
      </c>
      <c r="W795" s="66">
        <f t="shared" si="153"/>
        <v>0</v>
      </c>
      <c r="X795" s="67">
        <f t="shared" si="154"/>
        <v>0</v>
      </c>
      <c r="Y795" s="57" t="str">
        <f t="shared" si="155"/>
        <v>NIL PLEASE PURCHASE</v>
      </c>
      <c r="Z795" s="68" t="s">
        <v>1539</v>
      </c>
    </row>
    <row r="796" spans="1:26" s="8" customFormat="1" ht="20.100000000000001" customHeight="1" x14ac:dyDescent="0.25">
      <c r="A796" s="69" t="s">
        <v>1762</v>
      </c>
      <c r="B796" s="88">
        <v>1213</v>
      </c>
      <c r="C796" s="90" t="s">
        <v>1378</v>
      </c>
      <c r="D796" s="60">
        <v>0</v>
      </c>
      <c r="E796" s="61">
        <f t="shared" si="144"/>
        <v>0</v>
      </c>
      <c r="F796" s="60">
        <v>0</v>
      </c>
      <c r="G796" s="61">
        <f t="shared" si="145"/>
        <v>0</v>
      </c>
      <c r="H796" s="60">
        <v>0</v>
      </c>
      <c r="I796" s="61">
        <f t="shared" si="146"/>
        <v>0</v>
      </c>
      <c r="J796" s="60">
        <v>0</v>
      </c>
      <c r="K796" s="61">
        <f t="shared" si="147"/>
        <v>0</v>
      </c>
      <c r="L796" s="62"/>
      <c r="M796" s="61">
        <f t="shared" si="148"/>
        <v>0</v>
      </c>
      <c r="N796" s="63">
        <v>1</v>
      </c>
      <c r="O796" s="61">
        <f t="shared" si="149"/>
        <v>500</v>
      </c>
      <c r="P796" s="60">
        <v>0</v>
      </c>
      <c r="Q796" s="61">
        <f t="shared" si="150"/>
        <v>0</v>
      </c>
      <c r="R796" s="60">
        <v>0</v>
      </c>
      <c r="S796" s="61">
        <f t="shared" si="151"/>
        <v>0</v>
      </c>
      <c r="T796" s="60">
        <v>0</v>
      </c>
      <c r="U796" s="64">
        <f t="shared" si="152"/>
        <v>0</v>
      </c>
      <c r="V796" s="65">
        <v>0</v>
      </c>
      <c r="W796" s="66">
        <f t="shared" si="153"/>
        <v>500</v>
      </c>
      <c r="X796" s="67">
        <f t="shared" si="154"/>
        <v>0.5</v>
      </c>
      <c r="Y796" s="57" t="str">
        <f t="shared" si="155"/>
        <v>STOCK</v>
      </c>
      <c r="Z796" s="68" t="s">
        <v>1538</v>
      </c>
    </row>
    <row r="797" spans="1:26" s="8" customFormat="1" ht="20.100000000000001" customHeight="1" x14ac:dyDescent="0.25">
      <c r="A797" s="69" t="s">
        <v>1763</v>
      </c>
      <c r="B797" s="88">
        <v>1214</v>
      </c>
      <c r="C797" s="90" t="s">
        <v>1379</v>
      </c>
      <c r="D797" s="60">
        <v>0</v>
      </c>
      <c r="E797" s="61">
        <f t="shared" si="144"/>
        <v>0</v>
      </c>
      <c r="F797" s="60">
        <v>0</v>
      </c>
      <c r="G797" s="61">
        <f t="shared" si="145"/>
        <v>0</v>
      </c>
      <c r="H797" s="60">
        <v>0</v>
      </c>
      <c r="I797" s="61">
        <f t="shared" si="146"/>
        <v>0</v>
      </c>
      <c r="J797" s="60">
        <v>0</v>
      </c>
      <c r="K797" s="61">
        <f t="shared" si="147"/>
        <v>0</v>
      </c>
      <c r="L797" s="62"/>
      <c r="M797" s="61">
        <f t="shared" si="148"/>
        <v>0</v>
      </c>
      <c r="N797" s="63">
        <v>0</v>
      </c>
      <c r="O797" s="61">
        <f t="shared" si="149"/>
        <v>0</v>
      </c>
      <c r="P797" s="60">
        <v>0</v>
      </c>
      <c r="Q797" s="61">
        <f t="shared" si="150"/>
        <v>0</v>
      </c>
      <c r="R797" s="60">
        <v>0</v>
      </c>
      <c r="S797" s="61">
        <f t="shared" si="151"/>
        <v>0</v>
      </c>
      <c r="T797" s="60">
        <v>0</v>
      </c>
      <c r="U797" s="64">
        <f t="shared" si="152"/>
        <v>0</v>
      </c>
      <c r="V797" s="65">
        <v>0</v>
      </c>
      <c r="W797" s="66">
        <f t="shared" si="153"/>
        <v>0</v>
      </c>
      <c r="X797" s="67">
        <f t="shared" si="154"/>
        <v>0</v>
      </c>
      <c r="Y797" s="57" t="str">
        <f t="shared" si="155"/>
        <v>NIL PLEASE PURCHASE</v>
      </c>
      <c r="Z797" s="68" t="s">
        <v>1539</v>
      </c>
    </row>
    <row r="798" spans="1:26" s="8" customFormat="1" ht="20.100000000000001" customHeight="1" x14ac:dyDescent="0.25">
      <c r="A798" s="69" t="s">
        <v>1764</v>
      </c>
      <c r="B798" s="88">
        <v>1215</v>
      </c>
      <c r="C798" s="90" t="s">
        <v>1380</v>
      </c>
      <c r="D798" s="60">
        <v>0</v>
      </c>
      <c r="E798" s="61">
        <f t="shared" si="144"/>
        <v>0</v>
      </c>
      <c r="F798" s="60">
        <v>0</v>
      </c>
      <c r="G798" s="61">
        <f t="shared" si="145"/>
        <v>0</v>
      </c>
      <c r="H798" s="60">
        <v>0</v>
      </c>
      <c r="I798" s="61">
        <f t="shared" si="146"/>
        <v>0</v>
      </c>
      <c r="J798" s="60">
        <v>0</v>
      </c>
      <c r="K798" s="61">
        <f t="shared" si="147"/>
        <v>0</v>
      </c>
      <c r="L798" s="62"/>
      <c r="M798" s="61">
        <f t="shared" si="148"/>
        <v>0</v>
      </c>
      <c r="N798" s="63">
        <v>0</v>
      </c>
      <c r="O798" s="61">
        <f t="shared" si="149"/>
        <v>0</v>
      </c>
      <c r="P798" s="60">
        <v>0</v>
      </c>
      <c r="Q798" s="61">
        <f t="shared" si="150"/>
        <v>0</v>
      </c>
      <c r="R798" s="60">
        <v>0</v>
      </c>
      <c r="S798" s="61">
        <f t="shared" si="151"/>
        <v>0</v>
      </c>
      <c r="T798" s="60">
        <v>0</v>
      </c>
      <c r="U798" s="64">
        <f t="shared" si="152"/>
        <v>0</v>
      </c>
      <c r="V798" s="65">
        <v>0</v>
      </c>
      <c r="W798" s="66">
        <f t="shared" si="153"/>
        <v>0</v>
      </c>
      <c r="X798" s="67">
        <f t="shared" si="154"/>
        <v>0</v>
      </c>
      <c r="Y798" s="57" t="str">
        <f t="shared" si="155"/>
        <v>NIL PLEASE PURCHASE</v>
      </c>
      <c r="Z798" s="68" t="s">
        <v>1539</v>
      </c>
    </row>
    <row r="799" spans="1:26" s="8" customFormat="1" ht="20.100000000000001" customHeight="1" x14ac:dyDescent="0.25">
      <c r="A799" s="69" t="s">
        <v>1765</v>
      </c>
      <c r="B799" s="88">
        <v>1216</v>
      </c>
      <c r="C799" s="90" t="s">
        <v>1381</v>
      </c>
      <c r="D799" s="60">
        <v>0</v>
      </c>
      <c r="E799" s="61">
        <f t="shared" si="144"/>
        <v>0</v>
      </c>
      <c r="F799" s="60">
        <v>0</v>
      </c>
      <c r="G799" s="61">
        <f t="shared" si="145"/>
        <v>0</v>
      </c>
      <c r="H799" s="60">
        <v>0</v>
      </c>
      <c r="I799" s="61">
        <f t="shared" si="146"/>
        <v>0</v>
      </c>
      <c r="J799" s="60">
        <v>0</v>
      </c>
      <c r="K799" s="61">
        <f t="shared" si="147"/>
        <v>0</v>
      </c>
      <c r="L799" s="62"/>
      <c r="M799" s="61">
        <f t="shared" si="148"/>
        <v>0</v>
      </c>
      <c r="N799" s="63">
        <v>0</v>
      </c>
      <c r="O799" s="61">
        <f t="shared" si="149"/>
        <v>0</v>
      </c>
      <c r="P799" s="60">
        <v>0</v>
      </c>
      <c r="Q799" s="61">
        <f t="shared" si="150"/>
        <v>0</v>
      </c>
      <c r="R799" s="60">
        <v>0</v>
      </c>
      <c r="S799" s="61">
        <f t="shared" si="151"/>
        <v>0</v>
      </c>
      <c r="T799" s="60">
        <v>0</v>
      </c>
      <c r="U799" s="64">
        <f t="shared" si="152"/>
        <v>0</v>
      </c>
      <c r="V799" s="65">
        <v>0</v>
      </c>
      <c r="W799" s="66">
        <f t="shared" si="153"/>
        <v>0</v>
      </c>
      <c r="X799" s="67">
        <f t="shared" si="154"/>
        <v>0</v>
      </c>
      <c r="Y799" s="57" t="str">
        <f t="shared" si="155"/>
        <v>NIL PLEASE PURCHASE</v>
      </c>
      <c r="Z799" s="68" t="s">
        <v>1539</v>
      </c>
    </row>
    <row r="800" spans="1:26" s="8" customFormat="1" ht="20.100000000000001" customHeight="1" x14ac:dyDescent="0.25">
      <c r="A800" s="69" t="s">
        <v>1766</v>
      </c>
      <c r="B800" s="88">
        <v>1217</v>
      </c>
      <c r="C800" s="90" t="s">
        <v>1382</v>
      </c>
      <c r="D800" s="60">
        <v>0</v>
      </c>
      <c r="E800" s="61">
        <f t="shared" si="144"/>
        <v>0</v>
      </c>
      <c r="F800" s="60">
        <v>0</v>
      </c>
      <c r="G800" s="61">
        <f t="shared" si="145"/>
        <v>0</v>
      </c>
      <c r="H800" s="60">
        <v>0</v>
      </c>
      <c r="I800" s="61">
        <f t="shared" si="146"/>
        <v>0</v>
      </c>
      <c r="J800" s="60">
        <v>0</v>
      </c>
      <c r="K800" s="61">
        <f t="shared" si="147"/>
        <v>0</v>
      </c>
      <c r="L800" s="62"/>
      <c r="M800" s="61">
        <f t="shared" si="148"/>
        <v>0</v>
      </c>
      <c r="N800" s="63">
        <v>1</v>
      </c>
      <c r="O800" s="61">
        <f t="shared" si="149"/>
        <v>500</v>
      </c>
      <c r="P800" s="60">
        <v>0</v>
      </c>
      <c r="Q800" s="61">
        <f t="shared" si="150"/>
        <v>0</v>
      </c>
      <c r="R800" s="60">
        <v>0</v>
      </c>
      <c r="S800" s="61">
        <f t="shared" si="151"/>
        <v>0</v>
      </c>
      <c r="T800" s="60">
        <v>0</v>
      </c>
      <c r="U800" s="64">
        <f t="shared" si="152"/>
        <v>0</v>
      </c>
      <c r="V800" s="65">
        <v>0</v>
      </c>
      <c r="W800" s="66">
        <f t="shared" si="153"/>
        <v>500</v>
      </c>
      <c r="X800" s="67">
        <f t="shared" si="154"/>
        <v>0.5</v>
      </c>
      <c r="Y800" s="57" t="str">
        <f t="shared" si="155"/>
        <v>STOCK</v>
      </c>
      <c r="Z800" s="68" t="s">
        <v>1539</v>
      </c>
    </row>
    <row r="801" spans="1:26" s="8" customFormat="1" ht="20.100000000000001" customHeight="1" x14ac:dyDescent="0.25">
      <c r="A801" s="69" t="s">
        <v>1767</v>
      </c>
      <c r="B801" s="88">
        <v>1218</v>
      </c>
      <c r="C801" s="90" t="s">
        <v>1383</v>
      </c>
      <c r="D801" s="60">
        <v>0</v>
      </c>
      <c r="E801" s="61">
        <f t="shared" si="144"/>
        <v>0</v>
      </c>
      <c r="F801" s="60">
        <v>0</v>
      </c>
      <c r="G801" s="61">
        <f t="shared" si="145"/>
        <v>0</v>
      </c>
      <c r="H801" s="60">
        <v>0</v>
      </c>
      <c r="I801" s="61">
        <f t="shared" si="146"/>
        <v>0</v>
      </c>
      <c r="J801" s="60">
        <v>0</v>
      </c>
      <c r="K801" s="61">
        <f t="shared" si="147"/>
        <v>0</v>
      </c>
      <c r="L801" s="62"/>
      <c r="M801" s="61">
        <f t="shared" si="148"/>
        <v>0</v>
      </c>
      <c r="N801" s="63">
        <v>0</v>
      </c>
      <c r="O801" s="61">
        <f t="shared" si="149"/>
        <v>0</v>
      </c>
      <c r="P801" s="60">
        <v>0</v>
      </c>
      <c r="Q801" s="61">
        <f t="shared" si="150"/>
        <v>0</v>
      </c>
      <c r="R801" s="60">
        <v>0</v>
      </c>
      <c r="S801" s="61">
        <f t="shared" si="151"/>
        <v>0</v>
      </c>
      <c r="T801" s="60">
        <v>0</v>
      </c>
      <c r="U801" s="64">
        <f t="shared" si="152"/>
        <v>0</v>
      </c>
      <c r="V801" s="65">
        <v>0</v>
      </c>
      <c r="W801" s="66">
        <f t="shared" si="153"/>
        <v>0</v>
      </c>
      <c r="X801" s="67">
        <f t="shared" si="154"/>
        <v>0</v>
      </c>
      <c r="Y801" s="57" t="str">
        <f t="shared" si="155"/>
        <v>NIL PLEASE PURCHASE</v>
      </c>
      <c r="Z801" s="68" t="s">
        <v>1539</v>
      </c>
    </row>
    <row r="802" spans="1:26" s="8" customFormat="1" ht="20.100000000000001" customHeight="1" x14ac:dyDescent="0.25">
      <c r="A802" s="69" t="s">
        <v>1768</v>
      </c>
      <c r="B802" s="88">
        <v>1219</v>
      </c>
      <c r="C802" s="90" t="s">
        <v>1384</v>
      </c>
      <c r="D802" s="60">
        <v>0</v>
      </c>
      <c r="E802" s="61">
        <f t="shared" si="144"/>
        <v>0</v>
      </c>
      <c r="F802" s="60">
        <v>0</v>
      </c>
      <c r="G802" s="61">
        <f t="shared" si="145"/>
        <v>0</v>
      </c>
      <c r="H802" s="60">
        <v>0</v>
      </c>
      <c r="I802" s="61">
        <f t="shared" si="146"/>
        <v>0</v>
      </c>
      <c r="J802" s="60">
        <v>0</v>
      </c>
      <c r="K802" s="61">
        <f t="shared" si="147"/>
        <v>0</v>
      </c>
      <c r="L802" s="62"/>
      <c r="M802" s="61">
        <f t="shared" si="148"/>
        <v>0</v>
      </c>
      <c r="N802" s="63">
        <v>0</v>
      </c>
      <c r="O802" s="61">
        <f t="shared" si="149"/>
        <v>0</v>
      </c>
      <c r="P802" s="60">
        <v>0</v>
      </c>
      <c r="Q802" s="61">
        <f t="shared" si="150"/>
        <v>0</v>
      </c>
      <c r="R802" s="60">
        <v>0</v>
      </c>
      <c r="S802" s="61">
        <f t="shared" si="151"/>
        <v>0</v>
      </c>
      <c r="T802" s="60">
        <v>0</v>
      </c>
      <c r="U802" s="64">
        <f t="shared" si="152"/>
        <v>0</v>
      </c>
      <c r="V802" s="65">
        <v>0</v>
      </c>
      <c r="W802" s="66">
        <f t="shared" si="153"/>
        <v>0</v>
      </c>
      <c r="X802" s="67">
        <f t="shared" si="154"/>
        <v>0</v>
      </c>
      <c r="Y802" s="57" t="str">
        <f t="shared" si="155"/>
        <v>NIL PLEASE PURCHASE</v>
      </c>
      <c r="Z802" s="68" t="s">
        <v>1539</v>
      </c>
    </row>
    <row r="803" spans="1:26" s="8" customFormat="1" ht="20.100000000000001" customHeight="1" x14ac:dyDescent="0.25">
      <c r="A803" s="69" t="s">
        <v>1769</v>
      </c>
      <c r="B803" s="88">
        <v>1220</v>
      </c>
      <c r="C803" s="90" t="s">
        <v>1385</v>
      </c>
      <c r="D803" s="60">
        <v>0</v>
      </c>
      <c r="E803" s="61">
        <f t="shared" si="144"/>
        <v>0</v>
      </c>
      <c r="F803" s="60">
        <v>0</v>
      </c>
      <c r="G803" s="61">
        <f t="shared" si="145"/>
        <v>0</v>
      </c>
      <c r="H803" s="60">
        <v>0</v>
      </c>
      <c r="I803" s="61">
        <f t="shared" si="146"/>
        <v>0</v>
      </c>
      <c r="J803" s="60">
        <v>0</v>
      </c>
      <c r="K803" s="61">
        <f t="shared" si="147"/>
        <v>0</v>
      </c>
      <c r="L803" s="62"/>
      <c r="M803" s="61">
        <f t="shared" si="148"/>
        <v>0</v>
      </c>
      <c r="N803" s="63">
        <v>0</v>
      </c>
      <c r="O803" s="61">
        <f t="shared" si="149"/>
        <v>0</v>
      </c>
      <c r="P803" s="60">
        <v>0</v>
      </c>
      <c r="Q803" s="61">
        <f t="shared" si="150"/>
        <v>0</v>
      </c>
      <c r="R803" s="60">
        <v>0</v>
      </c>
      <c r="S803" s="61">
        <f t="shared" si="151"/>
        <v>0</v>
      </c>
      <c r="T803" s="60">
        <v>0</v>
      </c>
      <c r="U803" s="64">
        <f t="shared" si="152"/>
        <v>0</v>
      </c>
      <c r="V803" s="65">
        <v>0</v>
      </c>
      <c r="W803" s="66">
        <f t="shared" si="153"/>
        <v>0</v>
      </c>
      <c r="X803" s="67">
        <f t="shared" si="154"/>
        <v>0</v>
      </c>
      <c r="Y803" s="57" t="str">
        <f t="shared" si="155"/>
        <v>NIL PLEASE PURCHASE</v>
      </c>
      <c r="Z803" s="68" t="s">
        <v>1539</v>
      </c>
    </row>
    <row r="804" spans="1:26" s="8" customFormat="1" ht="20.100000000000001" customHeight="1" x14ac:dyDescent="0.25">
      <c r="A804" s="69" t="s">
        <v>1770</v>
      </c>
      <c r="B804" s="88">
        <v>1221</v>
      </c>
      <c r="C804" s="90" t="s">
        <v>1386</v>
      </c>
      <c r="D804" s="60">
        <v>0</v>
      </c>
      <c r="E804" s="61">
        <f t="shared" si="144"/>
        <v>0</v>
      </c>
      <c r="F804" s="60">
        <v>0</v>
      </c>
      <c r="G804" s="61">
        <f t="shared" si="145"/>
        <v>0</v>
      </c>
      <c r="H804" s="60">
        <v>0</v>
      </c>
      <c r="I804" s="61">
        <f t="shared" si="146"/>
        <v>0</v>
      </c>
      <c r="J804" s="60">
        <v>0</v>
      </c>
      <c r="K804" s="61">
        <f t="shared" si="147"/>
        <v>0</v>
      </c>
      <c r="L804" s="62"/>
      <c r="M804" s="61">
        <f t="shared" si="148"/>
        <v>0</v>
      </c>
      <c r="N804" s="63">
        <v>0</v>
      </c>
      <c r="O804" s="61">
        <f t="shared" si="149"/>
        <v>0</v>
      </c>
      <c r="P804" s="60">
        <v>0</v>
      </c>
      <c r="Q804" s="61">
        <f t="shared" si="150"/>
        <v>0</v>
      </c>
      <c r="R804" s="60">
        <v>0</v>
      </c>
      <c r="S804" s="61">
        <f t="shared" si="151"/>
        <v>0</v>
      </c>
      <c r="T804" s="60">
        <v>0</v>
      </c>
      <c r="U804" s="64">
        <f t="shared" si="152"/>
        <v>0</v>
      </c>
      <c r="V804" s="65">
        <v>0</v>
      </c>
      <c r="W804" s="66">
        <f t="shared" si="153"/>
        <v>0</v>
      </c>
      <c r="X804" s="67">
        <f t="shared" si="154"/>
        <v>0</v>
      </c>
      <c r="Y804" s="57" t="str">
        <f t="shared" si="155"/>
        <v>NIL PLEASE PURCHASE</v>
      </c>
      <c r="Z804" s="68" t="s">
        <v>1539</v>
      </c>
    </row>
    <row r="805" spans="1:26" s="8" customFormat="1" ht="20.100000000000001" customHeight="1" x14ac:dyDescent="0.25">
      <c r="A805" s="69" t="s">
        <v>1771</v>
      </c>
      <c r="B805" s="88">
        <v>1222</v>
      </c>
      <c r="C805" s="90" t="s">
        <v>1387</v>
      </c>
      <c r="D805" s="60">
        <v>0</v>
      </c>
      <c r="E805" s="61">
        <f t="shared" si="144"/>
        <v>0</v>
      </c>
      <c r="F805" s="60">
        <v>0</v>
      </c>
      <c r="G805" s="61">
        <f t="shared" si="145"/>
        <v>0</v>
      </c>
      <c r="H805" s="60">
        <v>0</v>
      </c>
      <c r="I805" s="61">
        <f t="shared" si="146"/>
        <v>0</v>
      </c>
      <c r="J805" s="60">
        <v>0</v>
      </c>
      <c r="K805" s="61">
        <f t="shared" si="147"/>
        <v>0</v>
      </c>
      <c r="L805" s="62"/>
      <c r="M805" s="61">
        <f t="shared" si="148"/>
        <v>0</v>
      </c>
      <c r="N805" s="63">
        <v>0</v>
      </c>
      <c r="O805" s="61">
        <f t="shared" si="149"/>
        <v>0</v>
      </c>
      <c r="P805" s="60">
        <v>0</v>
      </c>
      <c r="Q805" s="61">
        <f t="shared" si="150"/>
        <v>0</v>
      </c>
      <c r="R805" s="60">
        <v>0</v>
      </c>
      <c r="S805" s="61">
        <f t="shared" si="151"/>
        <v>0</v>
      </c>
      <c r="T805" s="60">
        <v>0</v>
      </c>
      <c r="U805" s="64">
        <f t="shared" si="152"/>
        <v>0</v>
      </c>
      <c r="V805" s="65">
        <v>0</v>
      </c>
      <c r="W805" s="66">
        <f t="shared" si="153"/>
        <v>0</v>
      </c>
      <c r="X805" s="67">
        <f t="shared" si="154"/>
        <v>0</v>
      </c>
      <c r="Y805" s="57" t="str">
        <f t="shared" si="155"/>
        <v>NIL PLEASE PURCHASE</v>
      </c>
      <c r="Z805" s="68" t="s">
        <v>1539</v>
      </c>
    </row>
    <row r="806" spans="1:26" s="8" customFormat="1" ht="20.100000000000001" customHeight="1" x14ac:dyDescent="0.25">
      <c r="A806" s="69" t="s">
        <v>1772</v>
      </c>
      <c r="B806" s="88">
        <v>1223</v>
      </c>
      <c r="C806" s="90" t="s">
        <v>1388</v>
      </c>
      <c r="D806" s="60">
        <v>0</v>
      </c>
      <c r="E806" s="61">
        <f t="shared" si="144"/>
        <v>0</v>
      </c>
      <c r="F806" s="60">
        <v>0</v>
      </c>
      <c r="G806" s="61">
        <f t="shared" si="145"/>
        <v>0</v>
      </c>
      <c r="H806" s="60">
        <v>0</v>
      </c>
      <c r="I806" s="61">
        <f t="shared" si="146"/>
        <v>0</v>
      </c>
      <c r="J806" s="60">
        <v>0</v>
      </c>
      <c r="K806" s="61">
        <f t="shared" si="147"/>
        <v>0</v>
      </c>
      <c r="L806" s="62"/>
      <c r="M806" s="61">
        <f t="shared" si="148"/>
        <v>0</v>
      </c>
      <c r="N806" s="63">
        <v>0</v>
      </c>
      <c r="O806" s="61">
        <f t="shared" si="149"/>
        <v>0</v>
      </c>
      <c r="P806" s="60">
        <v>0</v>
      </c>
      <c r="Q806" s="61">
        <f t="shared" si="150"/>
        <v>0</v>
      </c>
      <c r="R806" s="60">
        <v>0</v>
      </c>
      <c r="S806" s="61">
        <f t="shared" si="151"/>
        <v>0</v>
      </c>
      <c r="T806" s="60">
        <v>0</v>
      </c>
      <c r="U806" s="64">
        <f t="shared" si="152"/>
        <v>0</v>
      </c>
      <c r="V806" s="65">
        <v>0</v>
      </c>
      <c r="W806" s="66">
        <f t="shared" si="153"/>
        <v>0</v>
      </c>
      <c r="X806" s="67">
        <f t="shared" si="154"/>
        <v>0</v>
      </c>
      <c r="Y806" s="57" t="str">
        <f t="shared" si="155"/>
        <v>NIL PLEASE PURCHASE</v>
      </c>
      <c r="Z806" s="68" t="s">
        <v>1539</v>
      </c>
    </row>
    <row r="807" spans="1:26" s="8" customFormat="1" ht="20.100000000000001" customHeight="1" x14ac:dyDescent="0.25">
      <c r="A807" s="69" t="s">
        <v>1773</v>
      </c>
      <c r="B807" s="88">
        <v>1224</v>
      </c>
      <c r="C807" s="90" t="s">
        <v>1389</v>
      </c>
      <c r="D807" s="60">
        <v>0</v>
      </c>
      <c r="E807" s="61">
        <f t="shared" si="144"/>
        <v>0</v>
      </c>
      <c r="F807" s="60">
        <v>0</v>
      </c>
      <c r="G807" s="61">
        <f t="shared" si="145"/>
        <v>0</v>
      </c>
      <c r="H807" s="60">
        <v>0</v>
      </c>
      <c r="I807" s="61">
        <f t="shared" si="146"/>
        <v>0</v>
      </c>
      <c r="J807" s="60">
        <v>0</v>
      </c>
      <c r="K807" s="61">
        <f t="shared" si="147"/>
        <v>0</v>
      </c>
      <c r="L807" s="62">
        <v>1</v>
      </c>
      <c r="M807" s="61">
        <f t="shared" si="148"/>
        <v>250</v>
      </c>
      <c r="N807" s="63">
        <v>0</v>
      </c>
      <c r="O807" s="61">
        <f t="shared" si="149"/>
        <v>0</v>
      </c>
      <c r="P807" s="60">
        <v>0</v>
      </c>
      <c r="Q807" s="61">
        <f t="shared" si="150"/>
        <v>0</v>
      </c>
      <c r="R807" s="60">
        <v>0</v>
      </c>
      <c r="S807" s="61">
        <f t="shared" si="151"/>
        <v>0</v>
      </c>
      <c r="T807" s="60">
        <v>0</v>
      </c>
      <c r="U807" s="64">
        <f t="shared" si="152"/>
        <v>0</v>
      </c>
      <c r="V807" s="65">
        <v>0</v>
      </c>
      <c r="W807" s="66">
        <f t="shared" si="153"/>
        <v>250</v>
      </c>
      <c r="X807" s="67">
        <f t="shared" si="154"/>
        <v>0.25</v>
      </c>
      <c r="Y807" s="57" t="str">
        <f t="shared" si="155"/>
        <v>STOCK</v>
      </c>
      <c r="Z807" s="68" t="s">
        <v>1539</v>
      </c>
    </row>
    <row r="808" spans="1:26" s="8" customFormat="1" ht="20.100000000000001" customHeight="1" x14ac:dyDescent="0.25">
      <c r="A808" s="69" t="s">
        <v>1774</v>
      </c>
      <c r="B808" s="88">
        <v>1225</v>
      </c>
      <c r="C808" s="90" t="s">
        <v>1390</v>
      </c>
      <c r="D808" s="60">
        <v>0</v>
      </c>
      <c r="E808" s="61">
        <f t="shared" si="144"/>
        <v>0</v>
      </c>
      <c r="F808" s="60">
        <v>0</v>
      </c>
      <c r="G808" s="61">
        <f t="shared" si="145"/>
        <v>0</v>
      </c>
      <c r="H808" s="60">
        <v>0</v>
      </c>
      <c r="I808" s="61">
        <f t="shared" si="146"/>
        <v>0</v>
      </c>
      <c r="J808" s="60">
        <v>0</v>
      </c>
      <c r="K808" s="61">
        <f t="shared" si="147"/>
        <v>0</v>
      </c>
      <c r="L808" s="62"/>
      <c r="M808" s="61">
        <f t="shared" si="148"/>
        <v>0</v>
      </c>
      <c r="N808" s="63">
        <v>0</v>
      </c>
      <c r="O808" s="61">
        <f t="shared" si="149"/>
        <v>0</v>
      </c>
      <c r="P808" s="60">
        <v>0</v>
      </c>
      <c r="Q808" s="61">
        <f t="shared" si="150"/>
        <v>0</v>
      </c>
      <c r="R808" s="60">
        <v>0</v>
      </c>
      <c r="S808" s="61">
        <f t="shared" si="151"/>
        <v>0</v>
      </c>
      <c r="T808" s="60">
        <v>0</v>
      </c>
      <c r="U808" s="64">
        <f t="shared" si="152"/>
        <v>0</v>
      </c>
      <c r="V808" s="65">
        <v>0</v>
      </c>
      <c r="W808" s="66">
        <f t="shared" si="153"/>
        <v>0</v>
      </c>
      <c r="X808" s="67">
        <f t="shared" si="154"/>
        <v>0</v>
      </c>
      <c r="Y808" s="57" t="str">
        <f t="shared" si="155"/>
        <v>NIL PLEASE PURCHASE</v>
      </c>
      <c r="Z808" s="68" t="s">
        <v>1539</v>
      </c>
    </row>
    <row r="809" spans="1:26" s="8" customFormat="1" ht="20.100000000000001" customHeight="1" x14ac:dyDescent="0.25">
      <c r="A809" s="69" t="s">
        <v>1775</v>
      </c>
      <c r="B809" s="88">
        <v>1226</v>
      </c>
      <c r="C809" s="90" t="s">
        <v>1391</v>
      </c>
      <c r="D809" s="60">
        <v>0</v>
      </c>
      <c r="E809" s="61">
        <f t="shared" si="144"/>
        <v>0</v>
      </c>
      <c r="F809" s="60">
        <v>0</v>
      </c>
      <c r="G809" s="61">
        <f t="shared" si="145"/>
        <v>0</v>
      </c>
      <c r="H809" s="60">
        <v>0</v>
      </c>
      <c r="I809" s="61">
        <f t="shared" si="146"/>
        <v>0</v>
      </c>
      <c r="J809" s="60">
        <v>0</v>
      </c>
      <c r="K809" s="61">
        <f t="shared" si="147"/>
        <v>0</v>
      </c>
      <c r="L809" s="62">
        <v>1</v>
      </c>
      <c r="M809" s="61">
        <f t="shared" si="148"/>
        <v>250</v>
      </c>
      <c r="N809" s="63">
        <v>1</v>
      </c>
      <c r="O809" s="61">
        <f t="shared" si="149"/>
        <v>500</v>
      </c>
      <c r="P809" s="60">
        <v>0</v>
      </c>
      <c r="Q809" s="61">
        <f t="shared" si="150"/>
        <v>0</v>
      </c>
      <c r="R809" s="60">
        <v>0</v>
      </c>
      <c r="S809" s="61">
        <f t="shared" si="151"/>
        <v>0</v>
      </c>
      <c r="T809" s="60">
        <v>0</v>
      </c>
      <c r="U809" s="64">
        <f t="shared" si="152"/>
        <v>0</v>
      </c>
      <c r="V809" s="65">
        <v>0</v>
      </c>
      <c r="W809" s="66">
        <f t="shared" si="153"/>
        <v>750</v>
      </c>
      <c r="X809" s="67">
        <f t="shared" si="154"/>
        <v>0.75</v>
      </c>
      <c r="Y809" s="57" t="str">
        <f t="shared" si="155"/>
        <v>STOCK</v>
      </c>
      <c r="Z809" s="68" t="s">
        <v>1538</v>
      </c>
    </row>
    <row r="810" spans="1:26" s="8" customFormat="1" ht="20.100000000000001" customHeight="1" x14ac:dyDescent="0.25">
      <c r="A810" s="69" t="s">
        <v>1776</v>
      </c>
      <c r="B810" s="88">
        <v>1227</v>
      </c>
      <c r="C810" s="90" t="s">
        <v>1392</v>
      </c>
      <c r="D810" s="60">
        <v>0</v>
      </c>
      <c r="E810" s="61">
        <f t="shared" si="144"/>
        <v>0</v>
      </c>
      <c r="F810" s="60">
        <v>0</v>
      </c>
      <c r="G810" s="61">
        <f t="shared" si="145"/>
        <v>0</v>
      </c>
      <c r="H810" s="60">
        <v>0</v>
      </c>
      <c r="I810" s="61">
        <f t="shared" si="146"/>
        <v>0</v>
      </c>
      <c r="J810" s="60">
        <v>0</v>
      </c>
      <c r="K810" s="61">
        <f t="shared" si="147"/>
        <v>0</v>
      </c>
      <c r="L810" s="62"/>
      <c r="M810" s="61">
        <f t="shared" si="148"/>
        <v>0</v>
      </c>
      <c r="N810" s="63">
        <v>0</v>
      </c>
      <c r="O810" s="61">
        <f t="shared" si="149"/>
        <v>0</v>
      </c>
      <c r="P810" s="60">
        <v>0</v>
      </c>
      <c r="Q810" s="61">
        <f t="shared" si="150"/>
        <v>0</v>
      </c>
      <c r="R810" s="60">
        <v>0</v>
      </c>
      <c r="S810" s="61">
        <f t="shared" si="151"/>
        <v>0</v>
      </c>
      <c r="T810" s="60">
        <v>0</v>
      </c>
      <c r="U810" s="64">
        <f t="shared" si="152"/>
        <v>0</v>
      </c>
      <c r="V810" s="65">
        <v>0</v>
      </c>
      <c r="W810" s="66">
        <f t="shared" si="153"/>
        <v>0</v>
      </c>
      <c r="X810" s="67">
        <f t="shared" si="154"/>
        <v>0</v>
      </c>
      <c r="Y810" s="57" t="str">
        <f t="shared" si="155"/>
        <v>NIL PLEASE PURCHASE</v>
      </c>
      <c r="Z810" s="68" t="s">
        <v>1539</v>
      </c>
    </row>
    <row r="811" spans="1:26" s="8" customFormat="1" ht="20.100000000000001" customHeight="1" x14ac:dyDescent="0.25">
      <c r="A811" s="69" t="s">
        <v>1777</v>
      </c>
      <c r="B811" s="88">
        <v>1228</v>
      </c>
      <c r="C811" s="90" t="s">
        <v>1393</v>
      </c>
      <c r="D811" s="60">
        <v>0</v>
      </c>
      <c r="E811" s="61">
        <f t="shared" si="144"/>
        <v>0</v>
      </c>
      <c r="F811" s="60">
        <v>0</v>
      </c>
      <c r="G811" s="61">
        <f t="shared" si="145"/>
        <v>0</v>
      </c>
      <c r="H811" s="60">
        <v>0</v>
      </c>
      <c r="I811" s="61">
        <f t="shared" si="146"/>
        <v>0</v>
      </c>
      <c r="J811" s="60">
        <v>0</v>
      </c>
      <c r="K811" s="61">
        <f t="shared" si="147"/>
        <v>0</v>
      </c>
      <c r="L811" s="62"/>
      <c r="M811" s="61">
        <f t="shared" si="148"/>
        <v>0</v>
      </c>
      <c r="N811" s="63">
        <v>5</v>
      </c>
      <c r="O811" s="61">
        <f t="shared" si="149"/>
        <v>2500</v>
      </c>
      <c r="P811" s="60">
        <v>0</v>
      </c>
      <c r="Q811" s="61">
        <f t="shared" si="150"/>
        <v>0</v>
      </c>
      <c r="R811" s="60">
        <v>0</v>
      </c>
      <c r="S811" s="61">
        <f t="shared" si="151"/>
        <v>0</v>
      </c>
      <c r="T811" s="60">
        <v>0</v>
      </c>
      <c r="U811" s="64">
        <f t="shared" si="152"/>
        <v>0</v>
      </c>
      <c r="V811" s="65">
        <v>0</v>
      </c>
      <c r="W811" s="66">
        <f t="shared" si="153"/>
        <v>2500</v>
      </c>
      <c r="X811" s="67">
        <f t="shared" si="154"/>
        <v>2.5</v>
      </c>
      <c r="Y811" s="57" t="str">
        <f t="shared" si="155"/>
        <v>STOCK</v>
      </c>
      <c r="Z811" s="68" t="s">
        <v>1538</v>
      </c>
    </row>
    <row r="812" spans="1:26" s="8" customFormat="1" ht="20.100000000000001" customHeight="1" x14ac:dyDescent="0.25">
      <c r="A812" s="69" t="s">
        <v>1778</v>
      </c>
      <c r="B812" s="88">
        <v>1229</v>
      </c>
      <c r="C812" s="90" t="s">
        <v>1394</v>
      </c>
      <c r="D812" s="60">
        <v>0</v>
      </c>
      <c r="E812" s="61">
        <f t="shared" si="144"/>
        <v>0</v>
      </c>
      <c r="F812" s="60">
        <v>0</v>
      </c>
      <c r="G812" s="61">
        <f t="shared" si="145"/>
        <v>0</v>
      </c>
      <c r="H812" s="60">
        <v>0</v>
      </c>
      <c r="I812" s="61">
        <f t="shared" si="146"/>
        <v>0</v>
      </c>
      <c r="J812" s="60">
        <v>0</v>
      </c>
      <c r="K812" s="61">
        <f t="shared" si="147"/>
        <v>0</v>
      </c>
      <c r="L812" s="62">
        <v>0</v>
      </c>
      <c r="M812" s="61">
        <f t="shared" si="148"/>
        <v>0</v>
      </c>
      <c r="N812" s="63">
        <v>0</v>
      </c>
      <c r="O812" s="61">
        <f t="shared" si="149"/>
        <v>0</v>
      </c>
      <c r="P812" s="60">
        <v>0</v>
      </c>
      <c r="Q812" s="61">
        <f t="shared" si="150"/>
        <v>0</v>
      </c>
      <c r="R812" s="60">
        <v>0</v>
      </c>
      <c r="S812" s="61">
        <f t="shared" si="151"/>
        <v>0</v>
      </c>
      <c r="T812" s="60">
        <v>0</v>
      </c>
      <c r="U812" s="64">
        <f t="shared" si="152"/>
        <v>0</v>
      </c>
      <c r="V812" s="65">
        <v>0</v>
      </c>
      <c r="W812" s="66">
        <f t="shared" si="153"/>
        <v>0</v>
      </c>
      <c r="X812" s="67">
        <f t="shared" si="154"/>
        <v>0</v>
      </c>
      <c r="Y812" s="57" t="str">
        <f t="shared" si="155"/>
        <v>NIL PLEASE PURCHASE</v>
      </c>
      <c r="Z812" s="68" t="s">
        <v>1539</v>
      </c>
    </row>
    <row r="813" spans="1:26" s="8" customFormat="1" ht="20.100000000000001" customHeight="1" x14ac:dyDescent="0.25">
      <c r="A813" s="69" t="s">
        <v>1779</v>
      </c>
      <c r="B813" s="88">
        <v>1230</v>
      </c>
      <c r="C813" s="90" t="s">
        <v>1395</v>
      </c>
      <c r="D813" s="60">
        <v>0</v>
      </c>
      <c r="E813" s="61">
        <f t="shared" si="144"/>
        <v>0</v>
      </c>
      <c r="F813" s="60">
        <v>0</v>
      </c>
      <c r="G813" s="61">
        <f t="shared" si="145"/>
        <v>0</v>
      </c>
      <c r="H813" s="60">
        <v>0</v>
      </c>
      <c r="I813" s="61">
        <f t="shared" si="146"/>
        <v>0</v>
      </c>
      <c r="J813" s="60">
        <v>10</v>
      </c>
      <c r="K813" s="61">
        <f t="shared" si="147"/>
        <v>1000</v>
      </c>
      <c r="L813" s="62"/>
      <c r="M813" s="61">
        <f t="shared" si="148"/>
        <v>0</v>
      </c>
      <c r="N813" s="63">
        <v>0</v>
      </c>
      <c r="O813" s="61">
        <f t="shared" si="149"/>
        <v>0</v>
      </c>
      <c r="P813" s="60">
        <v>0</v>
      </c>
      <c r="Q813" s="61">
        <f t="shared" si="150"/>
        <v>0</v>
      </c>
      <c r="R813" s="60">
        <v>0</v>
      </c>
      <c r="S813" s="61">
        <f t="shared" si="151"/>
        <v>0</v>
      </c>
      <c r="T813" s="60">
        <v>0</v>
      </c>
      <c r="U813" s="64">
        <f t="shared" si="152"/>
        <v>0</v>
      </c>
      <c r="V813" s="65">
        <v>0</v>
      </c>
      <c r="W813" s="66">
        <f t="shared" si="153"/>
        <v>1000</v>
      </c>
      <c r="X813" s="67">
        <f t="shared" si="154"/>
        <v>1</v>
      </c>
      <c r="Y813" s="57" t="str">
        <f t="shared" si="155"/>
        <v>STOCK</v>
      </c>
      <c r="Z813" s="68" t="s">
        <v>1538</v>
      </c>
    </row>
    <row r="814" spans="1:26" s="8" customFormat="1" ht="20.100000000000001" customHeight="1" x14ac:dyDescent="0.25">
      <c r="A814" s="69" t="s">
        <v>1780</v>
      </c>
      <c r="B814" s="88">
        <v>1231</v>
      </c>
      <c r="C814" s="90" t="s">
        <v>1396</v>
      </c>
      <c r="D814" s="60">
        <v>0</v>
      </c>
      <c r="E814" s="61">
        <f t="shared" si="144"/>
        <v>0</v>
      </c>
      <c r="F814" s="60">
        <v>0</v>
      </c>
      <c r="G814" s="61">
        <f t="shared" si="145"/>
        <v>0</v>
      </c>
      <c r="H814" s="60">
        <v>0</v>
      </c>
      <c r="I814" s="61">
        <f t="shared" si="146"/>
        <v>0</v>
      </c>
      <c r="J814" s="60">
        <v>2</v>
      </c>
      <c r="K814" s="61">
        <f t="shared" si="147"/>
        <v>200</v>
      </c>
      <c r="L814" s="62">
        <v>3</v>
      </c>
      <c r="M814" s="61">
        <f t="shared" si="148"/>
        <v>750</v>
      </c>
      <c r="N814" s="63">
        <v>2</v>
      </c>
      <c r="O814" s="61">
        <f t="shared" si="149"/>
        <v>1000</v>
      </c>
      <c r="P814" s="60">
        <v>0</v>
      </c>
      <c r="Q814" s="61">
        <f t="shared" si="150"/>
        <v>0</v>
      </c>
      <c r="R814" s="60">
        <v>0</v>
      </c>
      <c r="S814" s="61">
        <f t="shared" si="151"/>
        <v>0</v>
      </c>
      <c r="T814" s="60">
        <v>0</v>
      </c>
      <c r="U814" s="64">
        <f t="shared" si="152"/>
        <v>0</v>
      </c>
      <c r="V814" s="65">
        <v>0</v>
      </c>
      <c r="W814" s="66">
        <f t="shared" si="153"/>
        <v>1950</v>
      </c>
      <c r="X814" s="67">
        <f t="shared" si="154"/>
        <v>1.95</v>
      </c>
      <c r="Y814" s="57" t="str">
        <f t="shared" si="155"/>
        <v>STOCK</v>
      </c>
      <c r="Z814" s="68" t="s">
        <v>1538</v>
      </c>
    </row>
    <row r="815" spans="1:26" s="8" customFormat="1" ht="20.100000000000001" customHeight="1" x14ac:dyDescent="0.25">
      <c r="A815" s="69" t="s">
        <v>1781</v>
      </c>
      <c r="B815" s="88">
        <v>1232</v>
      </c>
      <c r="C815" s="90" t="s">
        <v>1397</v>
      </c>
      <c r="D815" s="60">
        <v>0</v>
      </c>
      <c r="E815" s="61">
        <f t="shared" si="144"/>
        <v>0</v>
      </c>
      <c r="F815" s="60">
        <v>0</v>
      </c>
      <c r="G815" s="61">
        <f t="shared" si="145"/>
        <v>0</v>
      </c>
      <c r="H815" s="60">
        <v>0</v>
      </c>
      <c r="I815" s="61">
        <f t="shared" si="146"/>
        <v>0</v>
      </c>
      <c r="J815" s="60">
        <v>0</v>
      </c>
      <c r="K815" s="61">
        <f t="shared" si="147"/>
        <v>0</v>
      </c>
      <c r="L815" s="62"/>
      <c r="M815" s="61">
        <f t="shared" si="148"/>
        <v>0</v>
      </c>
      <c r="N815" s="63">
        <v>0</v>
      </c>
      <c r="O815" s="61">
        <f t="shared" si="149"/>
        <v>0</v>
      </c>
      <c r="P815" s="60">
        <v>0</v>
      </c>
      <c r="Q815" s="61">
        <f t="shared" si="150"/>
        <v>0</v>
      </c>
      <c r="R815" s="60">
        <v>0</v>
      </c>
      <c r="S815" s="61">
        <f t="shared" si="151"/>
        <v>0</v>
      </c>
      <c r="T815" s="60">
        <v>0</v>
      </c>
      <c r="U815" s="64">
        <f t="shared" si="152"/>
        <v>0</v>
      </c>
      <c r="V815" s="65">
        <v>0</v>
      </c>
      <c r="W815" s="66">
        <f t="shared" si="153"/>
        <v>0</v>
      </c>
      <c r="X815" s="67">
        <f t="shared" si="154"/>
        <v>0</v>
      </c>
      <c r="Y815" s="57" t="str">
        <f t="shared" si="155"/>
        <v>NIL PLEASE PURCHASE</v>
      </c>
      <c r="Z815" s="68" t="s">
        <v>1539</v>
      </c>
    </row>
    <row r="816" spans="1:26" s="8" customFormat="1" ht="20.100000000000001" customHeight="1" x14ac:dyDescent="0.25">
      <c r="A816" s="69" t="s">
        <v>1782</v>
      </c>
      <c r="B816" s="88">
        <v>1233</v>
      </c>
      <c r="C816" s="90" t="s">
        <v>1398</v>
      </c>
      <c r="D816" s="60">
        <v>0</v>
      </c>
      <c r="E816" s="61">
        <f t="shared" si="144"/>
        <v>0</v>
      </c>
      <c r="F816" s="60">
        <v>0</v>
      </c>
      <c r="G816" s="61">
        <f t="shared" si="145"/>
        <v>0</v>
      </c>
      <c r="H816" s="60">
        <v>0</v>
      </c>
      <c r="I816" s="61">
        <f t="shared" si="146"/>
        <v>0</v>
      </c>
      <c r="J816" s="60">
        <v>0</v>
      </c>
      <c r="K816" s="61">
        <f t="shared" si="147"/>
        <v>0</v>
      </c>
      <c r="L816" s="62"/>
      <c r="M816" s="61">
        <f t="shared" si="148"/>
        <v>0</v>
      </c>
      <c r="N816" s="63">
        <v>0</v>
      </c>
      <c r="O816" s="61">
        <f t="shared" si="149"/>
        <v>0</v>
      </c>
      <c r="P816" s="60">
        <v>0</v>
      </c>
      <c r="Q816" s="61">
        <f t="shared" si="150"/>
        <v>0</v>
      </c>
      <c r="R816" s="60">
        <v>0</v>
      </c>
      <c r="S816" s="61">
        <f t="shared" si="151"/>
        <v>0</v>
      </c>
      <c r="T816" s="60">
        <v>0</v>
      </c>
      <c r="U816" s="64">
        <f t="shared" si="152"/>
        <v>0</v>
      </c>
      <c r="V816" s="65">
        <v>0</v>
      </c>
      <c r="W816" s="66">
        <f t="shared" si="153"/>
        <v>0</v>
      </c>
      <c r="X816" s="67">
        <f t="shared" si="154"/>
        <v>0</v>
      </c>
      <c r="Y816" s="57" t="str">
        <f t="shared" si="155"/>
        <v>NIL PLEASE PURCHASE</v>
      </c>
      <c r="Z816" s="68" t="s">
        <v>1539</v>
      </c>
    </row>
    <row r="817" spans="1:26" s="8" customFormat="1" ht="20.100000000000001" customHeight="1" x14ac:dyDescent="0.25">
      <c r="A817" s="69" t="s">
        <v>1783</v>
      </c>
      <c r="B817" s="88">
        <v>1234</v>
      </c>
      <c r="C817" s="90" t="s">
        <v>1399</v>
      </c>
      <c r="D817" s="60">
        <v>0</v>
      </c>
      <c r="E817" s="61">
        <f t="shared" si="144"/>
        <v>0</v>
      </c>
      <c r="F817" s="60">
        <v>0</v>
      </c>
      <c r="G817" s="61">
        <f t="shared" si="145"/>
        <v>0</v>
      </c>
      <c r="H817" s="60">
        <v>0</v>
      </c>
      <c r="I817" s="61">
        <f t="shared" si="146"/>
        <v>0</v>
      </c>
      <c r="J817" s="60">
        <v>0</v>
      </c>
      <c r="K817" s="61">
        <f t="shared" si="147"/>
        <v>0</v>
      </c>
      <c r="L817" s="62"/>
      <c r="M817" s="61">
        <f t="shared" si="148"/>
        <v>0</v>
      </c>
      <c r="N817" s="63">
        <v>0</v>
      </c>
      <c r="O817" s="61">
        <f t="shared" si="149"/>
        <v>0</v>
      </c>
      <c r="P817" s="60">
        <v>0</v>
      </c>
      <c r="Q817" s="61">
        <f t="shared" si="150"/>
        <v>0</v>
      </c>
      <c r="R817" s="60">
        <v>0</v>
      </c>
      <c r="S817" s="61">
        <f t="shared" si="151"/>
        <v>0</v>
      </c>
      <c r="T817" s="60">
        <v>0</v>
      </c>
      <c r="U817" s="64">
        <f t="shared" si="152"/>
        <v>0</v>
      </c>
      <c r="V817" s="65">
        <v>0</v>
      </c>
      <c r="W817" s="66">
        <f t="shared" si="153"/>
        <v>0</v>
      </c>
      <c r="X817" s="67">
        <f t="shared" si="154"/>
        <v>0</v>
      </c>
      <c r="Y817" s="57" t="str">
        <f t="shared" si="155"/>
        <v>NIL PLEASE PURCHASE</v>
      </c>
      <c r="Z817" s="68" t="s">
        <v>1539</v>
      </c>
    </row>
    <row r="818" spans="1:26" s="8" customFormat="1" ht="20.100000000000001" customHeight="1" x14ac:dyDescent="0.25">
      <c r="A818" s="69" t="s">
        <v>1784</v>
      </c>
      <c r="B818" s="88">
        <v>1235</v>
      </c>
      <c r="C818" s="90" t="s">
        <v>1400</v>
      </c>
      <c r="D818" s="60">
        <v>0</v>
      </c>
      <c r="E818" s="61">
        <f t="shared" si="144"/>
        <v>0</v>
      </c>
      <c r="F818" s="60">
        <v>0</v>
      </c>
      <c r="G818" s="61">
        <f t="shared" si="145"/>
        <v>0</v>
      </c>
      <c r="H818" s="60">
        <v>0</v>
      </c>
      <c r="I818" s="61">
        <f t="shared" si="146"/>
        <v>0</v>
      </c>
      <c r="J818" s="60">
        <v>0</v>
      </c>
      <c r="K818" s="61">
        <f t="shared" si="147"/>
        <v>0</v>
      </c>
      <c r="L818" s="62"/>
      <c r="M818" s="61">
        <f t="shared" si="148"/>
        <v>0</v>
      </c>
      <c r="N818" s="63">
        <v>0</v>
      </c>
      <c r="O818" s="61">
        <f t="shared" si="149"/>
        <v>0</v>
      </c>
      <c r="P818" s="60">
        <v>0</v>
      </c>
      <c r="Q818" s="61">
        <f t="shared" si="150"/>
        <v>0</v>
      </c>
      <c r="R818" s="60">
        <v>0</v>
      </c>
      <c r="S818" s="61">
        <f t="shared" si="151"/>
        <v>0</v>
      </c>
      <c r="T818" s="60">
        <v>0</v>
      </c>
      <c r="U818" s="64">
        <f t="shared" si="152"/>
        <v>0</v>
      </c>
      <c r="V818" s="65">
        <v>0</v>
      </c>
      <c r="W818" s="66">
        <f t="shared" si="153"/>
        <v>0</v>
      </c>
      <c r="X818" s="67">
        <f t="shared" si="154"/>
        <v>0</v>
      </c>
      <c r="Y818" s="57" t="str">
        <f t="shared" si="155"/>
        <v>NIL PLEASE PURCHASE</v>
      </c>
      <c r="Z818" s="68" t="s">
        <v>1539</v>
      </c>
    </row>
    <row r="819" spans="1:26" s="8" customFormat="1" ht="20.100000000000001" customHeight="1" x14ac:dyDescent="0.25">
      <c r="A819" s="69" t="s">
        <v>1785</v>
      </c>
      <c r="B819" s="88">
        <v>1236</v>
      </c>
      <c r="C819" s="90" t="s">
        <v>1401</v>
      </c>
      <c r="D819" s="60">
        <v>0</v>
      </c>
      <c r="E819" s="61">
        <f t="shared" si="144"/>
        <v>0</v>
      </c>
      <c r="F819" s="60">
        <v>0</v>
      </c>
      <c r="G819" s="61">
        <f t="shared" si="145"/>
        <v>0</v>
      </c>
      <c r="H819" s="60">
        <v>0</v>
      </c>
      <c r="I819" s="61">
        <f t="shared" si="146"/>
        <v>0</v>
      </c>
      <c r="J819" s="60">
        <v>0</v>
      </c>
      <c r="K819" s="61">
        <f t="shared" si="147"/>
        <v>0</v>
      </c>
      <c r="L819" s="62"/>
      <c r="M819" s="61">
        <f t="shared" si="148"/>
        <v>0</v>
      </c>
      <c r="N819" s="63">
        <v>0</v>
      </c>
      <c r="O819" s="61">
        <f t="shared" si="149"/>
        <v>0</v>
      </c>
      <c r="P819" s="60">
        <v>0</v>
      </c>
      <c r="Q819" s="61">
        <f t="shared" si="150"/>
        <v>0</v>
      </c>
      <c r="R819" s="60">
        <v>0</v>
      </c>
      <c r="S819" s="61">
        <f t="shared" si="151"/>
        <v>0</v>
      </c>
      <c r="T819" s="60">
        <v>0</v>
      </c>
      <c r="U819" s="64">
        <f t="shared" si="152"/>
        <v>0</v>
      </c>
      <c r="V819" s="65">
        <v>0</v>
      </c>
      <c r="W819" s="66">
        <f t="shared" si="153"/>
        <v>0</v>
      </c>
      <c r="X819" s="67">
        <f t="shared" si="154"/>
        <v>0</v>
      </c>
      <c r="Y819" s="57" t="str">
        <f t="shared" si="155"/>
        <v>NIL PLEASE PURCHASE</v>
      </c>
      <c r="Z819" s="68" t="s">
        <v>1539</v>
      </c>
    </row>
    <row r="820" spans="1:26" s="8" customFormat="1" ht="20.100000000000001" customHeight="1" x14ac:dyDescent="0.25">
      <c r="A820" s="69" t="s">
        <v>1786</v>
      </c>
      <c r="B820" s="88">
        <v>1237</v>
      </c>
      <c r="C820" s="90" t="s">
        <v>1402</v>
      </c>
      <c r="D820" s="60">
        <v>0</v>
      </c>
      <c r="E820" s="61">
        <f t="shared" si="144"/>
        <v>0</v>
      </c>
      <c r="F820" s="60">
        <v>0</v>
      </c>
      <c r="G820" s="61">
        <f t="shared" si="145"/>
        <v>0</v>
      </c>
      <c r="H820" s="60">
        <v>0</v>
      </c>
      <c r="I820" s="61">
        <f t="shared" si="146"/>
        <v>0</v>
      </c>
      <c r="J820" s="60">
        <v>1</v>
      </c>
      <c r="K820" s="61">
        <f t="shared" si="147"/>
        <v>100</v>
      </c>
      <c r="L820" s="62"/>
      <c r="M820" s="61">
        <f t="shared" si="148"/>
        <v>0</v>
      </c>
      <c r="N820" s="63">
        <v>0</v>
      </c>
      <c r="O820" s="61">
        <f t="shared" si="149"/>
        <v>0</v>
      </c>
      <c r="P820" s="60">
        <v>0</v>
      </c>
      <c r="Q820" s="61">
        <f t="shared" si="150"/>
        <v>0</v>
      </c>
      <c r="R820" s="60">
        <v>0</v>
      </c>
      <c r="S820" s="61">
        <f t="shared" si="151"/>
        <v>0</v>
      </c>
      <c r="T820" s="60">
        <v>0</v>
      </c>
      <c r="U820" s="64">
        <f t="shared" si="152"/>
        <v>0</v>
      </c>
      <c r="V820" s="65">
        <v>0</v>
      </c>
      <c r="W820" s="66">
        <f t="shared" si="153"/>
        <v>100</v>
      </c>
      <c r="X820" s="67">
        <f t="shared" si="154"/>
        <v>0.1</v>
      </c>
      <c r="Y820" s="57" t="str">
        <f t="shared" si="155"/>
        <v>STOCK</v>
      </c>
      <c r="Z820" s="68" t="s">
        <v>1539</v>
      </c>
    </row>
    <row r="821" spans="1:26" s="8" customFormat="1" ht="20.100000000000001" customHeight="1" x14ac:dyDescent="0.25">
      <c r="A821" s="69" t="s">
        <v>1787</v>
      </c>
      <c r="B821" s="88">
        <v>1238</v>
      </c>
      <c r="C821" s="90" t="s">
        <v>1403</v>
      </c>
      <c r="D821" s="60">
        <v>0</v>
      </c>
      <c r="E821" s="61">
        <f t="shared" si="144"/>
        <v>0</v>
      </c>
      <c r="F821" s="60">
        <v>0</v>
      </c>
      <c r="G821" s="61">
        <f t="shared" si="145"/>
        <v>0</v>
      </c>
      <c r="H821" s="60">
        <v>0</v>
      </c>
      <c r="I821" s="61">
        <f t="shared" si="146"/>
        <v>0</v>
      </c>
      <c r="J821" s="60">
        <v>0</v>
      </c>
      <c r="K821" s="61">
        <f t="shared" si="147"/>
        <v>0</v>
      </c>
      <c r="L821" s="62">
        <v>2</v>
      </c>
      <c r="M821" s="61">
        <f t="shared" si="148"/>
        <v>500</v>
      </c>
      <c r="N821" s="63">
        <v>0</v>
      </c>
      <c r="O821" s="61">
        <f t="shared" si="149"/>
        <v>0</v>
      </c>
      <c r="P821" s="60">
        <v>0</v>
      </c>
      <c r="Q821" s="61">
        <f t="shared" si="150"/>
        <v>0</v>
      </c>
      <c r="R821" s="60">
        <v>0</v>
      </c>
      <c r="S821" s="61">
        <f t="shared" si="151"/>
        <v>0</v>
      </c>
      <c r="T821" s="60">
        <v>0</v>
      </c>
      <c r="U821" s="64">
        <f t="shared" si="152"/>
        <v>0</v>
      </c>
      <c r="V821" s="65">
        <v>0</v>
      </c>
      <c r="W821" s="66">
        <f t="shared" si="153"/>
        <v>500</v>
      </c>
      <c r="X821" s="67">
        <f t="shared" si="154"/>
        <v>0.5</v>
      </c>
      <c r="Y821" s="57" t="str">
        <f t="shared" si="155"/>
        <v>STOCK</v>
      </c>
      <c r="Z821" s="68" t="s">
        <v>1538</v>
      </c>
    </row>
    <row r="822" spans="1:26" s="8" customFormat="1" ht="20.100000000000001" customHeight="1" x14ac:dyDescent="0.25">
      <c r="A822" s="69" t="s">
        <v>1788</v>
      </c>
      <c r="B822" s="88">
        <v>1239</v>
      </c>
      <c r="C822" s="90" t="s">
        <v>1404</v>
      </c>
      <c r="D822" s="60">
        <v>0</v>
      </c>
      <c r="E822" s="61">
        <f t="shared" si="144"/>
        <v>0</v>
      </c>
      <c r="F822" s="60">
        <v>0</v>
      </c>
      <c r="G822" s="61">
        <f t="shared" si="145"/>
        <v>0</v>
      </c>
      <c r="H822" s="60">
        <v>0</v>
      </c>
      <c r="I822" s="61">
        <f t="shared" si="146"/>
        <v>0</v>
      </c>
      <c r="J822" s="60">
        <v>0</v>
      </c>
      <c r="K822" s="61">
        <f t="shared" si="147"/>
        <v>0</v>
      </c>
      <c r="L822" s="62">
        <v>1</v>
      </c>
      <c r="M822" s="61">
        <f t="shared" si="148"/>
        <v>250</v>
      </c>
      <c r="N822" s="63">
        <v>0</v>
      </c>
      <c r="O822" s="61">
        <f t="shared" si="149"/>
        <v>0</v>
      </c>
      <c r="P822" s="60">
        <v>0</v>
      </c>
      <c r="Q822" s="61">
        <f t="shared" si="150"/>
        <v>0</v>
      </c>
      <c r="R822" s="60">
        <v>0</v>
      </c>
      <c r="S822" s="61">
        <f t="shared" si="151"/>
        <v>0</v>
      </c>
      <c r="T822" s="60">
        <v>0</v>
      </c>
      <c r="U822" s="64">
        <f t="shared" si="152"/>
        <v>0</v>
      </c>
      <c r="V822" s="65">
        <v>0</v>
      </c>
      <c r="W822" s="66">
        <f t="shared" si="153"/>
        <v>250</v>
      </c>
      <c r="X822" s="67">
        <f t="shared" si="154"/>
        <v>0.25</v>
      </c>
      <c r="Y822" s="57" t="str">
        <f t="shared" si="155"/>
        <v>STOCK</v>
      </c>
      <c r="Z822" s="68" t="s">
        <v>1538</v>
      </c>
    </row>
    <row r="823" spans="1:26" s="8" customFormat="1" ht="20.100000000000001" customHeight="1" x14ac:dyDescent="0.25">
      <c r="A823" s="69" t="s">
        <v>1789</v>
      </c>
      <c r="B823" s="88">
        <v>1240</v>
      </c>
      <c r="C823" s="90" t="s">
        <v>1405</v>
      </c>
      <c r="D823" s="60">
        <v>0</v>
      </c>
      <c r="E823" s="61">
        <f t="shared" si="144"/>
        <v>0</v>
      </c>
      <c r="F823" s="60">
        <v>0</v>
      </c>
      <c r="G823" s="61">
        <f t="shared" si="145"/>
        <v>0</v>
      </c>
      <c r="H823" s="60">
        <v>0</v>
      </c>
      <c r="I823" s="61">
        <f t="shared" si="146"/>
        <v>0</v>
      </c>
      <c r="J823" s="60">
        <v>0</v>
      </c>
      <c r="K823" s="61">
        <f t="shared" si="147"/>
        <v>0</v>
      </c>
      <c r="L823" s="62"/>
      <c r="M823" s="61">
        <f t="shared" si="148"/>
        <v>0</v>
      </c>
      <c r="N823" s="63">
        <v>1</v>
      </c>
      <c r="O823" s="61">
        <f t="shared" si="149"/>
        <v>500</v>
      </c>
      <c r="P823" s="60">
        <v>0</v>
      </c>
      <c r="Q823" s="61">
        <f t="shared" si="150"/>
        <v>0</v>
      </c>
      <c r="R823" s="60">
        <v>0</v>
      </c>
      <c r="S823" s="61">
        <f t="shared" si="151"/>
        <v>0</v>
      </c>
      <c r="T823" s="60">
        <v>0</v>
      </c>
      <c r="U823" s="64">
        <f t="shared" si="152"/>
        <v>0</v>
      </c>
      <c r="V823" s="65">
        <v>0</v>
      </c>
      <c r="W823" s="66">
        <f t="shared" si="153"/>
        <v>500</v>
      </c>
      <c r="X823" s="67">
        <f t="shared" si="154"/>
        <v>0.5</v>
      </c>
      <c r="Y823" s="57" t="str">
        <f t="shared" si="155"/>
        <v>STOCK</v>
      </c>
      <c r="Z823" s="68" t="s">
        <v>1538</v>
      </c>
    </row>
    <row r="824" spans="1:26" s="8" customFormat="1" ht="20.100000000000001" customHeight="1" x14ac:dyDescent="0.25">
      <c r="A824" s="69" t="s">
        <v>1790</v>
      </c>
      <c r="B824" s="88">
        <v>1241</v>
      </c>
      <c r="C824" s="90" t="s">
        <v>1406</v>
      </c>
      <c r="D824" s="60">
        <v>0</v>
      </c>
      <c r="E824" s="61">
        <f t="shared" si="144"/>
        <v>0</v>
      </c>
      <c r="F824" s="60">
        <v>0</v>
      </c>
      <c r="G824" s="61">
        <f t="shared" si="145"/>
        <v>0</v>
      </c>
      <c r="H824" s="60">
        <v>0</v>
      </c>
      <c r="I824" s="61">
        <f t="shared" si="146"/>
        <v>0</v>
      </c>
      <c r="J824" s="60">
        <v>0</v>
      </c>
      <c r="K824" s="61">
        <f t="shared" si="147"/>
        <v>0</v>
      </c>
      <c r="L824" s="62"/>
      <c r="M824" s="61">
        <f t="shared" si="148"/>
        <v>0</v>
      </c>
      <c r="N824" s="63">
        <v>0</v>
      </c>
      <c r="O824" s="61">
        <f t="shared" si="149"/>
        <v>0</v>
      </c>
      <c r="P824" s="60">
        <v>0</v>
      </c>
      <c r="Q824" s="61">
        <f t="shared" si="150"/>
        <v>0</v>
      </c>
      <c r="R824" s="60">
        <v>0</v>
      </c>
      <c r="S824" s="61">
        <f t="shared" si="151"/>
        <v>0</v>
      </c>
      <c r="T824" s="60">
        <v>0</v>
      </c>
      <c r="U824" s="64">
        <f t="shared" si="152"/>
        <v>0</v>
      </c>
      <c r="V824" s="65">
        <v>0</v>
      </c>
      <c r="W824" s="66">
        <f t="shared" si="153"/>
        <v>0</v>
      </c>
      <c r="X824" s="67">
        <f t="shared" si="154"/>
        <v>0</v>
      </c>
      <c r="Y824" s="57" t="str">
        <f t="shared" si="155"/>
        <v>NIL PLEASE PURCHASE</v>
      </c>
      <c r="Z824" s="68" t="s">
        <v>1539</v>
      </c>
    </row>
    <row r="825" spans="1:26" s="8" customFormat="1" ht="20.100000000000001" customHeight="1" x14ac:dyDescent="0.25">
      <c r="A825" s="69" t="s">
        <v>1791</v>
      </c>
      <c r="B825" s="88">
        <v>1242</v>
      </c>
      <c r="C825" s="90" t="s">
        <v>1407</v>
      </c>
      <c r="D825" s="60">
        <v>0</v>
      </c>
      <c r="E825" s="61">
        <f t="shared" si="144"/>
        <v>0</v>
      </c>
      <c r="F825" s="60">
        <v>0</v>
      </c>
      <c r="G825" s="61">
        <f t="shared" si="145"/>
        <v>0</v>
      </c>
      <c r="H825" s="60">
        <v>0</v>
      </c>
      <c r="I825" s="61">
        <f t="shared" si="146"/>
        <v>0</v>
      </c>
      <c r="J825" s="60">
        <v>0</v>
      </c>
      <c r="K825" s="61">
        <f t="shared" si="147"/>
        <v>0</v>
      </c>
      <c r="L825" s="62"/>
      <c r="M825" s="61">
        <f t="shared" si="148"/>
        <v>0</v>
      </c>
      <c r="N825" s="63">
        <v>0</v>
      </c>
      <c r="O825" s="61">
        <f t="shared" si="149"/>
        <v>0</v>
      </c>
      <c r="P825" s="60">
        <v>0</v>
      </c>
      <c r="Q825" s="61">
        <f t="shared" si="150"/>
        <v>0</v>
      </c>
      <c r="R825" s="60">
        <v>0</v>
      </c>
      <c r="S825" s="61">
        <f t="shared" si="151"/>
        <v>0</v>
      </c>
      <c r="T825" s="60">
        <v>0</v>
      </c>
      <c r="U825" s="64">
        <f t="shared" si="152"/>
        <v>0</v>
      </c>
      <c r="V825" s="65">
        <v>0</v>
      </c>
      <c r="W825" s="66">
        <f t="shared" si="153"/>
        <v>0</v>
      </c>
      <c r="X825" s="67">
        <f t="shared" si="154"/>
        <v>0</v>
      </c>
      <c r="Y825" s="57" t="str">
        <f t="shared" si="155"/>
        <v>NIL PLEASE PURCHASE</v>
      </c>
      <c r="Z825" s="68" t="s">
        <v>1539</v>
      </c>
    </row>
    <row r="826" spans="1:26" s="8" customFormat="1" ht="20.100000000000001" customHeight="1" x14ac:dyDescent="0.25">
      <c r="A826" s="69" t="s">
        <v>1792</v>
      </c>
      <c r="B826" s="88">
        <v>1243</v>
      </c>
      <c r="C826" s="90" t="s">
        <v>1408</v>
      </c>
      <c r="D826" s="60">
        <v>0</v>
      </c>
      <c r="E826" s="61">
        <f t="shared" si="144"/>
        <v>0</v>
      </c>
      <c r="F826" s="60">
        <v>0</v>
      </c>
      <c r="G826" s="61">
        <f t="shared" si="145"/>
        <v>0</v>
      </c>
      <c r="H826" s="60">
        <v>0</v>
      </c>
      <c r="I826" s="61">
        <f t="shared" si="146"/>
        <v>0</v>
      </c>
      <c r="J826" s="60">
        <v>0</v>
      </c>
      <c r="K826" s="61">
        <f t="shared" si="147"/>
        <v>0</v>
      </c>
      <c r="L826" s="62"/>
      <c r="M826" s="61">
        <f t="shared" si="148"/>
        <v>0</v>
      </c>
      <c r="N826" s="63">
        <v>6</v>
      </c>
      <c r="O826" s="61">
        <f t="shared" si="149"/>
        <v>3000</v>
      </c>
      <c r="P826" s="60">
        <v>0</v>
      </c>
      <c r="Q826" s="61">
        <f t="shared" si="150"/>
        <v>0</v>
      </c>
      <c r="R826" s="60">
        <v>0</v>
      </c>
      <c r="S826" s="61">
        <f t="shared" si="151"/>
        <v>0</v>
      </c>
      <c r="T826" s="60">
        <v>0</v>
      </c>
      <c r="U826" s="64">
        <f t="shared" si="152"/>
        <v>0</v>
      </c>
      <c r="V826" s="65">
        <v>0</v>
      </c>
      <c r="W826" s="66">
        <f t="shared" si="153"/>
        <v>3000</v>
      </c>
      <c r="X826" s="67">
        <f t="shared" si="154"/>
        <v>3</v>
      </c>
      <c r="Y826" s="57" t="str">
        <f t="shared" si="155"/>
        <v>STOCK</v>
      </c>
      <c r="Z826" s="68" t="s">
        <v>1538</v>
      </c>
    </row>
    <row r="827" spans="1:26" s="8" customFormat="1" ht="20.100000000000001" customHeight="1" x14ac:dyDescent="0.25">
      <c r="A827" s="69" t="s">
        <v>1793</v>
      </c>
      <c r="B827" s="88">
        <v>1244</v>
      </c>
      <c r="C827" s="90" t="s">
        <v>1409</v>
      </c>
      <c r="D827" s="60">
        <v>0</v>
      </c>
      <c r="E827" s="61">
        <f t="shared" si="144"/>
        <v>0</v>
      </c>
      <c r="F827" s="60">
        <v>0</v>
      </c>
      <c r="G827" s="61">
        <f t="shared" si="145"/>
        <v>0</v>
      </c>
      <c r="H827" s="60">
        <v>0</v>
      </c>
      <c r="I827" s="61">
        <f t="shared" si="146"/>
        <v>0</v>
      </c>
      <c r="J827" s="60">
        <v>0</v>
      </c>
      <c r="K827" s="61">
        <f t="shared" si="147"/>
        <v>0</v>
      </c>
      <c r="L827" s="62"/>
      <c r="M827" s="61">
        <f t="shared" si="148"/>
        <v>0</v>
      </c>
      <c r="N827" s="63">
        <v>0</v>
      </c>
      <c r="O827" s="61">
        <f t="shared" si="149"/>
        <v>0</v>
      </c>
      <c r="P827" s="60">
        <v>0</v>
      </c>
      <c r="Q827" s="61">
        <f t="shared" si="150"/>
        <v>0</v>
      </c>
      <c r="R827" s="60">
        <v>0</v>
      </c>
      <c r="S827" s="61">
        <f t="shared" si="151"/>
        <v>0</v>
      </c>
      <c r="T827" s="60">
        <v>0</v>
      </c>
      <c r="U827" s="64">
        <f t="shared" si="152"/>
        <v>0</v>
      </c>
      <c r="V827" s="65">
        <v>0</v>
      </c>
      <c r="W827" s="66">
        <f t="shared" si="153"/>
        <v>0</v>
      </c>
      <c r="X827" s="67">
        <f t="shared" si="154"/>
        <v>0</v>
      </c>
      <c r="Y827" s="57" t="str">
        <f t="shared" si="155"/>
        <v>NIL PLEASE PURCHASE</v>
      </c>
      <c r="Z827" s="68" t="s">
        <v>1539</v>
      </c>
    </row>
    <row r="828" spans="1:26" s="8" customFormat="1" ht="20.100000000000001" customHeight="1" x14ac:dyDescent="0.25">
      <c r="A828" s="69" t="s">
        <v>1794</v>
      </c>
      <c r="B828" s="88">
        <v>1245</v>
      </c>
      <c r="C828" s="90" t="s">
        <v>1410</v>
      </c>
      <c r="D828" s="60">
        <v>0</v>
      </c>
      <c r="E828" s="61">
        <f t="shared" si="144"/>
        <v>0</v>
      </c>
      <c r="F828" s="60">
        <v>0</v>
      </c>
      <c r="G828" s="61">
        <f t="shared" si="145"/>
        <v>0</v>
      </c>
      <c r="H828" s="60">
        <v>0</v>
      </c>
      <c r="I828" s="61">
        <f t="shared" si="146"/>
        <v>0</v>
      </c>
      <c r="J828" s="60">
        <v>0</v>
      </c>
      <c r="K828" s="61">
        <f t="shared" si="147"/>
        <v>0</v>
      </c>
      <c r="L828" s="62"/>
      <c r="M828" s="61">
        <f t="shared" si="148"/>
        <v>0</v>
      </c>
      <c r="N828" s="63">
        <v>0</v>
      </c>
      <c r="O828" s="61">
        <f t="shared" si="149"/>
        <v>0</v>
      </c>
      <c r="P828" s="60">
        <v>0</v>
      </c>
      <c r="Q828" s="61">
        <f t="shared" si="150"/>
        <v>0</v>
      </c>
      <c r="R828" s="60">
        <v>0</v>
      </c>
      <c r="S828" s="61">
        <f t="shared" si="151"/>
        <v>0</v>
      </c>
      <c r="T828" s="60">
        <v>0</v>
      </c>
      <c r="U828" s="64">
        <f t="shared" si="152"/>
        <v>0</v>
      </c>
      <c r="V828" s="65">
        <v>0</v>
      </c>
      <c r="W828" s="66">
        <f t="shared" si="153"/>
        <v>0</v>
      </c>
      <c r="X828" s="67">
        <f t="shared" si="154"/>
        <v>0</v>
      </c>
      <c r="Y828" s="57" t="str">
        <f t="shared" si="155"/>
        <v>NIL PLEASE PURCHASE</v>
      </c>
      <c r="Z828" s="68" t="s">
        <v>1539</v>
      </c>
    </row>
    <row r="829" spans="1:26" s="8" customFormat="1" ht="20.100000000000001" customHeight="1" x14ac:dyDescent="0.25">
      <c r="A829" s="69" t="s">
        <v>1795</v>
      </c>
      <c r="B829" s="88">
        <v>1246</v>
      </c>
      <c r="C829" s="90" t="s">
        <v>1411</v>
      </c>
      <c r="D829" s="60">
        <v>0</v>
      </c>
      <c r="E829" s="61">
        <f t="shared" si="144"/>
        <v>0</v>
      </c>
      <c r="F829" s="60">
        <v>0</v>
      </c>
      <c r="G829" s="61">
        <f t="shared" si="145"/>
        <v>0</v>
      </c>
      <c r="H829" s="60">
        <v>0</v>
      </c>
      <c r="I829" s="61">
        <f t="shared" si="146"/>
        <v>0</v>
      </c>
      <c r="J829" s="60">
        <v>0</v>
      </c>
      <c r="K829" s="61">
        <f t="shared" si="147"/>
        <v>0</v>
      </c>
      <c r="L829" s="62"/>
      <c r="M829" s="61">
        <f t="shared" si="148"/>
        <v>0</v>
      </c>
      <c r="N829" s="63">
        <v>6</v>
      </c>
      <c r="O829" s="61">
        <f t="shared" si="149"/>
        <v>3000</v>
      </c>
      <c r="P829" s="60">
        <v>0</v>
      </c>
      <c r="Q829" s="61">
        <f t="shared" si="150"/>
        <v>0</v>
      </c>
      <c r="R829" s="60">
        <v>0</v>
      </c>
      <c r="S829" s="61">
        <f t="shared" si="151"/>
        <v>0</v>
      </c>
      <c r="T829" s="60">
        <v>0</v>
      </c>
      <c r="U829" s="64">
        <f t="shared" si="152"/>
        <v>0</v>
      </c>
      <c r="V829" s="65">
        <v>0</v>
      </c>
      <c r="W829" s="66">
        <f t="shared" si="153"/>
        <v>3000</v>
      </c>
      <c r="X829" s="67">
        <f t="shared" si="154"/>
        <v>3</v>
      </c>
      <c r="Y829" s="57" t="str">
        <f t="shared" si="155"/>
        <v>STOCK</v>
      </c>
      <c r="Z829" s="68" t="s">
        <v>1539</v>
      </c>
    </row>
    <row r="830" spans="1:26" s="8" customFormat="1" ht="20.100000000000001" customHeight="1" x14ac:dyDescent="0.25">
      <c r="A830" s="69" t="s">
        <v>1796</v>
      </c>
      <c r="B830" s="88">
        <v>1247</v>
      </c>
      <c r="C830" s="90" t="s">
        <v>1412</v>
      </c>
      <c r="D830" s="60">
        <v>0</v>
      </c>
      <c r="E830" s="61">
        <f t="shared" si="144"/>
        <v>0</v>
      </c>
      <c r="F830" s="60">
        <v>0</v>
      </c>
      <c r="G830" s="61">
        <f t="shared" si="145"/>
        <v>0</v>
      </c>
      <c r="H830" s="60">
        <v>0</v>
      </c>
      <c r="I830" s="61">
        <f t="shared" si="146"/>
        <v>0</v>
      </c>
      <c r="J830" s="60">
        <v>0</v>
      </c>
      <c r="K830" s="61">
        <f t="shared" si="147"/>
        <v>0</v>
      </c>
      <c r="L830" s="62"/>
      <c r="M830" s="61">
        <f t="shared" si="148"/>
        <v>0</v>
      </c>
      <c r="N830" s="63">
        <v>0</v>
      </c>
      <c r="O830" s="61">
        <f t="shared" si="149"/>
        <v>0</v>
      </c>
      <c r="P830" s="60">
        <v>0</v>
      </c>
      <c r="Q830" s="61">
        <f t="shared" si="150"/>
        <v>0</v>
      </c>
      <c r="R830" s="60">
        <v>0</v>
      </c>
      <c r="S830" s="61">
        <f t="shared" si="151"/>
        <v>0</v>
      </c>
      <c r="T830" s="60">
        <v>0</v>
      </c>
      <c r="U830" s="64">
        <f t="shared" si="152"/>
        <v>0</v>
      </c>
      <c r="V830" s="65">
        <v>0</v>
      </c>
      <c r="W830" s="66">
        <f t="shared" si="153"/>
        <v>0</v>
      </c>
      <c r="X830" s="67">
        <f t="shared" si="154"/>
        <v>0</v>
      </c>
      <c r="Y830" s="57" t="str">
        <f t="shared" si="155"/>
        <v>NIL PLEASE PURCHASE</v>
      </c>
      <c r="Z830" s="68" t="s">
        <v>1539</v>
      </c>
    </row>
    <row r="831" spans="1:26" s="8" customFormat="1" ht="20.100000000000001" customHeight="1" x14ac:dyDescent="0.25">
      <c r="A831" s="69" t="s">
        <v>1797</v>
      </c>
      <c r="B831" s="88">
        <v>1248</v>
      </c>
      <c r="C831" s="90" t="s">
        <v>1413</v>
      </c>
      <c r="D831" s="60">
        <v>0</v>
      </c>
      <c r="E831" s="61">
        <f t="shared" si="144"/>
        <v>0</v>
      </c>
      <c r="F831" s="60">
        <v>0</v>
      </c>
      <c r="G831" s="61">
        <f t="shared" si="145"/>
        <v>0</v>
      </c>
      <c r="H831" s="60">
        <v>0</v>
      </c>
      <c r="I831" s="61">
        <f t="shared" si="146"/>
        <v>0</v>
      </c>
      <c r="J831" s="60">
        <v>0</v>
      </c>
      <c r="K831" s="61">
        <f t="shared" si="147"/>
        <v>0</v>
      </c>
      <c r="L831" s="62"/>
      <c r="M831" s="61">
        <f t="shared" si="148"/>
        <v>0</v>
      </c>
      <c r="N831" s="63">
        <v>1</v>
      </c>
      <c r="O831" s="61">
        <f t="shared" si="149"/>
        <v>500</v>
      </c>
      <c r="P831" s="60">
        <v>0</v>
      </c>
      <c r="Q831" s="61">
        <f t="shared" si="150"/>
        <v>0</v>
      </c>
      <c r="R831" s="60">
        <v>0</v>
      </c>
      <c r="S831" s="61">
        <f t="shared" si="151"/>
        <v>0</v>
      </c>
      <c r="T831" s="60">
        <v>0</v>
      </c>
      <c r="U831" s="64">
        <f t="shared" si="152"/>
        <v>0</v>
      </c>
      <c r="V831" s="65">
        <v>0</v>
      </c>
      <c r="W831" s="66">
        <f t="shared" si="153"/>
        <v>500</v>
      </c>
      <c r="X831" s="67">
        <f t="shared" si="154"/>
        <v>0.5</v>
      </c>
      <c r="Y831" s="57" t="str">
        <f t="shared" si="155"/>
        <v>STOCK</v>
      </c>
      <c r="Z831" s="68" t="s">
        <v>1539</v>
      </c>
    </row>
    <row r="832" spans="1:26" s="8" customFormat="1" ht="20.100000000000001" customHeight="1" x14ac:dyDescent="0.25">
      <c r="A832" s="69" t="s">
        <v>1798</v>
      </c>
      <c r="B832" s="88">
        <v>1249</v>
      </c>
      <c r="C832" s="90" t="s">
        <v>1414</v>
      </c>
      <c r="D832" s="60">
        <v>0</v>
      </c>
      <c r="E832" s="61">
        <f t="shared" si="144"/>
        <v>0</v>
      </c>
      <c r="F832" s="60">
        <v>0</v>
      </c>
      <c r="G832" s="61">
        <f t="shared" si="145"/>
        <v>0</v>
      </c>
      <c r="H832" s="60">
        <v>0</v>
      </c>
      <c r="I832" s="61">
        <f t="shared" si="146"/>
        <v>0</v>
      </c>
      <c r="J832" s="60">
        <v>0</v>
      </c>
      <c r="K832" s="61">
        <f t="shared" si="147"/>
        <v>0</v>
      </c>
      <c r="L832" s="62"/>
      <c r="M832" s="61">
        <f t="shared" si="148"/>
        <v>0</v>
      </c>
      <c r="N832" s="63">
        <v>3</v>
      </c>
      <c r="O832" s="61">
        <f t="shared" si="149"/>
        <v>1500</v>
      </c>
      <c r="P832" s="60">
        <v>0</v>
      </c>
      <c r="Q832" s="61">
        <f t="shared" si="150"/>
        <v>0</v>
      </c>
      <c r="R832" s="60">
        <v>0</v>
      </c>
      <c r="S832" s="61">
        <f t="shared" si="151"/>
        <v>0</v>
      </c>
      <c r="T832" s="60">
        <v>0</v>
      </c>
      <c r="U832" s="64">
        <f t="shared" si="152"/>
        <v>0</v>
      </c>
      <c r="V832" s="65">
        <v>0</v>
      </c>
      <c r="W832" s="66">
        <f t="shared" si="153"/>
        <v>1500</v>
      </c>
      <c r="X832" s="67">
        <f t="shared" si="154"/>
        <v>1.5</v>
      </c>
      <c r="Y832" s="57" t="str">
        <f t="shared" si="155"/>
        <v>STOCK</v>
      </c>
      <c r="Z832" s="68" t="s">
        <v>1538</v>
      </c>
    </row>
    <row r="833" spans="1:26" s="8" customFormat="1" ht="20.100000000000001" customHeight="1" x14ac:dyDescent="0.25">
      <c r="A833" s="69" t="s">
        <v>1799</v>
      </c>
      <c r="B833" s="88">
        <v>1250</v>
      </c>
      <c r="C833" s="90" t="s">
        <v>1415</v>
      </c>
      <c r="D833" s="60">
        <v>0</v>
      </c>
      <c r="E833" s="61">
        <f t="shared" si="144"/>
        <v>0</v>
      </c>
      <c r="F833" s="60">
        <v>0</v>
      </c>
      <c r="G833" s="61">
        <f t="shared" si="145"/>
        <v>0</v>
      </c>
      <c r="H833" s="60">
        <v>1</v>
      </c>
      <c r="I833" s="61">
        <f t="shared" si="146"/>
        <v>50</v>
      </c>
      <c r="J833" s="60">
        <v>0</v>
      </c>
      <c r="K833" s="61">
        <f t="shared" si="147"/>
        <v>0</v>
      </c>
      <c r="L833" s="62"/>
      <c r="M833" s="61">
        <f t="shared" si="148"/>
        <v>0</v>
      </c>
      <c r="N833" s="63">
        <v>0</v>
      </c>
      <c r="O833" s="61">
        <f t="shared" si="149"/>
        <v>0</v>
      </c>
      <c r="P833" s="60">
        <v>0</v>
      </c>
      <c r="Q833" s="61">
        <f t="shared" si="150"/>
        <v>0</v>
      </c>
      <c r="R833" s="60">
        <v>0</v>
      </c>
      <c r="S833" s="61">
        <f t="shared" si="151"/>
        <v>0</v>
      </c>
      <c r="T833" s="60">
        <v>0</v>
      </c>
      <c r="U833" s="64">
        <f t="shared" si="152"/>
        <v>0</v>
      </c>
      <c r="V833" s="65">
        <v>0</v>
      </c>
      <c r="W833" s="66">
        <f t="shared" si="153"/>
        <v>50</v>
      </c>
      <c r="X833" s="67">
        <f t="shared" si="154"/>
        <v>0.05</v>
      </c>
      <c r="Y833" s="57" t="str">
        <f t="shared" si="155"/>
        <v>STOCK</v>
      </c>
      <c r="Z833" s="68" t="s">
        <v>1539</v>
      </c>
    </row>
    <row r="834" spans="1:26" s="8" customFormat="1" ht="20.100000000000001" customHeight="1" x14ac:dyDescent="0.25">
      <c r="A834" s="69" t="s">
        <v>1800</v>
      </c>
      <c r="B834" s="88">
        <v>1251</v>
      </c>
      <c r="C834" s="90" t="s">
        <v>1416</v>
      </c>
      <c r="D834" s="60">
        <v>0</v>
      </c>
      <c r="E834" s="61">
        <f t="shared" si="144"/>
        <v>0</v>
      </c>
      <c r="F834" s="60">
        <v>0</v>
      </c>
      <c r="G834" s="61">
        <f t="shared" si="145"/>
        <v>0</v>
      </c>
      <c r="H834" s="60">
        <v>0</v>
      </c>
      <c r="I834" s="61">
        <f t="shared" si="146"/>
        <v>0</v>
      </c>
      <c r="J834" s="60">
        <v>0</v>
      </c>
      <c r="K834" s="61">
        <f t="shared" si="147"/>
        <v>0</v>
      </c>
      <c r="L834" s="62"/>
      <c r="M834" s="61">
        <f t="shared" si="148"/>
        <v>0</v>
      </c>
      <c r="N834" s="63">
        <v>1</v>
      </c>
      <c r="O834" s="61">
        <f t="shared" si="149"/>
        <v>500</v>
      </c>
      <c r="P834" s="60">
        <v>0</v>
      </c>
      <c r="Q834" s="61">
        <f t="shared" si="150"/>
        <v>0</v>
      </c>
      <c r="R834" s="60">
        <v>0</v>
      </c>
      <c r="S834" s="61">
        <f t="shared" si="151"/>
        <v>0</v>
      </c>
      <c r="T834" s="60">
        <v>0</v>
      </c>
      <c r="U834" s="64">
        <f t="shared" si="152"/>
        <v>0</v>
      </c>
      <c r="V834" s="65">
        <v>0</v>
      </c>
      <c r="W834" s="66">
        <f t="shared" si="153"/>
        <v>500</v>
      </c>
      <c r="X834" s="67">
        <f t="shared" si="154"/>
        <v>0.5</v>
      </c>
      <c r="Y834" s="57" t="str">
        <f t="shared" si="155"/>
        <v>STOCK</v>
      </c>
      <c r="Z834" s="68" t="s">
        <v>1539</v>
      </c>
    </row>
    <row r="835" spans="1:26" s="8" customFormat="1" ht="20.100000000000001" customHeight="1" x14ac:dyDescent="0.25">
      <c r="A835" s="69" t="s">
        <v>1801</v>
      </c>
      <c r="B835" s="88">
        <v>1252</v>
      </c>
      <c r="C835" s="90" t="s">
        <v>1924</v>
      </c>
      <c r="D835" s="60">
        <v>0</v>
      </c>
      <c r="E835" s="61">
        <f t="shared" si="144"/>
        <v>0</v>
      </c>
      <c r="F835" s="60">
        <v>0</v>
      </c>
      <c r="G835" s="61">
        <f t="shared" si="145"/>
        <v>0</v>
      </c>
      <c r="H835" s="60">
        <v>0</v>
      </c>
      <c r="I835" s="61">
        <f t="shared" si="146"/>
        <v>0</v>
      </c>
      <c r="J835" s="60">
        <v>0</v>
      </c>
      <c r="K835" s="61">
        <f t="shared" si="147"/>
        <v>0</v>
      </c>
      <c r="L835" s="62"/>
      <c r="M835" s="61">
        <f t="shared" si="148"/>
        <v>0</v>
      </c>
      <c r="N835" s="63">
        <v>0</v>
      </c>
      <c r="O835" s="61">
        <f t="shared" si="149"/>
        <v>0</v>
      </c>
      <c r="P835" s="60">
        <v>0</v>
      </c>
      <c r="Q835" s="61">
        <f t="shared" si="150"/>
        <v>0</v>
      </c>
      <c r="R835" s="60">
        <v>0</v>
      </c>
      <c r="S835" s="61">
        <f t="shared" si="151"/>
        <v>0</v>
      </c>
      <c r="T835" s="60">
        <v>0</v>
      </c>
      <c r="U835" s="64">
        <f t="shared" si="152"/>
        <v>0</v>
      </c>
      <c r="V835" s="65">
        <v>0</v>
      </c>
      <c r="W835" s="66">
        <f t="shared" si="153"/>
        <v>0</v>
      </c>
      <c r="X835" s="67">
        <f t="shared" si="154"/>
        <v>0</v>
      </c>
      <c r="Y835" s="57" t="str">
        <f t="shared" si="155"/>
        <v>NIL PLEASE PURCHASE</v>
      </c>
      <c r="Z835" s="68" t="s">
        <v>1539</v>
      </c>
    </row>
    <row r="836" spans="1:26" s="8" customFormat="1" ht="20.100000000000001" customHeight="1" x14ac:dyDescent="0.25">
      <c r="A836" s="69" t="s">
        <v>1802</v>
      </c>
      <c r="B836" s="88">
        <v>1253</v>
      </c>
      <c r="C836" s="90" t="s">
        <v>1417</v>
      </c>
      <c r="D836" s="60">
        <v>0</v>
      </c>
      <c r="E836" s="61">
        <f t="shared" si="144"/>
        <v>0</v>
      </c>
      <c r="F836" s="60">
        <v>0</v>
      </c>
      <c r="G836" s="61">
        <f t="shared" si="145"/>
        <v>0</v>
      </c>
      <c r="H836" s="60">
        <v>0</v>
      </c>
      <c r="I836" s="61">
        <f t="shared" si="146"/>
        <v>0</v>
      </c>
      <c r="J836" s="60">
        <v>0</v>
      </c>
      <c r="K836" s="61">
        <f t="shared" si="147"/>
        <v>0</v>
      </c>
      <c r="L836" s="62"/>
      <c r="M836" s="61">
        <f t="shared" si="148"/>
        <v>0</v>
      </c>
      <c r="N836" s="63">
        <v>2</v>
      </c>
      <c r="O836" s="61">
        <f t="shared" si="149"/>
        <v>1000</v>
      </c>
      <c r="P836" s="60">
        <v>0</v>
      </c>
      <c r="Q836" s="61">
        <f t="shared" si="150"/>
        <v>0</v>
      </c>
      <c r="R836" s="60">
        <v>0</v>
      </c>
      <c r="S836" s="61">
        <f t="shared" si="151"/>
        <v>0</v>
      </c>
      <c r="T836" s="60">
        <v>0</v>
      </c>
      <c r="U836" s="64">
        <f t="shared" si="152"/>
        <v>0</v>
      </c>
      <c r="V836" s="65">
        <v>0</v>
      </c>
      <c r="W836" s="66">
        <f t="shared" si="153"/>
        <v>1000</v>
      </c>
      <c r="X836" s="67">
        <f t="shared" si="154"/>
        <v>1</v>
      </c>
      <c r="Y836" s="57" t="str">
        <f t="shared" si="155"/>
        <v>STOCK</v>
      </c>
      <c r="Z836" s="68" t="s">
        <v>1538</v>
      </c>
    </row>
    <row r="837" spans="1:26" s="8" customFormat="1" ht="20.100000000000001" customHeight="1" x14ac:dyDescent="0.25">
      <c r="A837" s="69" t="s">
        <v>1803</v>
      </c>
      <c r="B837" s="88">
        <v>1254</v>
      </c>
      <c r="C837" s="90" t="s">
        <v>1418</v>
      </c>
      <c r="D837" s="60">
        <v>0</v>
      </c>
      <c r="E837" s="61">
        <f t="shared" ref="E837:E900" si="156">D837*10</f>
        <v>0</v>
      </c>
      <c r="F837" s="60">
        <v>0</v>
      </c>
      <c r="G837" s="61">
        <f t="shared" ref="G837:G900" si="157">F837*25</f>
        <v>0</v>
      </c>
      <c r="H837" s="60">
        <v>0</v>
      </c>
      <c r="I837" s="61">
        <f t="shared" ref="I837:I900" si="158">H837*50</f>
        <v>0</v>
      </c>
      <c r="J837" s="60">
        <v>0</v>
      </c>
      <c r="K837" s="61">
        <f t="shared" ref="K837:K899" si="159">J837*100</f>
        <v>0</v>
      </c>
      <c r="L837" s="62"/>
      <c r="M837" s="61">
        <f t="shared" ref="M837:M900" si="160">L837*250</f>
        <v>0</v>
      </c>
      <c r="N837" s="63">
        <v>1</v>
      </c>
      <c r="O837" s="61">
        <f t="shared" ref="O837:O900" si="161">N837*500</f>
        <v>500</v>
      </c>
      <c r="P837" s="60">
        <v>0</v>
      </c>
      <c r="Q837" s="61">
        <f t="shared" ref="Q837:Q900" si="162">P837*1000</f>
        <v>0</v>
      </c>
      <c r="R837" s="60">
        <v>0</v>
      </c>
      <c r="S837" s="61">
        <f t="shared" ref="S837:S900" si="163">R837*2500</f>
        <v>0</v>
      </c>
      <c r="T837" s="60">
        <v>0</v>
      </c>
      <c r="U837" s="64">
        <f t="shared" ref="U837:U900" si="164">T837*5000</f>
        <v>0</v>
      </c>
      <c r="V837" s="65">
        <v>0</v>
      </c>
      <c r="W837" s="66">
        <f t="shared" ref="W837:W900" si="165">E837+G837+I837+K837+M837+O837+Q837+S837+U837</f>
        <v>500</v>
      </c>
      <c r="X837" s="67">
        <f t="shared" ref="X837:X900" si="166">SUM(W837:W837)/1000</f>
        <v>0.5</v>
      </c>
      <c r="Y837" s="57" t="str">
        <f t="shared" ref="Y837:Y900" si="167">IF(W837=0,("NIL PLEASE PURCHASE"),("STOCK"))</f>
        <v>STOCK</v>
      </c>
      <c r="Z837" s="68" t="s">
        <v>1538</v>
      </c>
    </row>
    <row r="838" spans="1:26" s="8" customFormat="1" ht="20.100000000000001" customHeight="1" x14ac:dyDescent="0.25">
      <c r="A838" s="69" t="s">
        <v>1804</v>
      </c>
      <c r="B838" s="88">
        <v>1255</v>
      </c>
      <c r="C838" s="90" t="s">
        <v>1419</v>
      </c>
      <c r="D838" s="60">
        <v>0</v>
      </c>
      <c r="E838" s="61">
        <f t="shared" si="156"/>
        <v>0</v>
      </c>
      <c r="F838" s="60">
        <v>0</v>
      </c>
      <c r="G838" s="61">
        <f t="shared" si="157"/>
        <v>0</v>
      </c>
      <c r="H838" s="60">
        <v>1</v>
      </c>
      <c r="I838" s="61">
        <f t="shared" si="158"/>
        <v>50</v>
      </c>
      <c r="J838" s="60">
        <v>0</v>
      </c>
      <c r="K838" s="61">
        <f t="shared" si="159"/>
        <v>0</v>
      </c>
      <c r="L838" s="62"/>
      <c r="M838" s="61">
        <f t="shared" si="160"/>
        <v>0</v>
      </c>
      <c r="N838" s="63">
        <v>2</v>
      </c>
      <c r="O838" s="61">
        <f t="shared" si="161"/>
        <v>1000</v>
      </c>
      <c r="P838" s="60">
        <v>0</v>
      </c>
      <c r="Q838" s="61">
        <f t="shared" si="162"/>
        <v>0</v>
      </c>
      <c r="R838" s="60">
        <v>0</v>
      </c>
      <c r="S838" s="61">
        <f t="shared" si="163"/>
        <v>0</v>
      </c>
      <c r="T838" s="60">
        <v>0</v>
      </c>
      <c r="U838" s="64">
        <f t="shared" si="164"/>
        <v>0</v>
      </c>
      <c r="V838" s="65">
        <v>0</v>
      </c>
      <c r="W838" s="66">
        <f t="shared" si="165"/>
        <v>1050</v>
      </c>
      <c r="X838" s="67">
        <f t="shared" si="166"/>
        <v>1.05</v>
      </c>
      <c r="Y838" s="57" t="str">
        <f t="shared" si="167"/>
        <v>STOCK</v>
      </c>
      <c r="Z838" s="68" t="s">
        <v>1538</v>
      </c>
    </row>
    <row r="839" spans="1:26" s="8" customFormat="1" ht="20.100000000000001" customHeight="1" x14ac:dyDescent="0.25">
      <c r="A839" s="69" t="s">
        <v>1805</v>
      </c>
      <c r="B839" s="88">
        <v>1256</v>
      </c>
      <c r="C839" s="90" t="s">
        <v>1420</v>
      </c>
      <c r="D839" s="60">
        <v>0</v>
      </c>
      <c r="E839" s="61">
        <f t="shared" si="156"/>
        <v>0</v>
      </c>
      <c r="F839" s="60">
        <v>0</v>
      </c>
      <c r="G839" s="61">
        <f t="shared" si="157"/>
        <v>0</v>
      </c>
      <c r="H839" s="60">
        <v>0</v>
      </c>
      <c r="I839" s="61">
        <f t="shared" si="158"/>
        <v>0</v>
      </c>
      <c r="J839" s="60">
        <v>0</v>
      </c>
      <c r="K839" s="61">
        <f t="shared" si="159"/>
        <v>0</v>
      </c>
      <c r="L839" s="62"/>
      <c r="M839" s="61">
        <f t="shared" si="160"/>
        <v>0</v>
      </c>
      <c r="N839" s="63">
        <v>0</v>
      </c>
      <c r="O839" s="61">
        <f t="shared" si="161"/>
        <v>0</v>
      </c>
      <c r="P839" s="60">
        <v>0</v>
      </c>
      <c r="Q839" s="61">
        <f t="shared" si="162"/>
        <v>0</v>
      </c>
      <c r="R839" s="60">
        <v>0</v>
      </c>
      <c r="S839" s="61">
        <f t="shared" si="163"/>
        <v>0</v>
      </c>
      <c r="T839" s="60">
        <v>0</v>
      </c>
      <c r="U839" s="64">
        <f t="shared" si="164"/>
        <v>0</v>
      </c>
      <c r="V839" s="65">
        <v>0</v>
      </c>
      <c r="W839" s="66">
        <f t="shared" si="165"/>
        <v>0</v>
      </c>
      <c r="X839" s="67">
        <f t="shared" si="166"/>
        <v>0</v>
      </c>
      <c r="Y839" s="57" t="str">
        <f t="shared" si="167"/>
        <v>NIL PLEASE PURCHASE</v>
      </c>
      <c r="Z839" s="68" t="s">
        <v>1539</v>
      </c>
    </row>
    <row r="840" spans="1:26" s="8" customFormat="1" ht="20.100000000000001" customHeight="1" x14ac:dyDescent="0.25">
      <c r="A840" s="69" t="s">
        <v>1806</v>
      </c>
      <c r="B840" s="88">
        <v>1257</v>
      </c>
      <c r="C840" s="90" t="s">
        <v>1421</v>
      </c>
      <c r="D840" s="60">
        <v>0</v>
      </c>
      <c r="E840" s="61">
        <f t="shared" si="156"/>
        <v>0</v>
      </c>
      <c r="F840" s="60">
        <v>0</v>
      </c>
      <c r="G840" s="61">
        <f t="shared" si="157"/>
        <v>0</v>
      </c>
      <c r="H840" s="60">
        <v>0</v>
      </c>
      <c r="I840" s="61">
        <f t="shared" si="158"/>
        <v>0</v>
      </c>
      <c r="J840" s="60">
        <v>0</v>
      </c>
      <c r="K840" s="61">
        <f t="shared" si="159"/>
        <v>0</v>
      </c>
      <c r="L840" s="62"/>
      <c r="M840" s="61">
        <f t="shared" si="160"/>
        <v>0</v>
      </c>
      <c r="N840" s="63">
        <v>0</v>
      </c>
      <c r="O840" s="61">
        <f t="shared" si="161"/>
        <v>0</v>
      </c>
      <c r="P840" s="60">
        <v>0</v>
      </c>
      <c r="Q840" s="61">
        <f t="shared" si="162"/>
        <v>0</v>
      </c>
      <c r="R840" s="60">
        <v>0</v>
      </c>
      <c r="S840" s="61">
        <f t="shared" si="163"/>
        <v>0</v>
      </c>
      <c r="T840" s="60">
        <v>0</v>
      </c>
      <c r="U840" s="64">
        <f t="shared" si="164"/>
        <v>0</v>
      </c>
      <c r="V840" s="65">
        <v>0</v>
      </c>
      <c r="W840" s="66">
        <f t="shared" si="165"/>
        <v>0</v>
      </c>
      <c r="X840" s="67">
        <f t="shared" si="166"/>
        <v>0</v>
      </c>
      <c r="Y840" s="57" t="str">
        <f t="shared" si="167"/>
        <v>NIL PLEASE PURCHASE</v>
      </c>
      <c r="Z840" s="68" t="s">
        <v>1539</v>
      </c>
    </row>
    <row r="841" spans="1:26" s="8" customFormat="1" ht="20.100000000000001" customHeight="1" x14ac:dyDescent="0.25">
      <c r="A841" s="69" t="s">
        <v>1807</v>
      </c>
      <c r="B841" s="88">
        <v>1258</v>
      </c>
      <c r="C841" s="90" t="s">
        <v>1422</v>
      </c>
      <c r="D841" s="60">
        <v>0</v>
      </c>
      <c r="E841" s="61">
        <f t="shared" si="156"/>
        <v>0</v>
      </c>
      <c r="F841" s="60">
        <v>0</v>
      </c>
      <c r="G841" s="61">
        <f t="shared" si="157"/>
        <v>0</v>
      </c>
      <c r="H841" s="60">
        <v>0</v>
      </c>
      <c r="I841" s="61">
        <f t="shared" si="158"/>
        <v>0</v>
      </c>
      <c r="J841" s="60">
        <v>0</v>
      </c>
      <c r="K841" s="61">
        <f t="shared" si="159"/>
        <v>0</v>
      </c>
      <c r="L841" s="62"/>
      <c r="M841" s="61">
        <f t="shared" si="160"/>
        <v>0</v>
      </c>
      <c r="N841" s="63">
        <v>2</v>
      </c>
      <c r="O841" s="61">
        <f t="shared" si="161"/>
        <v>1000</v>
      </c>
      <c r="P841" s="60">
        <v>0</v>
      </c>
      <c r="Q841" s="61">
        <f t="shared" si="162"/>
        <v>0</v>
      </c>
      <c r="R841" s="60">
        <v>0</v>
      </c>
      <c r="S841" s="61">
        <f t="shared" si="163"/>
        <v>0</v>
      </c>
      <c r="T841" s="60">
        <v>0</v>
      </c>
      <c r="U841" s="64">
        <f t="shared" si="164"/>
        <v>0</v>
      </c>
      <c r="V841" s="65">
        <v>0</v>
      </c>
      <c r="W841" s="66">
        <f t="shared" si="165"/>
        <v>1000</v>
      </c>
      <c r="X841" s="67">
        <f t="shared" si="166"/>
        <v>1</v>
      </c>
      <c r="Y841" s="57" t="str">
        <f t="shared" si="167"/>
        <v>STOCK</v>
      </c>
      <c r="Z841" s="68" t="s">
        <v>1539</v>
      </c>
    </row>
    <row r="842" spans="1:26" s="8" customFormat="1" ht="20.100000000000001" customHeight="1" x14ac:dyDescent="0.25">
      <c r="A842" s="69" t="s">
        <v>1808</v>
      </c>
      <c r="B842" s="88">
        <v>1259</v>
      </c>
      <c r="C842" s="90" t="s">
        <v>1423</v>
      </c>
      <c r="D842" s="60">
        <v>0</v>
      </c>
      <c r="E842" s="61">
        <f t="shared" si="156"/>
        <v>0</v>
      </c>
      <c r="F842" s="60">
        <v>0</v>
      </c>
      <c r="G842" s="61">
        <f t="shared" si="157"/>
        <v>0</v>
      </c>
      <c r="H842" s="60">
        <v>0</v>
      </c>
      <c r="I842" s="61">
        <f t="shared" si="158"/>
        <v>0</v>
      </c>
      <c r="J842" s="60">
        <v>0</v>
      </c>
      <c r="K842" s="61">
        <f t="shared" si="159"/>
        <v>0</v>
      </c>
      <c r="L842" s="62"/>
      <c r="M842" s="61">
        <f t="shared" si="160"/>
        <v>0</v>
      </c>
      <c r="N842" s="63">
        <v>6</v>
      </c>
      <c r="O842" s="61">
        <f t="shared" si="161"/>
        <v>3000</v>
      </c>
      <c r="P842" s="60">
        <v>0</v>
      </c>
      <c r="Q842" s="61">
        <f t="shared" si="162"/>
        <v>0</v>
      </c>
      <c r="R842" s="60">
        <v>0</v>
      </c>
      <c r="S842" s="61">
        <f t="shared" si="163"/>
        <v>0</v>
      </c>
      <c r="T842" s="60">
        <v>0</v>
      </c>
      <c r="U842" s="64">
        <f t="shared" si="164"/>
        <v>0</v>
      </c>
      <c r="V842" s="65">
        <v>0</v>
      </c>
      <c r="W842" s="66">
        <f t="shared" si="165"/>
        <v>3000</v>
      </c>
      <c r="X842" s="67">
        <f t="shared" si="166"/>
        <v>3</v>
      </c>
      <c r="Y842" s="57" t="str">
        <f t="shared" si="167"/>
        <v>STOCK</v>
      </c>
      <c r="Z842" s="68" t="s">
        <v>1539</v>
      </c>
    </row>
    <row r="843" spans="1:26" s="8" customFormat="1" ht="20.100000000000001" customHeight="1" x14ac:dyDescent="0.25">
      <c r="A843" s="69" t="s">
        <v>1809</v>
      </c>
      <c r="B843" s="88">
        <v>1260</v>
      </c>
      <c r="C843" s="90" t="s">
        <v>1424</v>
      </c>
      <c r="D843" s="60">
        <v>0</v>
      </c>
      <c r="E843" s="61">
        <f t="shared" si="156"/>
        <v>0</v>
      </c>
      <c r="F843" s="60">
        <v>0</v>
      </c>
      <c r="G843" s="61">
        <f t="shared" si="157"/>
        <v>0</v>
      </c>
      <c r="H843" s="60">
        <v>0</v>
      </c>
      <c r="I843" s="61">
        <f t="shared" si="158"/>
        <v>0</v>
      </c>
      <c r="J843" s="60">
        <v>0</v>
      </c>
      <c r="K843" s="61">
        <f t="shared" si="159"/>
        <v>0</v>
      </c>
      <c r="L843" s="62"/>
      <c r="M843" s="61">
        <f t="shared" si="160"/>
        <v>0</v>
      </c>
      <c r="N843" s="63">
        <v>0</v>
      </c>
      <c r="O843" s="61">
        <f t="shared" si="161"/>
        <v>0</v>
      </c>
      <c r="P843" s="60">
        <v>0</v>
      </c>
      <c r="Q843" s="61">
        <f t="shared" si="162"/>
        <v>0</v>
      </c>
      <c r="R843" s="60">
        <v>0</v>
      </c>
      <c r="S843" s="61">
        <f t="shared" si="163"/>
        <v>0</v>
      </c>
      <c r="T843" s="60">
        <v>0</v>
      </c>
      <c r="U843" s="64">
        <f t="shared" si="164"/>
        <v>0</v>
      </c>
      <c r="V843" s="65">
        <v>0</v>
      </c>
      <c r="W843" s="66">
        <f t="shared" si="165"/>
        <v>0</v>
      </c>
      <c r="X843" s="67">
        <f t="shared" si="166"/>
        <v>0</v>
      </c>
      <c r="Y843" s="57" t="str">
        <f t="shared" si="167"/>
        <v>NIL PLEASE PURCHASE</v>
      </c>
      <c r="Z843" s="68" t="s">
        <v>1539</v>
      </c>
    </row>
    <row r="844" spans="1:26" s="8" customFormat="1" ht="20.100000000000001" customHeight="1" x14ac:dyDescent="0.25">
      <c r="A844" s="69" t="s">
        <v>1810</v>
      </c>
      <c r="B844" s="88">
        <v>1261</v>
      </c>
      <c r="C844" s="90" t="s">
        <v>1425</v>
      </c>
      <c r="D844" s="60">
        <v>0</v>
      </c>
      <c r="E844" s="61">
        <f t="shared" si="156"/>
        <v>0</v>
      </c>
      <c r="F844" s="60">
        <v>0</v>
      </c>
      <c r="G844" s="61">
        <f t="shared" si="157"/>
        <v>0</v>
      </c>
      <c r="H844" s="60">
        <v>0</v>
      </c>
      <c r="I844" s="61">
        <f t="shared" si="158"/>
        <v>0</v>
      </c>
      <c r="J844" s="60">
        <v>0</v>
      </c>
      <c r="K844" s="61">
        <f t="shared" si="159"/>
        <v>0</v>
      </c>
      <c r="L844" s="62"/>
      <c r="M844" s="61">
        <f t="shared" si="160"/>
        <v>0</v>
      </c>
      <c r="N844" s="63">
        <v>1</v>
      </c>
      <c r="O844" s="61">
        <f t="shared" si="161"/>
        <v>500</v>
      </c>
      <c r="P844" s="60">
        <v>0</v>
      </c>
      <c r="Q844" s="61">
        <f t="shared" si="162"/>
        <v>0</v>
      </c>
      <c r="R844" s="60">
        <v>0</v>
      </c>
      <c r="S844" s="61">
        <f t="shared" si="163"/>
        <v>0</v>
      </c>
      <c r="T844" s="60">
        <v>0</v>
      </c>
      <c r="U844" s="64">
        <f t="shared" si="164"/>
        <v>0</v>
      </c>
      <c r="V844" s="65">
        <v>0</v>
      </c>
      <c r="W844" s="66">
        <f t="shared" si="165"/>
        <v>500</v>
      </c>
      <c r="X844" s="67">
        <f t="shared" si="166"/>
        <v>0.5</v>
      </c>
      <c r="Y844" s="57" t="str">
        <f t="shared" si="167"/>
        <v>STOCK</v>
      </c>
      <c r="Z844" s="68" t="s">
        <v>1538</v>
      </c>
    </row>
    <row r="845" spans="1:26" s="8" customFormat="1" ht="20.100000000000001" customHeight="1" x14ac:dyDescent="0.25">
      <c r="A845" s="69" t="s">
        <v>1811</v>
      </c>
      <c r="B845" s="88">
        <v>1262</v>
      </c>
      <c r="C845" s="90" t="s">
        <v>1426</v>
      </c>
      <c r="D845" s="60">
        <v>0</v>
      </c>
      <c r="E845" s="61">
        <f t="shared" si="156"/>
        <v>0</v>
      </c>
      <c r="F845" s="60">
        <v>0</v>
      </c>
      <c r="G845" s="61">
        <f t="shared" si="157"/>
        <v>0</v>
      </c>
      <c r="H845" s="60">
        <v>0</v>
      </c>
      <c r="I845" s="61">
        <f t="shared" si="158"/>
        <v>0</v>
      </c>
      <c r="J845" s="60">
        <v>0</v>
      </c>
      <c r="K845" s="61">
        <f t="shared" si="159"/>
        <v>0</v>
      </c>
      <c r="L845" s="62"/>
      <c r="M845" s="61">
        <f t="shared" si="160"/>
        <v>0</v>
      </c>
      <c r="N845" s="63">
        <v>0</v>
      </c>
      <c r="O845" s="61">
        <f t="shared" si="161"/>
        <v>0</v>
      </c>
      <c r="P845" s="60">
        <v>0</v>
      </c>
      <c r="Q845" s="61">
        <f t="shared" si="162"/>
        <v>0</v>
      </c>
      <c r="R845" s="60">
        <v>0</v>
      </c>
      <c r="S845" s="61">
        <f t="shared" si="163"/>
        <v>0</v>
      </c>
      <c r="T845" s="60">
        <v>0</v>
      </c>
      <c r="U845" s="64">
        <f t="shared" si="164"/>
        <v>0</v>
      </c>
      <c r="V845" s="65">
        <v>0</v>
      </c>
      <c r="W845" s="66">
        <f t="shared" si="165"/>
        <v>0</v>
      </c>
      <c r="X845" s="67">
        <f t="shared" si="166"/>
        <v>0</v>
      </c>
      <c r="Y845" s="57" t="str">
        <f t="shared" si="167"/>
        <v>NIL PLEASE PURCHASE</v>
      </c>
      <c r="Z845" s="68" t="s">
        <v>1539</v>
      </c>
    </row>
    <row r="846" spans="1:26" s="8" customFormat="1" ht="20.100000000000001" customHeight="1" x14ac:dyDescent="0.25">
      <c r="A846" s="69" t="s">
        <v>1812</v>
      </c>
      <c r="B846" s="88">
        <v>1263</v>
      </c>
      <c r="C846" s="90" t="s">
        <v>1427</v>
      </c>
      <c r="D846" s="60">
        <v>0</v>
      </c>
      <c r="E846" s="61">
        <f t="shared" si="156"/>
        <v>0</v>
      </c>
      <c r="F846" s="60">
        <v>0</v>
      </c>
      <c r="G846" s="61">
        <f t="shared" si="157"/>
        <v>0</v>
      </c>
      <c r="H846" s="60">
        <v>0</v>
      </c>
      <c r="I846" s="61">
        <f t="shared" si="158"/>
        <v>0</v>
      </c>
      <c r="J846" s="60">
        <v>0</v>
      </c>
      <c r="K846" s="61">
        <f t="shared" si="159"/>
        <v>0</v>
      </c>
      <c r="L846" s="62"/>
      <c r="M846" s="61">
        <f t="shared" si="160"/>
        <v>0</v>
      </c>
      <c r="N846" s="63">
        <v>2</v>
      </c>
      <c r="O846" s="61">
        <f t="shared" si="161"/>
        <v>1000</v>
      </c>
      <c r="P846" s="60">
        <v>0</v>
      </c>
      <c r="Q846" s="61">
        <f t="shared" si="162"/>
        <v>0</v>
      </c>
      <c r="R846" s="60">
        <v>0</v>
      </c>
      <c r="S846" s="61">
        <f t="shared" si="163"/>
        <v>0</v>
      </c>
      <c r="T846" s="60">
        <v>0</v>
      </c>
      <c r="U846" s="64">
        <f t="shared" si="164"/>
        <v>0</v>
      </c>
      <c r="V846" s="65">
        <v>0</v>
      </c>
      <c r="W846" s="66">
        <f t="shared" si="165"/>
        <v>1000</v>
      </c>
      <c r="X846" s="67">
        <f t="shared" si="166"/>
        <v>1</v>
      </c>
      <c r="Y846" s="57" t="str">
        <f t="shared" si="167"/>
        <v>STOCK</v>
      </c>
      <c r="Z846" s="68" t="s">
        <v>1538</v>
      </c>
    </row>
    <row r="847" spans="1:26" s="8" customFormat="1" ht="20.100000000000001" customHeight="1" x14ac:dyDescent="0.25">
      <c r="A847" s="69" t="s">
        <v>1813</v>
      </c>
      <c r="B847" s="88">
        <v>1264</v>
      </c>
      <c r="C847" s="90" t="s">
        <v>1428</v>
      </c>
      <c r="D847" s="60">
        <v>0</v>
      </c>
      <c r="E847" s="61">
        <f t="shared" si="156"/>
        <v>0</v>
      </c>
      <c r="F847" s="60">
        <v>0</v>
      </c>
      <c r="G847" s="61">
        <f t="shared" si="157"/>
        <v>0</v>
      </c>
      <c r="H847" s="60">
        <v>0</v>
      </c>
      <c r="I847" s="61">
        <f t="shared" si="158"/>
        <v>0</v>
      </c>
      <c r="J847" s="60">
        <v>0</v>
      </c>
      <c r="K847" s="61">
        <f t="shared" si="159"/>
        <v>0</v>
      </c>
      <c r="L847" s="62">
        <v>3</v>
      </c>
      <c r="M847" s="61">
        <f t="shared" si="160"/>
        <v>750</v>
      </c>
      <c r="N847" s="63">
        <v>0</v>
      </c>
      <c r="O847" s="61">
        <f t="shared" si="161"/>
        <v>0</v>
      </c>
      <c r="P847" s="60">
        <v>0</v>
      </c>
      <c r="Q847" s="61">
        <f t="shared" si="162"/>
        <v>0</v>
      </c>
      <c r="R847" s="60">
        <v>0</v>
      </c>
      <c r="S847" s="61">
        <f t="shared" si="163"/>
        <v>0</v>
      </c>
      <c r="T847" s="60">
        <v>0</v>
      </c>
      <c r="U847" s="64">
        <f t="shared" si="164"/>
        <v>0</v>
      </c>
      <c r="V847" s="65">
        <v>0</v>
      </c>
      <c r="W847" s="66">
        <f t="shared" si="165"/>
        <v>750</v>
      </c>
      <c r="X847" s="67">
        <f t="shared" si="166"/>
        <v>0.75</v>
      </c>
      <c r="Y847" s="57" t="str">
        <f t="shared" si="167"/>
        <v>STOCK</v>
      </c>
      <c r="Z847" s="68" t="s">
        <v>1538</v>
      </c>
    </row>
    <row r="848" spans="1:26" s="8" customFormat="1" ht="20.100000000000001" customHeight="1" x14ac:dyDescent="0.25">
      <c r="A848" s="69" t="s">
        <v>1814</v>
      </c>
      <c r="B848" s="88">
        <v>1265</v>
      </c>
      <c r="C848" s="90" t="s">
        <v>1429</v>
      </c>
      <c r="D848" s="60">
        <v>0</v>
      </c>
      <c r="E848" s="61">
        <f t="shared" si="156"/>
        <v>0</v>
      </c>
      <c r="F848" s="60">
        <v>0</v>
      </c>
      <c r="G848" s="61">
        <f t="shared" si="157"/>
        <v>0</v>
      </c>
      <c r="H848" s="60">
        <v>0</v>
      </c>
      <c r="I848" s="61">
        <f t="shared" si="158"/>
        <v>0</v>
      </c>
      <c r="J848" s="60">
        <v>0</v>
      </c>
      <c r="K848" s="61">
        <f t="shared" si="159"/>
        <v>0</v>
      </c>
      <c r="L848" s="62"/>
      <c r="M848" s="61">
        <f t="shared" si="160"/>
        <v>0</v>
      </c>
      <c r="N848" s="63">
        <v>0</v>
      </c>
      <c r="O848" s="61">
        <f t="shared" si="161"/>
        <v>0</v>
      </c>
      <c r="P848" s="60">
        <v>0</v>
      </c>
      <c r="Q848" s="61">
        <f t="shared" si="162"/>
        <v>0</v>
      </c>
      <c r="R848" s="60">
        <v>0</v>
      </c>
      <c r="S848" s="61">
        <f t="shared" si="163"/>
        <v>0</v>
      </c>
      <c r="T848" s="60">
        <v>0</v>
      </c>
      <c r="U848" s="64">
        <f t="shared" si="164"/>
        <v>0</v>
      </c>
      <c r="V848" s="65">
        <v>0</v>
      </c>
      <c r="W848" s="66">
        <f t="shared" si="165"/>
        <v>0</v>
      </c>
      <c r="X848" s="67">
        <f t="shared" si="166"/>
        <v>0</v>
      </c>
      <c r="Y848" s="57" t="str">
        <f t="shared" si="167"/>
        <v>NIL PLEASE PURCHASE</v>
      </c>
      <c r="Z848" s="68" t="s">
        <v>1539</v>
      </c>
    </row>
    <row r="849" spans="1:26" s="8" customFormat="1" ht="20.100000000000001" customHeight="1" x14ac:dyDescent="0.25">
      <c r="A849" s="69" t="s">
        <v>1815</v>
      </c>
      <c r="B849" s="88">
        <v>1266</v>
      </c>
      <c r="C849" s="90" t="s">
        <v>1430</v>
      </c>
      <c r="D849" s="60">
        <v>0</v>
      </c>
      <c r="E849" s="61">
        <f t="shared" si="156"/>
        <v>0</v>
      </c>
      <c r="F849" s="60">
        <v>0</v>
      </c>
      <c r="G849" s="61">
        <f t="shared" si="157"/>
        <v>0</v>
      </c>
      <c r="H849" s="60">
        <v>0</v>
      </c>
      <c r="I849" s="61">
        <f t="shared" si="158"/>
        <v>0</v>
      </c>
      <c r="J849" s="60">
        <v>0</v>
      </c>
      <c r="K849" s="61">
        <f t="shared" si="159"/>
        <v>0</v>
      </c>
      <c r="L849" s="62"/>
      <c r="M849" s="61">
        <f t="shared" si="160"/>
        <v>0</v>
      </c>
      <c r="N849" s="63">
        <v>2</v>
      </c>
      <c r="O849" s="61">
        <f t="shared" si="161"/>
        <v>1000</v>
      </c>
      <c r="P849" s="60">
        <v>0</v>
      </c>
      <c r="Q849" s="61">
        <f t="shared" si="162"/>
        <v>0</v>
      </c>
      <c r="R849" s="60">
        <v>0</v>
      </c>
      <c r="S849" s="61">
        <f t="shared" si="163"/>
        <v>0</v>
      </c>
      <c r="T849" s="60">
        <v>0</v>
      </c>
      <c r="U849" s="64">
        <f t="shared" si="164"/>
        <v>0</v>
      </c>
      <c r="V849" s="65">
        <v>0</v>
      </c>
      <c r="W849" s="66">
        <f t="shared" si="165"/>
        <v>1000</v>
      </c>
      <c r="X849" s="67">
        <f t="shared" si="166"/>
        <v>1</v>
      </c>
      <c r="Y849" s="57" t="str">
        <f t="shared" si="167"/>
        <v>STOCK</v>
      </c>
      <c r="Z849" s="68" t="s">
        <v>1538</v>
      </c>
    </row>
    <row r="850" spans="1:26" s="8" customFormat="1" ht="20.100000000000001" customHeight="1" x14ac:dyDescent="0.25">
      <c r="A850" s="69" t="s">
        <v>1816</v>
      </c>
      <c r="B850" s="88">
        <v>1267</v>
      </c>
      <c r="C850" s="90" t="s">
        <v>1431</v>
      </c>
      <c r="D850" s="60">
        <v>0</v>
      </c>
      <c r="E850" s="61">
        <f t="shared" si="156"/>
        <v>0</v>
      </c>
      <c r="F850" s="60">
        <v>0</v>
      </c>
      <c r="G850" s="61">
        <f t="shared" si="157"/>
        <v>0</v>
      </c>
      <c r="H850" s="60">
        <v>0</v>
      </c>
      <c r="I850" s="61">
        <f t="shared" si="158"/>
        <v>0</v>
      </c>
      <c r="J850" s="60">
        <v>0</v>
      </c>
      <c r="K850" s="61">
        <f t="shared" si="159"/>
        <v>0</v>
      </c>
      <c r="L850" s="62"/>
      <c r="M850" s="61">
        <f t="shared" si="160"/>
        <v>0</v>
      </c>
      <c r="N850" s="63">
        <v>0</v>
      </c>
      <c r="O850" s="61">
        <f t="shared" si="161"/>
        <v>0</v>
      </c>
      <c r="P850" s="60">
        <v>0</v>
      </c>
      <c r="Q850" s="61">
        <f t="shared" si="162"/>
        <v>0</v>
      </c>
      <c r="R850" s="60">
        <v>0</v>
      </c>
      <c r="S850" s="61">
        <f t="shared" si="163"/>
        <v>0</v>
      </c>
      <c r="T850" s="60">
        <v>0</v>
      </c>
      <c r="U850" s="64">
        <f t="shared" si="164"/>
        <v>0</v>
      </c>
      <c r="V850" s="65">
        <v>0</v>
      </c>
      <c r="W850" s="66">
        <f t="shared" si="165"/>
        <v>0</v>
      </c>
      <c r="X850" s="67">
        <f t="shared" si="166"/>
        <v>0</v>
      </c>
      <c r="Y850" s="57" t="str">
        <f t="shared" si="167"/>
        <v>NIL PLEASE PURCHASE</v>
      </c>
      <c r="Z850" s="68" t="s">
        <v>1539</v>
      </c>
    </row>
    <row r="851" spans="1:26" s="8" customFormat="1" ht="20.100000000000001" customHeight="1" x14ac:dyDescent="0.25">
      <c r="A851" s="69" t="s">
        <v>1817</v>
      </c>
      <c r="B851" s="88">
        <v>1268</v>
      </c>
      <c r="C851" s="90" t="s">
        <v>1432</v>
      </c>
      <c r="D851" s="60">
        <v>0</v>
      </c>
      <c r="E851" s="61">
        <f t="shared" si="156"/>
        <v>0</v>
      </c>
      <c r="F851" s="60">
        <v>0</v>
      </c>
      <c r="G851" s="61">
        <f t="shared" si="157"/>
        <v>0</v>
      </c>
      <c r="H851" s="60">
        <v>0</v>
      </c>
      <c r="I851" s="61">
        <f t="shared" si="158"/>
        <v>0</v>
      </c>
      <c r="J851" s="60">
        <v>0</v>
      </c>
      <c r="K851" s="61">
        <f t="shared" si="159"/>
        <v>0</v>
      </c>
      <c r="L851" s="62">
        <v>0</v>
      </c>
      <c r="M851" s="61">
        <f t="shared" si="160"/>
        <v>0</v>
      </c>
      <c r="N851" s="63">
        <v>0</v>
      </c>
      <c r="O851" s="61">
        <f t="shared" si="161"/>
        <v>0</v>
      </c>
      <c r="P851" s="60">
        <v>0</v>
      </c>
      <c r="Q851" s="61">
        <f t="shared" si="162"/>
        <v>0</v>
      </c>
      <c r="R851" s="60">
        <v>0</v>
      </c>
      <c r="S851" s="61">
        <f t="shared" si="163"/>
        <v>0</v>
      </c>
      <c r="T851" s="60">
        <v>0</v>
      </c>
      <c r="U851" s="64">
        <f t="shared" si="164"/>
        <v>0</v>
      </c>
      <c r="V851" s="65">
        <v>0</v>
      </c>
      <c r="W851" s="66">
        <f t="shared" si="165"/>
        <v>0</v>
      </c>
      <c r="X851" s="67">
        <f t="shared" si="166"/>
        <v>0</v>
      </c>
      <c r="Y851" s="57" t="str">
        <f t="shared" si="167"/>
        <v>NIL PLEASE PURCHASE</v>
      </c>
      <c r="Z851" s="68" t="s">
        <v>1538</v>
      </c>
    </row>
    <row r="852" spans="1:26" s="8" customFormat="1" ht="20.100000000000001" customHeight="1" x14ac:dyDescent="0.25">
      <c r="A852" s="69" t="s">
        <v>1818</v>
      </c>
      <c r="B852" s="88">
        <v>1269</v>
      </c>
      <c r="C852" s="90" t="s">
        <v>1433</v>
      </c>
      <c r="D852" s="60">
        <v>0</v>
      </c>
      <c r="E852" s="61">
        <f t="shared" si="156"/>
        <v>0</v>
      </c>
      <c r="F852" s="60">
        <v>0</v>
      </c>
      <c r="G852" s="61">
        <f t="shared" si="157"/>
        <v>0</v>
      </c>
      <c r="H852" s="60">
        <v>0</v>
      </c>
      <c r="I852" s="61">
        <f t="shared" si="158"/>
        <v>0</v>
      </c>
      <c r="J852" s="60">
        <v>0</v>
      </c>
      <c r="K852" s="61">
        <f t="shared" si="159"/>
        <v>0</v>
      </c>
      <c r="L852" s="62"/>
      <c r="M852" s="61">
        <f t="shared" si="160"/>
        <v>0</v>
      </c>
      <c r="N852" s="63">
        <v>3</v>
      </c>
      <c r="O852" s="61">
        <f t="shared" si="161"/>
        <v>1500</v>
      </c>
      <c r="P852" s="60">
        <v>0</v>
      </c>
      <c r="Q852" s="61">
        <f t="shared" si="162"/>
        <v>0</v>
      </c>
      <c r="R852" s="60">
        <v>0</v>
      </c>
      <c r="S852" s="61">
        <f t="shared" si="163"/>
        <v>0</v>
      </c>
      <c r="T852" s="60">
        <v>0</v>
      </c>
      <c r="U852" s="64">
        <f t="shared" si="164"/>
        <v>0</v>
      </c>
      <c r="V852" s="65">
        <v>0</v>
      </c>
      <c r="W852" s="66">
        <f t="shared" si="165"/>
        <v>1500</v>
      </c>
      <c r="X852" s="67">
        <f t="shared" si="166"/>
        <v>1.5</v>
      </c>
      <c r="Y852" s="57" t="str">
        <f t="shared" si="167"/>
        <v>STOCK</v>
      </c>
      <c r="Z852" s="68" t="s">
        <v>1538</v>
      </c>
    </row>
    <row r="853" spans="1:26" s="8" customFormat="1" ht="20.100000000000001" customHeight="1" x14ac:dyDescent="0.25">
      <c r="A853" s="69" t="s">
        <v>1819</v>
      </c>
      <c r="B853" s="88">
        <v>1270</v>
      </c>
      <c r="C853" s="90" t="s">
        <v>1434</v>
      </c>
      <c r="D853" s="60">
        <v>0</v>
      </c>
      <c r="E853" s="61">
        <f t="shared" si="156"/>
        <v>0</v>
      </c>
      <c r="F853" s="60">
        <v>0</v>
      </c>
      <c r="G853" s="61">
        <f t="shared" si="157"/>
        <v>0</v>
      </c>
      <c r="H853" s="60">
        <v>0</v>
      </c>
      <c r="I853" s="61">
        <f t="shared" si="158"/>
        <v>0</v>
      </c>
      <c r="J853" s="60">
        <v>1</v>
      </c>
      <c r="K853" s="61">
        <f t="shared" si="159"/>
        <v>100</v>
      </c>
      <c r="L853" s="62"/>
      <c r="M853" s="61">
        <f t="shared" si="160"/>
        <v>0</v>
      </c>
      <c r="N853" s="63">
        <v>1</v>
      </c>
      <c r="O853" s="61">
        <f t="shared" si="161"/>
        <v>500</v>
      </c>
      <c r="P853" s="60">
        <v>0</v>
      </c>
      <c r="Q853" s="61">
        <f t="shared" si="162"/>
        <v>0</v>
      </c>
      <c r="R853" s="60">
        <v>0</v>
      </c>
      <c r="S853" s="61">
        <f t="shared" si="163"/>
        <v>0</v>
      </c>
      <c r="T853" s="60">
        <v>0</v>
      </c>
      <c r="U853" s="64">
        <f t="shared" si="164"/>
        <v>0</v>
      </c>
      <c r="V853" s="65">
        <v>0</v>
      </c>
      <c r="W853" s="66">
        <f t="shared" si="165"/>
        <v>600</v>
      </c>
      <c r="X853" s="67">
        <f t="shared" si="166"/>
        <v>0.6</v>
      </c>
      <c r="Y853" s="57" t="str">
        <f t="shared" si="167"/>
        <v>STOCK</v>
      </c>
      <c r="Z853" s="68" t="s">
        <v>1538</v>
      </c>
    </row>
    <row r="854" spans="1:26" s="8" customFormat="1" ht="20.100000000000001" customHeight="1" x14ac:dyDescent="0.25">
      <c r="A854" s="69" t="s">
        <v>1820</v>
      </c>
      <c r="B854" s="88">
        <v>1271</v>
      </c>
      <c r="C854" s="90" t="s">
        <v>1435</v>
      </c>
      <c r="D854" s="60">
        <v>0</v>
      </c>
      <c r="E854" s="61">
        <f t="shared" si="156"/>
        <v>0</v>
      </c>
      <c r="F854" s="60">
        <v>0</v>
      </c>
      <c r="G854" s="61">
        <f t="shared" si="157"/>
        <v>0</v>
      </c>
      <c r="H854" s="60">
        <v>0</v>
      </c>
      <c r="I854" s="61">
        <f t="shared" si="158"/>
        <v>0</v>
      </c>
      <c r="J854" s="60">
        <v>0</v>
      </c>
      <c r="K854" s="61">
        <f t="shared" si="159"/>
        <v>0</v>
      </c>
      <c r="L854" s="62"/>
      <c r="M854" s="61"/>
      <c r="N854" s="63">
        <v>0</v>
      </c>
      <c r="O854" s="61">
        <f t="shared" si="161"/>
        <v>0</v>
      </c>
      <c r="P854" s="60">
        <v>0</v>
      </c>
      <c r="Q854" s="61">
        <f t="shared" si="162"/>
        <v>0</v>
      </c>
      <c r="R854" s="60">
        <v>0</v>
      </c>
      <c r="S854" s="61">
        <f t="shared" si="163"/>
        <v>0</v>
      </c>
      <c r="T854" s="60">
        <v>0</v>
      </c>
      <c r="U854" s="64">
        <f t="shared" si="164"/>
        <v>0</v>
      </c>
      <c r="V854" s="65">
        <v>0</v>
      </c>
      <c r="W854" s="66">
        <f t="shared" si="165"/>
        <v>0</v>
      </c>
      <c r="X854" s="67">
        <f t="shared" si="166"/>
        <v>0</v>
      </c>
      <c r="Y854" s="57" t="str">
        <f t="shared" si="167"/>
        <v>NIL PLEASE PURCHASE</v>
      </c>
      <c r="Z854" s="68" t="s">
        <v>1539</v>
      </c>
    </row>
    <row r="855" spans="1:26" s="8" customFormat="1" ht="20.100000000000001" customHeight="1" x14ac:dyDescent="0.25">
      <c r="A855" s="69" t="s">
        <v>1821</v>
      </c>
      <c r="B855" s="88">
        <v>1272</v>
      </c>
      <c r="C855" s="90" t="s">
        <v>1436</v>
      </c>
      <c r="D855" s="60">
        <v>0</v>
      </c>
      <c r="E855" s="61">
        <f t="shared" si="156"/>
        <v>0</v>
      </c>
      <c r="F855" s="60">
        <v>0</v>
      </c>
      <c r="G855" s="61">
        <f t="shared" si="157"/>
        <v>0</v>
      </c>
      <c r="H855" s="60">
        <v>0</v>
      </c>
      <c r="I855" s="61">
        <f t="shared" si="158"/>
        <v>0</v>
      </c>
      <c r="J855" s="60">
        <v>0</v>
      </c>
      <c r="K855" s="61">
        <f t="shared" si="159"/>
        <v>0</v>
      </c>
      <c r="L855" s="62"/>
      <c r="M855" s="61">
        <f t="shared" si="160"/>
        <v>0</v>
      </c>
      <c r="N855" s="63">
        <v>1</v>
      </c>
      <c r="O855" s="61">
        <f t="shared" si="161"/>
        <v>500</v>
      </c>
      <c r="P855" s="60">
        <v>0</v>
      </c>
      <c r="Q855" s="61">
        <f t="shared" si="162"/>
        <v>0</v>
      </c>
      <c r="R855" s="60">
        <v>0</v>
      </c>
      <c r="S855" s="61">
        <f t="shared" si="163"/>
        <v>0</v>
      </c>
      <c r="T855" s="60">
        <v>0</v>
      </c>
      <c r="U855" s="64">
        <f t="shared" si="164"/>
        <v>0</v>
      </c>
      <c r="V855" s="65">
        <v>0</v>
      </c>
      <c r="W855" s="66">
        <f t="shared" si="165"/>
        <v>500</v>
      </c>
      <c r="X855" s="67">
        <f t="shared" si="166"/>
        <v>0.5</v>
      </c>
      <c r="Y855" s="57" t="str">
        <f t="shared" si="167"/>
        <v>STOCK</v>
      </c>
      <c r="Z855" s="68" t="s">
        <v>1538</v>
      </c>
    </row>
    <row r="856" spans="1:26" s="8" customFormat="1" ht="20.100000000000001" customHeight="1" x14ac:dyDescent="0.25">
      <c r="A856" s="69" t="s">
        <v>1822</v>
      </c>
      <c r="B856" s="88">
        <v>1273</v>
      </c>
      <c r="C856" s="90" t="s">
        <v>1437</v>
      </c>
      <c r="D856" s="60">
        <v>0</v>
      </c>
      <c r="E856" s="61">
        <f t="shared" si="156"/>
        <v>0</v>
      </c>
      <c r="F856" s="60">
        <v>2</v>
      </c>
      <c r="G856" s="61">
        <f t="shared" si="157"/>
        <v>50</v>
      </c>
      <c r="H856" s="60">
        <v>0</v>
      </c>
      <c r="I856" s="61">
        <f t="shared" si="158"/>
        <v>0</v>
      </c>
      <c r="J856" s="60">
        <v>0</v>
      </c>
      <c r="K856" s="61">
        <f t="shared" si="159"/>
        <v>0</v>
      </c>
      <c r="L856" s="62"/>
      <c r="M856" s="61">
        <f t="shared" si="160"/>
        <v>0</v>
      </c>
      <c r="N856" s="63">
        <v>0</v>
      </c>
      <c r="O856" s="61">
        <f t="shared" si="161"/>
        <v>0</v>
      </c>
      <c r="P856" s="60">
        <v>0</v>
      </c>
      <c r="Q856" s="61">
        <f t="shared" si="162"/>
        <v>0</v>
      </c>
      <c r="R856" s="60">
        <v>0</v>
      </c>
      <c r="S856" s="61">
        <f t="shared" si="163"/>
        <v>0</v>
      </c>
      <c r="T856" s="60">
        <v>0</v>
      </c>
      <c r="U856" s="64">
        <f t="shared" si="164"/>
        <v>0</v>
      </c>
      <c r="V856" s="65">
        <v>0</v>
      </c>
      <c r="W856" s="66">
        <f t="shared" si="165"/>
        <v>50</v>
      </c>
      <c r="X856" s="67">
        <f t="shared" si="166"/>
        <v>0.05</v>
      </c>
      <c r="Y856" s="57" t="str">
        <f t="shared" si="167"/>
        <v>STOCK</v>
      </c>
      <c r="Z856" s="68" t="s">
        <v>1538</v>
      </c>
    </row>
    <row r="857" spans="1:26" s="8" customFormat="1" ht="20.100000000000001" customHeight="1" x14ac:dyDescent="0.25">
      <c r="A857" s="69" t="s">
        <v>1823</v>
      </c>
      <c r="B857" s="88">
        <v>1274</v>
      </c>
      <c r="C857" s="90" t="s">
        <v>1438</v>
      </c>
      <c r="D857" s="60">
        <v>0</v>
      </c>
      <c r="E857" s="61">
        <f t="shared" si="156"/>
        <v>0</v>
      </c>
      <c r="F857" s="60">
        <v>0</v>
      </c>
      <c r="G857" s="61">
        <f t="shared" si="157"/>
        <v>0</v>
      </c>
      <c r="H857" s="60">
        <v>0</v>
      </c>
      <c r="I857" s="61">
        <f t="shared" si="158"/>
        <v>0</v>
      </c>
      <c r="J857" s="60">
        <v>0</v>
      </c>
      <c r="K857" s="61">
        <f t="shared" si="159"/>
        <v>0</v>
      </c>
      <c r="L857" s="62"/>
      <c r="M857" s="61">
        <f t="shared" si="160"/>
        <v>0</v>
      </c>
      <c r="N857" s="63">
        <v>0</v>
      </c>
      <c r="O857" s="61">
        <f t="shared" si="161"/>
        <v>0</v>
      </c>
      <c r="P857" s="60">
        <v>0</v>
      </c>
      <c r="Q857" s="61">
        <f t="shared" si="162"/>
        <v>0</v>
      </c>
      <c r="R857" s="60">
        <v>0</v>
      </c>
      <c r="S857" s="61">
        <f t="shared" si="163"/>
        <v>0</v>
      </c>
      <c r="T857" s="60">
        <v>0</v>
      </c>
      <c r="U857" s="64">
        <f t="shared" si="164"/>
        <v>0</v>
      </c>
      <c r="V857" s="65">
        <v>0</v>
      </c>
      <c r="W857" s="66">
        <f t="shared" si="165"/>
        <v>0</v>
      </c>
      <c r="X857" s="67">
        <f t="shared" si="166"/>
        <v>0</v>
      </c>
      <c r="Y857" s="57" t="str">
        <f t="shared" si="167"/>
        <v>NIL PLEASE PURCHASE</v>
      </c>
      <c r="Z857" s="68" t="s">
        <v>1539</v>
      </c>
    </row>
    <row r="858" spans="1:26" s="8" customFormat="1" ht="20.100000000000001" customHeight="1" x14ac:dyDescent="0.25">
      <c r="A858" s="69" t="s">
        <v>1824</v>
      </c>
      <c r="B858" s="88">
        <v>1275</v>
      </c>
      <c r="C858" s="90" t="s">
        <v>1439</v>
      </c>
      <c r="D858" s="60">
        <v>0</v>
      </c>
      <c r="E858" s="61">
        <f t="shared" si="156"/>
        <v>0</v>
      </c>
      <c r="F858" s="60">
        <v>0</v>
      </c>
      <c r="G858" s="61">
        <f t="shared" si="157"/>
        <v>0</v>
      </c>
      <c r="H858" s="60">
        <v>0</v>
      </c>
      <c r="I858" s="61">
        <f t="shared" si="158"/>
        <v>0</v>
      </c>
      <c r="J858" s="60">
        <v>0</v>
      </c>
      <c r="K858" s="61">
        <f t="shared" si="159"/>
        <v>0</v>
      </c>
      <c r="L858" s="62"/>
      <c r="M858" s="61">
        <f t="shared" si="160"/>
        <v>0</v>
      </c>
      <c r="N858" s="63">
        <v>0</v>
      </c>
      <c r="O858" s="61">
        <f t="shared" si="161"/>
        <v>0</v>
      </c>
      <c r="P858" s="60">
        <v>0</v>
      </c>
      <c r="Q858" s="61">
        <f t="shared" si="162"/>
        <v>0</v>
      </c>
      <c r="R858" s="60">
        <v>0</v>
      </c>
      <c r="S858" s="61">
        <f t="shared" si="163"/>
        <v>0</v>
      </c>
      <c r="T858" s="60">
        <v>0</v>
      </c>
      <c r="U858" s="64">
        <f t="shared" si="164"/>
        <v>0</v>
      </c>
      <c r="V858" s="65">
        <v>0</v>
      </c>
      <c r="W858" s="66">
        <f t="shared" si="165"/>
        <v>0</v>
      </c>
      <c r="X858" s="67">
        <f t="shared" si="166"/>
        <v>0</v>
      </c>
      <c r="Y858" s="57" t="str">
        <f t="shared" si="167"/>
        <v>NIL PLEASE PURCHASE</v>
      </c>
      <c r="Z858" s="68" t="s">
        <v>1539</v>
      </c>
    </row>
    <row r="859" spans="1:26" s="8" customFormat="1" ht="20.100000000000001" customHeight="1" x14ac:dyDescent="0.25">
      <c r="A859" s="69" t="s">
        <v>1825</v>
      </c>
      <c r="B859" s="88">
        <v>1276</v>
      </c>
      <c r="C859" s="90" t="s">
        <v>1440</v>
      </c>
      <c r="D859" s="60">
        <v>0</v>
      </c>
      <c r="E859" s="61">
        <f t="shared" si="156"/>
        <v>0</v>
      </c>
      <c r="F859" s="60">
        <v>0</v>
      </c>
      <c r="G859" s="61">
        <f t="shared" si="157"/>
        <v>0</v>
      </c>
      <c r="H859" s="60">
        <v>0</v>
      </c>
      <c r="I859" s="61">
        <f t="shared" si="158"/>
        <v>0</v>
      </c>
      <c r="J859" s="60">
        <v>0</v>
      </c>
      <c r="K859" s="61">
        <f t="shared" si="159"/>
        <v>0</v>
      </c>
      <c r="L859" s="62"/>
      <c r="M859" s="61">
        <f t="shared" si="160"/>
        <v>0</v>
      </c>
      <c r="N859" s="63">
        <v>0</v>
      </c>
      <c r="O859" s="61">
        <f t="shared" si="161"/>
        <v>0</v>
      </c>
      <c r="P859" s="60">
        <v>0</v>
      </c>
      <c r="Q859" s="61">
        <f t="shared" si="162"/>
        <v>0</v>
      </c>
      <c r="R859" s="60">
        <v>0</v>
      </c>
      <c r="S859" s="61">
        <f t="shared" si="163"/>
        <v>0</v>
      </c>
      <c r="T859" s="60">
        <v>0</v>
      </c>
      <c r="U859" s="64">
        <f t="shared" si="164"/>
        <v>0</v>
      </c>
      <c r="V859" s="65">
        <v>0</v>
      </c>
      <c r="W859" s="66">
        <f t="shared" si="165"/>
        <v>0</v>
      </c>
      <c r="X859" s="67">
        <f t="shared" si="166"/>
        <v>0</v>
      </c>
      <c r="Y859" s="57" t="str">
        <f t="shared" si="167"/>
        <v>NIL PLEASE PURCHASE</v>
      </c>
      <c r="Z859" s="68" t="s">
        <v>1539</v>
      </c>
    </row>
    <row r="860" spans="1:26" s="8" customFormat="1" ht="20.100000000000001" customHeight="1" x14ac:dyDescent="0.25">
      <c r="A860" s="69" t="s">
        <v>1826</v>
      </c>
      <c r="B860" s="88">
        <v>1277</v>
      </c>
      <c r="C860" s="90" t="s">
        <v>1441</v>
      </c>
      <c r="D860" s="60">
        <v>0</v>
      </c>
      <c r="E860" s="61">
        <f t="shared" si="156"/>
        <v>0</v>
      </c>
      <c r="F860" s="60">
        <v>1</v>
      </c>
      <c r="G860" s="61">
        <f t="shared" si="157"/>
        <v>25</v>
      </c>
      <c r="H860" s="60">
        <v>0</v>
      </c>
      <c r="I860" s="61">
        <f t="shared" si="158"/>
        <v>0</v>
      </c>
      <c r="J860" s="60">
        <v>0</v>
      </c>
      <c r="K860" s="61">
        <f t="shared" si="159"/>
        <v>0</v>
      </c>
      <c r="L860" s="62">
        <v>1</v>
      </c>
      <c r="M860" s="61">
        <f t="shared" si="160"/>
        <v>250</v>
      </c>
      <c r="N860" s="63">
        <v>0</v>
      </c>
      <c r="O860" s="61">
        <f t="shared" si="161"/>
        <v>0</v>
      </c>
      <c r="P860" s="60">
        <v>0</v>
      </c>
      <c r="Q860" s="61">
        <f t="shared" si="162"/>
        <v>0</v>
      </c>
      <c r="R860" s="60">
        <v>0</v>
      </c>
      <c r="S860" s="61">
        <f t="shared" si="163"/>
        <v>0</v>
      </c>
      <c r="T860" s="60">
        <v>0</v>
      </c>
      <c r="U860" s="64">
        <f t="shared" si="164"/>
        <v>0</v>
      </c>
      <c r="V860" s="65">
        <v>0</v>
      </c>
      <c r="W860" s="66">
        <f t="shared" si="165"/>
        <v>275</v>
      </c>
      <c r="X860" s="67">
        <f t="shared" si="166"/>
        <v>0.27500000000000002</v>
      </c>
      <c r="Y860" s="57" t="str">
        <f t="shared" si="167"/>
        <v>STOCK</v>
      </c>
      <c r="Z860" s="68" t="s">
        <v>1538</v>
      </c>
    </row>
    <row r="861" spans="1:26" s="8" customFormat="1" ht="20.100000000000001" customHeight="1" x14ac:dyDescent="0.25">
      <c r="A861" s="69" t="s">
        <v>1827</v>
      </c>
      <c r="B861" s="88">
        <v>1278</v>
      </c>
      <c r="C861" s="90" t="s">
        <v>1442</v>
      </c>
      <c r="D861" s="60">
        <v>0</v>
      </c>
      <c r="E861" s="61">
        <f t="shared" si="156"/>
        <v>0</v>
      </c>
      <c r="F861" s="60">
        <v>0</v>
      </c>
      <c r="G861" s="61">
        <f t="shared" si="157"/>
        <v>0</v>
      </c>
      <c r="H861" s="60">
        <v>0</v>
      </c>
      <c r="I861" s="61">
        <f t="shared" si="158"/>
        <v>0</v>
      </c>
      <c r="J861" s="60">
        <v>0</v>
      </c>
      <c r="K861" s="61">
        <f t="shared" si="159"/>
        <v>0</v>
      </c>
      <c r="L861" s="62"/>
      <c r="M861" s="61">
        <f t="shared" si="160"/>
        <v>0</v>
      </c>
      <c r="N861" s="63">
        <v>0</v>
      </c>
      <c r="O861" s="61">
        <f t="shared" si="161"/>
        <v>0</v>
      </c>
      <c r="P861" s="60">
        <v>0</v>
      </c>
      <c r="Q861" s="61">
        <f t="shared" si="162"/>
        <v>0</v>
      </c>
      <c r="R861" s="60">
        <v>0</v>
      </c>
      <c r="S861" s="61">
        <f t="shared" si="163"/>
        <v>0</v>
      </c>
      <c r="T861" s="60">
        <v>0</v>
      </c>
      <c r="U861" s="64">
        <f t="shared" si="164"/>
        <v>0</v>
      </c>
      <c r="V861" s="65">
        <v>0</v>
      </c>
      <c r="W861" s="66">
        <f t="shared" si="165"/>
        <v>0</v>
      </c>
      <c r="X861" s="67">
        <f t="shared" si="166"/>
        <v>0</v>
      </c>
      <c r="Y861" s="57" t="str">
        <f t="shared" si="167"/>
        <v>NIL PLEASE PURCHASE</v>
      </c>
      <c r="Z861" s="68" t="s">
        <v>1539</v>
      </c>
    </row>
    <row r="862" spans="1:26" s="8" customFormat="1" ht="20.100000000000001" customHeight="1" x14ac:dyDescent="0.25">
      <c r="A862" s="69" t="s">
        <v>1828</v>
      </c>
      <c r="B862" s="88">
        <v>1279</v>
      </c>
      <c r="C862" s="90" t="s">
        <v>1443</v>
      </c>
      <c r="D862" s="60">
        <v>0</v>
      </c>
      <c r="E862" s="61">
        <f t="shared" si="156"/>
        <v>0</v>
      </c>
      <c r="F862" s="60">
        <v>0</v>
      </c>
      <c r="G862" s="61">
        <f t="shared" si="157"/>
        <v>0</v>
      </c>
      <c r="H862" s="60">
        <v>0</v>
      </c>
      <c r="I862" s="61">
        <f t="shared" si="158"/>
        <v>0</v>
      </c>
      <c r="J862" s="60">
        <v>0</v>
      </c>
      <c r="K862" s="61">
        <f t="shared" si="159"/>
        <v>0</v>
      </c>
      <c r="L862" s="62">
        <v>2</v>
      </c>
      <c r="M862" s="61">
        <f t="shared" si="160"/>
        <v>500</v>
      </c>
      <c r="N862" s="63">
        <v>0</v>
      </c>
      <c r="O862" s="61">
        <f t="shared" si="161"/>
        <v>0</v>
      </c>
      <c r="P862" s="60">
        <v>0</v>
      </c>
      <c r="Q862" s="61">
        <f t="shared" si="162"/>
        <v>0</v>
      </c>
      <c r="R862" s="60">
        <v>0</v>
      </c>
      <c r="S862" s="61">
        <f t="shared" si="163"/>
        <v>0</v>
      </c>
      <c r="T862" s="60">
        <v>0</v>
      </c>
      <c r="U862" s="64">
        <f t="shared" si="164"/>
        <v>0</v>
      </c>
      <c r="V862" s="65">
        <v>0</v>
      </c>
      <c r="W862" s="66">
        <f t="shared" si="165"/>
        <v>500</v>
      </c>
      <c r="X862" s="67">
        <f t="shared" si="166"/>
        <v>0.5</v>
      </c>
      <c r="Y862" s="57" t="str">
        <f t="shared" si="167"/>
        <v>STOCK</v>
      </c>
      <c r="Z862" s="68" t="s">
        <v>1538</v>
      </c>
    </row>
    <row r="863" spans="1:26" s="8" customFormat="1" ht="20.100000000000001" customHeight="1" x14ac:dyDescent="0.25">
      <c r="A863" s="69" t="s">
        <v>1829</v>
      </c>
      <c r="B863" s="88">
        <v>1280</v>
      </c>
      <c r="C863" s="90" t="s">
        <v>1444</v>
      </c>
      <c r="D863" s="60">
        <v>0</v>
      </c>
      <c r="E863" s="61">
        <f t="shared" si="156"/>
        <v>0</v>
      </c>
      <c r="F863" s="60">
        <v>0</v>
      </c>
      <c r="G863" s="61">
        <f t="shared" si="157"/>
        <v>0</v>
      </c>
      <c r="H863" s="60">
        <v>0</v>
      </c>
      <c r="I863" s="61">
        <f t="shared" si="158"/>
        <v>0</v>
      </c>
      <c r="J863" s="60">
        <v>3</v>
      </c>
      <c r="K863" s="61">
        <f t="shared" si="159"/>
        <v>300</v>
      </c>
      <c r="L863" s="62"/>
      <c r="M863" s="61">
        <f t="shared" si="160"/>
        <v>0</v>
      </c>
      <c r="N863" s="63">
        <v>0</v>
      </c>
      <c r="O863" s="61">
        <f t="shared" si="161"/>
        <v>0</v>
      </c>
      <c r="P863" s="60">
        <v>0</v>
      </c>
      <c r="Q863" s="61">
        <f t="shared" si="162"/>
        <v>0</v>
      </c>
      <c r="R863" s="60">
        <v>0</v>
      </c>
      <c r="S863" s="61">
        <f t="shared" si="163"/>
        <v>0</v>
      </c>
      <c r="T863" s="60">
        <v>0</v>
      </c>
      <c r="U863" s="64">
        <f t="shared" si="164"/>
        <v>0</v>
      </c>
      <c r="V863" s="65">
        <v>0</v>
      </c>
      <c r="W863" s="66">
        <f t="shared" si="165"/>
        <v>300</v>
      </c>
      <c r="X863" s="67">
        <f t="shared" si="166"/>
        <v>0.3</v>
      </c>
      <c r="Y863" s="57" t="str">
        <f t="shared" si="167"/>
        <v>STOCK</v>
      </c>
      <c r="Z863" s="68" t="s">
        <v>1538</v>
      </c>
    </row>
    <row r="864" spans="1:26" s="8" customFormat="1" ht="20.100000000000001" customHeight="1" x14ac:dyDescent="0.25">
      <c r="A864" s="69" t="s">
        <v>1830</v>
      </c>
      <c r="B864" s="88">
        <v>1281</v>
      </c>
      <c r="C864" s="90" t="s">
        <v>1445</v>
      </c>
      <c r="D864" s="60">
        <v>0</v>
      </c>
      <c r="E864" s="61">
        <f t="shared" si="156"/>
        <v>0</v>
      </c>
      <c r="F864" s="60">
        <v>0</v>
      </c>
      <c r="G864" s="61">
        <f t="shared" si="157"/>
        <v>0</v>
      </c>
      <c r="H864" s="60">
        <v>0</v>
      </c>
      <c r="I864" s="61">
        <f t="shared" si="158"/>
        <v>0</v>
      </c>
      <c r="J864" s="60">
        <v>0</v>
      </c>
      <c r="K864" s="61">
        <f t="shared" si="159"/>
        <v>0</v>
      </c>
      <c r="L864" s="62"/>
      <c r="M864" s="61">
        <f t="shared" si="160"/>
        <v>0</v>
      </c>
      <c r="N864" s="63">
        <v>0</v>
      </c>
      <c r="O864" s="61">
        <f t="shared" si="161"/>
        <v>0</v>
      </c>
      <c r="P864" s="60">
        <v>0</v>
      </c>
      <c r="Q864" s="61">
        <f t="shared" si="162"/>
        <v>0</v>
      </c>
      <c r="R864" s="60">
        <v>0</v>
      </c>
      <c r="S864" s="61">
        <f t="shared" si="163"/>
        <v>0</v>
      </c>
      <c r="T864" s="60">
        <v>0</v>
      </c>
      <c r="U864" s="64">
        <f t="shared" si="164"/>
        <v>0</v>
      </c>
      <c r="V864" s="65">
        <v>0</v>
      </c>
      <c r="W864" s="66">
        <f t="shared" si="165"/>
        <v>0</v>
      </c>
      <c r="X864" s="67">
        <f t="shared" si="166"/>
        <v>0</v>
      </c>
      <c r="Y864" s="57" t="str">
        <f t="shared" si="167"/>
        <v>NIL PLEASE PURCHASE</v>
      </c>
      <c r="Z864" s="68" t="s">
        <v>1539</v>
      </c>
    </row>
    <row r="865" spans="1:26" s="8" customFormat="1" ht="20.100000000000001" customHeight="1" x14ac:dyDescent="0.25">
      <c r="A865" s="69" t="s">
        <v>1831</v>
      </c>
      <c r="B865" s="88">
        <v>1282</v>
      </c>
      <c r="C865" s="90" t="s">
        <v>1446</v>
      </c>
      <c r="D865" s="60">
        <v>0</v>
      </c>
      <c r="E865" s="61">
        <f t="shared" si="156"/>
        <v>0</v>
      </c>
      <c r="F865" s="60">
        <v>0</v>
      </c>
      <c r="G865" s="61">
        <f t="shared" si="157"/>
        <v>0</v>
      </c>
      <c r="H865" s="60">
        <v>7</v>
      </c>
      <c r="I865" s="61">
        <f t="shared" si="158"/>
        <v>350</v>
      </c>
      <c r="J865" s="60">
        <v>0</v>
      </c>
      <c r="K865" s="61">
        <f t="shared" si="159"/>
        <v>0</v>
      </c>
      <c r="L865" s="62"/>
      <c r="M865" s="61">
        <f t="shared" si="160"/>
        <v>0</v>
      </c>
      <c r="N865" s="63">
        <v>0</v>
      </c>
      <c r="O865" s="61">
        <f t="shared" si="161"/>
        <v>0</v>
      </c>
      <c r="P865" s="60">
        <v>0</v>
      </c>
      <c r="Q865" s="61">
        <f t="shared" si="162"/>
        <v>0</v>
      </c>
      <c r="R865" s="60">
        <v>0</v>
      </c>
      <c r="S865" s="61">
        <f t="shared" si="163"/>
        <v>0</v>
      </c>
      <c r="T865" s="60">
        <v>0</v>
      </c>
      <c r="U865" s="64">
        <f t="shared" si="164"/>
        <v>0</v>
      </c>
      <c r="V865" s="65">
        <v>0</v>
      </c>
      <c r="W865" s="66">
        <f t="shared" si="165"/>
        <v>350</v>
      </c>
      <c r="X865" s="67">
        <f t="shared" si="166"/>
        <v>0.35</v>
      </c>
      <c r="Y865" s="57" t="str">
        <f t="shared" si="167"/>
        <v>STOCK</v>
      </c>
      <c r="Z865" s="68" t="s">
        <v>1538</v>
      </c>
    </row>
    <row r="866" spans="1:26" s="8" customFormat="1" ht="20.100000000000001" customHeight="1" x14ac:dyDescent="0.25">
      <c r="A866" s="69" t="s">
        <v>1832</v>
      </c>
      <c r="B866" s="88">
        <v>1283</v>
      </c>
      <c r="C866" s="90" t="s">
        <v>1447</v>
      </c>
      <c r="D866" s="60">
        <v>0</v>
      </c>
      <c r="E866" s="61">
        <f t="shared" si="156"/>
        <v>0</v>
      </c>
      <c r="F866" s="60">
        <v>0</v>
      </c>
      <c r="G866" s="61">
        <f t="shared" si="157"/>
        <v>0</v>
      </c>
      <c r="H866" s="60">
        <v>0</v>
      </c>
      <c r="I866" s="61">
        <f t="shared" si="158"/>
        <v>0</v>
      </c>
      <c r="J866" s="60">
        <v>0</v>
      </c>
      <c r="K866" s="61">
        <f t="shared" si="159"/>
        <v>0</v>
      </c>
      <c r="L866" s="62"/>
      <c r="M866" s="61">
        <f t="shared" si="160"/>
        <v>0</v>
      </c>
      <c r="N866" s="63">
        <v>6</v>
      </c>
      <c r="O866" s="61">
        <f t="shared" si="161"/>
        <v>3000</v>
      </c>
      <c r="P866" s="60">
        <v>0</v>
      </c>
      <c r="Q866" s="61">
        <f t="shared" si="162"/>
        <v>0</v>
      </c>
      <c r="R866" s="60">
        <v>0</v>
      </c>
      <c r="S866" s="61">
        <f t="shared" si="163"/>
        <v>0</v>
      </c>
      <c r="T866" s="60">
        <v>0</v>
      </c>
      <c r="U866" s="64">
        <f t="shared" si="164"/>
        <v>0</v>
      </c>
      <c r="V866" s="65">
        <v>0</v>
      </c>
      <c r="W866" s="66">
        <f t="shared" si="165"/>
        <v>3000</v>
      </c>
      <c r="X866" s="67">
        <f t="shared" si="166"/>
        <v>3</v>
      </c>
      <c r="Y866" s="57" t="str">
        <f t="shared" si="167"/>
        <v>STOCK</v>
      </c>
      <c r="Z866" s="68" t="s">
        <v>1538</v>
      </c>
    </row>
    <row r="867" spans="1:26" s="8" customFormat="1" ht="20.100000000000001" customHeight="1" x14ac:dyDescent="0.25">
      <c r="A867" s="69" t="s">
        <v>1833</v>
      </c>
      <c r="B867" s="88">
        <v>1284</v>
      </c>
      <c r="C867" s="90" t="s">
        <v>1448</v>
      </c>
      <c r="D867" s="60">
        <v>0</v>
      </c>
      <c r="E867" s="61">
        <f t="shared" si="156"/>
        <v>0</v>
      </c>
      <c r="F867" s="60">
        <v>0</v>
      </c>
      <c r="G867" s="61">
        <f t="shared" si="157"/>
        <v>0</v>
      </c>
      <c r="H867" s="60">
        <v>0</v>
      </c>
      <c r="I867" s="61">
        <f t="shared" si="158"/>
        <v>0</v>
      </c>
      <c r="J867" s="60">
        <v>0</v>
      </c>
      <c r="K867" s="61">
        <f t="shared" si="159"/>
        <v>0</v>
      </c>
      <c r="L867" s="62"/>
      <c r="M867" s="61">
        <f t="shared" si="160"/>
        <v>0</v>
      </c>
      <c r="N867" s="63">
        <v>5</v>
      </c>
      <c r="O867" s="61">
        <f t="shared" si="161"/>
        <v>2500</v>
      </c>
      <c r="P867" s="60">
        <v>0</v>
      </c>
      <c r="Q867" s="61">
        <f t="shared" si="162"/>
        <v>0</v>
      </c>
      <c r="R867" s="60">
        <v>0</v>
      </c>
      <c r="S867" s="61">
        <f t="shared" si="163"/>
        <v>0</v>
      </c>
      <c r="T867" s="60">
        <v>0</v>
      </c>
      <c r="U867" s="64">
        <f t="shared" si="164"/>
        <v>0</v>
      </c>
      <c r="V867" s="65">
        <v>0</v>
      </c>
      <c r="W867" s="66">
        <f t="shared" si="165"/>
        <v>2500</v>
      </c>
      <c r="X867" s="67">
        <f t="shared" si="166"/>
        <v>2.5</v>
      </c>
      <c r="Y867" s="57" t="str">
        <f t="shared" si="167"/>
        <v>STOCK</v>
      </c>
      <c r="Z867" s="68" t="s">
        <v>1538</v>
      </c>
    </row>
    <row r="868" spans="1:26" s="8" customFormat="1" ht="20.100000000000001" customHeight="1" x14ac:dyDescent="0.25">
      <c r="A868" s="69" t="s">
        <v>1834</v>
      </c>
      <c r="B868" s="88">
        <v>1285</v>
      </c>
      <c r="C868" s="90" t="s">
        <v>1449</v>
      </c>
      <c r="D868" s="60">
        <v>0</v>
      </c>
      <c r="E868" s="61">
        <f t="shared" si="156"/>
        <v>0</v>
      </c>
      <c r="F868" s="60">
        <v>0</v>
      </c>
      <c r="G868" s="61">
        <f t="shared" si="157"/>
        <v>0</v>
      </c>
      <c r="H868" s="60">
        <v>2</v>
      </c>
      <c r="I868" s="61">
        <f t="shared" si="158"/>
        <v>100</v>
      </c>
      <c r="J868" s="60">
        <v>0</v>
      </c>
      <c r="K868" s="61">
        <f t="shared" si="159"/>
        <v>0</v>
      </c>
      <c r="L868" s="62"/>
      <c r="M868" s="61">
        <f t="shared" si="160"/>
        <v>0</v>
      </c>
      <c r="N868" s="63">
        <v>0</v>
      </c>
      <c r="O868" s="61">
        <f t="shared" si="161"/>
        <v>0</v>
      </c>
      <c r="P868" s="60">
        <v>0</v>
      </c>
      <c r="Q868" s="61">
        <f t="shared" si="162"/>
        <v>0</v>
      </c>
      <c r="R868" s="60">
        <v>0</v>
      </c>
      <c r="S868" s="61">
        <f t="shared" si="163"/>
        <v>0</v>
      </c>
      <c r="T868" s="60">
        <v>0</v>
      </c>
      <c r="U868" s="64">
        <f t="shared" si="164"/>
        <v>0</v>
      </c>
      <c r="V868" s="65">
        <v>0</v>
      </c>
      <c r="W868" s="66">
        <f t="shared" si="165"/>
        <v>100</v>
      </c>
      <c r="X868" s="67">
        <f t="shared" si="166"/>
        <v>0.1</v>
      </c>
      <c r="Y868" s="57" t="str">
        <f t="shared" si="167"/>
        <v>STOCK</v>
      </c>
      <c r="Z868" s="68" t="s">
        <v>1538</v>
      </c>
    </row>
    <row r="869" spans="1:26" s="8" customFormat="1" ht="20.100000000000001" customHeight="1" x14ac:dyDescent="0.25">
      <c r="A869" s="69" t="s">
        <v>1835</v>
      </c>
      <c r="B869" s="88">
        <v>1286</v>
      </c>
      <c r="C869" s="90" t="s">
        <v>1450</v>
      </c>
      <c r="D869" s="60">
        <v>0</v>
      </c>
      <c r="E869" s="61">
        <f t="shared" si="156"/>
        <v>0</v>
      </c>
      <c r="F869" s="60">
        <v>0</v>
      </c>
      <c r="G869" s="61">
        <f t="shared" si="157"/>
        <v>0</v>
      </c>
      <c r="H869" s="60">
        <v>0</v>
      </c>
      <c r="I869" s="61">
        <f t="shared" si="158"/>
        <v>0</v>
      </c>
      <c r="J869" s="60">
        <v>0</v>
      </c>
      <c r="K869" s="61">
        <f t="shared" si="159"/>
        <v>0</v>
      </c>
      <c r="L869" s="62"/>
      <c r="M869" s="61">
        <f t="shared" si="160"/>
        <v>0</v>
      </c>
      <c r="N869" s="63">
        <v>0</v>
      </c>
      <c r="O869" s="61">
        <f t="shared" si="161"/>
        <v>0</v>
      </c>
      <c r="P869" s="60">
        <v>0</v>
      </c>
      <c r="Q869" s="61">
        <f t="shared" si="162"/>
        <v>0</v>
      </c>
      <c r="R869" s="60">
        <v>0</v>
      </c>
      <c r="S869" s="61">
        <f t="shared" si="163"/>
        <v>0</v>
      </c>
      <c r="T869" s="60">
        <v>0</v>
      </c>
      <c r="U869" s="64">
        <f t="shared" si="164"/>
        <v>0</v>
      </c>
      <c r="V869" s="65">
        <v>0</v>
      </c>
      <c r="W869" s="66">
        <f t="shared" si="165"/>
        <v>0</v>
      </c>
      <c r="X869" s="67">
        <f t="shared" si="166"/>
        <v>0</v>
      </c>
      <c r="Y869" s="57" t="str">
        <f t="shared" si="167"/>
        <v>NIL PLEASE PURCHASE</v>
      </c>
      <c r="Z869" s="68" t="s">
        <v>1539</v>
      </c>
    </row>
    <row r="870" spans="1:26" s="8" customFormat="1" ht="20.100000000000001" customHeight="1" x14ac:dyDescent="0.25">
      <c r="A870" s="69" t="s">
        <v>1836</v>
      </c>
      <c r="B870" s="88">
        <v>1287</v>
      </c>
      <c r="C870" s="90" t="s">
        <v>1451</v>
      </c>
      <c r="D870" s="60">
        <v>0</v>
      </c>
      <c r="E870" s="61">
        <f t="shared" si="156"/>
        <v>0</v>
      </c>
      <c r="F870" s="60">
        <v>0</v>
      </c>
      <c r="G870" s="61">
        <f t="shared" si="157"/>
        <v>0</v>
      </c>
      <c r="H870" s="60">
        <v>0</v>
      </c>
      <c r="I870" s="61">
        <f t="shared" si="158"/>
        <v>0</v>
      </c>
      <c r="J870" s="60">
        <v>6</v>
      </c>
      <c r="K870" s="61">
        <f t="shared" si="159"/>
        <v>600</v>
      </c>
      <c r="L870" s="62"/>
      <c r="M870" s="61">
        <f t="shared" si="160"/>
        <v>0</v>
      </c>
      <c r="N870" s="63">
        <v>4</v>
      </c>
      <c r="O870" s="61">
        <f t="shared" si="161"/>
        <v>2000</v>
      </c>
      <c r="P870" s="60">
        <v>0</v>
      </c>
      <c r="Q870" s="61">
        <f t="shared" si="162"/>
        <v>0</v>
      </c>
      <c r="R870" s="60">
        <v>0</v>
      </c>
      <c r="S870" s="61">
        <f t="shared" si="163"/>
        <v>0</v>
      </c>
      <c r="T870" s="60">
        <v>0</v>
      </c>
      <c r="U870" s="64">
        <f t="shared" si="164"/>
        <v>0</v>
      </c>
      <c r="V870" s="65">
        <v>0</v>
      </c>
      <c r="W870" s="66">
        <f t="shared" si="165"/>
        <v>2600</v>
      </c>
      <c r="X870" s="67">
        <f t="shared" si="166"/>
        <v>2.6</v>
      </c>
      <c r="Y870" s="57" t="str">
        <f t="shared" si="167"/>
        <v>STOCK</v>
      </c>
      <c r="Z870" s="68" t="s">
        <v>1538</v>
      </c>
    </row>
    <row r="871" spans="1:26" s="8" customFormat="1" ht="20.100000000000001" customHeight="1" x14ac:dyDescent="0.25">
      <c r="A871" s="69" t="s">
        <v>1837</v>
      </c>
      <c r="B871" s="88">
        <v>1288</v>
      </c>
      <c r="C871" s="90" t="s">
        <v>1452</v>
      </c>
      <c r="D871" s="60">
        <v>0</v>
      </c>
      <c r="E871" s="61">
        <f t="shared" si="156"/>
        <v>0</v>
      </c>
      <c r="F871" s="60">
        <v>0</v>
      </c>
      <c r="G871" s="61">
        <f t="shared" si="157"/>
        <v>0</v>
      </c>
      <c r="H871" s="60">
        <v>0</v>
      </c>
      <c r="I871" s="61">
        <f t="shared" si="158"/>
        <v>0</v>
      </c>
      <c r="J871" s="60">
        <v>0</v>
      </c>
      <c r="K871" s="61">
        <f t="shared" si="159"/>
        <v>0</v>
      </c>
      <c r="L871" s="62"/>
      <c r="M871" s="61">
        <f t="shared" si="160"/>
        <v>0</v>
      </c>
      <c r="N871" s="63">
        <v>0</v>
      </c>
      <c r="O871" s="61">
        <f t="shared" si="161"/>
        <v>0</v>
      </c>
      <c r="P871" s="60">
        <v>0</v>
      </c>
      <c r="Q871" s="61">
        <f t="shared" si="162"/>
        <v>0</v>
      </c>
      <c r="R871" s="60">
        <v>0</v>
      </c>
      <c r="S871" s="61">
        <f t="shared" si="163"/>
        <v>0</v>
      </c>
      <c r="T871" s="60">
        <v>0</v>
      </c>
      <c r="U871" s="64">
        <f t="shared" si="164"/>
        <v>0</v>
      </c>
      <c r="V871" s="65">
        <v>0</v>
      </c>
      <c r="W871" s="66">
        <f t="shared" si="165"/>
        <v>0</v>
      </c>
      <c r="X871" s="67">
        <f t="shared" si="166"/>
        <v>0</v>
      </c>
      <c r="Y871" s="57" t="str">
        <f t="shared" si="167"/>
        <v>NIL PLEASE PURCHASE</v>
      </c>
      <c r="Z871" s="68" t="s">
        <v>1539</v>
      </c>
    </row>
    <row r="872" spans="1:26" s="8" customFormat="1" ht="20.100000000000001" customHeight="1" x14ac:dyDescent="0.25">
      <c r="A872" s="69" t="s">
        <v>1838</v>
      </c>
      <c r="B872" s="88">
        <v>1289</v>
      </c>
      <c r="C872" s="90" t="s">
        <v>1453</v>
      </c>
      <c r="D872" s="60">
        <v>0</v>
      </c>
      <c r="E872" s="61">
        <f t="shared" si="156"/>
        <v>0</v>
      </c>
      <c r="F872" s="60">
        <v>0</v>
      </c>
      <c r="G872" s="61">
        <f t="shared" si="157"/>
        <v>0</v>
      </c>
      <c r="H872" s="60">
        <v>0</v>
      </c>
      <c r="I872" s="61">
        <f t="shared" si="158"/>
        <v>0</v>
      </c>
      <c r="J872" s="60">
        <v>0</v>
      </c>
      <c r="K872" s="61">
        <f t="shared" si="159"/>
        <v>0</v>
      </c>
      <c r="L872" s="62">
        <v>1</v>
      </c>
      <c r="M872" s="61">
        <f t="shared" si="160"/>
        <v>250</v>
      </c>
      <c r="N872" s="63">
        <v>0</v>
      </c>
      <c r="O872" s="61">
        <f t="shared" si="161"/>
        <v>0</v>
      </c>
      <c r="P872" s="60">
        <v>0</v>
      </c>
      <c r="Q872" s="61">
        <f t="shared" si="162"/>
        <v>0</v>
      </c>
      <c r="R872" s="60">
        <v>0</v>
      </c>
      <c r="S872" s="61">
        <f t="shared" si="163"/>
        <v>0</v>
      </c>
      <c r="T872" s="60">
        <v>0</v>
      </c>
      <c r="U872" s="64">
        <f t="shared" si="164"/>
        <v>0</v>
      </c>
      <c r="V872" s="65">
        <v>0</v>
      </c>
      <c r="W872" s="66">
        <f t="shared" si="165"/>
        <v>250</v>
      </c>
      <c r="X872" s="67">
        <f t="shared" si="166"/>
        <v>0.25</v>
      </c>
      <c r="Y872" s="57" t="str">
        <f t="shared" si="167"/>
        <v>STOCK</v>
      </c>
      <c r="Z872" s="68" t="s">
        <v>1538</v>
      </c>
    </row>
    <row r="873" spans="1:26" s="8" customFormat="1" ht="20.100000000000001" customHeight="1" x14ac:dyDescent="0.25">
      <c r="A873" s="69" t="s">
        <v>1839</v>
      </c>
      <c r="B873" s="88">
        <v>1290</v>
      </c>
      <c r="C873" s="90" t="s">
        <v>1454</v>
      </c>
      <c r="D873" s="60">
        <v>0</v>
      </c>
      <c r="E873" s="61">
        <f t="shared" si="156"/>
        <v>0</v>
      </c>
      <c r="F873" s="60">
        <v>0</v>
      </c>
      <c r="G873" s="61">
        <f t="shared" si="157"/>
        <v>0</v>
      </c>
      <c r="H873" s="60">
        <v>0</v>
      </c>
      <c r="I873" s="61">
        <f t="shared" si="158"/>
        <v>0</v>
      </c>
      <c r="J873" s="60">
        <v>1</v>
      </c>
      <c r="K873" s="61">
        <f t="shared" si="159"/>
        <v>100</v>
      </c>
      <c r="L873" s="62"/>
      <c r="M873" s="61">
        <f t="shared" si="160"/>
        <v>0</v>
      </c>
      <c r="N873" s="63">
        <v>0</v>
      </c>
      <c r="O873" s="61">
        <f t="shared" si="161"/>
        <v>0</v>
      </c>
      <c r="P873" s="60">
        <v>0</v>
      </c>
      <c r="Q873" s="61">
        <f t="shared" si="162"/>
        <v>0</v>
      </c>
      <c r="R873" s="60">
        <v>0</v>
      </c>
      <c r="S873" s="61">
        <f t="shared" si="163"/>
        <v>0</v>
      </c>
      <c r="T873" s="60">
        <v>0</v>
      </c>
      <c r="U873" s="64">
        <f t="shared" si="164"/>
        <v>0</v>
      </c>
      <c r="V873" s="65">
        <v>0</v>
      </c>
      <c r="W873" s="66">
        <f t="shared" si="165"/>
        <v>100</v>
      </c>
      <c r="X873" s="67">
        <f t="shared" si="166"/>
        <v>0.1</v>
      </c>
      <c r="Y873" s="57" t="str">
        <f t="shared" si="167"/>
        <v>STOCK</v>
      </c>
      <c r="Z873" s="68" t="s">
        <v>1538</v>
      </c>
    </row>
    <row r="874" spans="1:26" s="8" customFormat="1" ht="20.100000000000001" customHeight="1" x14ac:dyDescent="0.25">
      <c r="A874" s="69" t="s">
        <v>1840</v>
      </c>
      <c r="B874" s="88">
        <v>1291</v>
      </c>
      <c r="C874" s="90" t="s">
        <v>1455</v>
      </c>
      <c r="D874" s="60">
        <v>0</v>
      </c>
      <c r="E874" s="61">
        <f t="shared" si="156"/>
        <v>0</v>
      </c>
      <c r="F874" s="60">
        <v>0</v>
      </c>
      <c r="G874" s="61">
        <f t="shared" si="157"/>
        <v>0</v>
      </c>
      <c r="H874" s="60">
        <v>0</v>
      </c>
      <c r="I874" s="61">
        <f t="shared" si="158"/>
        <v>0</v>
      </c>
      <c r="J874" s="60">
        <v>0</v>
      </c>
      <c r="K874" s="61">
        <f t="shared" si="159"/>
        <v>0</v>
      </c>
      <c r="L874" s="62"/>
      <c r="M874" s="61">
        <f t="shared" si="160"/>
        <v>0</v>
      </c>
      <c r="N874" s="63">
        <v>0</v>
      </c>
      <c r="O874" s="61">
        <f t="shared" si="161"/>
        <v>0</v>
      </c>
      <c r="P874" s="60">
        <v>0</v>
      </c>
      <c r="Q874" s="61">
        <f t="shared" si="162"/>
        <v>0</v>
      </c>
      <c r="R874" s="60">
        <v>0</v>
      </c>
      <c r="S874" s="61">
        <f t="shared" si="163"/>
        <v>0</v>
      </c>
      <c r="T874" s="60">
        <v>0</v>
      </c>
      <c r="U874" s="64">
        <f t="shared" si="164"/>
        <v>0</v>
      </c>
      <c r="V874" s="65">
        <v>0</v>
      </c>
      <c r="W874" s="66">
        <f t="shared" si="165"/>
        <v>0</v>
      </c>
      <c r="X874" s="67">
        <f t="shared" si="166"/>
        <v>0</v>
      </c>
      <c r="Y874" s="57" t="str">
        <f t="shared" si="167"/>
        <v>NIL PLEASE PURCHASE</v>
      </c>
      <c r="Z874" s="68" t="s">
        <v>1539</v>
      </c>
    </row>
    <row r="875" spans="1:26" s="8" customFormat="1" ht="20.100000000000001" customHeight="1" x14ac:dyDescent="0.25">
      <c r="A875" s="69" t="s">
        <v>1841</v>
      </c>
      <c r="B875" s="88">
        <v>1292</v>
      </c>
      <c r="C875" s="90" t="s">
        <v>1456</v>
      </c>
      <c r="D875" s="60">
        <v>0</v>
      </c>
      <c r="E875" s="61">
        <f t="shared" si="156"/>
        <v>0</v>
      </c>
      <c r="F875" s="60">
        <v>0</v>
      </c>
      <c r="G875" s="61">
        <f t="shared" si="157"/>
        <v>0</v>
      </c>
      <c r="H875" s="60">
        <v>0</v>
      </c>
      <c r="I875" s="61">
        <f t="shared" si="158"/>
        <v>0</v>
      </c>
      <c r="J875" s="60">
        <v>0</v>
      </c>
      <c r="K875" s="61">
        <f t="shared" si="159"/>
        <v>0</v>
      </c>
      <c r="L875" s="62"/>
      <c r="M875" s="61">
        <f t="shared" si="160"/>
        <v>0</v>
      </c>
      <c r="N875" s="63">
        <v>0</v>
      </c>
      <c r="O875" s="61">
        <f t="shared" si="161"/>
        <v>0</v>
      </c>
      <c r="P875" s="60">
        <v>0</v>
      </c>
      <c r="Q875" s="61">
        <f t="shared" si="162"/>
        <v>0</v>
      </c>
      <c r="R875" s="60">
        <v>0</v>
      </c>
      <c r="S875" s="61">
        <f t="shared" si="163"/>
        <v>0</v>
      </c>
      <c r="T875" s="60">
        <v>0</v>
      </c>
      <c r="U875" s="64">
        <f t="shared" si="164"/>
        <v>0</v>
      </c>
      <c r="V875" s="65">
        <v>0</v>
      </c>
      <c r="W875" s="66">
        <f t="shared" si="165"/>
        <v>0</v>
      </c>
      <c r="X875" s="67">
        <f t="shared" si="166"/>
        <v>0</v>
      </c>
      <c r="Y875" s="57" t="str">
        <f t="shared" si="167"/>
        <v>NIL PLEASE PURCHASE</v>
      </c>
      <c r="Z875" s="68" t="s">
        <v>1539</v>
      </c>
    </row>
    <row r="876" spans="1:26" s="8" customFormat="1" ht="20.100000000000001" customHeight="1" x14ac:dyDescent="0.25">
      <c r="A876" s="69" t="s">
        <v>1842</v>
      </c>
      <c r="B876" s="88">
        <v>1293</v>
      </c>
      <c r="C876" s="90" t="s">
        <v>1457</v>
      </c>
      <c r="D876" s="60">
        <v>0</v>
      </c>
      <c r="E876" s="61">
        <f t="shared" si="156"/>
        <v>0</v>
      </c>
      <c r="F876" s="60">
        <v>0</v>
      </c>
      <c r="G876" s="61">
        <f t="shared" si="157"/>
        <v>0</v>
      </c>
      <c r="H876" s="60">
        <v>0</v>
      </c>
      <c r="I876" s="61">
        <f t="shared" si="158"/>
        <v>0</v>
      </c>
      <c r="J876" s="60">
        <v>0</v>
      </c>
      <c r="K876" s="61">
        <f t="shared" si="159"/>
        <v>0</v>
      </c>
      <c r="L876" s="62"/>
      <c r="M876" s="61">
        <f t="shared" si="160"/>
        <v>0</v>
      </c>
      <c r="N876" s="63">
        <v>2</v>
      </c>
      <c r="O876" s="61">
        <f t="shared" si="161"/>
        <v>1000</v>
      </c>
      <c r="P876" s="60">
        <v>0</v>
      </c>
      <c r="Q876" s="61">
        <f t="shared" si="162"/>
        <v>0</v>
      </c>
      <c r="R876" s="60">
        <v>0</v>
      </c>
      <c r="S876" s="61">
        <f t="shared" si="163"/>
        <v>0</v>
      </c>
      <c r="T876" s="60">
        <v>0</v>
      </c>
      <c r="U876" s="64">
        <f t="shared" si="164"/>
        <v>0</v>
      </c>
      <c r="V876" s="65">
        <v>0</v>
      </c>
      <c r="W876" s="66">
        <f t="shared" si="165"/>
        <v>1000</v>
      </c>
      <c r="X876" s="67">
        <f t="shared" si="166"/>
        <v>1</v>
      </c>
      <c r="Y876" s="57" t="str">
        <f t="shared" si="167"/>
        <v>STOCK</v>
      </c>
      <c r="Z876" s="68" t="s">
        <v>1538</v>
      </c>
    </row>
    <row r="877" spans="1:26" s="8" customFormat="1" ht="20.100000000000001" customHeight="1" x14ac:dyDescent="0.25">
      <c r="A877" s="69" t="s">
        <v>1843</v>
      </c>
      <c r="B877" s="88">
        <v>1294</v>
      </c>
      <c r="C877" s="90" t="s">
        <v>1458</v>
      </c>
      <c r="D877" s="60">
        <v>0</v>
      </c>
      <c r="E877" s="61">
        <f t="shared" si="156"/>
        <v>0</v>
      </c>
      <c r="F877" s="60">
        <v>0</v>
      </c>
      <c r="G877" s="61">
        <f t="shared" si="157"/>
        <v>0</v>
      </c>
      <c r="H877" s="60">
        <v>0</v>
      </c>
      <c r="I877" s="61">
        <f t="shared" si="158"/>
        <v>0</v>
      </c>
      <c r="J877" s="60">
        <v>0</v>
      </c>
      <c r="K877" s="61">
        <f t="shared" si="159"/>
        <v>0</v>
      </c>
      <c r="L877" s="62"/>
      <c r="M877" s="61">
        <f t="shared" si="160"/>
        <v>0</v>
      </c>
      <c r="N877" s="63">
        <v>4</v>
      </c>
      <c r="O877" s="61">
        <f t="shared" si="161"/>
        <v>2000</v>
      </c>
      <c r="P877" s="60">
        <v>0</v>
      </c>
      <c r="Q877" s="61">
        <f t="shared" si="162"/>
        <v>0</v>
      </c>
      <c r="R877" s="60">
        <v>0</v>
      </c>
      <c r="S877" s="61">
        <f t="shared" si="163"/>
        <v>0</v>
      </c>
      <c r="T877" s="60">
        <v>0</v>
      </c>
      <c r="U877" s="64">
        <f t="shared" si="164"/>
        <v>0</v>
      </c>
      <c r="V877" s="65">
        <v>0</v>
      </c>
      <c r="W877" s="66">
        <f t="shared" si="165"/>
        <v>2000</v>
      </c>
      <c r="X877" s="67">
        <f t="shared" si="166"/>
        <v>2</v>
      </c>
      <c r="Y877" s="57" t="str">
        <f t="shared" si="167"/>
        <v>STOCK</v>
      </c>
      <c r="Z877" s="68" t="s">
        <v>1538</v>
      </c>
    </row>
    <row r="878" spans="1:26" s="8" customFormat="1" ht="20.100000000000001" customHeight="1" x14ac:dyDescent="0.25">
      <c r="A878" s="69" t="s">
        <v>1844</v>
      </c>
      <c r="B878" s="88">
        <v>1295</v>
      </c>
      <c r="C878" s="90" t="s">
        <v>1459</v>
      </c>
      <c r="D878" s="60">
        <v>0</v>
      </c>
      <c r="E878" s="61">
        <f t="shared" si="156"/>
        <v>0</v>
      </c>
      <c r="F878" s="60">
        <v>0</v>
      </c>
      <c r="G878" s="61">
        <f t="shared" si="157"/>
        <v>0</v>
      </c>
      <c r="H878" s="60">
        <v>0</v>
      </c>
      <c r="I878" s="61">
        <f t="shared" si="158"/>
        <v>0</v>
      </c>
      <c r="J878" s="60">
        <v>0</v>
      </c>
      <c r="K878" s="61">
        <f t="shared" si="159"/>
        <v>0</v>
      </c>
      <c r="L878" s="62"/>
      <c r="M878" s="61">
        <f t="shared" si="160"/>
        <v>0</v>
      </c>
      <c r="N878" s="63">
        <v>0</v>
      </c>
      <c r="O878" s="61">
        <f t="shared" si="161"/>
        <v>0</v>
      </c>
      <c r="P878" s="60">
        <v>0</v>
      </c>
      <c r="Q878" s="61">
        <f t="shared" si="162"/>
        <v>0</v>
      </c>
      <c r="R878" s="60">
        <v>0</v>
      </c>
      <c r="S878" s="61">
        <f t="shared" si="163"/>
        <v>0</v>
      </c>
      <c r="T878" s="60">
        <v>0</v>
      </c>
      <c r="U878" s="64">
        <f t="shared" si="164"/>
        <v>0</v>
      </c>
      <c r="V878" s="65">
        <v>0</v>
      </c>
      <c r="W878" s="66">
        <f t="shared" si="165"/>
        <v>0</v>
      </c>
      <c r="X878" s="67">
        <f t="shared" si="166"/>
        <v>0</v>
      </c>
      <c r="Y878" s="57" t="str">
        <f t="shared" si="167"/>
        <v>NIL PLEASE PURCHASE</v>
      </c>
      <c r="Z878" s="68" t="s">
        <v>1539</v>
      </c>
    </row>
    <row r="879" spans="1:26" s="8" customFormat="1" ht="20.100000000000001" customHeight="1" x14ac:dyDescent="0.25">
      <c r="A879" s="69" t="s">
        <v>1845</v>
      </c>
      <c r="B879" s="88">
        <v>1296</v>
      </c>
      <c r="C879" s="90" t="s">
        <v>1460</v>
      </c>
      <c r="D879" s="60">
        <v>0</v>
      </c>
      <c r="E879" s="61">
        <f t="shared" si="156"/>
        <v>0</v>
      </c>
      <c r="F879" s="60">
        <v>0</v>
      </c>
      <c r="G879" s="61">
        <f t="shared" si="157"/>
        <v>0</v>
      </c>
      <c r="H879" s="60">
        <v>0</v>
      </c>
      <c r="I879" s="61">
        <f t="shared" si="158"/>
        <v>0</v>
      </c>
      <c r="J879" s="60">
        <v>0</v>
      </c>
      <c r="K879" s="61">
        <f t="shared" si="159"/>
        <v>0</v>
      </c>
      <c r="L879" s="62"/>
      <c r="M879" s="61">
        <f t="shared" si="160"/>
        <v>0</v>
      </c>
      <c r="N879" s="63">
        <v>1</v>
      </c>
      <c r="O879" s="61">
        <f t="shared" si="161"/>
        <v>500</v>
      </c>
      <c r="P879" s="60">
        <v>0</v>
      </c>
      <c r="Q879" s="61">
        <f t="shared" si="162"/>
        <v>0</v>
      </c>
      <c r="R879" s="60">
        <v>0</v>
      </c>
      <c r="S879" s="61">
        <f t="shared" si="163"/>
        <v>0</v>
      </c>
      <c r="T879" s="60">
        <v>0</v>
      </c>
      <c r="U879" s="64">
        <f t="shared" si="164"/>
        <v>0</v>
      </c>
      <c r="V879" s="65">
        <v>0</v>
      </c>
      <c r="W879" s="66">
        <f t="shared" si="165"/>
        <v>500</v>
      </c>
      <c r="X879" s="67">
        <f t="shared" si="166"/>
        <v>0.5</v>
      </c>
      <c r="Y879" s="57" t="str">
        <f t="shared" si="167"/>
        <v>STOCK</v>
      </c>
      <c r="Z879" s="68" t="s">
        <v>1538</v>
      </c>
    </row>
    <row r="880" spans="1:26" s="8" customFormat="1" ht="20.100000000000001" customHeight="1" x14ac:dyDescent="0.25">
      <c r="A880" s="69" t="s">
        <v>1846</v>
      </c>
      <c r="B880" s="88">
        <v>1297</v>
      </c>
      <c r="C880" s="90" t="s">
        <v>1461</v>
      </c>
      <c r="D880" s="60">
        <v>0</v>
      </c>
      <c r="E880" s="61">
        <f t="shared" si="156"/>
        <v>0</v>
      </c>
      <c r="F880" s="60">
        <v>0</v>
      </c>
      <c r="G880" s="61">
        <f t="shared" si="157"/>
        <v>0</v>
      </c>
      <c r="H880" s="60">
        <v>0</v>
      </c>
      <c r="I880" s="61">
        <f t="shared" si="158"/>
        <v>0</v>
      </c>
      <c r="J880" s="60">
        <v>0</v>
      </c>
      <c r="K880" s="61">
        <f t="shared" si="159"/>
        <v>0</v>
      </c>
      <c r="L880" s="62"/>
      <c r="M880" s="61">
        <f t="shared" si="160"/>
        <v>0</v>
      </c>
      <c r="N880" s="63">
        <v>0</v>
      </c>
      <c r="O880" s="61">
        <f t="shared" si="161"/>
        <v>0</v>
      </c>
      <c r="P880" s="60">
        <v>0</v>
      </c>
      <c r="Q880" s="61">
        <f t="shared" si="162"/>
        <v>0</v>
      </c>
      <c r="R880" s="60">
        <v>0</v>
      </c>
      <c r="S880" s="61">
        <f t="shared" si="163"/>
        <v>0</v>
      </c>
      <c r="T880" s="60">
        <v>0</v>
      </c>
      <c r="U880" s="64">
        <f t="shared" si="164"/>
        <v>0</v>
      </c>
      <c r="V880" s="65">
        <v>0</v>
      </c>
      <c r="W880" s="66">
        <f t="shared" si="165"/>
        <v>0</v>
      </c>
      <c r="X880" s="67">
        <f t="shared" si="166"/>
        <v>0</v>
      </c>
      <c r="Y880" s="57" t="str">
        <f t="shared" si="167"/>
        <v>NIL PLEASE PURCHASE</v>
      </c>
      <c r="Z880" s="68" t="s">
        <v>1539</v>
      </c>
    </row>
    <row r="881" spans="1:26" s="8" customFormat="1" ht="20.100000000000001" customHeight="1" x14ac:dyDescent="0.25">
      <c r="A881" s="69" t="s">
        <v>1847</v>
      </c>
      <c r="B881" s="88">
        <v>1298</v>
      </c>
      <c r="C881" s="90" t="s">
        <v>1462</v>
      </c>
      <c r="D881" s="60">
        <v>0</v>
      </c>
      <c r="E881" s="61">
        <f t="shared" si="156"/>
        <v>0</v>
      </c>
      <c r="F881" s="60">
        <v>0</v>
      </c>
      <c r="G881" s="61">
        <f t="shared" si="157"/>
        <v>0</v>
      </c>
      <c r="H881" s="60">
        <v>0</v>
      </c>
      <c r="I881" s="61">
        <f t="shared" si="158"/>
        <v>0</v>
      </c>
      <c r="J881" s="60">
        <v>0</v>
      </c>
      <c r="K881" s="61">
        <f t="shared" si="159"/>
        <v>0</v>
      </c>
      <c r="L881" s="62"/>
      <c r="M881" s="61">
        <f t="shared" si="160"/>
        <v>0</v>
      </c>
      <c r="N881" s="63">
        <v>2</v>
      </c>
      <c r="O881" s="61">
        <f t="shared" si="161"/>
        <v>1000</v>
      </c>
      <c r="P881" s="60">
        <v>0</v>
      </c>
      <c r="Q881" s="61">
        <f t="shared" si="162"/>
        <v>0</v>
      </c>
      <c r="R881" s="60">
        <v>0</v>
      </c>
      <c r="S881" s="61">
        <f t="shared" si="163"/>
        <v>0</v>
      </c>
      <c r="T881" s="60">
        <v>0</v>
      </c>
      <c r="U881" s="64">
        <f t="shared" si="164"/>
        <v>0</v>
      </c>
      <c r="V881" s="65">
        <v>0</v>
      </c>
      <c r="W881" s="66">
        <f t="shared" si="165"/>
        <v>1000</v>
      </c>
      <c r="X881" s="67">
        <f t="shared" si="166"/>
        <v>1</v>
      </c>
      <c r="Y881" s="57" t="str">
        <f t="shared" si="167"/>
        <v>STOCK</v>
      </c>
      <c r="Z881" s="68" t="s">
        <v>1538</v>
      </c>
    </row>
    <row r="882" spans="1:26" s="8" customFormat="1" ht="20.100000000000001" customHeight="1" x14ac:dyDescent="0.25">
      <c r="A882" s="69" t="s">
        <v>1848</v>
      </c>
      <c r="B882" s="88">
        <v>1299</v>
      </c>
      <c r="C882" s="90" t="s">
        <v>1463</v>
      </c>
      <c r="D882" s="60">
        <v>0</v>
      </c>
      <c r="E882" s="61">
        <f t="shared" si="156"/>
        <v>0</v>
      </c>
      <c r="F882" s="60">
        <v>0</v>
      </c>
      <c r="G882" s="61">
        <f t="shared" si="157"/>
        <v>0</v>
      </c>
      <c r="H882" s="60">
        <v>0</v>
      </c>
      <c r="I882" s="61">
        <f t="shared" si="158"/>
        <v>0</v>
      </c>
      <c r="J882" s="60">
        <v>0</v>
      </c>
      <c r="K882" s="61">
        <f t="shared" si="159"/>
        <v>0</v>
      </c>
      <c r="L882" s="62"/>
      <c r="M882" s="61">
        <f t="shared" si="160"/>
        <v>0</v>
      </c>
      <c r="N882" s="63">
        <v>0</v>
      </c>
      <c r="O882" s="61">
        <f t="shared" si="161"/>
        <v>0</v>
      </c>
      <c r="P882" s="60">
        <v>0</v>
      </c>
      <c r="Q882" s="61">
        <f t="shared" si="162"/>
        <v>0</v>
      </c>
      <c r="R882" s="60">
        <v>0</v>
      </c>
      <c r="S882" s="61">
        <f t="shared" si="163"/>
        <v>0</v>
      </c>
      <c r="T882" s="60">
        <v>0</v>
      </c>
      <c r="U882" s="64">
        <f t="shared" si="164"/>
        <v>0</v>
      </c>
      <c r="V882" s="65">
        <v>0</v>
      </c>
      <c r="W882" s="66">
        <f t="shared" si="165"/>
        <v>0</v>
      </c>
      <c r="X882" s="67">
        <f t="shared" si="166"/>
        <v>0</v>
      </c>
      <c r="Y882" s="57" t="str">
        <f t="shared" si="167"/>
        <v>NIL PLEASE PURCHASE</v>
      </c>
      <c r="Z882" s="68" t="s">
        <v>1538</v>
      </c>
    </row>
    <row r="883" spans="1:26" s="8" customFormat="1" ht="20.100000000000001" customHeight="1" x14ac:dyDescent="0.25">
      <c r="A883" s="69" t="s">
        <v>1849</v>
      </c>
      <c r="B883" s="88">
        <v>1300</v>
      </c>
      <c r="C883" s="90" t="s">
        <v>1464</v>
      </c>
      <c r="D883" s="60">
        <v>0</v>
      </c>
      <c r="E883" s="61">
        <f t="shared" si="156"/>
        <v>0</v>
      </c>
      <c r="F883" s="60">
        <v>0</v>
      </c>
      <c r="G883" s="61">
        <f t="shared" si="157"/>
        <v>0</v>
      </c>
      <c r="H883" s="60">
        <v>0</v>
      </c>
      <c r="I883" s="61">
        <f t="shared" si="158"/>
        <v>0</v>
      </c>
      <c r="J883" s="60">
        <v>0</v>
      </c>
      <c r="K883" s="61">
        <f t="shared" si="159"/>
        <v>0</v>
      </c>
      <c r="L883" s="62"/>
      <c r="M883" s="61">
        <f t="shared" si="160"/>
        <v>0</v>
      </c>
      <c r="N883" s="63">
        <v>1</v>
      </c>
      <c r="O883" s="61">
        <f t="shared" si="161"/>
        <v>500</v>
      </c>
      <c r="P883" s="60">
        <v>0</v>
      </c>
      <c r="Q883" s="61">
        <f t="shared" si="162"/>
        <v>0</v>
      </c>
      <c r="R883" s="60">
        <v>0</v>
      </c>
      <c r="S883" s="61">
        <f t="shared" si="163"/>
        <v>0</v>
      </c>
      <c r="T883" s="60">
        <v>0</v>
      </c>
      <c r="U883" s="64">
        <f t="shared" si="164"/>
        <v>0</v>
      </c>
      <c r="V883" s="65">
        <v>0</v>
      </c>
      <c r="W883" s="66">
        <f t="shared" si="165"/>
        <v>500</v>
      </c>
      <c r="X883" s="67">
        <f t="shared" si="166"/>
        <v>0.5</v>
      </c>
      <c r="Y883" s="57" t="str">
        <f t="shared" si="167"/>
        <v>STOCK</v>
      </c>
      <c r="Z883" s="68" t="s">
        <v>1538</v>
      </c>
    </row>
    <row r="884" spans="1:26" s="8" customFormat="1" ht="20.100000000000001" customHeight="1" x14ac:dyDescent="0.25">
      <c r="A884" s="69" t="s">
        <v>1850</v>
      </c>
      <c r="B884" s="88">
        <v>1301</v>
      </c>
      <c r="C884" s="90" t="s">
        <v>1465</v>
      </c>
      <c r="D884" s="60">
        <v>0</v>
      </c>
      <c r="E884" s="61">
        <f t="shared" si="156"/>
        <v>0</v>
      </c>
      <c r="F884" s="60">
        <v>0</v>
      </c>
      <c r="G884" s="61">
        <f t="shared" si="157"/>
        <v>0</v>
      </c>
      <c r="H884" s="60">
        <v>0</v>
      </c>
      <c r="I884" s="61">
        <f t="shared" si="158"/>
        <v>0</v>
      </c>
      <c r="J884" s="60">
        <v>0</v>
      </c>
      <c r="K884" s="61">
        <f t="shared" si="159"/>
        <v>0</v>
      </c>
      <c r="L884" s="62"/>
      <c r="M884" s="61">
        <f t="shared" si="160"/>
        <v>0</v>
      </c>
      <c r="N884" s="63">
        <v>1</v>
      </c>
      <c r="O884" s="61">
        <f t="shared" si="161"/>
        <v>500</v>
      </c>
      <c r="P884" s="60">
        <v>0</v>
      </c>
      <c r="Q884" s="61">
        <f t="shared" si="162"/>
        <v>0</v>
      </c>
      <c r="R884" s="60">
        <v>0</v>
      </c>
      <c r="S884" s="61">
        <f t="shared" si="163"/>
        <v>0</v>
      </c>
      <c r="T884" s="60">
        <v>0</v>
      </c>
      <c r="U884" s="64">
        <f t="shared" si="164"/>
        <v>0</v>
      </c>
      <c r="V884" s="65">
        <v>0</v>
      </c>
      <c r="W884" s="66">
        <f t="shared" si="165"/>
        <v>500</v>
      </c>
      <c r="X884" s="67">
        <f t="shared" si="166"/>
        <v>0.5</v>
      </c>
      <c r="Y884" s="57" t="str">
        <f t="shared" si="167"/>
        <v>STOCK</v>
      </c>
      <c r="Z884" s="68" t="s">
        <v>1538</v>
      </c>
    </row>
    <row r="885" spans="1:26" s="8" customFormat="1" ht="20.100000000000001" customHeight="1" x14ac:dyDescent="0.25">
      <c r="A885" s="69" t="s">
        <v>1851</v>
      </c>
      <c r="B885" s="88">
        <v>1302</v>
      </c>
      <c r="C885" s="90" t="s">
        <v>1466</v>
      </c>
      <c r="D885" s="60">
        <v>0</v>
      </c>
      <c r="E885" s="61">
        <f t="shared" si="156"/>
        <v>0</v>
      </c>
      <c r="F885" s="60">
        <v>0</v>
      </c>
      <c r="G885" s="61">
        <f t="shared" si="157"/>
        <v>0</v>
      </c>
      <c r="H885" s="60">
        <v>0</v>
      </c>
      <c r="I885" s="61">
        <f t="shared" si="158"/>
        <v>0</v>
      </c>
      <c r="J885" s="60">
        <v>0</v>
      </c>
      <c r="K885" s="61">
        <f t="shared" si="159"/>
        <v>0</v>
      </c>
      <c r="L885" s="62"/>
      <c r="M885" s="61">
        <f t="shared" si="160"/>
        <v>0</v>
      </c>
      <c r="N885" s="63">
        <v>0</v>
      </c>
      <c r="O885" s="61">
        <f t="shared" si="161"/>
        <v>0</v>
      </c>
      <c r="P885" s="60">
        <v>0</v>
      </c>
      <c r="Q885" s="61">
        <f t="shared" si="162"/>
        <v>0</v>
      </c>
      <c r="R885" s="60">
        <v>0</v>
      </c>
      <c r="S885" s="61">
        <f t="shared" si="163"/>
        <v>0</v>
      </c>
      <c r="T885" s="60">
        <v>0</v>
      </c>
      <c r="U885" s="64">
        <f t="shared" si="164"/>
        <v>0</v>
      </c>
      <c r="V885" s="65">
        <v>0</v>
      </c>
      <c r="W885" s="66">
        <f t="shared" si="165"/>
        <v>0</v>
      </c>
      <c r="X885" s="67">
        <f t="shared" si="166"/>
        <v>0</v>
      </c>
      <c r="Y885" s="57" t="str">
        <f t="shared" si="167"/>
        <v>NIL PLEASE PURCHASE</v>
      </c>
      <c r="Z885" s="68" t="s">
        <v>1539</v>
      </c>
    </row>
    <row r="886" spans="1:26" s="8" customFormat="1" ht="20.100000000000001" customHeight="1" x14ac:dyDescent="0.25">
      <c r="A886" s="69" t="s">
        <v>1852</v>
      </c>
      <c r="B886" s="88">
        <v>1303</v>
      </c>
      <c r="C886" s="90" t="s">
        <v>1467</v>
      </c>
      <c r="D886" s="60">
        <v>0</v>
      </c>
      <c r="E886" s="61">
        <f t="shared" si="156"/>
        <v>0</v>
      </c>
      <c r="F886" s="60">
        <v>0</v>
      </c>
      <c r="G886" s="61">
        <f t="shared" si="157"/>
        <v>0</v>
      </c>
      <c r="H886" s="60">
        <v>0</v>
      </c>
      <c r="I886" s="61">
        <f t="shared" si="158"/>
        <v>0</v>
      </c>
      <c r="J886" s="60">
        <v>2</v>
      </c>
      <c r="K886" s="61">
        <f t="shared" si="159"/>
        <v>200</v>
      </c>
      <c r="L886" s="62"/>
      <c r="M886" s="61">
        <f t="shared" si="160"/>
        <v>0</v>
      </c>
      <c r="N886" s="63">
        <v>0</v>
      </c>
      <c r="O886" s="61">
        <f t="shared" si="161"/>
        <v>0</v>
      </c>
      <c r="P886" s="60">
        <v>0</v>
      </c>
      <c r="Q886" s="61">
        <f t="shared" si="162"/>
        <v>0</v>
      </c>
      <c r="R886" s="60">
        <v>0</v>
      </c>
      <c r="S886" s="61">
        <f t="shared" si="163"/>
        <v>0</v>
      </c>
      <c r="T886" s="60">
        <v>0</v>
      </c>
      <c r="U886" s="64">
        <f t="shared" si="164"/>
        <v>0</v>
      </c>
      <c r="V886" s="65">
        <v>0</v>
      </c>
      <c r="W886" s="66">
        <f t="shared" si="165"/>
        <v>200</v>
      </c>
      <c r="X886" s="67">
        <f t="shared" si="166"/>
        <v>0.2</v>
      </c>
      <c r="Y886" s="57" t="str">
        <f t="shared" si="167"/>
        <v>STOCK</v>
      </c>
      <c r="Z886" s="68" t="s">
        <v>1539</v>
      </c>
    </row>
    <row r="887" spans="1:26" s="8" customFormat="1" ht="20.100000000000001" customHeight="1" x14ac:dyDescent="0.25">
      <c r="A887" s="69" t="s">
        <v>1853</v>
      </c>
      <c r="B887" s="88">
        <v>1304</v>
      </c>
      <c r="C887" s="90" t="s">
        <v>1468</v>
      </c>
      <c r="D887" s="60">
        <v>0</v>
      </c>
      <c r="E887" s="61">
        <f t="shared" si="156"/>
        <v>0</v>
      </c>
      <c r="F887" s="60">
        <v>0</v>
      </c>
      <c r="G887" s="61">
        <f t="shared" si="157"/>
        <v>0</v>
      </c>
      <c r="H887" s="60">
        <v>0</v>
      </c>
      <c r="I887" s="61">
        <f t="shared" si="158"/>
        <v>0</v>
      </c>
      <c r="J887" s="60">
        <v>0</v>
      </c>
      <c r="K887" s="61">
        <f t="shared" si="159"/>
        <v>0</v>
      </c>
      <c r="L887" s="62"/>
      <c r="M887" s="61">
        <f t="shared" si="160"/>
        <v>0</v>
      </c>
      <c r="N887" s="63">
        <v>0</v>
      </c>
      <c r="O887" s="61">
        <f t="shared" si="161"/>
        <v>0</v>
      </c>
      <c r="P887" s="60">
        <v>0</v>
      </c>
      <c r="Q887" s="61">
        <f t="shared" si="162"/>
        <v>0</v>
      </c>
      <c r="R887" s="60">
        <v>0</v>
      </c>
      <c r="S887" s="61">
        <f t="shared" si="163"/>
        <v>0</v>
      </c>
      <c r="T887" s="60">
        <v>0</v>
      </c>
      <c r="U887" s="64">
        <f t="shared" si="164"/>
        <v>0</v>
      </c>
      <c r="V887" s="65">
        <v>0</v>
      </c>
      <c r="W887" s="66">
        <f t="shared" si="165"/>
        <v>0</v>
      </c>
      <c r="X887" s="67">
        <f t="shared" si="166"/>
        <v>0</v>
      </c>
      <c r="Y887" s="57" t="str">
        <f t="shared" si="167"/>
        <v>NIL PLEASE PURCHASE</v>
      </c>
      <c r="Z887" s="68" t="s">
        <v>1539</v>
      </c>
    </row>
    <row r="888" spans="1:26" s="8" customFormat="1" ht="20.100000000000001" customHeight="1" x14ac:dyDescent="0.25">
      <c r="A888" s="69" t="s">
        <v>1854</v>
      </c>
      <c r="B888" s="88">
        <v>1305</v>
      </c>
      <c r="C888" s="90" t="s">
        <v>1469</v>
      </c>
      <c r="D888" s="60">
        <v>0</v>
      </c>
      <c r="E888" s="61">
        <f t="shared" si="156"/>
        <v>0</v>
      </c>
      <c r="F888" s="60">
        <v>0</v>
      </c>
      <c r="G888" s="61">
        <f t="shared" si="157"/>
        <v>0</v>
      </c>
      <c r="H888" s="60">
        <v>0</v>
      </c>
      <c r="I888" s="61">
        <f t="shared" si="158"/>
        <v>0</v>
      </c>
      <c r="J888" s="60">
        <v>0</v>
      </c>
      <c r="K888" s="61">
        <f t="shared" si="159"/>
        <v>0</v>
      </c>
      <c r="L888" s="62"/>
      <c r="M888" s="61">
        <f t="shared" si="160"/>
        <v>0</v>
      </c>
      <c r="N888" s="63">
        <v>0</v>
      </c>
      <c r="O888" s="61">
        <f t="shared" si="161"/>
        <v>0</v>
      </c>
      <c r="P888" s="60">
        <v>0</v>
      </c>
      <c r="Q888" s="61">
        <f t="shared" si="162"/>
        <v>0</v>
      </c>
      <c r="R888" s="60">
        <v>0</v>
      </c>
      <c r="S888" s="61">
        <f t="shared" si="163"/>
        <v>0</v>
      </c>
      <c r="T888" s="60">
        <v>0</v>
      </c>
      <c r="U888" s="64">
        <f t="shared" si="164"/>
        <v>0</v>
      </c>
      <c r="V888" s="65">
        <v>0</v>
      </c>
      <c r="W888" s="66">
        <f t="shared" si="165"/>
        <v>0</v>
      </c>
      <c r="X888" s="67">
        <f t="shared" si="166"/>
        <v>0</v>
      </c>
      <c r="Y888" s="57" t="str">
        <f t="shared" si="167"/>
        <v>NIL PLEASE PURCHASE</v>
      </c>
      <c r="Z888" s="68" t="s">
        <v>1539</v>
      </c>
    </row>
    <row r="889" spans="1:26" s="8" customFormat="1" ht="20.100000000000001" customHeight="1" x14ac:dyDescent="0.25">
      <c r="A889" s="69" t="s">
        <v>1855</v>
      </c>
      <c r="B889" s="88">
        <v>1306</v>
      </c>
      <c r="C889" s="90" t="s">
        <v>1470</v>
      </c>
      <c r="D889" s="60">
        <v>0</v>
      </c>
      <c r="E889" s="61">
        <f t="shared" si="156"/>
        <v>0</v>
      </c>
      <c r="F889" s="60">
        <v>0</v>
      </c>
      <c r="G889" s="61">
        <f t="shared" si="157"/>
        <v>0</v>
      </c>
      <c r="H889" s="60">
        <v>0</v>
      </c>
      <c r="I889" s="61">
        <f t="shared" si="158"/>
        <v>0</v>
      </c>
      <c r="J889" s="60">
        <v>0</v>
      </c>
      <c r="K889" s="61">
        <f t="shared" si="159"/>
        <v>0</v>
      </c>
      <c r="L889" s="62"/>
      <c r="M889" s="61">
        <f t="shared" si="160"/>
        <v>0</v>
      </c>
      <c r="N889" s="63">
        <v>0</v>
      </c>
      <c r="O889" s="61">
        <f t="shared" si="161"/>
        <v>0</v>
      </c>
      <c r="P889" s="60">
        <v>0</v>
      </c>
      <c r="Q889" s="61">
        <f t="shared" si="162"/>
        <v>0</v>
      </c>
      <c r="R889" s="60">
        <v>0</v>
      </c>
      <c r="S889" s="61">
        <f t="shared" si="163"/>
        <v>0</v>
      </c>
      <c r="T889" s="60">
        <v>0</v>
      </c>
      <c r="U889" s="64">
        <f t="shared" si="164"/>
        <v>0</v>
      </c>
      <c r="V889" s="65">
        <v>0</v>
      </c>
      <c r="W889" s="66">
        <f t="shared" si="165"/>
        <v>0</v>
      </c>
      <c r="X889" s="67">
        <f t="shared" si="166"/>
        <v>0</v>
      </c>
      <c r="Y889" s="57" t="str">
        <f t="shared" si="167"/>
        <v>NIL PLEASE PURCHASE</v>
      </c>
      <c r="Z889" s="68" t="s">
        <v>1539</v>
      </c>
    </row>
    <row r="890" spans="1:26" s="8" customFormat="1" ht="20.100000000000001" customHeight="1" x14ac:dyDescent="0.25">
      <c r="A890" s="69" t="s">
        <v>1856</v>
      </c>
      <c r="B890" s="88">
        <v>1307</v>
      </c>
      <c r="C890" s="90" t="s">
        <v>1471</v>
      </c>
      <c r="D890" s="60">
        <v>0</v>
      </c>
      <c r="E890" s="61">
        <f t="shared" si="156"/>
        <v>0</v>
      </c>
      <c r="F890" s="60">
        <v>0</v>
      </c>
      <c r="G890" s="61">
        <f t="shared" si="157"/>
        <v>0</v>
      </c>
      <c r="H890" s="60">
        <v>0</v>
      </c>
      <c r="I890" s="61">
        <f t="shared" si="158"/>
        <v>0</v>
      </c>
      <c r="J890" s="60">
        <v>0</v>
      </c>
      <c r="K890" s="61">
        <f t="shared" si="159"/>
        <v>0</v>
      </c>
      <c r="L890" s="62"/>
      <c r="M890" s="61">
        <f t="shared" si="160"/>
        <v>0</v>
      </c>
      <c r="N890" s="63">
        <v>0</v>
      </c>
      <c r="O890" s="61">
        <f t="shared" si="161"/>
        <v>0</v>
      </c>
      <c r="P890" s="60">
        <v>0</v>
      </c>
      <c r="Q890" s="61">
        <f t="shared" si="162"/>
        <v>0</v>
      </c>
      <c r="R890" s="60">
        <v>0</v>
      </c>
      <c r="S890" s="61">
        <f t="shared" si="163"/>
        <v>0</v>
      </c>
      <c r="T890" s="60">
        <v>0</v>
      </c>
      <c r="U890" s="64">
        <f t="shared" si="164"/>
        <v>0</v>
      </c>
      <c r="V890" s="65">
        <v>0</v>
      </c>
      <c r="W890" s="66">
        <f t="shared" si="165"/>
        <v>0</v>
      </c>
      <c r="X890" s="67">
        <f t="shared" si="166"/>
        <v>0</v>
      </c>
      <c r="Y890" s="57" t="str">
        <f t="shared" si="167"/>
        <v>NIL PLEASE PURCHASE</v>
      </c>
      <c r="Z890" s="68" t="s">
        <v>1539</v>
      </c>
    </row>
    <row r="891" spans="1:26" s="8" customFormat="1" ht="20.100000000000001" customHeight="1" x14ac:dyDescent="0.25">
      <c r="A891" s="69" t="s">
        <v>1857</v>
      </c>
      <c r="B891" s="88">
        <v>1308</v>
      </c>
      <c r="C891" s="90" t="s">
        <v>1472</v>
      </c>
      <c r="D891" s="60">
        <v>0</v>
      </c>
      <c r="E891" s="61">
        <f t="shared" si="156"/>
        <v>0</v>
      </c>
      <c r="F891" s="60">
        <v>0</v>
      </c>
      <c r="G891" s="61">
        <f t="shared" si="157"/>
        <v>0</v>
      </c>
      <c r="H891" s="60">
        <v>0</v>
      </c>
      <c r="I891" s="61">
        <f t="shared" si="158"/>
        <v>0</v>
      </c>
      <c r="J891" s="60">
        <v>0</v>
      </c>
      <c r="K891" s="61">
        <f t="shared" si="159"/>
        <v>0</v>
      </c>
      <c r="L891" s="62"/>
      <c r="M891" s="61">
        <f t="shared" si="160"/>
        <v>0</v>
      </c>
      <c r="N891" s="63">
        <v>0</v>
      </c>
      <c r="O891" s="61">
        <f t="shared" si="161"/>
        <v>0</v>
      </c>
      <c r="P891" s="60">
        <v>0</v>
      </c>
      <c r="Q891" s="61">
        <f t="shared" si="162"/>
        <v>0</v>
      </c>
      <c r="R891" s="60">
        <v>0</v>
      </c>
      <c r="S891" s="61">
        <f t="shared" si="163"/>
        <v>0</v>
      </c>
      <c r="T891" s="60">
        <v>0</v>
      </c>
      <c r="U891" s="64">
        <f t="shared" si="164"/>
        <v>0</v>
      </c>
      <c r="V891" s="65">
        <v>0</v>
      </c>
      <c r="W891" s="66">
        <f t="shared" si="165"/>
        <v>0</v>
      </c>
      <c r="X891" s="67">
        <f t="shared" si="166"/>
        <v>0</v>
      </c>
      <c r="Y891" s="57" t="str">
        <f t="shared" si="167"/>
        <v>NIL PLEASE PURCHASE</v>
      </c>
      <c r="Z891" s="68" t="s">
        <v>1539</v>
      </c>
    </row>
    <row r="892" spans="1:26" s="8" customFormat="1" ht="20.100000000000001" customHeight="1" x14ac:dyDescent="0.25">
      <c r="A892" s="69" t="s">
        <v>1858</v>
      </c>
      <c r="B892" s="88">
        <v>1309</v>
      </c>
      <c r="C892" s="90" t="s">
        <v>1473</v>
      </c>
      <c r="D892" s="60">
        <v>0</v>
      </c>
      <c r="E892" s="61">
        <f t="shared" si="156"/>
        <v>0</v>
      </c>
      <c r="F892" s="60">
        <v>0</v>
      </c>
      <c r="G892" s="61">
        <f t="shared" si="157"/>
        <v>0</v>
      </c>
      <c r="H892" s="60">
        <v>0</v>
      </c>
      <c r="I892" s="61">
        <f t="shared" si="158"/>
        <v>0</v>
      </c>
      <c r="J892" s="60">
        <v>0</v>
      </c>
      <c r="K892" s="61">
        <f t="shared" si="159"/>
        <v>0</v>
      </c>
      <c r="L892" s="62"/>
      <c r="M892" s="61">
        <f t="shared" si="160"/>
        <v>0</v>
      </c>
      <c r="N892" s="63">
        <v>0</v>
      </c>
      <c r="O892" s="61">
        <f t="shared" si="161"/>
        <v>0</v>
      </c>
      <c r="P892" s="60">
        <v>0</v>
      </c>
      <c r="Q892" s="61">
        <f t="shared" si="162"/>
        <v>0</v>
      </c>
      <c r="R892" s="60">
        <v>0</v>
      </c>
      <c r="S892" s="61">
        <f t="shared" si="163"/>
        <v>0</v>
      </c>
      <c r="T892" s="60">
        <v>0</v>
      </c>
      <c r="U892" s="64">
        <f t="shared" si="164"/>
        <v>0</v>
      </c>
      <c r="V892" s="65">
        <v>0</v>
      </c>
      <c r="W892" s="66">
        <f t="shared" si="165"/>
        <v>0</v>
      </c>
      <c r="X892" s="67">
        <f t="shared" si="166"/>
        <v>0</v>
      </c>
      <c r="Y892" s="57" t="str">
        <f t="shared" si="167"/>
        <v>NIL PLEASE PURCHASE</v>
      </c>
      <c r="Z892" s="68" t="s">
        <v>1539</v>
      </c>
    </row>
    <row r="893" spans="1:26" s="8" customFormat="1" ht="20.100000000000001" customHeight="1" x14ac:dyDescent="0.25">
      <c r="A893" s="69" t="s">
        <v>1859</v>
      </c>
      <c r="B893" s="88">
        <v>1310</v>
      </c>
      <c r="C893" s="90" t="s">
        <v>1474</v>
      </c>
      <c r="D893" s="60">
        <v>0</v>
      </c>
      <c r="E893" s="61">
        <f t="shared" si="156"/>
        <v>0</v>
      </c>
      <c r="F893" s="60">
        <v>0</v>
      </c>
      <c r="G893" s="61">
        <f t="shared" si="157"/>
        <v>0</v>
      </c>
      <c r="H893" s="60">
        <v>0</v>
      </c>
      <c r="I893" s="61">
        <f t="shared" si="158"/>
        <v>0</v>
      </c>
      <c r="J893" s="60">
        <v>0</v>
      </c>
      <c r="K893" s="61">
        <f t="shared" si="159"/>
        <v>0</v>
      </c>
      <c r="L893" s="62"/>
      <c r="M893" s="61">
        <f t="shared" si="160"/>
        <v>0</v>
      </c>
      <c r="N893" s="63">
        <v>0</v>
      </c>
      <c r="O893" s="61">
        <f t="shared" si="161"/>
        <v>0</v>
      </c>
      <c r="P893" s="60">
        <v>0</v>
      </c>
      <c r="Q893" s="61">
        <f t="shared" si="162"/>
        <v>0</v>
      </c>
      <c r="R893" s="60">
        <v>0</v>
      </c>
      <c r="S893" s="61">
        <f t="shared" si="163"/>
        <v>0</v>
      </c>
      <c r="T893" s="60">
        <v>0</v>
      </c>
      <c r="U893" s="64">
        <f t="shared" si="164"/>
        <v>0</v>
      </c>
      <c r="V893" s="65">
        <v>0</v>
      </c>
      <c r="W893" s="66">
        <f t="shared" si="165"/>
        <v>0</v>
      </c>
      <c r="X893" s="67">
        <f t="shared" si="166"/>
        <v>0</v>
      </c>
      <c r="Y893" s="57" t="str">
        <f t="shared" si="167"/>
        <v>NIL PLEASE PURCHASE</v>
      </c>
      <c r="Z893" s="68" t="s">
        <v>1539</v>
      </c>
    </row>
    <row r="894" spans="1:26" s="8" customFormat="1" ht="20.100000000000001" customHeight="1" x14ac:dyDescent="0.25">
      <c r="A894" s="69" t="s">
        <v>1860</v>
      </c>
      <c r="B894" s="88">
        <v>1311</v>
      </c>
      <c r="C894" s="90" t="s">
        <v>1475</v>
      </c>
      <c r="D894" s="60">
        <v>0</v>
      </c>
      <c r="E894" s="61">
        <f t="shared" si="156"/>
        <v>0</v>
      </c>
      <c r="F894" s="60">
        <v>0</v>
      </c>
      <c r="G894" s="61">
        <f t="shared" si="157"/>
        <v>0</v>
      </c>
      <c r="H894" s="60">
        <v>0</v>
      </c>
      <c r="I894" s="61">
        <f t="shared" si="158"/>
        <v>0</v>
      </c>
      <c r="J894" s="60">
        <v>0</v>
      </c>
      <c r="K894" s="61">
        <f t="shared" si="159"/>
        <v>0</v>
      </c>
      <c r="L894" s="62"/>
      <c r="M894" s="61">
        <f t="shared" si="160"/>
        <v>0</v>
      </c>
      <c r="N894" s="63">
        <v>0</v>
      </c>
      <c r="O894" s="61">
        <f t="shared" si="161"/>
        <v>0</v>
      </c>
      <c r="P894" s="60">
        <v>0</v>
      </c>
      <c r="Q894" s="61">
        <f t="shared" si="162"/>
        <v>0</v>
      </c>
      <c r="R894" s="60">
        <v>0</v>
      </c>
      <c r="S894" s="61">
        <f t="shared" si="163"/>
        <v>0</v>
      </c>
      <c r="T894" s="60">
        <v>0</v>
      </c>
      <c r="U894" s="64">
        <f t="shared" si="164"/>
        <v>0</v>
      </c>
      <c r="V894" s="65">
        <v>0</v>
      </c>
      <c r="W894" s="66">
        <f t="shared" si="165"/>
        <v>0</v>
      </c>
      <c r="X894" s="67">
        <f t="shared" si="166"/>
        <v>0</v>
      </c>
      <c r="Y894" s="57" t="str">
        <f t="shared" si="167"/>
        <v>NIL PLEASE PURCHASE</v>
      </c>
      <c r="Z894" s="68" t="s">
        <v>1539</v>
      </c>
    </row>
    <row r="895" spans="1:26" s="8" customFormat="1" ht="20.100000000000001" customHeight="1" x14ac:dyDescent="0.25">
      <c r="A895" s="69" t="s">
        <v>1861</v>
      </c>
      <c r="B895" s="88">
        <v>1312</v>
      </c>
      <c r="C895" s="90" t="s">
        <v>1476</v>
      </c>
      <c r="D895" s="60">
        <v>0</v>
      </c>
      <c r="E895" s="61">
        <f t="shared" si="156"/>
        <v>0</v>
      </c>
      <c r="F895" s="60">
        <v>0</v>
      </c>
      <c r="G895" s="61">
        <f t="shared" si="157"/>
        <v>0</v>
      </c>
      <c r="H895" s="60">
        <v>0</v>
      </c>
      <c r="I895" s="61">
        <f t="shared" si="158"/>
        <v>0</v>
      </c>
      <c r="J895" s="60">
        <v>0</v>
      </c>
      <c r="K895" s="61">
        <f t="shared" si="159"/>
        <v>0</v>
      </c>
      <c r="L895" s="62"/>
      <c r="M895" s="61">
        <f t="shared" si="160"/>
        <v>0</v>
      </c>
      <c r="N895" s="63">
        <v>0</v>
      </c>
      <c r="O895" s="61">
        <f t="shared" si="161"/>
        <v>0</v>
      </c>
      <c r="P895" s="60">
        <v>0</v>
      </c>
      <c r="Q895" s="61">
        <f t="shared" si="162"/>
        <v>0</v>
      </c>
      <c r="R895" s="60">
        <v>0</v>
      </c>
      <c r="S895" s="61">
        <f t="shared" si="163"/>
        <v>0</v>
      </c>
      <c r="T895" s="60">
        <v>0</v>
      </c>
      <c r="U895" s="64">
        <f t="shared" si="164"/>
        <v>0</v>
      </c>
      <c r="V895" s="65">
        <v>0</v>
      </c>
      <c r="W895" s="66">
        <f t="shared" si="165"/>
        <v>0</v>
      </c>
      <c r="X895" s="67">
        <f t="shared" si="166"/>
        <v>0</v>
      </c>
      <c r="Y895" s="57" t="str">
        <f t="shared" si="167"/>
        <v>NIL PLEASE PURCHASE</v>
      </c>
      <c r="Z895" s="68" t="s">
        <v>1539</v>
      </c>
    </row>
    <row r="896" spans="1:26" s="8" customFormat="1" ht="20.100000000000001" customHeight="1" x14ac:dyDescent="0.25">
      <c r="A896" s="69" t="s">
        <v>1862</v>
      </c>
      <c r="B896" s="88">
        <v>1313</v>
      </c>
      <c r="C896" s="90" t="s">
        <v>1477</v>
      </c>
      <c r="D896" s="60">
        <v>0</v>
      </c>
      <c r="E896" s="61">
        <f t="shared" si="156"/>
        <v>0</v>
      </c>
      <c r="F896" s="60">
        <v>0</v>
      </c>
      <c r="G896" s="61">
        <f t="shared" si="157"/>
        <v>0</v>
      </c>
      <c r="H896" s="60">
        <v>0</v>
      </c>
      <c r="I896" s="61">
        <f t="shared" si="158"/>
        <v>0</v>
      </c>
      <c r="J896" s="60">
        <v>0</v>
      </c>
      <c r="K896" s="61">
        <f t="shared" si="159"/>
        <v>0</v>
      </c>
      <c r="L896" s="62"/>
      <c r="M896" s="61">
        <f t="shared" si="160"/>
        <v>0</v>
      </c>
      <c r="N896" s="63">
        <v>0</v>
      </c>
      <c r="O896" s="61">
        <f t="shared" si="161"/>
        <v>0</v>
      </c>
      <c r="P896" s="60">
        <v>0</v>
      </c>
      <c r="Q896" s="61">
        <f t="shared" si="162"/>
        <v>0</v>
      </c>
      <c r="R896" s="60">
        <v>0</v>
      </c>
      <c r="S896" s="61">
        <f t="shared" si="163"/>
        <v>0</v>
      </c>
      <c r="T896" s="60">
        <v>0</v>
      </c>
      <c r="U896" s="64">
        <f t="shared" si="164"/>
        <v>0</v>
      </c>
      <c r="V896" s="65">
        <v>0</v>
      </c>
      <c r="W896" s="66">
        <f t="shared" si="165"/>
        <v>0</v>
      </c>
      <c r="X896" s="67">
        <f t="shared" si="166"/>
        <v>0</v>
      </c>
      <c r="Y896" s="57" t="str">
        <f t="shared" si="167"/>
        <v>NIL PLEASE PURCHASE</v>
      </c>
      <c r="Z896" s="68" t="s">
        <v>1539</v>
      </c>
    </row>
    <row r="897" spans="1:26" s="8" customFormat="1" ht="20.100000000000001" customHeight="1" x14ac:dyDescent="0.25">
      <c r="A897" s="69" t="s">
        <v>1863</v>
      </c>
      <c r="B897" s="88">
        <v>1314</v>
      </c>
      <c r="C897" s="90" t="s">
        <v>1478</v>
      </c>
      <c r="D897" s="60">
        <v>0</v>
      </c>
      <c r="E897" s="61">
        <f t="shared" si="156"/>
        <v>0</v>
      </c>
      <c r="F897" s="60">
        <v>0</v>
      </c>
      <c r="G897" s="61">
        <f t="shared" si="157"/>
        <v>0</v>
      </c>
      <c r="H897" s="60">
        <v>0</v>
      </c>
      <c r="I897" s="61">
        <f t="shared" si="158"/>
        <v>0</v>
      </c>
      <c r="J897" s="60">
        <v>0</v>
      </c>
      <c r="K897" s="61">
        <f t="shared" si="159"/>
        <v>0</v>
      </c>
      <c r="L897" s="62"/>
      <c r="M897" s="61">
        <f t="shared" si="160"/>
        <v>0</v>
      </c>
      <c r="N897" s="63">
        <v>5</v>
      </c>
      <c r="O897" s="61">
        <f t="shared" si="161"/>
        <v>2500</v>
      </c>
      <c r="P897" s="60">
        <v>0</v>
      </c>
      <c r="Q897" s="61">
        <f t="shared" si="162"/>
        <v>0</v>
      </c>
      <c r="R897" s="60">
        <v>0</v>
      </c>
      <c r="S897" s="61">
        <f t="shared" si="163"/>
        <v>0</v>
      </c>
      <c r="T897" s="60">
        <v>0</v>
      </c>
      <c r="U897" s="64">
        <f t="shared" si="164"/>
        <v>0</v>
      </c>
      <c r="V897" s="65">
        <v>0</v>
      </c>
      <c r="W897" s="66">
        <f t="shared" si="165"/>
        <v>2500</v>
      </c>
      <c r="X897" s="67">
        <f t="shared" si="166"/>
        <v>2.5</v>
      </c>
      <c r="Y897" s="57" t="str">
        <f t="shared" si="167"/>
        <v>STOCK</v>
      </c>
      <c r="Z897" s="68" t="s">
        <v>1539</v>
      </c>
    </row>
    <row r="898" spans="1:26" s="8" customFormat="1" ht="20.100000000000001" customHeight="1" x14ac:dyDescent="0.25">
      <c r="A898" s="69" t="s">
        <v>1864</v>
      </c>
      <c r="B898" s="88">
        <v>1315</v>
      </c>
      <c r="C898" s="90" t="s">
        <v>1479</v>
      </c>
      <c r="D898" s="60">
        <v>0</v>
      </c>
      <c r="E898" s="61">
        <f t="shared" si="156"/>
        <v>0</v>
      </c>
      <c r="F898" s="60">
        <v>0</v>
      </c>
      <c r="G898" s="61">
        <f t="shared" si="157"/>
        <v>0</v>
      </c>
      <c r="H898" s="60">
        <v>0</v>
      </c>
      <c r="I898" s="61">
        <f t="shared" si="158"/>
        <v>0</v>
      </c>
      <c r="J898" s="60">
        <v>0</v>
      </c>
      <c r="K898" s="61">
        <f t="shared" si="159"/>
        <v>0</v>
      </c>
      <c r="L898" s="62"/>
      <c r="M898" s="61">
        <f t="shared" si="160"/>
        <v>0</v>
      </c>
      <c r="N898" s="63">
        <v>0</v>
      </c>
      <c r="O898" s="61">
        <f t="shared" si="161"/>
        <v>0</v>
      </c>
      <c r="P898" s="60">
        <v>0</v>
      </c>
      <c r="Q898" s="61">
        <f t="shared" si="162"/>
        <v>0</v>
      </c>
      <c r="R898" s="60">
        <v>0</v>
      </c>
      <c r="S898" s="61">
        <f t="shared" si="163"/>
        <v>0</v>
      </c>
      <c r="T898" s="60">
        <v>0</v>
      </c>
      <c r="U898" s="64">
        <f t="shared" si="164"/>
        <v>0</v>
      </c>
      <c r="V898" s="65">
        <v>0</v>
      </c>
      <c r="W898" s="66">
        <f t="shared" si="165"/>
        <v>0</v>
      </c>
      <c r="X898" s="67">
        <f t="shared" si="166"/>
        <v>0</v>
      </c>
      <c r="Y898" s="57" t="str">
        <f t="shared" si="167"/>
        <v>NIL PLEASE PURCHASE</v>
      </c>
      <c r="Z898" s="68" t="s">
        <v>1539</v>
      </c>
    </row>
    <row r="899" spans="1:26" s="8" customFormat="1" ht="20.100000000000001" customHeight="1" x14ac:dyDescent="0.25">
      <c r="A899" s="69" t="s">
        <v>1865</v>
      </c>
      <c r="B899" s="88">
        <v>1316</v>
      </c>
      <c r="C899" s="90" t="s">
        <v>1480</v>
      </c>
      <c r="D899" s="60">
        <v>0</v>
      </c>
      <c r="E899" s="61">
        <f t="shared" si="156"/>
        <v>0</v>
      </c>
      <c r="F899" s="60">
        <v>0</v>
      </c>
      <c r="G899" s="61">
        <f t="shared" si="157"/>
        <v>0</v>
      </c>
      <c r="H899" s="60">
        <v>0</v>
      </c>
      <c r="I899" s="61">
        <f t="shared" si="158"/>
        <v>0</v>
      </c>
      <c r="J899" s="60">
        <v>0</v>
      </c>
      <c r="K899" s="61">
        <f t="shared" si="159"/>
        <v>0</v>
      </c>
      <c r="L899" s="62"/>
      <c r="M899" s="61">
        <f t="shared" si="160"/>
        <v>0</v>
      </c>
      <c r="N899" s="63">
        <v>0</v>
      </c>
      <c r="O899" s="61">
        <f t="shared" si="161"/>
        <v>0</v>
      </c>
      <c r="P899" s="60">
        <v>0</v>
      </c>
      <c r="Q899" s="61">
        <f t="shared" si="162"/>
        <v>0</v>
      </c>
      <c r="R899" s="60">
        <v>0</v>
      </c>
      <c r="S899" s="61">
        <f t="shared" si="163"/>
        <v>0</v>
      </c>
      <c r="T899" s="60">
        <v>0</v>
      </c>
      <c r="U899" s="64">
        <f t="shared" si="164"/>
        <v>0</v>
      </c>
      <c r="V899" s="65">
        <v>0</v>
      </c>
      <c r="W899" s="66">
        <f t="shared" si="165"/>
        <v>0</v>
      </c>
      <c r="X899" s="67">
        <f t="shared" si="166"/>
        <v>0</v>
      </c>
      <c r="Y899" s="57" t="str">
        <f t="shared" si="167"/>
        <v>NIL PLEASE PURCHASE</v>
      </c>
      <c r="Z899" s="68" t="s">
        <v>1539</v>
      </c>
    </row>
    <row r="900" spans="1:26" s="8" customFormat="1" ht="20.100000000000001" customHeight="1" x14ac:dyDescent="0.25">
      <c r="A900" s="69" t="s">
        <v>1866</v>
      </c>
      <c r="B900" s="88">
        <v>1317</v>
      </c>
      <c r="C900" s="90" t="s">
        <v>1481</v>
      </c>
      <c r="D900" s="60">
        <v>0</v>
      </c>
      <c r="E900" s="61">
        <f t="shared" si="156"/>
        <v>0</v>
      </c>
      <c r="F900" s="60">
        <v>0</v>
      </c>
      <c r="G900" s="61">
        <f t="shared" si="157"/>
        <v>0</v>
      </c>
      <c r="H900" s="60">
        <v>0</v>
      </c>
      <c r="I900" s="61">
        <f t="shared" si="158"/>
        <v>0</v>
      </c>
      <c r="J900" s="60">
        <v>0</v>
      </c>
      <c r="K900" s="61">
        <v>0</v>
      </c>
      <c r="L900" s="62">
        <v>3</v>
      </c>
      <c r="M900" s="61">
        <f t="shared" si="160"/>
        <v>750</v>
      </c>
      <c r="N900" s="63">
        <v>1</v>
      </c>
      <c r="O900" s="61">
        <f t="shared" si="161"/>
        <v>500</v>
      </c>
      <c r="P900" s="60">
        <v>0</v>
      </c>
      <c r="Q900" s="61">
        <f t="shared" si="162"/>
        <v>0</v>
      </c>
      <c r="R900" s="60">
        <v>0</v>
      </c>
      <c r="S900" s="61">
        <f t="shared" si="163"/>
        <v>0</v>
      </c>
      <c r="T900" s="60">
        <v>0</v>
      </c>
      <c r="U900" s="64">
        <f t="shared" si="164"/>
        <v>0</v>
      </c>
      <c r="V900" s="65">
        <v>0</v>
      </c>
      <c r="W900" s="66">
        <f t="shared" si="165"/>
        <v>1250</v>
      </c>
      <c r="X900" s="67">
        <f t="shared" si="166"/>
        <v>1.25</v>
      </c>
      <c r="Y900" s="57" t="str">
        <f t="shared" si="167"/>
        <v>STOCK</v>
      </c>
      <c r="Z900" s="68" t="s">
        <v>1538</v>
      </c>
    </row>
    <row r="901" spans="1:26" s="8" customFormat="1" ht="20.100000000000001" customHeight="1" x14ac:dyDescent="0.25">
      <c r="A901" s="69" t="s">
        <v>1867</v>
      </c>
      <c r="B901" s="88">
        <v>1318</v>
      </c>
      <c r="C901" s="90" t="s">
        <v>1482</v>
      </c>
      <c r="D901" s="60">
        <v>0</v>
      </c>
      <c r="E901" s="61">
        <f t="shared" ref="E901:E954" si="168">D901*10</f>
        <v>0</v>
      </c>
      <c r="F901" s="60">
        <v>0</v>
      </c>
      <c r="G901" s="61">
        <f t="shared" ref="G901:G954" si="169">F901*25</f>
        <v>0</v>
      </c>
      <c r="H901" s="60">
        <v>0</v>
      </c>
      <c r="I901" s="61">
        <f t="shared" ref="I901:I954" si="170">H901*50</f>
        <v>0</v>
      </c>
      <c r="J901" s="60">
        <v>2</v>
      </c>
      <c r="K901" s="61">
        <f t="shared" ref="K901:K954" si="171">J901*100</f>
        <v>200</v>
      </c>
      <c r="L901" s="62"/>
      <c r="M901" s="61">
        <f t="shared" ref="M901:M954" si="172">L901*250</f>
        <v>0</v>
      </c>
      <c r="N901" s="63">
        <v>0</v>
      </c>
      <c r="O901" s="61">
        <f t="shared" ref="O901:O954" si="173">N901*500</f>
        <v>0</v>
      </c>
      <c r="P901" s="60">
        <v>0</v>
      </c>
      <c r="Q901" s="61">
        <f t="shared" ref="Q901:Q954" si="174">P901*1000</f>
        <v>0</v>
      </c>
      <c r="R901" s="60">
        <v>0</v>
      </c>
      <c r="S901" s="61">
        <f t="shared" ref="S901:S954" si="175">R901*2500</f>
        <v>0</v>
      </c>
      <c r="T901" s="60">
        <v>0</v>
      </c>
      <c r="U901" s="64">
        <f t="shared" ref="U901:U954" si="176">T901*5000</f>
        <v>0</v>
      </c>
      <c r="V901" s="65">
        <v>0</v>
      </c>
      <c r="W901" s="66">
        <f t="shared" ref="W901:W954" si="177">E901+G901+I901+K901+M901+O901+Q901+S901+U901</f>
        <v>200</v>
      </c>
      <c r="X901" s="67">
        <f t="shared" ref="X901:X954" si="178">SUM(W901:W901)/1000</f>
        <v>0.2</v>
      </c>
      <c r="Y901" s="57" t="str">
        <f t="shared" ref="Y901:Y954" si="179">IF(W901=0,("NIL PLEASE PURCHASE"),("STOCK"))</f>
        <v>STOCK</v>
      </c>
      <c r="Z901" s="68" t="s">
        <v>1538</v>
      </c>
    </row>
    <row r="902" spans="1:26" s="8" customFormat="1" ht="20.100000000000001" customHeight="1" x14ac:dyDescent="0.25">
      <c r="A902" s="69" t="s">
        <v>1868</v>
      </c>
      <c r="B902" s="88">
        <v>1319</v>
      </c>
      <c r="C902" s="90" t="s">
        <v>1483</v>
      </c>
      <c r="D902" s="60">
        <v>0</v>
      </c>
      <c r="E902" s="61">
        <f t="shared" si="168"/>
        <v>0</v>
      </c>
      <c r="F902" s="60">
        <v>0</v>
      </c>
      <c r="G902" s="61">
        <f t="shared" si="169"/>
        <v>0</v>
      </c>
      <c r="H902" s="60">
        <v>0</v>
      </c>
      <c r="I902" s="61">
        <f t="shared" si="170"/>
        <v>0</v>
      </c>
      <c r="J902" s="60">
        <v>0</v>
      </c>
      <c r="K902" s="61">
        <f t="shared" si="171"/>
        <v>0</v>
      </c>
      <c r="L902" s="62"/>
      <c r="M902" s="61">
        <f t="shared" si="172"/>
        <v>0</v>
      </c>
      <c r="N902" s="63">
        <v>0</v>
      </c>
      <c r="O902" s="61">
        <f t="shared" si="173"/>
        <v>0</v>
      </c>
      <c r="P902" s="60">
        <v>0</v>
      </c>
      <c r="Q902" s="61">
        <f t="shared" si="174"/>
        <v>0</v>
      </c>
      <c r="R902" s="60">
        <v>0</v>
      </c>
      <c r="S902" s="61">
        <f t="shared" si="175"/>
        <v>0</v>
      </c>
      <c r="T902" s="60">
        <v>0</v>
      </c>
      <c r="U902" s="64">
        <f t="shared" si="176"/>
        <v>0</v>
      </c>
      <c r="V902" s="65">
        <v>0</v>
      </c>
      <c r="W902" s="66">
        <f t="shared" si="177"/>
        <v>0</v>
      </c>
      <c r="X902" s="67">
        <f t="shared" si="178"/>
        <v>0</v>
      </c>
      <c r="Y902" s="57" t="str">
        <f t="shared" si="179"/>
        <v>NIL PLEASE PURCHASE</v>
      </c>
      <c r="Z902" s="68" t="s">
        <v>1539</v>
      </c>
    </row>
    <row r="903" spans="1:26" s="8" customFormat="1" ht="20.100000000000001" customHeight="1" x14ac:dyDescent="0.25">
      <c r="A903" s="69" t="s">
        <v>1869</v>
      </c>
      <c r="B903" s="88">
        <v>1320</v>
      </c>
      <c r="C903" s="90" t="s">
        <v>1484</v>
      </c>
      <c r="D903" s="60">
        <v>0</v>
      </c>
      <c r="E903" s="61">
        <f t="shared" si="168"/>
        <v>0</v>
      </c>
      <c r="F903" s="60">
        <v>0</v>
      </c>
      <c r="G903" s="61">
        <f t="shared" si="169"/>
        <v>0</v>
      </c>
      <c r="H903" s="60">
        <v>0</v>
      </c>
      <c r="I903" s="61">
        <f t="shared" si="170"/>
        <v>0</v>
      </c>
      <c r="J903" s="60">
        <v>0</v>
      </c>
      <c r="K903" s="61">
        <f t="shared" si="171"/>
        <v>0</v>
      </c>
      <c r="L903" s="62"/>
      <c r="M903" s="61">
        <f t="shared" si="172"/>
        <v>0</v>
      </c>
      <c r="N903" s="63">
        <v>2</v>
      </c>
      <c r="O903" s="61">
        <f t="shared" si="173"/>
        <v>1000</v>
      </c>
      <c r="P903" s="60">
        <v>0</v>
      </c>
      <c r="Q903" s="61">
        <f t="shared" si="174"/>
        <v>0</v>
      </c>
      <c r="R903" s="60">
        <v>0</v>
      </c>
      <c r="S903" s="61">
        <f t="shared" si="175"/>
        <v>0</v>
      </c>
      <c r="T903" s="60"/>
      <c r="U903" s="64">
        <f t="shared" si="176"/>
        <v>0</v>
      </c>
      <c r="V903" s="65">
        <v>0</v>
      </c>
      <c r="W903" s="66">
        <f t="shared" si="177"/>
        <v>1000</v>
      </c>
      <c r="X903" s="67">
        <f t="shared" si="178"/>
        <v>1</v>
      </c>
      <c r="Y903" s="57" t="str">
        <f t="shared" si="179"/>
        <v>STOCK</v>
      </c>
      <c r="Z903" s="68" t="s">
        <v>1538</v>
      </c>
    </row>
    <row r="904" spans="1:26" s="8" customFormat="1" ht="20.100000000000001" customHeight="1" x14ac:dyDescent="0.25">
      <c r="A904" s="69" t="s">
        <v>1870</v>
      </c>
      <c r="B904" s="88">
        <v>1321</v>
      </c>
      <c r="C904" s="90" t="s">
        <v>1485</v>
      </c>
      <c r="D904" s="60">
        <v>0</v>
      </c>
      <c r="E904" s="61">
        <f t="shared" si="168"/>
        <v>0</v>
      </c>
      <c r="F904" s="60">
        <v>0</v>
      </c>
      <c r="G904" s="61">
        <f t="shared" si="169"/>
        <v>0</v>
      </c>
      <c r="H904" s="60">
        <v>0</v>
      </c>
      <c r="I904" s="61">
        <f t="shared" si="170"/>
        <v>0</v>
      </c>
      <c r="J904" s="60">
        <v>0</v>
      </c>
      <c r="K904" s="61">
        <f t="shared" si="171"/>
        <v>0</v>
      </c>
      <c r="L904" s="62"/>
      <c r="M904" s="61">
        <f t="shared" si="172"/>
        <v>0</v>
      </c>
      <c r="N904" s="63">
        <v>1</v>
      </c>
      <c r="O904" s="61">
        <f t="shared" si="173"/>
        <v>500</v>
      </c>
      <c r="P904" s="60">
        <v>0</v>
      </c>
      <c r="Q904" s="61">
        <f t="shared" si="174"/>
        <v>0</v>
      </c>
      <c r="R904" s="60">
        <v>0</v>
      </c>
      <c r="S904" s="61">
        <f t="shared" si="175"/>
        <v>0</v>
      </c>
      <c r="T904" s="60">
        <v>0</v>
      </c>
      <c r="U904" s="64">
        <f t="shared" si="176"/>
        <v>0</v>
      </c>
      <c r="V904" s="65">
        <v>0</v>
      </c>
      <c r="W904" s="66">
        <f t="shared" si="177"/>
        <v>500</v>
      </c>
      <c r="X904" s="67">
        <f t="shared" si="178"/>
        <v>0.5</v>
      </c>
      <c r="Y904" s="57" t="str">
        <f t="shared" si="179"/>
        <v>STOCK</v>
      </c>
      <c r="Z904" s="68" t="s">
        <v>1538</v>
      </c>
    </row>
    <row r="905" spans="1:26" s="8" customFormat="1" ht="20.100000000000001" customHeight="1" x14ac:dyDescent="0.25">
      <c r="A905" s="69" t="s">
        <v>1871</v>
      </c>
      <c r="B905" s="88">
        <v>1322</v>
      </c>
      <c r="C905" s="90" t="s">
        <v>1486</v>
      </c>
      <c r="D905" s="60">
        <v>0</v>
      </c>
      <c r="E905" s="61">
        <f t="shared" si="168"/>
        <v>0</v>
      </c>
      <c r="F905" s="60">
        <v>0</v>
      </c>
      <c r="G905" s="61">
        <f t="shared" si="169"/>
        <v>0</v>
      </c>
      <c r="H905" s="60">
        <v>0</v>
      </c>
      <c r="I905" s="61">
        <f t="shared" si="170"/>
        <v>0</v>
      </c>
      <c r="J905" s="60">
        <v>0</v>
      </c>
      <c r="K905" s="61">
        <f t="shared" si="171"/>
        <v>0</v>
      </c>
      <c r="L905" s="62"/>
      <c r="M905" s="61">
        <f t="shared" si="172"/>
        <v>0</v>
      </c>
      <c r="N905" s="63">
        <v>0</v>
      </c>
      <c r="O905" s="61">
        <f t="shared" si="173"/>
        <v>0</v>
      </c>
      <c r="P905" s="60">
        <v>0</v>
      </c>
      <c r="Q905" s="61">
        <f t="shared" si="174"/>
        <v>0</v>
      </c>
      <c r="R905" s="60">
        <v>0</v>
      </c>
      <c r="S905" s="61">
        <f t="shared" si="175"/>
        <v>0</v>
      </c>
      <c r="T905" s="60">
        <v>0</v>
      </c>
      <c r="U905" s="64">
        <f t="shared" si="176"/>
        <v>0</v>
      </c>
      <c r="V905" s="65">
        <v>0</v>
      </c>
      <c r="W905" s="66">
        <f t="shared" si="177"/>
        <v>0</v>
      </c>
      <c r="X905" s="67">
        <f t="shared" si="178"/>
        <v>0</v>
      </c>
      <c r="Y905" s="57" t="str">
        <f t="shared" si="179"/>
        <v>NIL PLEASE PURCHASE</v>
      </c>
      <c r="Z905" s="68" t="s">
        <v>1539</v>
      </c>
    </row>
    <row r="906" spans="1:26" s="8" customFormat="1" ht="20.100000000000001" customHeight="1" x14ac:dyDescent="0.25">
      <c r="A906" s="69" t="s">
        <v>1872</v>
      </c>
      <c r="B906" s="88">
        <v>1323</v>
      </c>
      <c r="C906" s="90" t="s">
        <v>1487</v>
      </c>
      <c r="D906" s="60">
        <v>0</v>
      </c>
      <c r="E906" s="61">
        <f t="shared" si="168"/>
        <v>0</v>
      </c>
      <c r="F906" s="60">
        <v>0</v>
      </c>
      <c r="G906" s="61">
        <f t="shared" si="169"/>
        <v>0</v>
      </c>
      <c r="H906" s="60">
        <v>0</v>
      </c>
      <c r="I906" s="61">
        <f t="shared" si="170"/>
        <v>0</v>
      </c>
      <c r="J906" s="60">
        <v>0</v>
      </c>
      <c r="K906" s="61">
        <f t="shared" si="171"/>
        <v>0</v>
      </c>
      <c r="L906" s="62"/>
      <c r="M906" s="61">
        <f t="shared" si="172"/>
        <v>0</v>
      </c>
      <c r="N906" s="63">
        <v>0</v>
      </c>
      <c r="O906" s="61">
        <f t="shared" si="173"/>
        <v>0</v>
      </c>
      <c r="P906" s="60">
        <v>0</v>
      </c>
      <c r="Q906" s="61">
        <f t="shared" si="174"/>
        <v>0</v>
      </c>
      <c r="R906" s="60">
        <v>0</v>
      </c>
      <c r="S906" s="61">
        <f t="shared" si="175"/>
        <v>0</v>
      </c>
      <c r="T906" s="60">
        <v>0</v>
      </c>
      <c r="U906" s="64">
        <f t="shared" si="176"/>
        <v>0</v>
      </c>
      <c r="V906" s="65">
        <v>0</v>
      </c>
      <c r="W906" s="66">
        <f t="shared" si="177"/>
        <v>0</v>
      </c>
      <c r="X906" s="67">
        <f t="shared" si="178"/>
        <v>0</v>
      </c>
      <c r="Y906" s="57" t="str">
        <f t="shared" si="179"/>
        <v>NIL PLEASE PURCHASE</v>
      </c>
      <c r="Z906" s="68" t="s">
        <v>1539</v>
      </c>
    </row>
    <row r="907" spans="1:26" s="8" customFormat="1" ht="20.100000000000001" customHeight="1" x14ac:dyDescent="0.25">
      <c r="A907" s="69" t="s">
        <v>1873</v>
      </c>
      <c r="B907" s="88">
        <v>1324</v>
      </c>
      <c r="C907" s="90" t="s">
        <v>1488</v>
      </c>
      <c r="D907" s="60">
        <v>0</v>
      </c>
      <c r="E907" s="61">
        <f t="shared" si="168"/>
        <v>0</v>
      </c>
      <c r="F907" s="60">
        <v>0</v>
      </c>
      <c r="G907" s="61">
        <f t="shared" si="169"/>
        <v>0</v>
      </c>
      <c r="H907" s="60">
        <v>1</v>
      </c>
      <c r="I907" s="61">
        <f t="shared" si="170"/>
        <v>50</v>
      </c>
      <c r="J907" s="60">
        <v>0</v>
      </c>
      <c r="K907" s="61">
        <f t="shared" si="171"/>
        <v>0</v>
      </c>
      <c r="L907" s="62"/>
      <c r="M907" s="61">
        <f t="shared" si="172"/>
        <v>0</v>
      </c>
      <c r="N907" s="63">
        <v>0</v>
      </c>
      <c r="O907" s="61">
        <f t="shared" si="173"/>
        <v>0</v>
      </c>
      <c r="P907" s="60">
        <v>0</v>
      </c>
      <c r="Q907" s="61">
        <f t="shared" si="174"/>
        <v>0</v>
      </c>
      <c r="R907" s="60">
        <v>0</v>
      </c>
      <c r="S907" s="61">
        <f t="shared" si="175"/>
        <v>0</v>
      </c>
      <c r="T907" s="60">
        <v>0</v>
      </c>
      <c r="U907" s="64">
        <f t="shared" si="176"/>
        <v>0</v>
      </c>
      <c r="V907" s="65">
        <v>0</v>
      </c>
      <c r="W907" s="66">
        <f t="shared" si="177"/>
        <v>50</v>
      </c>
      <c r="X907" s="67">
        <f t="shared" si="178"/>
        <v>0.05</v>
      </c>
      <c r="Y907" s="57" t="str">
        <f t="shared" si="179"/>
        <v>STOCK</v>
      </c>
      <c r="Z907" s="68" t="s">
        <v>1538</v>
      </c>
    </row>
    <row r="908" spans="1:26" s="8" customFormat="1" ht="20.100000000000001" customHeight="1" x14ac:dyDescent="0.25">
      <c r="A908" s="69" t="s">
        <v>1874</v>
      </c>
      <c r="B908" s="88">
        <v>1325</v>
      </c>
      <c r="C908" s="90" t="s">
        <v>1489</v>
      </c>
      <c r="D908" s="60">
        <v>0</v>
      </c>
      <c r="E908" s="61">
        <f t="shared" si="168"/>
        <v>0</v>
      </c>
      <c r="F908" s="60">
        <v>0</v>
      </c>
      <c r="G908" s="61">
        <f t="shared" si="169"/>
        <v>0</v>
      </c>
      <c r="H908" s="60">
        <v>0</v>
      </c>
      <c r="I908" s="61">
        <f t="shared" si="170"/>
        <v>0</v>
      </c>
      <c r="J908" s="60">
        <v>0</v>
      </c>
      <c r="K908" s="61">
        <f t="shared" si="171"/>
        <v>0</v>
      </c>
      <c r="L908" s="62"/>
      <c r="M908" s="61">
        <f t="shared" si="172"/>
        <v>0</v>
      </c>
      <c r="N908" s="63">
        <v>0</v>
      </c>
      <c r="O908" s="61">
        <f t="shared" si="173"/>
        <v>0</v>
      </c>
      <c r="P908" s="60">
        <v>0</v>
      </c>
      <c r="Q908" s="61">
        <f t="shared" si="174"/>
        <v>0</v>
      </c>
      <c r="R908" s="60">
        <v>0</v>
      </c>
      <c r="S908" s="61">
        <f t="shared" si="175"/>
        <v>0</v>
      </c>
      <c r="T908" s="60">
        <v>0</v>
      </c>
      <c r="U908" s="64">
        <f t="shared" si="176"/>
        <v>0</v>
      </c>
      <c r="V908" s="65">
        <v>0</v>
      </c>
      <c r="W908" s="66">
        <f t="shared" si="177"/>
        <v>0</v>
      </c>
      <c r="X908" s="67">
        <f t="shared" si="178"/>
        <v>0</v>
      </c>
      <c r="Y908" s="57" t="str">
        <f t="shared" si="179"/>
        <v>NIL PLEASE PURCHASE</v>
      </c>
      <c r="Z908" s="68" t="s">
        <v>1539</v>
      </c>
    </row>
    <row r="909" spans="1:26" s="8" customFormat="1" ht="20.100000000000001" customHeight="1" x14ac:dyDescent="0.25">
      <c r="A909" s="69" t="s">
        <v>1875</v>
      </c>
      <c r="B909" s="88">
        <v>1326</v>
      </c>
      <c r="C909" s="90" t="s">
        <v>1490</v>
      </c>
      <c r="D909" s="60">
        <v>0</v>
      </c>
      <c r="E909" s="61">
        <f t="shared" si="168"/>
        <v>0</v>
      </c>
      <c r="F909" s="60">
        <v>0</v>
      </c>
      <c r="G909" s="61">
        <f t="shared" si="169"/>
        <v>0</v>
      </c>
      <c r="H909" s="60">
        <v>0</v>
      </c>
      <c r="I909" s="61">
        <f t="shared" si="170"/>
        <v>0</v>
      </c>
      <c r="J909" s="60">
        <v>0</v>
      </c>
      <c r="K909" s="61">
        <f t="shared" si="171"/>
        <v>0</v>
      </c>
      <c r="L909" s="62"/>
      <c r="M909" s="61">
        <f t="shared" si="172"/>
        <v>0</v>
      </c>
      <c r="N909" s="63">
        <v>0</v>
      </c>
      <c r="O909" s="61">
        <f t="shared" si="173"/>
        <v>0</v>
      </c>
      <c r="P909" s="60">
        <v>0</v>
      </c>
      <c r="Q909" s="61">
        <f t="shared" si="174"/>
        <v>0</v>
      </c>
      <c r="R909" s="60">
        <v>0</v>
      </c>
      <c r="S909" s="61">
        <f t="shared" si="175"/>
        <v>0</v>
      </c>
      <c r="T909" s="60">
        <v>0</v>
      </c>
      <c r="U909" s="64">
        <f t="shared" si="176"/>
        <v>0</v>
      </c>
      <c r="V909" s="65">
        <v>0</v>
      </c>
      <c r="W909" s="66">
        <f t="shared" si="177"/>
        <v>0</v>
      </c>
      <c r="X909" s="67">
        <f t="shared" si="178"/>
        <v>0</v>
      </c>
      <c r="Y909" s="57" t="str">
        <f t="shared" si="179"/>
        <v>NIL PLEASE PURCHASE</v>
      </c>
      <c r="Z909" s="68" t="s">
        <v>1539</v>
      </c>
    </row>
    <row r="910" spans="1:26" s="8" customFormat="1" ht="20.100000000000001" customHeight="1" x14ac:dyDescent="0.25">
      <c r="A910" s="69" t="s">
        <v>1876</v>
      </c>
      <c r="B910" s="88">
        <v>1327</v>
      </c>
      <c r="C910" s="90" t="s">
        <v>1491</v>
      </c>
      <c r="D910" s="60">
        <v>0</v>
      </c>
      <c r="E910" s="61">
        <f t="shared" si="168"/>
        <v>0</v>
      </c>
      <c r="F910" s="60">
        <v>0</v>
      </c>
      <c r="G910" s="61">
        <f t="shared" si="169"/>
        <v>0</v>
      </c>
      <c r="H910" s="60"/>
      <c r="I910" s="61">
        <f t="shared" si="170"/>
        <v>0</v>
      </c>
      <c r="J910" s="60">
        <v>1</v>
      </c>
      <c r="K910" s="61">
        <f t="shared" si="171"/>
        <v>100</v>
      </c>
      <c r="L910" s="62"/>
      <c r="M910" s="61">
        <f t="shared" si="172"/>
        <v>0</v>
      </c>
      <c r="N910" s="63">
        <v>0</v>
      </c>
      <c r="O910" s="61">
        <f t="shared" si="173"/>
        <v>0</v>
      </c>
      <c r="P910" s="60">
        <v>0</v>
      </c>
      <c r="Q910" s="61">
        <f t="shared" si="174"/>
        <v>0</v>
      </c>
      <c r="R910" s="60">
        <v>0</v>
      </c>
      <c r="S910" s="61">
        <f t="shared" si="175"/>
        <v>0</v>
      </c>
      <c r="T910" s="60">
        <v>0</v>
      </c>
      <c r="U910" s="64">
        <f t="shared" si="176"/>
        <v>0</v>
      </c>
      <c r="V910" s="65">
        <v>0</v>
      </c>
      <c r="W910" s="66">
        <f t="shared" si="177"/>
        <v>100</v>
      </c>
      <c r="X910" s="67">
        <f t="shared" si="178"/>
        <v>0.1</v>
      </c>
      <c r="Y910" s="57" t="str">
        <f t="shared" si="179"/>
        <v>STOCK</v>
      </c>
      <c r="Z910" s="68" t="s">
        <v>1538</v>
      </c>
    </row>
    <row r="911" spans="1:26" s="8" customFormat="1" ht="20.100000000000001" customHeight="1" x14ac:dyDescent="0.25">
      <c r="A911" s="69" t="s">
        <v>1877</v>
      </c>
      <c r="B911" s="88">
        <v>1328</v>
      </c>
      <c r="C911" s="90" t="s">
        <v>1492</v>
      </c>
      <c r="D911" s="60">
        <v>0</v>
      </c>
      <c r="E911" s="61">
        <f t="shared" si="168"/>
        <v>0</v>
      </c>
      <c r="F911" s="60">
        <v>0</v>
      </c>
      <c r="G911" s="61">
        <f t="shared" si="169"/>
        <v>0</v>
      </c>
      <c r="H911" s="60">
        <v>0</v>
      </c>
      <c r="I911" s="61">
        <f t="shared" si="170"/>
        <v>0</v>
      </c>
      <c r="J911" s="60">
        <v>0</v>
      </c>
      <c r="K911" s="61">
        <f t="shared" si="171"/>
        <v>0</v>
      </c>
      <c r="L911" s="62"/>
      <c r="M911" s="61">
        <f t="shared" si="172"/>
        <v>0</v>
      </c>
      <c r="N911" s="63">
        <v>0</v>
      </c>
      <c r="O911" s="61">
        <f t="shared" si="173"/>
        <v>0</v>
      </c>
      <c r="P911" s="60">
        <v>0</v>
      </c>
      <c r="Q911" s="61">
        <f t="shared" si="174"/>
        <v>0</v>
      </c>
      <c r="R911" s="60">
        <v>0</v>
      </c>
      <c r="S911" s="61">
        <f t="shared" si="175"/>
        <v>0</v>
      </c>
      <c r="T911" s="60">
        <v>0</v>
      </c>
      <c r="U911" s="64">
        <f t="shared" si="176"/>
        <v>0</v>
      </c>
      <c r="V911" s="65">
        <v>0</v>
      </c>
      <c r="W911" s="66">
        <f t="shared" si="177"/>
        <v>0</v>
      </c>
      <c r="X911" s="67">
        <f t="shared" si="178"/>
        <v>0</v>
      </c>
      <c r="Y911" s="57" t="str">
        <f t="shared" si="179"/>
        <v>NIL PLEASE PURCHASE</v>
      </c>
      <c r="Z911" s="68" t="s">
        <v>1539</v>
      </c>
    </row>
    <row r="912" spans="1:26" s="8" customFormat="1" ht="20.100000000000001" customHeight="1" x14ac:dyDescent="0.25">
      <c r="A912" s="69" t="s">
        <v>1878</v>
      </c>
      <c r="B912" s="88">
        <v>1329</v>
      </c>
      <c r="C912" s="90" t="s">
        <v>1493</v>
      </c>
      <c r="D912" s="60">
        <v>0</v>
      </c>
      <c r="E912" s="61">
        <f t="shared" si="168"/>
        <v>0</v>
      </c>
      <c r="F912" s="60">
        <v>0</v>
      </c>
      <c r="G912" s="61">
        <f t="shared" si="169"/>
        <v>0</v>
      </c>
      <c r="H912" s="60">
        <v>0</v>
      </c>
      <c r="I912" s="61">
        <f t="shared" si="170"/>
        <v>0</v>
      </c>
      <c r="J912" s="60">
        <v>0</v>
      </c>
      <c r="K912" s="61">
        <f t="shared" si="171"/>
        <v>0</v>
      </c>
      <c r="L912" s="62"/>
      <c r="M912" s="61">
        <f t="shared" si="172"/>
        <v>0</v>
      </c>
      <c r="N912" s="63">
        <v>0</v>
      </c>
      <c r="O912" s="61">
        <f t="shared" si="173"/>
        <v>0</v>
      </c>
      <c r="P912" s="60">
        <v>0</v>
      </c>
      <c r="Q912" s="61">
        <f t="shared" si="174"/>
        <v>0</v>
      </c>
      <c r="R912" s="60">
        <v>0</v>
      </c>
      <c r="S912" s="61">
        <f t="shared" si="175"/>
        <v>0</v>
      </c>
      <c r="T912" s="60">
        <v>0</v>
      </c>
      <c r="U912" s="64">
        <f t="shared" si="176"/>
        <v>0</v>
      </c>
      <c r="V912" s="65">
        <v>0</v>
      </c>
      <c r="W912" s="66">
        <f t="shared" si="177"/>
        <v>0</v>
      </c>
      <c r="X912" s="67">
        <f t="shared" si="178"/>
        <v>0</v>
      </c>
      <c r="Y912" s="57" t="str">
        <f t="shared" si="179"/>
        <v>NIL PLEASE PURCHASE</v>
      </c>
      <c r="Z912" s="68" t="s">
        <v>1539</v>
      </c>
    </row>
    <row r="913" spans="1:26" s="8" customFormat="1" ht="20.100000000000001" customHeight="1" x14ac:dyDescent="0.25">
      <c r="A913" s="69" t="s">
        <v>1879</v>
      </c>
      <c r="B913" s="88">
        <v>1330</v>
      </c>
      <c r="C913" s="90" t="s">
        <v>1494</v>
      </c>
      <c r="D913" s="60">
        <v>0</v>
      </c>
      <c r="E913" s="61">
        <f t="shared" si="168"/>
        <v>0</v>
      </c>
      <c r="F913" s="60">
        <v>0</v>
      </c>
      <c r="G913" s="61">
        <f t="shared" si="169"/>
        <v>0</v>
      </c>
      <c r="H913" s="60">
        <v>0</v>
      </c>
      <c r="I913" s="61">
        <f t="shared" si="170"/>
        <v>0</v>
      </c>
      <c r="J913" s="60">
        <v>0</v>
      </c>
      <c r="K913" s="61">
        <f t="shared" si="171"/>
        <v>0</v>
      </c>
      <c r="L913" s="62"/>
      <c r="M913" s="61">
        <f t="shared" si="172"/>
        <v>0</v>
      </c>
      <c r="N913" s="63">
        <v>0</v>
      </c>
      <c r="O913" s="61">
        <f t="shared" si="173"/>
        <v>0</v>
      </c>
      <c r="P913" s="60">
        <v>0</v>
      </c>
      <c r="Q913" s="61">
        <f t="shared" si="174"/>
        <v>0</v>
      </c>
      <c r="R913" s="60">
        <v>0</v>
      </c>
      <c r="S913" s="61">
        <f t="shared" si="175"/>
        <v>0</v>
      </c>
      <c r="T913" s="60">
        <v>0</v>
      </c>
      <c r="U913" s="64">
        <f t="shared" si="176"/>
        <v>0</v>
      </c>
      <c r="V913" s="65">
        <v>0</v>
      </c>
      <c r="W913" s="66">
        <f t="shared" si="177"/>
        <v>0</v>
      </c>
      <c r="X913" s="67">
        <f t="shared" si="178"/>
        <v>0</v>
      </c>
      <c r="Y913" s="57" t="str">
        <f t="shared" si="179"/>
        <v>NIL PLEASE PURCHASE</v>
      </c>
      <c r="Z913" s="68" t="s">
        <v>1539</v>
      </c>
    </row>
    <row r="914" spans="1:26" s="8" customFormat="1" ht="20.100000000000001" customHeight="1" x14ac:dyDescent="0.25">
      <c r="A914" s="69" t="s">
        <v>1880</v>
      </c>
      <c r="B914" s="88">
        <v>1331</v>
      </c>
      <c r="C914" s="90" t="s">
        <v>1495</v>
      </c>
      <c r="D914" s="60">
        <v>0</v>
      </c>
      <c r="E914" s="61">
        <f t="shared" si="168"/>
        <v>0</v>
      </c>
      <c r="F914" s="60">
        <v>0</v>
      </c>
      <c r="G914" s="61">
        <f t="shared" si="169"/>
        <v>0</v>
      </c>
      <c r="H914" s="60">
        <v>0</v>
      </c>
      <c r="I914" s="61">
        <f t="shared" si="170"/>
        <v>0</v>
      </c>
      <c r="J914" s="60">
        <v>0</v>
      </c>
      <c r="K914" s="61">
        <f t="shared" si="171"/>
        <v>0</v>
      </c>
      <c r="L914" s="62"/>
      <c r="M914" s="61">
        <f t="shared" si="172"/>
        <v>0</v>
      </c>
      <c r="N914" s="63">
        <v>2</v>
      </c>
      <c r="O914" s="61">
        <f t="shared" si="173"/>
        <v>1000</v>
      </c>
      <c r="P914" s="60">
        <v>0</v>
      </c>
      <c r="Q914" s="61">
        <f t="shared" si="174"/>
        <v>0</v>
      </c>
      <c r="R914" s="60">
        <v>0</v>
      </c>
      <c r="S914" s="61">
        <f t="shared" si="175"/>
        <v>0</v>
      </c>
      <c r="T914" s="60">
        <v>0</v>
      </c>
      <c r="U914" s="64">
        <f t="shared" si="176"/>
        <v>0</v>
      </c>
      <c r="V914" s="65">
        <v>0</v>
      </c>
      <c r="W914" s="66">
        <f t="shared" si="177"/>
        <v>1000</v>
      </c>
      <c r="X914" s="67">
        <f t="shared" si="178"/>
        <v>1</v>
      </c>
      <c r="Y914" s="57" t="str">
        <f t="shared" si="179"/>
        <v>STOCK</v>
      </c>
      <c r="Z914" s="68" t="s">
        <v>1538</v>
      </c>
    </row>
    <row r="915" spans="1:26" s="8" customFormat="1" ht="20.100000000000001" customHeight="1" x14ac:dyDescent="0.25">
      <c r="A915" s="69" t="s">
        <v>1881</v>
      </c>
      <c r="B915" s="88">
        <v>1332</v>
      </c>
      <c r="C915" s="90" t="s">
        <v>1496</v>
      </c>
      <c r="D915" s="60">
        <v>0</v>
      </c>
      <c r="E915" s="61">
        <f t="shared" si="168"/>
        <v>0</v>
      </c>
      <c r="F915" s="60">
        <v>0</v>
      </c>
      <c r="G915" s="61">
        <f t="shared" si="169"/>
        <v>0</v>
      </c>
      <c r="H915" s="60">
        <v>0</v>
      </c>
      <c r="I915" s="61">
        <f t="shared" si="170"/>
        <v>0</v>
      </c>
      <c r="J915" s="60">
        <v>0</v>
      </c>
      <c r="K915" s="61">
        <f t="shared" si="171"/>
        <v>0</v>
      </c>
      <c r="L915" s="62"/>
      <c r="M915" s="61">
        <f t="shared" si="172"/>
        <v>0</v>
      </c>
      <c r="N915" s="63">
        <v>1</v>
      </c>
      <c r="O915" s="61">
        <f t="shared" si="173"/>
        <v>500</v>
      </c>
      <c r="P915" s="60">
        <v>0</v>
      </c>
      <c r="Q915" s="61">
        <f t="shared" si="174"/>
        <v>0</v>
      </c>
      <c r="R915" s="60">
        <v>0</v>
      </c>
      <c r="S915" s="61">
        <f t="shared" si="175"/>
        <v>0</v>
      </c>
      <c r="T915" s="60">
        <v>0</v>
      </c>
      <c r="U915" s="64">
        <f t="shared" si="176"/>
        <v>0</v>
      </c>
      <c r="V915" s="65">
        <v>0</v>
      </c>
      <c r="W915" s="66">
        <f t="shared" si="177"/>
        <v>500</v>
      </c>
      <c r="X915" s="67">
        <f t="shared" si="178"/>
        <v>0.5</v>
      </c>
      <c r="Y915" s="57" t="str">
        <f t="shared" si="179"/>
        <v>STOCK</v>
      </c>
      <c r="Z915" s="68" t="s">
        <v>1539</v>
      </c>
    </row>
    <row r="916" spans="1:26" s="8" customFormat="1" ht="20.100000000000001" customHeight="1" x14ac:dyDescent="0.25">
      <c r="A916" s="69" t="s">
        <v>1882</v>
      </c>
      <c r="B916" s="88">
        <v>1333</v>
      </c>
      <c r="C916" s="90" t="s">
        <v>1497</v>
      </c>
      <c r="D916" s="60">
        <v>0</v>
      </c>
      <c r="E916" s="61">
        <f t="shared" si="168"/>
        <v>0</v>
      </c>
      <c r="F916" s="60">
        <v>0</v>
      </c>
      <c r="G916" s="61">
        <f t="shared" si="169"/>
        <v>0</v>
      </c>
      <c r="H916" s="60">
        <v>0</v>
      </c>
      <c r="I916" s="61">
        <f t="shared" si="170"/>
        <v>0</v>
      </c>
      <c r="J916" s="60">
        <v>0</v>
      </c>
      <c r="K916" s="61">
        <f t="shared" si="171"/>
        <v>0</v>
      </c>
      <c r="L916" s="62"/>
      <c r="M916" s="61">
        <f t="shared" si="172"/>
        <v>0</v>
      </c>
      <c r="N916" s="63">
        <v>0</v>
      </c>
      <c r="O916" s="61">
        <f t="shared" si="173"/>
        <v>0</v>
      </c>
      <c r="P916" s="60">
        <v>0</v>
      </c>
      <c r="Q916" s="61">
        <f t="shared" si="174"/>
        <v>0</v>
      </c>
      <c r="R916" s="60">
        <v>0</v>
      </c>
      <c r="S916" s="61">
        <f t="shared" si="175"/>
        <v>0</v>
      </c>
      <c r="T916" s="60">
        <v>0</v>
      </c>
      <c r="U916" s="64">
        <f t="shared" si="176"/>
        <v>0</v>
      </c>
      <c r="V916" s="65">
        <v>0</v>
      </c>
      <c r="W916" s="66">
        <f t="shared" si="177"/>
        <v>0</v>
      </c>
      <c r="X916" s="67">
        <f t="shared" si="178"/>
        <v>0</v>
      </c>
      <c r="Y916" s="57" t="str">
        <f t="shared" si="179"/>
        <v>NIL PLEASE PURCHASE</v>
      </c>
      <c r="Z916" s="68" t="s">
        <v>1539</v>
      </c>
    </row>
    <row r="917" spans="1:26" s="8" customFormat="1" ht="20.100000000000001" customHeight="1" x14ac:dyDescent="0.25">
      <c r="A917" s="69" t="s">
        <v>1883</v>
      </c>
      <c r="B917" s="88">
        <v>1334</v>
      </c>
      <c r="C917" s="90" t="s">
        <v>1498</v>
      </c>
      <c r="D917" s="60">
        <v>0</v>
      </c>
      <c r="E917" s="61">
        <f t="shared" si="168"/>
        <v>0</v>
      </c>
      <c r="F917" s="60">
        <v>0</v>
      </c>
      <c r="G917" s="61">
        <f t="shared" si="169"/>
        <v>0</v>
      </c>
      <c r="H917" s="60">
        <v>0</v>
      </c>
      <c r="I917" s="61">
        <f t="shared" si="170"/>
        <v>0</v>
      </c>
      <c r="J917" s="60">
        <v>0</v>
      </c>
      <c r="K917" s="61">
        <f t="shared" si="171"/>
        <v>0</v>
      </c>
      <c r="L917" s="62"/>
      <c r="M917" s="61">
        <f t="shared" si="172"/>
        <v>0</v>
      </c>
      <c r="N917" s="63">
        <v>0</v>
      </c>
      <c r="O917" s="61">
        <f t="shared" si="173"/>
        <v>0</v>
      </c>
      <c r="P917" s="60">
        <v>0</v>
      </c>
      <c r="Q917" s="61">
        <f t="shared" si="174"/>
        <v>0</v>
      </c>
      <c r="R917" s="60">
        <v>0</v>
      </c>
      <c r="S917" s="61">
        <f t="shared" si="175"/>
        <v>0</v>
      </c>
      <c r="T917" s="60">
        <v>0</v>
      </c>
      <c r="U917" s="64">
        <f t="shared" si="176"/>
        <v>0</v>
      </c>
      <c r="V917" s="65">
        <v>0</v>
      </c>
      <c r="W917" s="66">
        <f t="shared" si="177"/>
        <v>0</v>
      </c>
      <c r="X917" s="67">
        <f t="shared" si="178"/>
        <v>0</v>
      </c>
      <c r="Y917" s="57" t="str">
        <f t="shared" si="179"/>
        <v>NIL PLEASE PURCHASE</v>
      </c>
      <c r="Z917" s="68" t="s">
        <v>1539</v>
      </c>
    </row>
    <row r="918" spans="1:26" s="8" customFormat="1" ht="20.100000000000001" customHeight="1" x14ac:dyDescent="0.25">
      <c r="A918" s="69" t="s">
        <v>1884</v>
      </c>
      <c r="B918" s="88">
        <v>1335</v>
      </c>
      <c r="C918" s="90" t="s">
        <v>1499</v>
      </c>
      <c r="D918" s="60">
        <v>0</v>
      </c>
      <c r="E918" s="61">
        <f t="shared" si="168"/>
        <v>0</v>
      </c>
      <c r="F918" s="60">
        <v>0</v>
      </c>
      <c r="G918" s="61" t="s">
        <v>1923</v>
      </c>
      <c r="H918" s="60">
        <v>0</v>
      </c>
      <c r="I918" s="61">
        <f t="shared" si="170"/>
        <v>0</v>
      </c>
      <c r="J918" s="60">
        <v>0</v>
      </c>
      <c r="K918" s="61">
        <f t="shared" si="171"/>
        <v>0</v>
      </c>
      <c r="L918" s="62"/>
      <c r="M918" s="61">
        <f t="shared" si="172"/>
        <v>0</v>
      </c>
      <c r="N918" s="63">
        <v>0</v>
      </c>
      <c r="O918" s="61">
        <f t="shared" si="173"/>
        <v>0</v>
      </c>
      <c r="P918" s="60">
        <v>0</v>
      </c>
      <c r="Q918" s="61">
        <f t="shared" si="174"/>
        <v>0</v>
      </c>
      <c r="R918" s="60">
        <v>0</v>
      </c>
      <c r="S918" s="61">
        <f t="shared" si="175"/>
        <v>0</v>
      </c>
      <c r="T918" s="60">
        <v>0</v>
      </c>
      <c r="U918" s="64">
        <f t="shared" si="176"/>
        <v>0</v>
      </c>
      <c r="V918" s="65">
        <v>0</v>
      </c>
      <c r="W918" s="66" t="e">
        <f t="shared" si="177"/>
        <v>#VALUE!</v>
      </c>
      <c r="X918" s="67" t="e">
        <f t="shared" si="178"/>
        <v>#VALUE!</v>
      </c>
      <c r="Y918" s="57" t="e">
        <f t="shared" si="179"/>
        <v>#VALUE!</v>
      </c>
      <c r="Z918" s="68" t="s">
        <v>1539</v>
      </c>
    </row>
    <row r="919" spans="1:26" s="8" customFormat="1" ht="20.100000000000001" customHeight="1" x14ac:dyDescent="0.25">
      <c r="A919" s="69" t="s">
        <v>1885</v>
      </c>
      <c r="B919" s="88">
        <v>1336</v>
      </c>
      <c r="C919" s="90" t="s">
        <v>1500</v>
      </c>
      <c r="D919" s="60">
        <v>0</v>
      </c>
      <c r="E919" s="61">
        <f t="shared" si="168"/>
        <v>0</v>
      </c>
      <c r="F919" s="60">
        <v>0</v>
      </c>
      <c r="G919" s="61">
        <f t="shared" si="169"/>
        <v>0</v>
      </c>
      <c r="H919" s="60">
        <v>0</v>
      </c>
      <c r="I919" s="61">
        <f t="shared" si="170"/>
        <v>0</v>
      </c>
      <c r="J919" s="60">
        <v>0</v>
      </c>
      <c r="K919" s="61">
        <f t="shared" si="171"/>
        <v>0</v>
      </c>
      <c r="L919" s="62"/>
      <c r="M919" s="61">
        <f t="shared" si="172"/>
        <v>0</v>
      </c>
      <c r="N919" s="63">
        <v>3</v>
      </c>
      <c r="O919" s="61">
        <f t="shared" si="173"/>
        <v>1500</v>
      </c>
      <c r="P919" s="60">
        <v>0</v>
      </c>
      <c r="Q919" s="61">
        <f t="shared" si="174"/>
        <v>0</v>
      </c>
      <c r="R919" s="60">
        <v>0</v>
      </c>
      <c r="S919" s="61">
        <f t="shared" si="175"/>
        <v>0</v>
      </c>
      <c r="T919" s="60">
        <v>0</v>
      </c>
      <c r="U919" s="64">
        <f t="shared" si="176"/>
        <v>0</v>
      </c>
      <c r="V919" s="65">
        <v>0</v>
      </c>
      <c r="W919" s="66">
        <f t="shared" si="177"/>
        <v>1500</v>
      </c>
      <c r="X919" s="67">
        <f t="shared" si="178"/>
        <v>1.5</v>
      </c>
      <c r="Y919" s="57" t="str">
        <f t="shared" si="179"/>
        <v>STOCK</v>
      </c>
      <c r="Z919" s="68" t="s">
        <v>1538</v>
      </c>
    </row>
    <row r="920" spans="1:26" s="8" customFormat="1" ht="20.100000000000001" customHeight="1" x14ac:dyDescent="0.25">
      <c r="A920" s="69" t="s">
        <v>1886</v>
      </c>
      <c r="B920" s="88">
        <v>1337</v>
      </c>
      <c r="C920" s="90" t="s">
        <v>1501</v>
      </c>
      <c r="D920" s="60">
        <v>0</v>
      </c>
      <c r="E920" s="61">
        <f t="shared" si="168"/>
        <v>0</v>
      </c>
      <c r="F920" s="60">
        <v>0</v>
      </c>
      <c r="G920" s="61">
        <f t="shared" si="169"/>
        <v>0</v>
      </c>
      <c r="H920" s="60">
        <v>0</v>
      </c>
      <c r="I920" s="61">
        <f t="shared" si="170"/>
        <v>0</v>
      </c>
      <c r="J920" s="60">
        <v>0</v>
      </c>
      <c r="K920" s="61">
        <f t="shared" si="171"/>
        <v>0</v>
      </c>
      <c r="L920" s="62"/>
      <c r="M920" s="61">
        <f t="shared" si="172"/>
        <v>0</v>
      </c>
      <c r="N920" s="63">
        <v>0</v>
      </c>
      <c r="O920" s="61">
        <f t="shared" si="173"/>
        <v>0</v>
      </c>
      <c r="P920" s="60">
        <v>0</v>
      </c>
      <c r="Q920" s="61">
        <f t="shared" si="174"/>
        <v>0</v>
      </c>
      <c r="R920" s="60">
        <v>0</v>
      </c>
      <c r="S920" s="61">
        <f t="shared" si="175"/>
        <v>0</v>
      </c>
      <c r="T920" s="60">
        <v>0</v>
      </c>
      <c r="U920" s="64">
        <f t="shared" si="176"/>
        <v>0</v>
      </c>
      <c r="V920" s="65">
        <v>0</v>
      </c>
      <c r="W920" s="66">
        <f t="shared" si="177"/>
        <v>0</v>
      </c>
      <c r="X920" s="67">
        <f t="shared" si="178"/>
        <v>0</v>
      </c>
      <c r="Y920" s="57" t="str">
        <f t="shared" si="179"/>
        <v>NIL PLEASE PURCHASE</v>
      </c>
      <c r="Z920" s="68" t="s">
        <v>1539</v>
      </c>
    </row>
    <row r="921" spans="1:26" s="8" customFormat="1" ht="20.100000000000001" customHeight="1" x14ac:dyDescent="0.25">
      <c r="A921" s="69" t="s">
        <v>1887</v>
      </c>
      <c r="B921" s="88">
        <v>1338</v>
      </c>
      <c r="C921" s="90" t="s">
        <v>1502</v>
      </c>
      <c r="D921" s="60">
        <v>0</v>
      </c>
      <c r="E921" s="61">
        <f t="shared" si="168"/>
        <v>0</v>
      </c>
      <c r="F921" s="60">
        <v>0</v>
      </c>
      <c r="G921" s="61">
        <f t="shared" si="169"/>
        <v>0</v>
      </c>
      <c r="H921" s="60">
        <v>0</v>
      </c>
      <c r="I921" s="61">
        <f t="shared" si="170"/>
        <v>0</v>
      </c>
      <c r="J921" s="60">
        <v>0</v>
      </c>
      <c r="K921" s="61">
        <f t="shared" si="171"/>
        <v>0</v>
      </c>
      <c r="L921" s="62"/>
      <c r="M921" s="61">
        <f t="shared" si="172"/>
        <v>0</v>
      </c>
      <c r="N921" s="63">
        <v>0</v>
      </c>
      <c r="O921" s="61">
        <f t="shared" si="173"/>
        <v>0</v>
      </c>
      <c r="P921" s="60">
        <v>0</v>
      </c>
      <c r="Q921" s="61">
        <f t="shared" si="174"/>
        <v>0</v>
      </c>
      <c r="R921" s="60">
        <v>0</v>
      </c>
      <c r="S921" s="61">
        <f t="shared" si="175"/>
        <v>0</v>
      </c>
      <c r="T921" s="60">
        <v>0</v>
      </c>
      <c r="U921" s="64">
        <f t="shared" si="176"/>
        <v>0</v>
      </c>
      <c r="V921" s="65">
        <v>0</v>
      </c>
      <c r="W921" s="66">
        <f t="shared" si="177"/>
        <v>0</v>
      </c>
      <c r="X921" s="67">
        <f t="shared" si="178"/>
        <v>0</v>
      </c>
      <c r="Y921" s="57" t="str">
        <f t="shared" si="179"/>
        <v>NIL PLEASE PURCHASE</v>
      </c>
      <c r="Z921" s="68" t="s">
        <v>1539</v>
      </c>
    </row>
    <row r="922" spans="1:26" s="8" customFormat="1" ht="20.100000000000001" customHeight="1" x14ac:dyDescent="0.25">
      <c r="A922" s="69" t="s">
        <v>1888</v>
      </c>
      <c r="B922" s="88">
        <v>1339</v>
      </c>
      <c r="C922" s="90" t="s">
        <v>1503</v>
      </c>
      <c r="D922" s="60">
        <v>0</v>
      </c>
      <c r="E922" s="61">
        <f t="shared" si="168"/>
        <v>0</v>
      </c>
      <c r="F922" s="60">
        <v>0</v>
      </c>
      <c r="G922" s="61">
        <f t="shared" si="169"/>
        <v>0</v>
      </c>
      <c r="H922" s="60">
        <v>0</v>
      </c>
      <c r="I922" s="61">
        <f t="shared" si="170"/>
        <v>0</v>
      </c>
      <c r="J922" s="60">
        <v>0</v>
      </c>
      <c r="K922" s="61">
        <f t="shared" si="171"/>
        <v>0</v>
      </c>
      <c r="L922" s="62">
        <v>1</v>
      </c>
      <c r="M922" s="61">
        <f t="shared" si="172"/>
        <v>250</v>
      </c>
      <c r="N922" s="63">
        <v>0</v>
      </c>
      <c r="O922" s="61">
        <f t="shared" si="173"/>
        <v>0</v>
      </c>
      <c r="P922" s="60">
        <v>0</v>
      </c>
      <c r="Q922" s="61">
        <f t="shared" si="174"/>
        <v>0</v>
      </c>
      <c r="R922" s="60">
        <v>0</v>
      </c>
      <c r="S922" s="61">
        <f t="shared" si="175"/>
        <v>0</v>
      </c>
      <c r="T922" s="60">
        <v>0</v>
      </c>
      <c r="U922" s="64">
        <f t="shared" si="176"/>
        <v>0</v>
      </c>
      <c r="V922" s="65">
        <v>0</v>
      </c>
      <c r="W922" s="66">
        <f t="shared" si="177"/>
        <v>250</v>
      </c>
      <c r="X922" s="67">
        <f t="shared" si="178"/>
        <v>0.25</v>
      </c>
      <c r="Y922" s="57" t="str">
        <f t="shared" si="179"/>
        <v>STOCK</v>
      </c>
      <c r="Z922" s="68" t="s">
        <v>1538</v>
      </c>
    </row>
    <row r="923" spans="1:26" s="8" customFormat="1" ht="20.100000000000001" customHeight="1" x14ac:dyDescent="0.25">
      <c r="A923" s="69" t="s">
        <v>1889</v>
      </c>
      <c r="B923" s="88">
        <v>1340</v>
      </c>
      <c r="C923" s="90" t="s">
        <v>1504</v>
      </c>
      <c r="D923" s="60">
        <v>0</v>
      </c>
      <c r="E923" s="61">
        <f t="shared" si="168"/>
        <v>0</v>
      </c>
      <c r="F923" s="60">
        <v>0</v>
      </c>
      <c r="G923" s="61">
        <f t="shared" si="169"/>
        <v>0</v>
      </c>
      <c r="H923" s="60">
        <v>0</v>
      </c>
      <c r="I923" s="61">
        <f t="shared" si="170"/>
        <v>0</v>
      </c>
      <c r="J923" s="60">
        <v>3</v>
      </c>
      <c r="K923" s="61">
        <f t="shared" si="171"/>
        <v>300</v>
      </c>
      <c r="L923" s="62"/>
      <c r="M923" s="61">
        <f t="shared" si="172"/>
        <v>0</v>
      </c>
      <c r="N923" s="63">
        <v>0</v>
      </c>
      <c r="O923" s="61">
        <f t="shared" si="173"/>
        <v>0</v>
      </c>
      <c r="P923" s="60">
        <v>0</v>
      </c>
      <c r="Q923" s="61">
        <f t="shared" si="174"/>
        <v>0</v>
      </c>
      <c r="R923" s="60">
        <v>0</v>
      </c>
      <c r="S923" s="61">
        <f t="shared" si="175"/>
        <v>0</v>
      </c>
      <c r="T923" s="60">
        <v>0</v>
      </c>
      <c r="U923" s="64">
        <f t="shared" si="176"/>
        <v>0</v>
      </c>
      <c r="V923" s="65">
        <v>0</v>
      </c>
      <c r="W923" s="66">
        <f t="shared" si="177"/>
        <v>300</v>
      </c>
      <c r="X923" s="67">
        <f t="shared" si="178"/>
        <v>0.3</v>
      </c>
      <c r="Y923" s="57" t="str">
        <f t="shared" si="179"/>
        <v>STOCK</v>
      </c>
      <c r="Z923" s="68" t="s">
        <v>1538</v>
      </c>
    </row>
    <row r="924" spans="1:26" s="8" customFormat="1" ht="20.100000000000001" customHeight="1" x14ac:dyDescent="0.25">
      <c r="A924" s="69" t="s">
        <v>1890</v>
      </c>
      <c r="B924" s="88">
        <v>1341</v>
      </c>
      <c r="C924" s="90" t="s">
        <v>1505</v>
      </c>
      <c r="D924" s="60">
        <v>0</v>
      </c>
      <c r="E924" s="61">
        <f t="shared" si="168"/>
        <v>0</v>
      </c>
      <c r="F924" s="60">
        <v>0</v>
      </c>
      <c r="G924" s="61">
        <f t="shared" si="169"/>
        <v>0</v>
      </c>
      <c r="H924" s="60">
        <v>0</v>
      </c>
      <c r="I924" s="61">
        <f t="shared" si="170"/>
        <v>0</v>
      </c>
      <c r="J924" s="60">
        <v>0</v>
      </c>
      <c r="K924" s="61">
        <f t="shared" si="171"/>
        <v>0</v>
      </c>
      <c r="L924" s="62"/>
      <c r="M924" s="61">
        <f t="shared" si="172"/>
        <v>0</v>
      </c>
      <c r="N924" s="63">
        <v>1</v>
      </c>
      <c r="O924" s="61">
        <f t="shared" si="173"/>
        <v>500</v>
      </c>
      <c r="P924" s="60">
        <v>0</v>
      </c>
      <c r="Q924" s="61">
        <f t="shared" si="174"/>
        <v>0</v>
      </c>
      <c r="R924" s="60">
        <v>0</v>
      </c>
      <c r="S924" s="61">
        <f t="shared" si="175"/>
        <v>0</v>
      </c>
      <c r="T924" s="60">
        <v>0</v>
      </c>
      <c r="U924" s="64">
        <f t="shared" si="176"/>
        <v>0</v>
      </c>
      <c r="V924" s="65">
        <v>0</v>
      </c>
      <c r="W924" s="66">
        <f t="shared" si="177"/>
        <v>500</v>
      </c>
      <c r="X924" s="67">
        <f t="shared" si="178"/>
        <v>0.5</v>
      </c>
      <c r="Y924" s="57" t="str">
        <f t="shared" si="179"/>
        <v>STOCK</v>
      </c>
      <c r="Z924" s="68" t="s">
        <v>1538</v>
      </c>
    </row>
    <row r="925" spans="1:26" s="8" customFormat="1" ht="20.100000000000001" customHeight="1" x14ac:dyDescent="0.25">
      <c r="A925" s="69" t="s">
        <v>1891</v>
      </c>
      <c r="B925" s="88">
        <v>1342</v>
      </c>
      <c r="C925" s="90" t="s">
        <v>1506</v>
      </c>
      <c r="D925" s="60">
        <v>0</v>
      </c>
      <c r="E925" s="61">
        <f t="shared" si="168"/>
        <v>0</v>
      </c>
      <c r="F925" s="60">
        <v>0</v>
      </c>
      <c r="G925" s="61">
        <f t="shared" si="169"/>
        <v>0</v>
      </c>
      <c r="H925" s="60">
        <v>0</v>
      </c>
      <c r="I925" s="61">
        <f t="shared" si="170"/>
        <v>0</v>
      </c>
      <c r="J925" s="60">
        <v>0</v>
      </c>
      <c r="K925" s="61">
        <f t="shared" si="171"/>
        <v>0</v>
      </c>
      <c r="L925" s="62">
        <v>1</v>
      </c>
      <c r="M925" s="61">
        <f t="shared" si="172"/>
        <v>250</v>
      </c>
      <c r="N925" s="63">
        <v>1</v>
      </c>
      <c r="O925" s="61">
        <f t="shared" si="173"/>
        <v>500</v>
      </c>
      <c r="P925" s="60">
        <v>0</v>
      </c>
      <c r="Q925" s="61">
        <f t="shared" si="174"/>
        <v>0</v>
      </c>
      <c r="R925" s="60">
        <v>0</v>
      </c>
      <c r="S925" s="61">
        <f t="shared" si="175"/>
        <v>0</v>
      </c>
      <c r="T925" s="60">
        <v>0</v>
      </c>
      <c r="U925" s="64">
        <f t="shared" si="176"/>
        <v>0</v>
      </c>
      <c r="V925" s="65">
        <v>0</v>
      </c>
      <c r="W925" s="66">
        <f t="shared" si="177"/>
        <v>750</v>
      </c>
      <c r="X925" s="67">
        <f t="shared" si="178"/>
        <v>0.75</v>
      </c>
      <c r="Y925" s="57" t="str">
        <f t="shared" si="179"/>
        <v>STOCK</v>
      </c>
      <c r="Z925" s="68" t="s">
        <v>1538</v>
      </c>
    </row>
    <row r="926" spans="1:26" s="8" customFormat="1" ht="20.100000000000001" customHeight="1" x14ac:dyDescent="0.25">
      <c r="A926" s="69" t="s">
        <v>1892</v>
      </c>
      <c r="B926" s="88">
        <v>1343</v>
      </c>
      <c r="C926" s="90" t="s">
        <v>1507</v>
      </c>
      <c r="D926" s="60">
        <v>0</v>
      </c>
      <c r="E926" s="61">
        <f t="shared" si="168"/>
        <v>0</v>
      </c>
      <c r="F926" s="60">
        <v>0</v>
      </c>
      <c r="G926" s="61">
        <f t="shared" si="169"/>
        <v>0</v>
      </c>
      <c r="H926" s="60">
        <v>0</v>
      </c>
      <c r="I926" s="61">
        <f t="shared" si="170"/>
        <v>0</v>
      </c>
      <c r="J926" s="60">
        <v>0</v>
      </c>
      <c r="K926" s="61">
        <f t="shared" si="171"/>
        <v>0</v>
      </c>
      <c r="L926" s="62"/>
      <c r="M926" s="61">
        <f t="shared" si="172"/>
        <v>0</v>
      </c>
      <c r="N926" s="63">
        <v>0</v>
      </c>
      <c r="O926" s="61">
        <f t="shared" si="173"/>
        <v>0</v>
      </c>
      <c r="P926" s="60">
        <v>0</v>
      </c>
      <c r="Q926" s="61">
        <f t="shared" si="174"/>
        <v>0</v>
      </c>
      <c r="R926" s="60">
        <v>0</v>
      </c>
      <c r="S926" s="61">
        <f t="shared" si="175"/>
        <v>0</v>
      </c>
      <c r="T926" s="60">
        <v>0</v>
      </c>
      <c r="U926" s="64">
        <f t="shared" si="176"/>
        <v>0</v>
      </c>
      <c r="V926" s="65">
        <v>0</v>
      </c>
      <c r="W926" s="66">
        <f t="shared" si="177"/>
        <v>0</v>
      </c>
      <c r="X926" s="67">
        <f t="shared" si="178"/>
        <v>0</v>
      </c>
      <c r="Y926" s="57" t="str">
        <f t="shared" si="179"/>
        <v>NIL PLEASE PURCHASE</v>
      </c>
      <c r="Z926" s="68" t="s">
        <v>1539</v>
      </c>
    </row>
    <row r="927" spans="1:26" s="8" customFormat="1" ht="20.100000000000001" customHeight="1" x14ac:dyDescent="0.25">
      <c r="A927" s="69" t="s">
        <v>1893</v>
      </c>
      <c r="B927" s="88">
        <v>1344</v>
      </c>
      <c r="C927" s="90" t="s">
        <v>1508</v>
      </c>
      <c r="D927" s="60">
        <v>0</v>
      </c>
      <c r="E927" s="61">
        <f t="shared" si="168"/>
        <v>0</v>
      </c>
      <c r="F927" s="60">
        <v>0</v>
      </c>
      <c r="G927" s="61">
        <f t="shared" si="169"/>
        <v>0</v>
      </c>
      <c r="H927" s="60">
        <v>0</v>
      </c>
      <c r="I927" s="61">
        <f t="shared" si="170"/>
        <v>0</v>
      </c>
      <c r="J927" s="60">
        <v>0</v>
      </c>
      <c r="K927" s="61">
        <f t="shared" si="171"/>
        <v>0</v>
      </c>
      <c r="L927" s="62"/>
      <c r="M927" s="61">
        <f t="shared" si="172"/>
        <v>0</v>
      </c>
      <c r="N927" s="63">
        <v>0</v>
      </c>
      <c r="O927" s="61">
        <f t="shared" si="173"/>
        <v>0</v>
      </c>
      <c r="P927" s="60">
        <v>0</v>
      </c>
      <c r="Q927" s="61">
        <f t="shared" si="174"/>
        <v>0</v>
      </c>
      <c r="R927" s="60">
        <v>0</v>
      </c>
      <c r="S927" s="61">
        <f t="shared" si="175"/>
        <v>0</v>
      </c>
      <c r="T927" s="60">
        <v>0</v>
      </c>
      <c r="U927" s="64">
        <f t="shared" si="176"/>
        <v>0</v>
      </c>
      <c r="V927" s="65">
        <v>0</v>
      </c>
      <c r="W927" s="66">
        <f t="shared" si="177"/>
        <v>0</v>
      </c>
      <c r="X927" s="67">
        <f t="shared" si="178"/>
        <v>0</v>
      </c>
      <c r="Y927" s="57" t="str">
        <f t="shared" si="179"/>
        <v>NIL PLEASE PURCHASE</v>
      </c>
      <c r="Z927" s="68" t="s">
        <v>1539</v>
      </c>
    </row>
    <row r="928" spans="1:26" s="8" customFormat="1" ht="20.100000000000001" customHeight="1" x14ac:dyDescent="0.25">
      <c r="A928" s="69" t="s">
        <v>1894</v>
      </c>
      <c r="B928" s="88">
        <v>1345</v>
      </c>
      <c r="C928" s="90" t="s">
        <v>1509</v>
      </c>
      <c r="D928" s="60">
        <v>0</v>
      </c>
      <c r="E928" s="61">
        <f t="shared" si="168"/>
        <v>0</v>
      </c>
      <c r="F928" s="60">
        <v>0</v>
      </c>
      <c r="G928" s="61">
        <f t="shared" si="169"/>
        <v>0</v>
      </c>
      <c r="H928" s="60">
        <v>0</v>
      </c>
      <c r="I928" s="61">
        <f t="shared" si="170"/>
        <v>0</v>
      </c>
      <c r="J928" s="60">
        <v>1</v>
      </c>
      <c r="K928" s="61">
        <f t="shared" si="171"/>
        <v>100</v>
      </c>
      <c r="L928" s="62"/>
      <c r="M928" s="61">
        <f t="shared" si="172"/>
        <v>0</v>
      </c>
      <c r="N928" s="63">
        <v>0</v>
      </c>
      <c r="O928" s="61">
        <f t="shared" si="173"/>
        <v>0</v>
      </c>
      <c r="P928" s="60">
        <v>0</v>
      </c>
      <c r="Q928" s="61">
        <f t="shared" si="174"/>
        <v>0</v>
      </c>
      <c r="R928" s="60">
        <v>0</v>
      </c>
      <c r="S928" s="61">
        <f t="shared" si="175"/>
        <v>0</v>
      </c>
      <c r="T928" s="60">
        <v>0</v>
      </c>
      <c r="U928" s="64">
        <f t="shared" si="176"/>
        <v>0</v>
      </c>
      <c r="V928" s="65">
        <v>0</v>
      </c>
      <c r="W928" s="66">
        <f t="shared" si="177"/>
        <v>100</v>
      </c>
      <c r="X928" s="67">
        <f t="shared" si="178"/>
        <v>0.1</v>
      </c>
      <c r="Y928" s="57" t="str">
        <f t="shared" si="179"/>
        <v>STOCK</v>
      </c>
      <c r="Z928" s="68" t="s">
        <v>1538</v>
      </c>
    </row>
    <row r="929" spans="1:26" s="8" customFormat="1" ht="20.100000000000001" customHeight="1" x14ac:dyDescent="0.25">
      <c r="A929" s="69" t="s">
        <v>1895</v>
      </c>
      <c r="B929" s="88">
        <v>1346</v>
      </c>
      <c r="C929" s="90" t="s">
        <v>1510</v>
      </c>
      <c r="D929" s="60">
        <v>0</v>
      </c>
      <c r="E929" s="61">
        <f t="shared" si="168"/>
        <v>0</v>
      </c>
      <c r="F929" s="60">
        <v>0</v>
      </c>
      <c r="G929" s="61">
        <f t="shared" si="169"/>
        <v>0</v>
      </c>
      <c r="H929" s="60">
        <v>0</v>
      </c>
      <c r="I929" s="61">
        <f t="shared" si="170"/>
        <v>0</v>
      </c>
      <c r="J929" s="60">
        <v>0</v>
      </c>
      <c r="K929" s="61">
        <f t="shared" si="171"/>
        <v>0</v>
      </c>
      <c r="L929" s="62"/>
      <c r="M929" s="61">
        <f t="shared" si="172"/>
        <v>0</v>
      </c>
      <c r="N929" s="63">
        <v>0</v>
      </c>
      <c r="O929" s="61">
        <f t="shared" si="173"/>
        <v>0</v>
      </c>
      <c r="P929" s="60">
        <v>0</v>
      </c>
      <c r="Q929" s="61">
        <f t="shared" si="174"/>
        <v>0</v>
      </c>
      <c r="R929" s="60">
        <v>0</v>
      </c>
      <c r="S929" s="61">
        <f t="shared" si="175"/>
        <v>0</v>
      </c>
      <c r="T929" s="60">
        <v>0</v>
      </c>
      <c r="U929" s="64">
        <f t="shared" si="176"/>
        <v>0</v>
      </c>
      <c r="V929" s="65">
        <v>0</v>
      </c>
      <c r="W929" s="66">
        <f t="shared" si="177"/>
        <v>0</v>
      </c>
      <c r="X929" s="67">
        <f t="shared" si="178"/>
        <v>0</v>
      </c>
      <c r="Y929" s="57" t="str">
        <f t="shared" si="179"/>
        <v>NIL PLEASE PURCHASE</v>
      </c>
      <c r="Z929" s="68" t="s">
        <v>1539</v>
      </c>
    </row>
    <row r="930" spans="1:26" s="8" customFormat="1" ht="20.100000000000001" customHeight="1" x14ac:dyDescent="0.25">
      <c r="A930" s="69" t="s">
        <v>1896</v>
      </c>
      <c r="B930" s="88">
        <v>1347</v>
      </c>
      <c r="C930" s="90" t="s">
        <v>1511</v>
      </c>
      <c r="D930" s="60">
        <v>0</v>
      </c>
      <c r="E930" s="61">
        <f t="shared" si="168"/>
        <v>0</v>
      </c>
      <c r="F930" s="60">
        <v>0</v>
      </c>
      <c r="G930" s="61">
        <f t="shared" si="169"/>
        <v>0</v>
      </c>
      <c r="H930" s="60">
        <v>0</v>
      </c>
      <c r="I930" s="61">
        <f t="shared" si="170"/>
        <v>0</v>
      </c>
      <c r="J930" s="60">
        <v>0</v>
      </c>
      <c r="K930" s="61">
        <f t="shared" si="171"/>
        <v>0</v>
      </c>
      <c r="L930" s="62"/>
      <c r="M930" s="61">
        <f t="shared" si="172"/>
        <v>0</v>
      </c>
      <c r="N930" s="63">
        <v>0</v>
      </c>
      <c r="O930" s="61">
        <f t="shared" si="173"/>
        <v>0</v>
      </c>
      <c r="P930" s="60">
        <v>0</v>
      </c>
      <c r="Q930" s="61">
        <f t="shared" si="174"/>
        <v>0</v>
      </c>
      <c r="R930" s="60">
        <v>0</v>
      </c>
      <c r="S930" s="61">
        <f t="shared" si="175"/>
        <v>0</v>
      </c>
      <c r="T930" s="60">
        <v>0</v>
      </c>
      <c r="U930" s="64">
        <f t="shared" si="176"/>
        <v>0</v>
      </c>
      <c r="V930" s="65">
        <v>0</v>
      </c>
      <c r="W930" s="66">
        <f t="shared" si="177"/>
        <v>0</v>
      </c>
      <c r="X930" s="67">
        <f t="shared" si="178"/>
        <v>0</v>
      </c>
      <c r="Y930" s="57" t="str">
        <f t="shared" si="179"/>
        <v>NIL PLEASE PURCHASE</v>
      </c>
      <c r="Z930" s="68" t="s">
        <v>1539</v>
      </c>
    </row>
    <row r="931" spans="1:26" s="8" customFormat="1" ht="20.100000000000001" customHeight="1" x14ac:dyDescent="0.25">
      <c r="A931" s="69" t="s">
        <v>1897</v>
      </c>
      <c r="B931" s="88">
        <v>1348</v>
      </c>
      <c r="C931" s="90" t="s">
        <v>1512</v>
      </c>
      <c r="D931" s="60">
        <v>0</v>
      </c>
      <c r="E931" s="61">
        <f t="shared" si="168"/>
        <v>0</v>
      </c>
      <c r="F931" s="60">
        <v>0</v>
      </c>
      <c r="G931" s="61">
        <f t="shared" si="169"/>
        <v>0</v>
      </c>
      <c r="H931" s="60">
        <v>0</v>
      </c>
      <c r="I931" s="61">
        <f t="shared" si="170"/>
        <v>0</v>
      </c>
      <c r="J931" s="60">
        <v>0</v>
      </c>
      <c r="K931" s="61">
        <f t="shared" si="171"/>
        <v>0</v>
      </c>
      <c r="L931" s="62"/>
      <c r="M931" s="61">
        <f t="shared" si="172"/>
        <v>0</v>
      </c>
      <c r="N931" s="63">
        <v>0</v>
      </c>
      <c r="O931" s="61">
        <f t="shared" si="173"/>
        <v>0</v>
      </c>
      <c r="P931" s="60">
        <v>0</v>
      </c>
      <c r="Q931" s="61">
        <f t="shared" si="174"/>
        <v>0</v>
      </c>
      <c r="R931" s="60">
        <v>0</v>
      </c>
      <c r="S931" s="61">
        <f t="shared" si="175"/>
        <v>0</v>
      </c>
      <c r="T931" s="60">
        <v>0</v>
      </c>
      <c r="U931" s="64">
        <f t="shared" si="176"/>
        <v>0</v>
      </c>
      <c r="V931" s="65">
        <v>0</v>
      </c>
      <c r="W931" s="66">
        <f t="shared" si="177"/>
        <v>0</v>
      </c>
      <c r="X931" s="67">
        <f t="shared" si="178"/>
        <v>0</v>
      </c>
      <c r="Y931" s="57" t="str">
        <f t="shared" si="179"/>
        <v>NIL PLEASE PURCHASE</v>
      </c>
      <c r="Z931" s="68" t="s">
        <v>1539</v>
      </c>
    </row>
    <row r="932" spans="1:26" s="8" customFormat="1" ht="20.100000000000001" customHeight="1" x14ac:dyDescent="0.25">
      <c r="A932" s="69" t="s">
        <v>1898</v>
      </c>
      <c r="B932" s="88">
        <v>1349</v>
      </c>
      <c r="C932" s="90" t="s">
        <v>1513</v>
      </c>
      <c r="D932" s="60">
        <v>0</v>
      </c>
      <c r="E932" s="61">
        <f t="shared" si="168"/>
        <v>0</v>
      </c>
      <c r="F932" s="60">
        <v>0</v>
      </c>
      <c r="G932" s="61">
        <f t="shared" si="169"/>
        <v>0</v>
      </c>
      <c r="H932" s="60">
        <v>0</v>
      </c>
      <c r="I932" s="61">
        <f t="shared" si="170"/>
        <v>0</v>
      </c>
      <c r="J932" s="60">
        <v>0</v>
      </c>
      <c r="K932" s="61">
        <f t="shared" si="171"/>
        <v>0</v>
      </c>
      <c r="L932" s="62"/>
      <c r="M932" s="61">
        <f t="shared" si="172"/>
        <v>0</v>
      </c>
      <c r="N932" s="63">
        <v>0</v>
      </c>
      <c r="O932" s="61">
        <f t="shared" si="173"/>
        <v>0</v>
      </c>
      <c r="P932" s="60">
        <v>0</v>
      </c>
      <c r="Q932" s="61">
        <f t="shared" si="174"/>
        <v>0</v>
      </c>
      <c r="R932" s="60">
        <v>0</v>
      </c>
      <c r="S932" s="61">
        <f t="shared" si="175"/>
        <v>0</v>
      </c>
      <c r="T932" s="60">
        <v>0</v>
      </c>
      <c r="U932" s="64">
        <f t="shared" si="176"/>
        <v>0</v>
      </c>
      <c r="V932" s="65">
        <v>0</v>
      </c>
      <c r="W932" s="66">
        <f t="shared" si="177"/>
        <v>0</v>
      </c>
      <c r="X932" s="67">
        <f t="shared" si="178"/>
        <v>0</v>
      </c>
      <c r="Y932" s="57" t="str">
        <f t="shared" si="179"/>
        <v>NIL PLEASE PURCHASE</v>
      </c>
      <c r="Z932" s="68" t="s">
        <v>1539</v>
      </c>
    </row>
    <row r="933" spans="1:26" s="8" customFormat="1" ht="20.100000000000001" customHeight="1" x14ac:dyDescent="0.25">
      <c r="A933" s="69" t="s">
        <v>1899</v>
      </c>
      <c r="B933" s="88">
        <v>1350</v>
      </c>
      <c r="C933" s="90" t="s">
        <v>1514</v>
      </c>
      <c r="D933" s="60">
        <v>0</v>
      </c>
      <c r="E933" s="61">
        <f t="shared" si="168"/>
        <v>0</v>
      </c>
      <c r="F933" s="60">
        <v>0</v>
      </c>
      <c r="G933" s="61">
        <f t="shared" si="169"/>
        <v>0</v>
      </c>
      <c r="H933" s="60">
        <v>0</v>
      </c>
      <c r="I933" s="61">
        <f t="shared" si="170"/>
        <v>0</v>
      </c>
      <c r="J933" s="60">
        <v>0</v>
      </c>
      <c r="K933" s="61">
        <f t="shared" si="171"/>
        <v>0</v>
      </c>
      <c r="L933" s="62"/>
      <c r="M933" s="61">
        <f t="shared" si="172"/>
        <v>0</v>
      </c>
      <c r="N933" s="63">
        <v>0</v>
      </c>
      <c r="O933" s="61">
        <f t="shared" si="173"/>
        <v>0</v>
      </c>
      <c r="P933" s="60">
        <v>0</v>
      </c>
      <c r="Q933" s="61">
        <f t="shared" si="174"/>
        <v>0</v>
      </c>
      <c r="R933" s="60">
        <v>0</v>
      </c>
      <c r="S933" s="61">
        <f t="shared" si="175"/>
        <v>0</v>
      </c>
      <c r="T933" s="60">
        <v>0</v>
      </c>
      <c r="U933" s="64">
        <f t="shared" si="176"/>
        <v>0</v>
      </c>
      <c r="V933" s="65">
        <v>0</v>
      </c>
      <c r="W933" s="66">
        <f t="shared" si="177"/>
        <v>0</v>
      </c>
      <c r="X933" s="67">
        <f t="shared" si="178"/>
        <v>0</v>
      </c>
      <c r="Y933" s="57" t="str">
        <f t="shared" si="179"/>
        <v>NIL PLEASE PURCHASE</v>
      </c>
      <c r="Z933" s="68" t="s">
        <v>1539</v>
      </c>
    </row>
    <row r="934" spans="1:26" s="8" customFormat="1" ht="20.100000000000001" customHeight="1" x14ac:dyDescent="0.25">
      <c r="A934" s="69" t="s">
        <v>1900</v>
      </c>
      <c r="B934" s="88">
        <v>1351</v>
      </c>
      <c r="C934" s="90" t="s">
        <v>1515</v>
      </c>
      <c r="D934" s="60">
        <v>0</v>
      </c>
      <c r="E934" s="61">
        <f t="shared" si="168"/>
        <v>0</v>
      </c>
      <c r="F934" s="60">
        <v>0</v>
      </c>
      <c r="G934" s="61">
        <f t="shared" si="169"/>
        <v>0</v>
      </c>
      <c r="H934" s="60">
        <v>0</v>
      </c>
      <c r="I934" s="61">
        <f t="shared" si="170"/>
        <v>0</v>
      </c>
      <c r="J934" s="60">
        <v>0</v>
      </c>
      <c r="K934" s="61">
        <f t="shared" si="171"/>
        <v>0</v>
      </c>
      <c r="L934" s="62"/>
      <c r="M934" s="61">
        <f t="shared" si="172"/>
        <v>0</v>
      </c>
      <c r="N934" s="63">
        <v>2</v>
      </c>
      <c r="O934" s="61">
        <f t="shared" si="173"/>
        <v>1000</v>
      </c>
      <c r="P934" s="60">
        <v>0</v>
      </c>
      <c r="Q934" s="61">
        <f t="shared" si="174"/>
        <v>0</v>
      </c>
      <c r="R934" s="60">
        <v>0</v>
      </c>
      <c r="S934" s="61">
        <f t="shared" si="175"/>
        <v>0</v>
      </c>
      <c r="T934" s="60">
        <v>0</v>
      </c>
      <c r="U934" s="64">
        <f t="shared" si="176"/>
        <v>0</v>
      </c>
      <c r="V934" s="65">
        <v>0</v>
      </c>
      <c r="W934" s="66">
        <f t="shared" si="177"/>
        <v>1000</v>
      </c>
      <c r="X934" s="67">
        <f t="shared" si="178"/>
        <v>1</v>
      </c>
      <c r="Y934" s="57" t="str">
        <f t="shared" si="179"/>
        <v>STOCK</v>
      </c>
      <c r="Z934" s="68" t="s">
        <v>1538</v>
      </c>
    </row>
    <row r="935" spans="1:26" s="8" customFormat="1" ht="20.100000000000001" customHeight="1" x14ac:dyDescent="0.25">
      <c r="A935" s="69" t="s">
        <v>1901</v>
      </c>
      <c r="B935" s="88">
        <v>1352</v>
      </c>
      <c r="C935" s="90" t="s">
        <v>1516</v>
      </c>
      <c r="D935" s="60">
        <v>0</v>
      </c>
      <c r="E935" s="61">
        <f t="shared" si="168"/>
        <v>0</v>
      </c>
      <c r="F935" s="60">
        <v>0</v>
      </c>
      <c r="G935" s="61">
        <f t="shared" si="169"/>
        <v>0</v>
      </c>
      <c r="H935" s="60">
        <v>0</v>
      </c>
      <c r="I935" s="61">
        <f t="shared" si="170"/>
        <v>0</v>
      </c>
      <c r="J935" s="60">
        <v>0</v>
      </c>
      <c r="K935" s="61">
        <f t="shared" si="171"/>
        <v>0</v>
      </c>
      <c r="L935" s="62"/>
      <c r="M935" s="61">
        <f t="shared" si="172"/>
        <v>0</v>
      </c>
      <c r="N935" s="63">
        <v>0</v>
      </c>
      <c r="O935" s="61">
        <f t="shared" si="173"/>
        <v>0</v>
      </c>
      <c r="P935" s="60">
        <v>0</v>
      </c>
      <c r="Q935" s="61">
        <f t="shared" si="174"/>
        <v>0</v>
      </c>
      <c r="R935" s="60">
        <v>0</v>
      </c>
      <c r="S935" s="61">
        <f t="shared" si="175"/>
        <v>0</v>
      </c>
      <c r="T935" s="60">
        <v>0</v>
      </c>
      <c r="U935" s="64">
        <f t="shared" si="176"/>
        <v>0</v>
      </c>
      <c r="V935" s="65">
        <v>0</v>
      </c>
      <c r="W935" s="66">
        <f t="shared" si="177"/>
        <v>0</v>
      </c>
      <c r="X935" s="67">
        <f t="shared" si="178"/>
        <v>0</v>
      </c>
      <c r="Y935" s="57" t="str">
        <f t="shared" si="179"/>
        <v>NIL PLEASE PURCHASE</v>
      </c>
      <c r="Z935" s="68" t="s">
        <v>1539</v>
      </c>
    </row>
    <row r="936" spans="1:26" s="8" customFormat="1" ht="20.100000000000001" customHeight="1" x14ac:dyDescent="0.25">
      <c r="A936" s="69" t="s">
        <v>1902</v>
      </c>
      <c r="B936" s="88">
        <v>1353</v>
      </c>
      <c r="C936" s="90" t="s">
        <v>1517</v>
      </c>
      <c r="D936" s="60">
        <v>0</v>
      </c>
      <c r="E936" s="61">
        <f t="shared" si="168"/>
        <v>0</v>
      </c>
      <c r="F936" s="60">
        <v>0</v>
      </c>
      <c r="G936" s="61">
        <f t="shared" si="169"/>
        <v>0</v>
      </c>
      <c r="H936" s="60">
        <v>0</v>
      </c>
      <c r="I936" s="61">
        <f t="shared" si="170"/>
        <v>0</v>
      </c>
      <c r="J936" s="60">
        <v>0</v>
      </c>
      <c r="K936" s="61">
        <f t="shared" si="171"/>
        <v>0</v>
      </c>
      <c r="L936" s="62"/>
      <c r="M936" s="61">
        <f t="shared" si="172"/>
        <v>0</v>
      </c>
      <c r="N936" s="63">
        <v>2</v>
      </c>
      <c r="O936" s="61">
        <f t="shared" si="173"/>
        <v>1000</v>
      </c>
      <c r="P936" s="60">
        <v>0</v>
      </c>
      <c r="Q936" s="61">
        <f t="shared" si="174"/>
        <v>0</v>
      </c>
      <c r="R936" s="60">
        <v>0</v>
      </c>
      <c r="S936" s="61">
        <f t="shared" si="175"/>
        <v>0</v>
      </c>
      <c r="T936" s="60">
        <v>0</v>
      </c>
      <c r="U936" s="64">
        <f t="shared" si="176"/>
        <v>0</v>
      </c>
      <c r="V936" s="65">
        <v>0</v>
      </c>
      <c r="W936" s="66">
        <f t="shared" si="177"/>
        <v>1000</v>
      </c>
      <c r="X936" s="67">
        <f t="shared" si="178"/>
        <v>1</v>
      </c>
      <c r="Y936" s="57" t="str">
        <f t="shared" si="179"/>
        <v>STOCK</v>
      </c>
      <c r="Z936" s="68" t="s">
        <v>1538</v>
      </c>
    </row>
    <row r="937" spans="1:26" s="8" customFormat="1" ht="20.100000000000001" customHeight="1" x14ac:dyDescent="0.25">
      <c r="A937" s="69" t="s">
        <v>1903</v>
      </c>
      <c r="B937" s="88">
        <v>1354</v>
      </c>
      <c r="C937" s="90" t="s">
        <v>1518</v>
      </c>
      <c r="D937" s="60">
        <v>0</v>
      </c>
      <c r="E937" s="61">
        <f t="shared" si="168"/>
        <v>0</v>
      </c>
      <c r="F937" s="60">
        <v>0</v>
      </c>
      <c r="G937" s="61">
        <f t="shared" si="169"/>
        <v>0</v>
      </c>
      <c r="H937" s="60">
        <v>0</v>
      </c>
      <c r="I937" s="61">
        <f t="shared" si="170"/>
        <v>0</v>
      </c>
      <c r="J937" s="60">
        <v>0</v>
      </c>
      <c r="K937" s="61">
        <f t="shared" si="171"/>
        <v>0</v>
      </c>
      <c r="L937" s="62"/>
      <c r="M937" s="61">
        <f t="shared" si="172"/>
        <v>0</v>
      </c>
      <c r="N937" s="63">
        <v>0</v>
      </c>
      <c r="O937" s="61">
        <f t="shared" si="173"/>
        <v>0</v>
      </c>
      <c r="P937" s="60">
        <v>0</v>
      </c>
      <c r="Q937" s="61">
        <f t="shared" si="174"/>
        <v>0</v>
      </c>
      <c r="R937" s="60">
        <v>0</v>
      </c>
      <c r="S937" s="61">
        <f t="shared" si="175"/>
        <v>0</v>
      </c>
      <c r="T937" s="60">
        <v>0</v>
      </c>
      <c r="U937" s="64">
        <f t="shared" si="176"/>
        <v>0</v>
      </c>
      <c r="V937" s="65">
        <v>0</v>
      </c>
      <c r="W937" s="66">
        <f t="shared" si="177"/>
        <v>0</v>
      </c>
      <c r="X937" s="67">
        <f t="shared" si="178"/>
        <v>0</v>
      </c>
      <c r="Y937" s="57" t="str">
        <f t="shared" si="179"/>
        <v>NIL PLEASE PURCHASE</v>
      </c>
      <c r="Z937" s="68" t="s">
        <v>1539</v>
      </c>
    </row>
    <row r="938" spans="1:26" s="8" customFormat="1" ht="20.100000000000001" customHeight="1" x14ac:dyDescent="0.25">
      <c r="A938" s="69" t="s">
        <v>1904</v>
      </c>
      <c r="B938" s="88">
        <v>1355</v>
      </c>
      <c r="C938" s="90" t="s">
        <v>1519</v>
      </c>
      <c r="D938" s="60">
        <v>0</v>
      </c>
      <c r="E938" s="61">
        <f t="shared" si="168"/>
        <v>0</v>
      </c>
      <c r="F938" s="60">
        <v>0</v>
      </c>
      <c r="G938" s="61">
        <f t="shared" si="169"/>
        <v>0</v>
      </c>
      <c r="H938" s="60">
        <v>0</v>
      </c>
      <c r="I938" s="61">
        <f t="shared" si="170"/>
        <v>0</v>
      </c>
      <c r="J938" s="60">
        <v>0</v>
      </c>
      <c r="K938" s="61">
        <f t="shared" si="171"/>
        <v>0</v>
      </c>
      <c r="L938" s="62"/>
      <c r="M938" s="61">
        <f t="shared" si="172"/>
        <v>0</v>
      </c>
      <c r="N938" s="63">
        <v>0</v>
      </c>
      <c r="O938" s="61">
        <f t="shared" si="173"/>
        <v>0</v>
      </c>
      <c r="P938" s="60">
        <v>0</v>
      </c>
      <c r="Q938" s="61">
        <f t="shared" si="174"/>
        <v>0</v>
      </c>
      <c r="R938" s="60">
        <v>0</v>
      </c>
      <c r="S938" s="61">
        <f t="shared" si="175"/>
        <v>0</v>
      </c>
      <c r="T938" s="60">
        <v>0</v>
      </c>
      <c r="U938" s="64">
        <f t="shared" si="176"/>
        <v>0</v>
      </c>
      <c r="V938" s="65">
        <v>0</v>
      </c>
      <c r="W938" s="66">
        <f t="shared" si="177"/>
        <v>0</v>
      </c>
      <c r="X938" s="67">
        <f t="shared" si="178"/>
        <v>0</v>
      </c>
      <c r="Y938" s="57" t="str">
        <f t="shared" si="179"/>
        <v>NIL PLEASE PURCHASE</v>
      </c>
      <c r="Z938" s="68" t="s">
        <v>1539</v>
      </c>
    </row>
    <row r="939" spans="1:26" s="8" customFormat="1" ht="20.100000000000001" customHeight="1" x14ac:dyDescent="0.25">
      <c r="A939" s="69" t="s">
        <v>1905</v>
      </c>
      <c r="B939" s="88">
        <v>1356</v>
      </c>
      <c r="C939" s="90" t="s">
        <v>1520</v>
      </c>
      <c r="D939" s="60">
        <v>0</v>
      </c>
      <c r="E939" s="61">
        <f t="shared" si="168"/>
        <v>0</v>
      </c>
      <c r="F939" s="60">
        <v>0</v>
      </c>
      <c r="G939" s="61">
        <f t="shared" si="169"/>
        <v>0</v>
      </c>
      <c r="H939" s="60">
        <v>0</v>
      </c>
      <c r="I939" s="61">
        <f t="shared" si="170"/>
        <v>0</v>
      </c>
      <c r="J939" s="60">
        <v>0</v>
      </c>
      <c r="K939" s="61">
        <f t="shared" si="171"/>
        <v>0</v>
      </c>
      <c r="L939" s="62"/>
      <c r="M939" s="61">
        <f t="shared" si="172"/>
        <v>0</v>
      </c>
      <c r="N939" s="63">
        <v>0</v>
      </c>
      <c r="O939" s="61">
        <f t="shared" si="173"/>
        <v>0</v>
      </c>
      <c r="P939" s="60">
        <v>0</v>
      </c>
      <c r="Q939" s="61">
        <f t="shared" si="174"/>
        <v>0</v>
      </c>
      <c r="R939" s="60">
        <v>0</v>
      </c>
      <c r="S939" s="61">
        <f t="shared" si="175"/>
        <v>0</v>
      </c>
      <c r="T939" s="60">
        <v>0</v>
      </c>
      <c r="U939" s="64">
        <f t="shared" si="176"/>
        <v>0</v>
      </c>
      <c r="V939" s="65">
        <v>0</v>
      </c>
      <c r="W939" s="66">
        <f t="shared" si="177"/>
        <v>0</v>
      </c>
      <c r="X939" s="67">
        <f t="shared" si="178"/>
        <v>0</v>
      </c>
      <c r="Y939" s="57" t="str">
        <f t="shared" si="179"/>
        <v>NIL PLEASE PURCHASE</v>
      </c>
      <c r="Z939" s="68" t="s">
        <v>1539</v>
      </c>
    </row>
    <row r="940" spans="1:26" s="8" customFormat="1" ht="20.100000000000001" customHeight="1" x14ac:dyDescent="0.25">
      <c r="A940" s="69" t="s">
        <v>1906</v>
      </c>
      <c r="B940" s="88">
        <v>1357</v>
      </c>
      <c r="C940" s="90" t="s">
        <v>1521</v>
      </c>
      <c r="D940" s="60">
        <v>0</v>
      </c>
      <c r="E940" s="61">
        <f t="shared" si="168"/>
        <v>0</v>
      </c>
      <c r="F940" s="60">
        <v>0</v>
      </c>
      <c r="G940" s="61">
        <f t="shared" si="169"/>
        <v>0</v>
      </c>
      <c r="H940" s="60">
        <v>0</v>
      </c>
      <c r="I940" s="61">
        <f t="shared" si="170"/>
        <v>0</v>
      </c>
      <c r="J940" s="60">
        <v>0</v>
      </c>
      <c r="K940" s="61">
        <f t="shared" si="171"/>
        <v>0</v>
      </c>
      <c r="L940" s="62">
        <v>2</v>
      </c>
      <c r="M940" s="61">
        <f t="shared" si="172"/>
        <v>500</v>
      </c>
      <c r="N940" s="63">
        <v>2</v>
      </c>
      <c r="O940" s="61">
        <f t="shared" si="173"/>
        <v>1000</v>
      </c>
      <c r="P940" s="60">
        <v>0</v>
      </c>
      <c r="Q940" s="61">
        <f t="shared" si="174"/>
        <v>0</v>
      </c>
      <c r="R940" s="60">
        <v>0</v>
      </c>
      <c r="S940" s="61">
        <f t="shared" si="175"/>
        <v>0</v>
      </c>
      <c r="T940" s="60">
        <v>0</v>
      </c>
      <c r="U940" s="64">
        <f t="shared" si="176"/>
        <v>0</v>
      </c>
      <c r="V940" s="65">
        <v>0</v>
      </c>
      <c r="W940" s="66">
        <f t="shared" si="177"/>
        <v>1500</v>
      </c>
      <c r="X940" s="67">
        <f t="shared" si="178"/>
        <v>1.5</v>
      </c>
      <c r="Y940" s="57" t="str">
        <f t="shared" si="179"/>
        <v>STOCK</v>
      </c>
      <c r="Z940" s="68" t="s">
        <v>1538</v>
      </c>
    </row>
    <row r="941" spans="1:26" s="8" customFormat="1" ht="20.100000000000001" customHeight="1" x14ac:dyDescent="0.25">
      <c r="A941" s="69" t="s">
        <v>1907</v>
      </c>
      <c r="B941" s="88">
        <v>1358</v>
      </c>
      <c r="C941" s="90" t="s">
        <v>1522</v>
      </c>
      <c r="D941" s="60">
        <v>0</v>
      </c>
      <c r="E941" s="61">
        <f t="shared" si="168"/>
        <v>0</v>
      </c>
      <c r="F941" s="60">
        <v>0</v>
      </c>
      <c r="G941" s="61">
        <f t="shared" si="169"/>
        <v>0</v>
      </c>
      <c r="H941" s="60">
        <v>0</v>
      </c>
      <c r="I941" s="61">
        <f t="shared" si="170"/>
        <v>0</v>
      </c>
      <c r="J941" s="60">
        <v>0</v>
      </c>
      <c r="K941" s="61">
        <f t="shared" si="171"/>
        <v>0</v>
      </c>
      <c r="L941" s="62"/>
      <c r="M941" s="61">
        <f t="shared" si="172"/>
        <v>0</v>
      </c>
      <c r="N941" s="63">
        <v>0</v>
      </c>
      <c r="O941" s="61">
        <f t="shared" si="173"/>
        <v>0</v>
      </c>
      <c r="P941" s="60">
        <v>0</v>
      </c>
      <c r="Q941" s="61">
        <f t="shared" si="174"/>
        <v>0</v>
      </c>
      <c r="R941" s="60">
        <v>0</v>
      </c>
      <c r="S941" s="61">
        <f t="shared" si="175"/>
        <v>0</v>
      </c>
      <c r="T941" s="60">
        <v>0</v>
      </c>
      <c r="U941" s="64">
        <f t="shared" si="176"/>
        <v>0</v>
      </c>
      <c r="V941" s="65">
        <v>0</v>
      </c>
      <c r="W941" s="66">
        <f t="shared" si="177"/>
        <v>0</v>
      </c>
      <c r="X941" s="67">
        <f t="shared" si="178"/>
        <v>0</v>
      </c>
      <c r="Y941" s="57" t="str">
        <f t="shared" si="179"/>
        <v>NIL PLEASE PURCHASE</v>
      </c>
      <c r="Z941" s="68" t="s">
        <v>1539</v>
      </c>
    </row>
    <row r="942" spans="1:26" s="8" customFormat="1" ht="20.100000000000001" customHeight="1" x14ac:dyDescent="0.25">
      <c r="A942" s="69" t="s">
        <v>1908</v>
      </c>
      <c r="B942" s="88">
        <v>1359</v>
      </c>
      <c r="C942" s="90" t="s">
        <v>1523</v>
      </c>
      <c r="D942" s="60">
        <v>0</v>
      </c>
      <c r="E942" s="61">
        <f t="shared" si="168"/>
        <v>0</v>
      </c>
      <c r="F942" s="60">
        <v>0</v>
      </c>
      <c r="G942" s="61">
        <f t="shared" si="169"/>
        <v>0</v>
      </c>
      <c r="H942" s="60">
        <v>0</v>
      </c>
      <c r="I942" s="61">
        <f t="shared" si="170"/>
        <v>0</v>
      </c>
      <c r="J942" s="60">
        <v>0</v>
      </c>
      <c r="K942" s="61">
        <f t="shared" si="171"/>
        <v>0</v>
      </c>
      <c r="L942" s="62"/>
      <c r="M942" s="61">
        <f t="shared" si="172"/>
        <v>0</v>
      </c>
      <c r="N942" s="63">
        <v>0</v>
      </c>
      <c r="O942" s="61">
        <f t="shared" si="173"/>
        <v>0</v>
      </c>
      <c r="P942" s="60">
        <v>0</v>
      </c>
      <c r="Q942" s="61">
        <f t="shared" si="174"/>
        <v>0</v>
      </c>
      <c r="R942" s="60">
        <v>0</v>
      </c>
      <c r="S942" s="61">
        <f t="shared" si="175"/>
        <v>0</v>
      </c>
      <c r="T942" s="60">
        <v>0</v>
      </c>
      <c r="U942" s="64">
        <f t="shared" si="176"/>
        <v>0</v>
      </c>
      <c r="V942" s="65">
        <v>0</v>
      </c>
      <c r="W942" s="66">
        <f t="shared" si="177"/>
        <v>0</v>
      </c>
      <c r="X942" s="67">
        <f t="shared" si="178"/>
        <v>0</v>
      </c>
      <c r="Y942" s="57" t="str">
        <f t="shared" si="179"/>
        <v>NIL PLEASE PURCHASE</v>
      </c>
      <c r="Z942" s="68" t="s">
        <v>1539</v>
      </c>
    </row>
    <row r="943" spans="1:26" s="8" customFormat="1" ht="20.100000000000001" customHeight="1" x14ac:dyDescent="0.25">
      <c r="A943" s="69" t="s">
        <v>1909</v>
      </c>
      <c r="B943" s="88">
        <v>1360</v>
      </c>
      <c r="C943" s="90" t="s">
        <v>1524</v>
      </c>
      <c r="D943" s="60">
        <v>0</v>
      </c>
      <c r="E943" s="61">
        <f t="shared" si="168"/>
        <v>0</v>
      </c>
      <c r="F943" s="60">
        <v>0</v>
      </c>
      <c r="G943" s="61">
        <f t="shared" si="169"/>
        <v>0</v>
      </c>
      <c r="H943" s="60">
        <v>0</v>
      </c>
      <c r="I943" s="61">
        <f t="shared" si="170"/>
        <v>0</v>
      </c>
      <c r="J943" s="60">
        <v>0</v>
      </c>
      <c r="K943" s="61">
        <f t="shared" si="171"/>
        <v>0</v>
      </c>
      <c r="L943" s="62"/>
      <c r="M943" s="61">
        <f t="shared" si="172"/>
        <v>0</v>
      </c>
      <c r="N943" s="63">
        <v>0</v>
      </c>
      <c r="O943" s="61">
        <f t="shared" si="173"/>
        <v>0</v>
      </c>
      <c r="P943" s="60">
        <v>0</v>
      </c>
      <c r="Q943" s="61">
        <f t="shared" si="174"/>
        <v>0</v>
      </c>
      <c r="R943" s="60">
        <v>0</v>
      </c>
      <c r="S943" s="61">
        <f t="shared" si="175"/>
        <v>0</v>
      </c>
      <c r="T943" s="60">
        <v>0</v>
      </c>
      <c r="U943" s="64">
        <f t="shared" si="176"/>
        <v>0</v>
      </c>
      <c r="V943" s="65">
        <v>0</v>
      </c>
      <c r="W943" s="66">
        <f t="shared" si="177"/>
        <v>0</v>
      </c>
      <c r="X943" s="67">
        <f t="shared" si="178"/>
        <v>0</v>
      </c>
      <c r="Y943" s="57" t="str">
        <f t="shared" si="179"/>
        <v>NIL PLEASE PURCHASE</v>
      </c>
      <c r="Z943" s="68" t="s">
        <v>1539</v>
      </c>
    </row>
    <row r="944" spans="1:26" s="8" customFormat="1" ht="20.100000000000001" customHeight="1" x14ac:dyDescent="0.25">
      <c r="A944" s="69" t="s">
        <v>1910</v>
      </c>
      <c r="B944" s="88">
        <v>1361</v>
      </c>
      <c r="C944" s="90" t="s">
        <v>1525</v>
      </c>
      <c r="D944" s="60">
        <v>0</v>
      </c>
      <c r="E944" s="61">
        <f t="shared" si="168"/>
        <v>0</v>
      </c>
      <c r="F944" s="60">
        <v>0</v>
      </c>
      <c r="G944" s="61">
        <f t="shared" si="169"/>
        <v>0</v>
      </c>
      <c r="H944" s="60">
        <v>0</v>
      </c>
      <c r="I944" s="61">
        <f t="shared" si="170"/>
        <v>0</v>
      </c>
      <c r="J944" s="60">
        <v>0</v>
      </c>
      <c r="K944" s="61">
        <f t="shared" si="171"/>
        <v>0</v>
      </c>
      <c r="L944" s="62"/>
      <c r="M944" s="61">
        <f t="shared" si="172"/>
        <v>0</v>
      </c>
      <c r="N944" s="63">
        <v>0</v>
      </c>
      <c r="O944" s="61">
        <f t="shared" si="173"/>
        <v>0</v>
      </c>
      <c r="P944" s="60">
        <v>0</v>
      </c>
      <c r="Q944" s="61">
        <f t="shared" si="174"/>
        <v>0</v>
      </c>
      <c r="R944" s="60">
        <v>0</v>
      </c>
      <c r="S944" s="61">
        <f t="shared" si="175"/>
        <v>0</v>
      </c>
      <c r="T944" s="60">
        <v>0</v>
      </c>
      <c r="U944" s="64">
        <f t="shared" si="176"/>
        <v>0</v>
      </c>
      <c r="V944" s="65">
        <v>0</v>
      </c>
      <c r="W944" s="66">
        <f t="shared" si="177"/>
        <v>0</v>
      </c>
      <c r="X944" s="67">
        <f t="shared" si="178"/>
        <v>0</v>
      </c>
      <c r="Y944" s="57" t="str">
        <f t="shared" si="179"/>
        <v>NIL PLEASE PURCHASE</v>
      </c>
      <c r="Z944" s="68" t="s">
        <v>1539</v>
      </c>
    </row>
    <row r="945" spans="1:26" s="8" customFormat="1" ht="20.100000000000001" customHeight="1" x14ac:dyDescent="0.25">
      <c r="A945" s="69" t="s">
        <v>1911</v>
      </c>
      <c r="B945" s="88">
        <v>1362</v>
      </c>
      <c r="C945" s="90" t="s">
        <v>1526</v>
      </c>
      <c r="D945" s="60">
        <v>0</v>
      </c>
      <c r="E945" s="61">
        <f t="shared" si="168"/>
        <v>0</v>
      </c>
      <c r="F945" s="60">
        <v>0</v>
      </c>
      <c r="G945" s="61">
        <f t="shared" si="169"/>
        <v>0</v>
      </c>
      <c r="H945" s="60">
        <v>0</v>
      </c>
      <c r="I945" s="61">
        <f t="shared" si="170"/>
        <v>0</v>
      </c>
      <c r="J945" s="60">
        <v>0</v>
      </c>
      <c r="K945" s="61">
        <f t="shared" si="171"/>
        <v>0</v>
      </c>
      <c r="L945" s="62">
        <v>1</v>
      </c>
      <c r="M945" s="61">
        <f t="shared" si="172"/>
        <v>250</v>
      </c>
      <c r="N945" s="63">
        <v>0</v>
      </c>
      <c r="O945" s="61">
        <f t="shared" si="173"/>
        <v>0</v>
      </c>
      <c r="P945" s="60">
        <v>0</v>
      </c>
      <c r="Q945" s="61">
        <f t="shared" si="174"/>
        <v>0</v>
      </c>
      <c r="R945" s="60">
        <v>0</v>
      </c>
      <c r="S945" s="61">
        <f t="shared" si="175"/>
        <v>0</v>
      </c>
      <c r="T945" s="60">
        <v>0</v>
      </c>
      <c r="U945" s="64">
        <f t="shared" si="176"/>
        <v>0</v>
      </c>
      <c r="V945" s="65">
        <v>0</v>
      </c>
      <c r="W945" s="66">
        <f t="shared" si="177"/>
        <v>250</v>
      </c>
      <c r="X945" s="67">
        <f t="shared" si="178"/>
        <v>0.25</v>
      </c>
      <c r="Y945" s="57" t="str">
        <f t="shared" si="179"/>
        <v>STOCK</v>
      </c>
      <c r="Z945" s="68" t="s">
        <v>1538</v>
      </c>
    </row>
    <row r="946" spans="1:26" s="8" customFormat="1" ht="20.100000000000001" customHeight="1" x14ac:dyDescent="0.25">
      <c r="A946" s="69" t="s">
        <v>1912</v>
      </c>
      <c r="B946" s="88">
        <v>1363</v>
      </c>
      <c r="C946" s="90" t="s">
        <v>1527</v>
      </c>
      <c r="D946" s="60">
        <v>0</v>
      </c>
      <c r="E946" s="61">
        <f t="shared" si="168"/>
        <v>0</v>
      </c>
      <c r="F946" s="60">
        <v>0</v>
      </c>
      <c r="G946" s="61">
        <f t="shared" si="169"/>
        <v>0</v>
      </c>
      <c r="H946" s="60">
        <v>0</v>
      </c>
      <c r="I946" s="61">
        <f t="shared" si="170"/>
        <v>0</v>
      </c>
      <c r="J946" s="60">
        <v>0</v>
      </c>
      <c r="K946" s="61">
        <f t="shared" si="171"/>
        <v>0</v>
      </c>
      <c r="L946" s="62"/>
      <c r="M946" s="61">
        <f t="shared" si="172"/>
        <v>0</v>
      </c>
      <c r="N946" s="63">
        <v>0</v>
      </c>
      <c r="O946" s="61">
        <f t="shared" si="173"/>
        <v>0</v>
      </c>
      <c r="P946" s="60">
        <v>0</v>
      </c>
      <c r="Q946" s="61">
        <f t="shared" si="174"/>
        <v>0</v>
      </c>
      <c r="R946" s="60">
        <v>0</v>
      </c>
      <c r="S946" s="61">
        <f t="shared" si="175"/>
        <v>0</v>
      </c>
      <c r="T946" s="60">
        <v>0</v>
      </c>
      <c r="U946" s="64">
        <f t="shared" si="176"/>
        <v>0</v>
      </c>
      <c r="V946" s="65">
        <v>0</v>
      </c>
      <c r="W946" s="66">
        <f t="shared" si="177"/>
        <v>0</v>
      </c>
      <c r="X946" s="67">
        <f t="shared" si="178"/>
        <v>0</v>
      </c>
      <c r="Y946" s="57" t="str">
        <f t="shared" si="179"/>
        <v>NIL PLEASE PURCHASE</v>
      </c>
      <c r="Z946" s="68" t="s">
        <v>1539</v>
      </c>
    </row>
    <row r="947" spans="1:26" s="8" customFormat="1" ht="20.100000000000001" customHeight="1" x14ac:dyDescent="0.25">
      <c r="A947" s="69" t="s">
        <v>1913</v>
      </c>
      <c r="B947" s="88">
        <v>1364</v>
      </c>
      <c r="C947" s="90" t="s">
        <v>1528</v>
      </c>
      <c r="D947" s="60">
        <v>0</v>
      </c>
      <c r="E947" s="61">
        <f t="shared" si="168"/>
        <v>0</v>
      </c>
      <c r="F947" s="60">
        <v>0</v>
      </c>
      <c r="G947" s="61">
        <f t="shared" si="169"/>
        <v>0</v>
      </c>
      <c r="H947" s="60">
        <v>0</v>
      </c>
      <c r="I947" s="61">
        <f t="shared" si="170"/>
        <v>0</v>
      </c>
      <c r="J947" s="60">
        <v>0</v>
      </c>
      <c r="K947" s="61">
        <f t="shared" si="171"/>
        <v>0</v>
      </c>
      <c r="L947" s="62"/>
      <c r="M947" s="61">
        <f t="shared" si="172"/>
        <v>0</v>
      </c>
      <c r="N947" s="63">
        <v>0</v>
      </c>
      <c r="O947" s="61">
        <f t="shared" si="173"/>
        <v>0</v>
      </c>
      <c r="P947" s="60">
        <v>0</v>
      </c>
      <c r="Q947" s="61">
        <f t="shared" si="174"/>
        <v>0</v>
      </c>
      <c r="R947" s="60">
        <v>0</v>
      </c>
      <c r="S947" s="61">
        <f t="shared" si="175"/>
        <v>0</v>
      </c>
      <c r="T947" s="60">
        <v>0</v>
      </c>
      <c r="U947" s="64">
        <f t="shared" si="176"/>
        <v>0</v>
      </c>
      <c r="V947" s="65">
        <v>0</v>
      </c>
      <c r="W947" s="66">
        <f t="shared" si="177"/>
        <v>0</v>
      </c>
      <c r="X947" s="67">
        <f t="shared" si="178"/>
        <v>0</v>
      </c>
      <c r="Y947" s="57" t="str">
        <f t="shared" si="179"/>
        <v>NIL PLEASE PURCHASE</v>
      </c>
      <c r="Z947" s="68" t="s">
        <v>1539</v>
      </c>
    </row>
    <row r="948" spans="1:26" s="8" customFormat="1" ht="20.100000000000001" customHeight="1" x14ac:dyDescent="0.25">
      <c r="A948" s="69" t="s">
        <v>1914</v>
      </c>
      <c r="B948" s="88">
        <v>1365</v>
      </c>
      <c r="C948" s="90" t="s">
        <v>1529</v>
      </c>
      <c r="D948" s="60">
        <v>0</v>
      </c>
      <c r="E948" s="61">
        <f t="shared" si="168"/>
        <v>0</v>
      </c>
      <c r="F948" s="60">
        <v>0</v>
      </c>
      <c r="G948" s="61">
        <f t="shared" si="169"/>
        <v>0</v>
      </c>
      <c r="H948" s="60">
        <v>0</v>
      </c>
      <c r="I948" s="61">
        <f t="shared" si="170"/>
        <v>0</v>
      </c>
      <c r="J948" s="60">
        <v>0</v>
      </c>
      <c r="K948" s="61">
        <f t="shared" si="171"/>
        <v>0</v>
      </c>
      <c r="L948" s="62"/>
      <c r="M948" s="61">
        <f t="shared" si="172"/>
        <v>0</v>
      </c>
      <c r="N948" s="63">
        <v>7</v>
      </c>
      <c r="O948" s="61">
        <f t="shared" si="173"/>
        <v>3500</v>
      </c>
      <c r="P948" s="60">
        <v>0</v>
      </c>
      <c r="Q948" s="61">
        <f t="shared" si="174"/>
        <v>0</v>
      </c>
      <c r="R948" s="60">
        <v>0</v>
      </c>
      <c r="S948" s="61">
        <f t="shared" si="175"/>
        <v>0</v>
      </c>
      <c r="T948" s="60">
        <v>0</v>
      </c>
      <c r="U948" s="64">
        <f t="shared" si="176"/>
        <v>0</v>
      </c>
      <c r="V948" s="65">
        <v>0</v>
      </c>
      <c r="W948" s="66">
        <f t="shared" si="177"/>
        <v>3500</v>
      </c>
      <c r="X948" s="67">
        <f t="shared" si="178"/>
        <v>3.5</v>
      </c>
      <c r="Y948" s="57" t="str">
        <f t="shared" si="179"/>
        <v>STOCK</v>
      </c>
      <c r="Z948" s="68" t="s">
        <v>1538</v>
      </c>
    </row>
    <row r="949" spans="1:26" s="8" customFormat="1" ht="20.100000000000001" customHeight="1" x14ac:dyDescent="0.25">
      <c r="A949" s="69" t="s">
        <v>1915</v>
      </c>
      <c r="B949" s="88">
        <v>1366</v>
      </c>
      <c r="C949" s="90" t="s">
        <v>1530</v>
      </c>
      <c r="D949" s="60">
        <v>0</v>
      </c>
      <c r="E949" s="61">
        <f t="shared" si="168"/>
        <v>0</v>
      </c>
      <c r="F949" s="60">
        <v>0</v>
      </c>
      <c r="G949" s="61">
        <f t="shared" si="169"/>
        <v>0</v>
      </c>
      <c r="H949" s="60">
        <v>0</v>
      </c>
      <c r="I949" s="61">
        <f t="shared" si="170"/>
        <v>0</v>
      </c>
      <c r="J949" s="60">
        <v>6</v>
      </c>
      <c r="K949" s="61">
        <f t="shared" si="171"/>
        <v>600</v>
      </c>
      <c r="L949" s="62"/>
      <c r="M949" s="61">
        <f t="shared" si="172"/>
        <v>0</v>
      </c>
      <c r="N949" s="63">
        <v>0</v>
      </c>
      <c r="O949" s="61">
        <f t="shared" si="173"/>
        <v>0</v>
      </c>
      <c r="P949" s="60">
        <v>0</v>
      </c>
      <c r="Q949" s="61">
        <f t="shared" si="174"/>
        <v>0</v>
      </c>
      <c r="R949" s="60">
        <v>0</v>
      </c>
      <c r="S949" s="61">
        <f t="shared" si="175"/>
        <v>0</v>
      </c>
      <c r="T949" s="60">
        <v>0</v>
      </c>
      <c r="U949" s="64">
        <f t="shared" si="176"/>
        <v>0</v>
      </c>
      <c r="V949" s="65">
        <v>0</v>
      </c>
      <c r="W949" s="66">
        <f t="shared" si="177"/>
        <v>600</v>
      </c>
      <c r="X949" s="67">
        <f t="shared" si="178"/>
        <v>0.6</v>
      </c>
      <c r="Y949" s="57" t="str">
        <f t="shared" si="179"/>
        <v>STOCK</v>
      </c>
      <c r="Z949" s="68" t="s">
        <v>1538</v>
      </c>
    </row>
    <row r="950" spans="1:26" s="8" customFormat="1" ht="20.100000000000001" customHeight="1" x14ac:dyDescent="0.25">
      <c r="A950" s="69" t="s">
        <v>1916</v>
      </c>
      <c r="B950" s="88">
        <v>1367</v>
      </c>
      <c r="C950" s="90" t="s">
        <v>1531</v>
      </c>
      <c r="D950" s="60">
        <v>0</v>
      </c>
      <c r="E950" s="61">
        <f t="shared" si="168"/>
        <v>0</v>
      </c>
      <c r="F950" s="60">
        <v>0</v>
      </c>
      <c r="G950" s="61">
        <f t="shared" si="169"/>
        <v>0</v>
      </c>
      <c r="H950" s="60">
        <v>0</v>
      </c>
      <c r="I950" s="61">
        <f t="shared" si="170"/>
        <v>0</v>
      </c>
      <c r="J950" s="60">
        <v>0</v>
      </c>
      <c r="K950" s="61">
        <f t="shared" si="171"/>
        <v>0</v>
      </c>
      <c r="L950" s="62"/>
      <c r="M950" s="61">
        <f t="shared" si="172"/>
        <v>0</v>
      </c>
      <c r="N950" s="63">
        <v>2</v>
      </c>
      <c r="O950" s="61">
        <f t="shared" si="173"/>
        <v>1000</v>
      </c>
      <c r="P950" s="60">
        <v>0</v>
      </c>
      <c r="Q950" s="61">
        <f t="shared" si="174"/>
        <v>0</v>
      </c>
      <c r="R950" s="60">
        <v>0</v>
      </c>
      <c r="S950" s="61">
        <f t="shared" si="175"/>
        <v>0</v>
      </c>
      <c r="T950" s="60">
        <v>0</v>
      </c>
      <c r="U950" s="64">
        <f t="shared" si="176"/>
        <v>0</v>
      </c>
      <c r="V950" s="65">
        <v>0</v>
      </c>
      <c r="W950" s="66">
        <f t="shared" si="177"/>
        <v>1000</v>
      </c>
      <c r="X950" s="67">
        <f t="shared" si="178"/>
        <v>1</v>
      </c>
      <c r="Y950" s="57" t="str">
        <f t="shared" si="179"/>
        <v>STOCK</v>
      </c>
      <c r="Z950" s="68" t="s">
        <v>1538</v>
      </c>
    </row>
    <row r="951" spans="1:26" s="8" customFormat="1" ht="20.100000000000001" customHeight="1" x14ac:dyDescent="0.25">
      <c r="A951" s="69" t="s">
        <v>1917</v>
      </c>
      <c r="B951" s="88">
        <v>1368</v>
      </c>
      <c r="C951" s="90" t="s">
        <v>1532</v>
      </c>
      <c r="D951" s="60">
        <v>0</v>
      </c>
      <c r="E951" s="61">
        <f t="shared" si="168"/>
        <v>0</v>
      </c>
      <c r="F951" s="60">
        <v>0</v>
      </c>
      <c r="G951" s="61">
        <f t="shared" si="169"/>
        <v>0</v>
      </c>
      <c r="H951" s="60">
        <v>0</v>
      </c>
      <c r="I951" s="61">
        <f t="shared" si="170"/>
        <v>0</v>
      </c>
      <c r="J951" s="60">
        <v>0</v>
      </c>
      <c r="K951" s="61">
        <f t="shared" si="171"/>
        <v>0</v>
      </c>
      <c r="L951" s="62"/>
      <c r="M951" s="61">
        <f t="shared" si="172"/>
        <v>0</v>
      </c>
      <c r="N951" s="63">
        <v>1</v>
      </c>
      <c r="O951" s="61">
        <f t="shared" si="173"/>
        <v>500</v>
      </c>
      <c r="P951" s="60">
        <v>0</v>
      </c>
      <c r="Q951" s="61">
        <f t="shared" si="174"/>
        <v>0</v>
      </c>
      <c r="R951" s="60">
        <v>0</v>
      </c>
      <c r="S951" s="61">
        <f t="shared" si="175"/>
        <v>0</v>
      </c>
      <c r="T951" s="60">
        <v>0</v>
      </c>
      <c r="U951" s="64">
        <f t="shared" si="176"/>
        <v>0</v>
      </c>
      <c r="V951" s="65">
        <v>0</v>
      </c>
      <c r="W951" s="66">
        <f t="shared" si="177"/>
        <v>500</v>
      </c>
      <c r="X951" s="67">
        <f t="shared" si="178"/>
        <v>0.5</v>
      </c>
      <c r="Y951" s="57" t="str">
        <f t="shared" si="179"/>
        <v>STOCK</v>
      </c>
      <c r="Z951" s="68" t="s">
        <v>1538</v>
      </c>
    </row>
    <row r="952" spans="1:26" s="8" customFormat="1" ht="20.100000000000001" customHeight="1" x14ac:dyDescent="0.25">
      <c r="A952" s="69" t="s">
        <v>1918</v>
      </c>
      <c r="B952" s="88">
        <v>1369</v>
      </c>
      <c r="C952" s="90" t="s">
        <v>1925</v>
      </c>
      <c r="D952" s="60">
        <v>0</v>
      </c>
      <c r="E952" s="61">
        <f t="shared" si="168"/>
        <v>0</v>
      </c>
      <c r="F952" s="60">
        <v>0</v>
      </c>
      <c r="G952" s="61">
        <f t="shared" si="169"/>
        <v>0</v>
      </c>
      <c r="H952" s="60">
        <v>0</v>
      </c>
      <c r="I952" s="61">
        <f t="shared" si="170"/>
        <v>0</v>
      </c>
      <c r="J952" s="60">
        <v>1</v>
      </c>
      <c r="K952" s="61">
        <f t="shared" si="171"/>
        <v>100</v>
      </c>
      <c r="L952" s="62"/>
      <c r="M952" s="61">
        <f t="shared" si="172"/>
        <v>0</v>
      </c>
      <c r="N952" s="63">
        <v>0</v>
      </c>
      <c r="O952" s="61">
        <f t="shared" si="173"/>
        <v>0</v>
      </c>
      <c r="P952" s="60">
        <v>0</v>
      </c>
      <c r="Q952" s="61">
        <f t="shared" si="174"/>
        <v>0</v>
      </c>
      <c r="R952" s="60">
        <v>0</v>
      </c>
      <c r="S952" s="61">
        <f t="shared" si="175"/>
        <v>0</v>
      </c>
      <c r="T952" s="60">
        <v>0</v>
      </c>
      <c r="U952" s="64">
        <f t="shared" si="176"/>
        <v>0</v>
      </c>
      <c r="V952" s="65">
        <v>0</v>
      </c>
      <c r="W952" s="66">
        <f t="shared" si="177"/>
        <v>100</v>
      </c>
      <c r="X952" s="67">
        <f t="shared" si="178"/>
        <v>0.1</v>
      </c>
      <c r="Y952" s="57" t="str">
        <f t="shared" si="179"/>
        <v>STOCK</v>
      </c>
      <c r="Z952" s="68" t="s">
        <v>1538</v>
      </c>
    </row>
    <row r="953" spans="1:26" s="8" customFormat="1" ht="20.100000000000001" customHeight="1" x14ac:dyDescent="0.25">
      <c r="A953" s="69" t="s">
        <v>1919</v>
      </c>
      <c r="B953" s="88">
        <v>1370</v>
      </c>
      <c r="C953" s="90" t="s">
        <v>1533</v>
      </c>
      <c r="D953" s="60">
        <v>0</v>
      </c>
      <c r="E953" s="61">
        <f t="shared" si="168"/>
        <v>0</v>
      </c>
      <c r="F953" s="60">
        <v>1</v>
      </c>
      <c r="G953" s="61">
        <f t="shared" si="169"/>
        <v>25</v>
      </c>
      <c r="H953" s="60">
        <v>0</v>
      </c>
      <c r="I953" s="61">
        <f t="shared" si="170"/>
        <v>0</v>
      </c>
      <c r="J953" s="60">
        <v>0</v>
      </c>
      <c r="K953" s="61">
        <f t="shared" si="171"/>
        <v>0</v>
      </c>
      <c r="L953" s="62"/>
      <c r="M953" s="61">
        <f t="shared" si="172"/>
        <v>0</v>
      </c>
      <c r="N953" s="63">
        <v>0</v>
      </c>
      <c r="O953" s="61">
        <f t="shared" si="173"/>
        <v>0</v>
      </c>
      <c r="P953" s="60">
        <v>0</v>
      </c>
      <c r="Q953" s="61">
        <f t="shared" si="174"/>
        <v>0</v>
      </c>
      <c r="R953" s="60">
        <v>0</v>
      </c>
      <c r="S953" s="61">
        <f t="shared" si="175"/>
        <v>0</v>
      </c>
      <c r="T953" s="60">
        <v>0</v>
      </c>
      <c r="U953" s="64">
        <f t="shared" si="176"/>
        <v>0</v>
      </c>
      <c r="V953" s="65">
        <v>0</v>
      </c>
      <c r="W953" s="66">
        <f t="shared" si="177"/>
        <v>25</v>
      </c>
      <c r="X953" s="67">
        <f t="shared" si="178"/>
        <v>2.5000000000000001E-2</v>
      </c>
      <c r="Y953" s="57" t="str">
        <f t="shared" si="179"/>
        <v>STOCK</v>
      </c>
      <c r="Z953" s="68" t="s">
        <v>1538</v>
      </c>
    </row>
    <row r="954" spans="1:26" s="8" customFormat="1" ht="20.100000000000001" customHeight="1" x14ac:dyDescent="0.25">
      <c r="A954" s="69" t="s">
        <v>1920</v>
      </c>
      <c r="B954" s="88">
        <v>1381</v>
      </c>
      <c r="C954" s="91" t="s">
        <v>1534</v>
      </c>
      <c r="D954" s="70">
        <v>0</v>
      </c>
      <c r="E954" s="71">
        <f t="shared" si="168"/>
        <v>0</v>
      </c>
      <c r="F954" s="70">
        <v>0</v>
      </c>
      <c r="G954" s="71">
        <f t="shared" si="169"/>
        <v>0</v>
      </c>
      <c r="H954" s="70">
        <v>0</v>
      </c>
      <c r="I954" s="71">
        <f t="shared" si="170"/>
        <v>0</v>
      </c>
      <c r="J954" s="70">
        <v>0</v>
      </c>
      <c r="K954" s="71">
        <f t="shared" si="171"/>
        <v>0</v>
      </c>
      <c r="L954" s="72"/>
      <c r="M954" s="71">
        <f t="shared" si="172"/>
        <v>0</v>
      </c>
      <c r="N954" s="73">
        <v>0</v>
      </c>
      <c r="O954" s="71">
        <f t="shared" si="173"/>
        <v>0</v>
      </c>
      <c r="P954" s="70">
        <v>0</v>
      </c>
      <c r="Q954" s="71">
        <f t="shared" si="174"/>
        <v>0</v>
      </c>
      <c r="R954" s="70">
        <v>0</v>
      </c>
      <c r="S954" s="71">
        <f t="shared" si="175"/>
        <v>0</v>
      </c>
      <c r="T954" s="70">
        <v>0</v>
      </c>
      <c r="U954" s="74">
        <f t="shared" si="176"/>
        <v>0</v>
      </c>
      <c r="V954" s="75">
        <v>0</v>
      </c>
      <c r="W954" s="76">
        <f t="shared" si="177"/>
        <v>0</v>
      </c>
      <c r="X954" s="77">
        <f t="shared" si="178"/>
        <v>0</v>
      </c>
      <c r="Y954" s="78" t="str">
        <f t="shared" si="179"/>
        <v>NIL PLEASE PURCHASE</v>
      </c>
      <c r="Z954" s="79" t="s">
        <v>1539</v>
      </c>
    </row>
    <row r="955" spans="1:26" s="37" customFormat="1" ht="159" customHeight="1" x14ac:dyDescent="0.2">
      <c r="B955" s="92"/>
      <c r="C955" s="93"/>
      <c r="D955" s="38"/>
      <c r="E955" s="38"/>
      <c r="F955" s="38"/>
      <c r="G955" s="38"/>
      <c r="H955" s="38"/>
      <c r="I955" s="38"/>
      <c r="J955" s="38"/>
      <c r="K955" s="38"/>
      <c r="L955" s="38"/>
      <c r="M955" s="38"/>
      <c r="N955" s="38"/>
      <c r="O955" s="38"/>
      <c r="P955" s="38"/>
      <c r="Q955" s="38"/>
      <c r="R955" s="38"/>
      <c r="S955" s="38"/>
      <c r="T955" s="38"/>
      <c r="U955" s="38"/>
      <c r="V955" s="39"/>
    </row>
    <row r="956" spans="1:26" s="37" customFormat="1" x14ac:dyDescent="0.2">
      <c r="B956" s="92"/>
      <c r="C956" s="93"/>
      <c r="D956" s="38"/>
      <c r="E956" s="38"/>
      <c r="F956" s="38"/>
      <c r="G956" s="38"/>
      <c r="H956" s="38"/>
      <c r="I956" s="38"/>
      <c r="J956" s="38"/>
      <c r="K956" s="38"/>
      <c r="L956" s="38"/>
      <c r="M956" s="38"/>
      <c r="N956" s="38"/>
      <c r="O956" s="38"/>
      <c r="P956" s="38"/>
      <c r="Q956" s="38"/>
      <c r="R956" s="38"/>
      <c r="S956" s="38"/>
      <c r="T956" s="38"/>
      <c r="U956" s="38"/>
      <c r="V956" s="39"/>
    </row>
    <row r="957" spans="1:26" s="37" customFormat="1" x14ac:dyDescent="0.2">
      <c r="B957" s="92"/>
      <c r="C957" s="93"/>
      <c r="D957" s="38"/>
      <c r="E957" s="38"/>
      <c r="F957" s="38"/>
      <c r="G957" s="38"/>
      <c r="H957" s="38"/>
      <c r="I957" s="38"/>
      <c r="J957" s="38"/>
      <c r="K957" s="38"/>
      <c r="L957" s="38"/>
      <c r="M957" s="38"/>
      <c r="N957" s="38"/>
      <c r="O957" s="38"/>
      <c r="P957" s="38"/>
      <c r="Q957" s="38"/>
      <c r="R957" s="38"/>
      <c r="S957" s="38"/>
      <c r="T957" s="38"/>
      <c r="U957" s="38"/>
      <c r="V957" s="39"/>
    </row>
    <row r="958" spans="1:26" s="37" customFormat="1" x14ac:dyDescent="0.2">
      <c r="B958" s="92"/>
      <c r="C958" s="93"/>
      <c r="D958" s="38"/>
      <c r="E958" s="38"/>
      <c r="F958" s="38"/>
      <c r="G958" s="38"/>
      <c r="H958" s="38"/>
      <c r="I958" s="38"/>
      <c r="J958" s="38"/>
      <c r="K958" s="38"/>
      <c r="L958" s="38"/>
      <c r="M958" s="38"/>
      <c r="N958" s="38"/>
      <c r="O958" s="38"/>
      <c r="P958" s="38"/>
      <c r="Q958" s="38"/>
      <c r="R958" s="38"/>
      <c r="S958" s="38"/>
      <c r="T958" s="38"/>
      <c r="U958" s="38"/>
      <c r="V958" s="39"/>
    </row>
    <row r="959" spans="1:26" s="37" customFormat="1" x14ac:dyDescent="0.2">
      <c r="B959" s="92"/>
      <c r="C959" s="93"/>
      <c r="D959" s="38"/>
      <c r="E959" s="38"/>
      <c r="F959" s="38"/>
      <c r="G959" s="38"/>
      <c r="H959" s="38"/>
      <c r="I959" s="38"/>
      <c r="J959" s="38"/>
      <c r="K959" s="38"/>
      <c r="L959" s="38"/>
      <c r="M959" s="38"/>
      <c r="N959" s="38"/>
      <c r="O959" s="38"/>
      <c r="P959" s="38"/>
      <c r="Q959" s="38"/>
      <c r="R959" s="38"/>
      <c r="S959" s="38"/>
      <c r="T959" s="38"/>
      <c r="U959" s="38"/>
      <c r="V959" s="39"/>
    </row>
    <row r="960" spans="1:26" s="37" customFormat="1" x14ac:dyDescent="0.2">
      <c r="B960" s="92"/>
      <c r="C960" s="93"/>
      <c r="D960" s="38"/>
      <c r="E960" s="38"/>
      <c r="F960" s="38"/>
      <c r="G960" s="38"/>
      <c r="H960" s="38"/>
      <c r="I960" s="38"/>
      <c r="J960" s="38"/>
      <c r="K960" s="38"/>
      <c r="L960" s="38"/>
      <c r="M960" s="38"/>
      <c r="O960" s="38"/>
      <c r="P960" s="38"/>
      <c r="Q960" s="38"/>
      <c r="R960" s="38"/>
      <c r="S960" s="38"/>
      <c r="T960" s="38"/>
      <c r="U960" s="38"/>
      <c r="V960" s="39"/>
    </row>
    <row r="961" spans="2:22" s="37" customFormat="1" x14ac:dyDescent="0.2">
      <c r="B961" s="92"/>
      <c r="C961" s="93"/>
      <c r="D961" s="38"/>
      <c r="E961" s="38"/>
      <c r="F961" s="38"/>
      <c r="G961" s="38"/>
      <c r="H961" s="38"/>
      <c r="I961" s="38"/>
      <c r="J961" s="38"/>
      <c r="K961" s="38"/>
      <c r="L961" s="38"/>
      <c r="M961" s="38"/>
      <c r="N961" s="38"/>
      <c r="O961" s="38"/>
      <c r="P961" s="38"/>
      <c r="Q961" s="38"/>
      <c r="R961" s="38"/>
      <c r="S961" s="38"/>
      <c r="T961" s="38"/>
      <c r="U961" s="38"/>
      <c r="V961" s="39"/>
    </row>
    <row r="962" spans="2:22" s="37" customFormat="1" x14ac:dyDescent="0.2">
      <c r="B962" s="92"/>
      <c r="C962" s="93"/>
      <c r="D962" s="38"/>
      <c r="E962" s="38"/>
      <c r="F962" s="38"/>
      <c r="G962" s="38"/>
      <c r="H962" s="38"/>
      <c r="I962" s="38"/>
      <c r="J962" s="38"/>
      <c r="K962" s="38"/>
      <c r="L962" s="38"/>
      <c r="M962" s="38"/>
      <c r="N962" s="38"/>
      <c r="O962" s="38"/>
      <c r="P962" s="38"/>
      <c r="Q962" s="38"/>
      <c r="R962" s="38"/>
      <c r="S962" s="38"/>
      <c r="T962" s="38"/>
      <c r="U962" s="38"/>
      <c r="V962" s="39"/>
    </row>
    <row r="963" spans="2:22" s="37" customFormat="1" x14ac:dyDescent="0.2">
      <c r="B963" s="92"/>
      <c r="C963" s="93"/>
      <c r="D963" s="38"/>
      <c r="E963" s="38"/>
      <c r="F963" s="38"/>
      <c r="G963" s="38"/>
      <c r="H963" s="38"/>
      <c r="I963" s="38"/>
      <c r="J963" s="38"/>
      <c r="K963" s="38"/>
      <c r="L963" s="38"/>
      <c r="M963" s="38"/>
      <c r="N963" s="38"/>
      <c r="O963" s="38"/>
      <c r="P963" s="38"/>
      <c r="Q963" s="38"/>
      <c r="R963" s="38"/>
      <c r="S963" s="38"/>
      <c r="T963" s="38"/>
      <c r="U963" s="38"/>
      <c r="V963" s="39"/>
    </row>
    <row r="964" spans="2:22" s="37" customFormat="1" x14ac:dyDescent="0.2">
      <c r="B964" s="92"/>
      <c r="C964" s="93"/>
      <c r="D964" s="38"/>
      <c r="E964" s="38"/>
      <c r="F964" s="38"/>
      <c r="G964" s="38"/>
      <c r="H964" s="38"/>
      <c r="I964" s="38"/>
      <c r="J964" s="38"/>
      <c r="K964" s="38"/>
      <c r="L964" s="38"/>
      <c r="M964" s="38"/>
      <c r="N964" s="38"/>
      <c r="O964" s="38"/>
      <c r="P964" s="38"/>
      <c r="Q964" s="38"/>
      <c r="R964" s="38"/>
      <c r="S964" s="38"/>
      <c r="T964" s="38"/>
      <c r="U964" s="38"/>
      <c r="V964" s="39"/>
    </row>
    <row r="965" spans="2:22" s="37" customFormat="1" x14ac:dyDescent="0.2">
      <c r="B965" s="92"/>
      <c r="C965" s="93"/>
      <c r="D965" s="38"/>
      <c r="E965" s="38"/>
      <c r="F965" s="38"/>
      <c r="G965" s="38"/>
      <c r="H965" s="38"/>
      <c r="I965" s="38"/>
      <c r="J965" s="38"/>
      <c r="K965" s="38"/>
      <c r="L965" s="38"/>
      <c r="M965" s="38"/>
      <c r="N965" s="38"/>
      <c r="O965" s="38"/>
      <c r="P965" s="38"/>
      <c r="Q965" s="38"/>
      <c r="R965" s="38"/>
      <c r="S965" s="38"/>
      <c r="T965" s="38"/>
      <c r="U965" s="38"/>
      <c r="V965" s="39"/>
    </row>
    <row r="966" spans="2:22" s="37" customFormat="1" x14ac:dyDescent="0.2">
      <c r="B966" s="92"/>
      <c r="C966" s="93"/>
      <c r="D966" s="38"/>
      <c r="E966" s="38"/>
      <c r="F966" s="38"/>
      <c r="G966" s="38"/>
      <c r="H966" s="38"/>
      <c r="I966" s="38"/>
      <c r="J966" s="38"/>
      <c r="K966" s="38"/>
      <c r="L966" s="38"/>
      <c r="M966" s="38"/>
      <c r="N966" s="38"/>
      <c r="O966" s="38"/>
      <c r="P966" s="38"/>
      <c r="Q966" s="38"/>
      <c r="R966" s="38"/>
      <c r="S966" s="38"/>
      <c r="T966" s="38"/>
      <c r="U966" s="38"/>
      <c r="V966" s="39"/>
    </row>
    <row r="967" spans="2:22" s="37" customFormat="1" x14ac:dyDescent="0.2">
      <c r="B967" s="92"/>
      <c r="C967" s="93"/>
      <c r="D967" s="38"/>
      <c r="E967" s="38"/>
      <c r="F967" s="38"/>
      <c r="G967" s="38"/>
      <c r="H967" s="38"/>
      <c r="I967" s="38"/>
      <c r="J967" s="38"/>
      <c r="K967" s="38"/>
      <c r="L967" s="38"/>
      <c r="M967" s="38"/>
      <c r="N967" s="38"/>
      <c r="O967" s="38"/>
      <c r="P967" s="38"/>
      <c r="Q967" s="38"/>
      <c r="R967" s="38"/>
      <c r="S967" s="38"/>
      <c r="T967" s="38"/>
      <c r="U967" s="38"/>
      <c r="V967" s="39"/>
    </row>
    <row r="968" spans="2:22" s="37" customFormat="1" x14ac:dyDescent="0.2">
      <c r="B968" s="92"/>
      <c r="C968" s="93"/>
      <c r="D968" s="38"/>
      <c r="E968" s="38"/>
      <c r="F968" s="38"/>
      <c r="G968" s="38"/>
      <c r="H968" s="38"/>
      <c r="I968" s="38"/>
      <c r="J968" s="38"/>
      <c r="K968" s="38"/>
      <c r="L968" s="38"/>
      <c r="M968" s="38"/>
      <c r="N968" s="38"/>
      <c r="O968" s="38"/>
      <c r="P968" s="38"/>
      <c r="Q968" s="38"/>
      <c r="R968" s="38"/>
      <c r="S968" s="38"/>
      <c r="T968" s="38"/>
      <c r="U968" s="38"/>
      <c r="V968" s="39"/>
    </row>
    <row r="969" spans="2:22" s="37" customFormat="1" x14ac:dyDescent="0.2">
      <c r="B969" s="92"/>
      <c r="C969" s="93"/>
      <c r="D969" s="38"/>
      <c r="E969" s="38"/>
      <c r="F969" s="38"/>
      <c r="G969" s="38"/>
      <c r="H969" s="38"/>
      <c r="I969" s="38"/>
      <c r="J969" s="38"/>
      <c r="K969" s="38"/>
      <c r="L969" s="38"/>
      <c r="M969" s="38"/>
      <c r="N969" s="38"/>
      <c r="O969" s="38"/>
      <c r="P969" s="38"/>
      <c r="Q969" s="38"/>
      <c r="R969" s="38"/>
      <c r="S969" s="38"/>
      <c r="T969" s="38"/>
      <c r="U969" s="38"/>
      <c r="V969" s="39"/>
    </row>
    <row r="970" spans="2:22" s="37" customFormat="1" x14ac:dyDescent="0.2">
      <c r="B970" s="92"/>
      <c r="C970" s="93"/>
      <c r="D970" s="38"/>
      <c r="E970" s="38"/>
      <c r="F970" s="38"/>
      <c r="G970" s="38"/>
      <c r="H970" s="38"/>
      <c r="I970" s="38"/>
      <c r="J970" s="38"/>
      <c r="K970" s="38"/>
      <c r="L970" s="38"/>
      <c r="M970" s="38"/>
      <c r="N970" s="38"/>
      <c r="O970" s="38"/>
      <c r="P970" s="38"/>
      <c r="Q970" s="38"/>
      <c r="R970" s="38"/>
      <c r="S970" s="38"/>
      <c r="T970" s="38"/>
      <c r="U970" s="38"/>
      <c r="V970" s="39"/>
    </row>
    <row r="971" spans="2:22" s="37" customFormat="1" x14ac:dyDescent="0.2">
      <c r="B971" s="92"/>
      <c r="C971" s="93"/>
      <c r="D971" s="38"/>
      <c r="E971" s="38"/>
      <c r="F971" s="38"/>
      <c r="G971" s="38"/>
      <c r="H971" s="38"/>
      <c r="I971" s="38"/>
      <c r="J971" s="38"/>
      <c r="K971" s="38"/>
      <c r="L971" s="38"/>
      <c r="M971" s="38"/>
      <c r="N971" s="38"/>
      <c r="O971" s="38"/>
      <c r="P971" s="38"/>
      <c r="Q971" s="38"/>
      <c r="R971" s="38"/>
      <c r="S971" s="38"/>
      <c r="T971" s="38"/>
      <c r="U971" s="38"/>
      <c r="V971" s="39"/>
    </row>
    <row r="972" spans="2:22" s="37" customFormat="1" x14ac:dyDescent="0.2">
      <c r="B972" s="92"/>
      <c r="C972" s="93"/>
      <c r="D972" s="38"/>
      <c r="E972" s="38"/>
      <c r="F972" s="38"/>
      <c r="G972" s="38"/>
      <c r="H972" s="38"/>
      <c r="I972" s="38"/>
      <c r="J972" s="38"/>
      <c r="K972" s="38"/>
      <c r="L972" s="38"/>
      <c r="M972" s="38"/>
      <c r="N972" s="38"/>
      <c r="O972" s="38"/>
      <c r="P972" s="38"/>
      <c r="Q972" s="38"/>
      <c r="R972" s="38"/>
      <c r="S972" s="38"/>
      <c r="T972" s="38"/>
      <c r="U972" s="38"/>
      <c r="V972" s="39"/>
    </row>
    <row r="973" spans="2:22" s="37" customFormat="1" x14ac:dyDescent="0.2">
      <c r="B973" s="92"/>
      <c r="C973" s="93"/>
      <c r="D973" s="38"/>
      <c r="E973" s="38"/>
      <c r="F973" s="38"/>
      <c r="G973" s="38"/>
      <c r="H973" s="38"/>
      <c r="I973" s="38"/>
      <c r="J973" s="38"/>
      <c r="K973" s="38"/>
      <c r="L973" s="38"/>
      <c r="M973" s="38"/>
      <c r="N973" s="38"/>
      <c r="O973" s="38"/>
      <c r="P973" s="38"/>
      <c r="Q973" s="38"/>
      <c r="R973" s="38"/>
      <c r="S973" s="38"/>
      <c r="T973" s="38"/>
      <c r="U973" s="38"/>
      <c r="V973" s="39"/>
    </row>
    <row r="974" spans="2:22" s="37" customFormat="1" x14ac:dyDescent="0.2">
      <c r="B974" s="92"/>
      <c r="C974" s="93"/>
      <c r="D974" s="38"/>
      <c r="E974" s="38"/>
      <c r="F974" s="38"/>
      <c r="G974" s="38"/>
      <c r="H974" s="38"/>
      <c r="I974" s="38"/>
      <c r="J974" s="38"/>
      <c r="K974" s="38"/>
      <c r="L974" s="38"/>
      <c r="M974" s="38"/>
      <c r="N974" s="38"/>
      <c r="O974" s="38"/>
      <c r="P974" s="38"/>
      <c r="Q974" s="38"/>
      <c r="R974" s="38"/>
      <c r="S974" s="38"/>
      <c r="T974" s="38"/>
      <c r="U974" s="38"/>
      <c r="V974" s="39"/>
    </row>
    <row r="975" spans="2:22" s="37" customFormat="1" x14ac:dyDescent="0.2">
      <c r="B975" s="92"/>
      <c r="C975" s="93"/>
      <c r="D975" s="38"/>
      <c r="E975" s="38"/>
      <c r="F975" s="38"/>
      <c r="G975" s="38"/>
      <c r="H975" s="38"/>
      <c r="I975" s="38"/>
      <c r="J975" s="38"/>
      <c r="K975" s="38"/>
      <c r="L975" s="38"/>
      <c r="M975" s="38"/>
      <c r="N975" s="38"/>
      <c r="O975" s="38"/>
      <c r="P975" s="38"/>
      <c r="Q975" s="38"/>
      <c r="R975" s="38"/>
      <c r="S975" s="38"/>
      <c r="T975" s="38"/>
      <c r="U975" s="38"/>
      <c r="V975" s="39"/>
    </row>
    <row r="976" spans="2:22" s="37" customFormat="1" x14ac:dyDescent="0.2">
      <c r="B976" s="92"/>
      <c r="C976" s="93"/>
      <c r="D976" s="38"/>
      <c r="E976" s="38"/>
      <c r="F976" s="38"/>
      <c r="G976" s="38"/>
      <c r="H976" s="38"/>
      <c r="I976" s="38"/>
      <c r="J976" s="38"/>
      <c r="K976" s="38"/>
      <c r="L976" s="38"/>
      <c r="M976" s="38"/>
      <c r="N976" s="38"/>
      <c r="O976" s="38"/>
      <c r="P976" s="38"/>
      <c r="Q976" s="38"/>
      <c r="R976" s="38"/>
      <c r="S976" s="38"/>
      <c r="T976" s="38"/>
      <c r="U976" s="38"/>
      <c r="V976" s="39"/>
    </row>
    <row r="977" spans="2:22" s="37" customFormat="1" x14ac:dyDescent="0.2">
      <c r="B977" s="92"/>
      <c r="C977" s="93"/>
      <c r="D977" s="38"/>
      <c r="E977" s="38"/>
      <c r="F977" s="38"/>
      <c r="G977" s="38"/>
      <c r="H977" s="38"/>
      <c r="I977" s="38"/>
      <c r="J977" s="38"/>
      <c r="K977" s="38"/>
      <c r="L977" s="38"/>
      <c r="M977" s="38"/>
      <c r="N977" s="38"/>
      <c r="O977" s="38"/>
      <c r="P977" s="38"/>
      <c r="Q977" s="38"/>
      <c r="R977" s="38"/>
      <c r="S977" s="38"/>
      <c r="T977" s="38"/>
      <c r="U977" s="38"/>
      <c r="V977" s="39"/>
    </row>
    <row r="978" spans="2:22" s="37" customFormat="1" x14ac:dyDescent="0.2">
      <c r="B978" s="92"/>
      <c r="C978" s="93"/>
      <c r="D978" s="38"/>
      <c r="E978" s="38"/>
      <c r="F978" s="38"/>
      <c r="G978" s="38"/>
      <c r="H978" s="38"/>
      <c r="I978" s="38"/>
      <c r="J978" s="38"/>
      <c r="K978" s="38"/>
      <c r="L978" s="38"/>
      <c r="M978" s="38"/>
      <c r="N978" s="38"/>
      <c r="O978" s="38"/>
      <c r="P978" s="38"/>
      <c r="Q978" s="38"/>
      <c r="R978" s="38"/>
      <c r="S978" s="38"/>
      <c r="T978" s="38"/>
      <c r="U978" s="38"/>
      <c r="V978" s="39"/>
    </row>
    <row r="979" spans="2:22" s="37" customFormat="1" x14ac:dyDescent="0.2">
      <c r="B979" s="92"/>
      <c r="C979" s="93"/>
      <c r="D979" s="38"/>
      <c r="E979" s="38"/>
      <c r="F979" s="38"/>
      <c r="G979" s="38"/>
      <c r="H979" s="38"/>
      <c r="I979" s="38"/>
      <c r="J979" s="38"/>
      <c r="K979" s="38"/>
      <c r="L979" s="38"/>
      <c r="M979" s="38"/>
      <c r="N979" s="38"/>
      <c r="O979" s="38"/>
      <c r="P979" s="38"/>
      <c r="Q979" s="38"/>
      <c r="R979" s="38"/>
      <c r="S979" s="38"/>
      <c r="T979" s="38"/>
      <c r="U979" s="38"/>
      <c r="V979" s="39"/>
    </row>
    <row r="980" spans="2:22" s="37" customFormat="1" x14ac:dyDescent="0.2">
      <c r="B980" s="92"/>
      <c r="C980" s="93"/>
      <c r="D980" s="38"/>
      <c r="E980" s="38"/>
      <c r="F980" s="38"/>
      <c r="G980" s="38"/>
      <c r="H980" s="38"/>
      <c r="I980" s="38"/>
      <c r="J980" s="38"/>
      <c r="K980" s="38"/>
      <c r="L980" s="38"/>
      <c r="M980" s="38"/>
      <c r="N980" s="38"/>
      <c r="O980" s="38"/>
      <c r="P980" s="38"/>
      <c r="Q980" s="38"/>
      <c r="R980" s="38"/>
      <c r="S980" s="38"/>
      <c r="T980" s="38"/>
      <c r="U980" s="38"/>
      <c r="V980" s="39"/>
    </row>
    <row r="981" spans="2:22" s="37" customFormat="1" x14ac:dyDescent="0.2">
      <c r="B981" s="92"/>
      <c r="C981" s="93"/>
      <c r="D981" s="38"/>
      <c r="E981" s="38"/>
      <c r="F981" s="38"/>
      <c r="G981" s="38"/>
      <c r="H981" s="38"/>
      <c r="I981" s="38"/>
      <c r="J981" s="38"/>
      <c r="K981" s="38"/>
      <c r="L981" s="38"/>
      <c r="M981" s="38"/>
      <c r="N981" s="38"/>
      <c r="O981" s="38"/>
      <c r="P981" s="38"/>
      <c r="Q981" s="38"/>
      <c r="R981" s="38"/>
      <c r="S981" s="38"/>
      <c r="T981" s="38"/>
      <c r="U981" s="38"/>
      <c r="V981" s="39"/>
    </row>
    <row r="982" spans="2:22" s="37" customFormat="1" x14ac:dyDescent="0.2">
      <c r="B982" s="92"/>
      <c r="C982" s="93"/>
      <c r="D982" s="38"/>
      <c r="E982" s="38"/>
      <c r="F982" s="38"/>
      <c r="G982" s="38"/>
      <c r="H982" s="38"/>
      <c r="I982" s="38"/>
      <c r="J982" s="38"/>
      <c r="K982" s="38"/>
      <c r="L982" s="38"/>
      <c r="M982" s="38"/>
      <c r="N982" s="38"/>
      <c r="O982" s="38"/>
      <c r="P982" s="38"/>
      <c r="Q982" s="38"/>
      <c r="R982" s="38"/>
      <c r="S982" s="38"/>
      <c r="T982" s="38"/>
      <c r="U982" s="38"/>
      <c r="V982" s="39"/>
    </row>
    <row r="983" spans="2:22" s="37" customFormat="1" x14ac:dyDescent="0.2">
      <c r="B983" s="92"/>
      <c r="C983" s="93"/>
      <c r="D983" s="38"/>
      <c r="E983" s="38"/>
      <c r="F983" s="38"/>
      <c r="G983" s="38"/>
      <c r="H983" s="38"/>
      <c r="I983" s="38"/>
      <c r="J983" s="38"/>
      <c r="K983" s="38"/>
      <c r="L983" s="38"/>
      <c r="M983" s="38"/>
      <c r="N983" s="38"/>
      <c r="O983" s="38"/>
      <c r="P983" s="38"/>
      <c r="Q983" s="38"/>
      <c r="R983" s="38"/>
      <c r="S983" s="38"/>
      <c r="T983" s="38"/>
      <c r="U983" s="38"/>
      <c r="V983" s="39"/>
    </row>
    <row r="984" spans="2:22" s="37" customFormat="1" x14ac:dyDescent="0.2">
      <c r="B984" s="92"/>
      <c r="C984" s="93"/>
      <c r="D984" s="38"/>
      <c r="E984" s="38"/>
      <c r="F984" s="38"/>
      <c r="G984" s="38"/>
      <c r="H984" s="38"/>
      <c r="I984" s="38"/>
      <c r="J984" s="38"/>
      <c r="K984" s="38"/>
      <c r="L984" s="38"/>
      <c r="M984" s="38"/>
      <c r="N984" s="38"/>
      <c r="O984" s="38"/>
      <c r="P984" s="38"/>
      <c r="Q984" s="38"/>
      <c r="R984" s="38"/>
      <c r="S984" s="38"/>
      <c r="T984" s="38"/>
      <c r="U984" s="38"/>
      <c r="V984" s="39"/>
    </row>
    <row r="985" spans="2:22" s="37" customFormat="1" x14ac:dyDescent="0.2">
      <c r="B985" s="92"/>
      <c r="C985" s="93"/>
      <c r="D985" s="38"/>
      <c r="E985" s="38"/>
      <c r="F985" s="38"/>
      <c r="G985" s="38"/>
      <c r="H985" s="38"/>
      <c r="I985" s="38"/>
      <c r="J985" s="38"/>
      <c r="K985" s="38"/>
      <c r="L985" s="38"/>
      <c r="M985" s="38"/>
      <c r="N985" s="38"/>
      <c r="O985" s="38"/>
      <c r="P985" s="38"/>
      <c r="Q985" s="38"/>
      <c r="R985" s="38"/>
      <c r="S985" s="38"/>
      <c r="T985" s="38"/>
      <c r="U985" s="38"/>
      <c r="V985" s="39"/>
    </row>
    <row r="986" spans="2:22" s="37" customFormat="1" x14ac:dyDescent="0.2">
      <c r="B986" s="92"/>
      <c r="C986" s="93"/>
      <c r="D986" s="38"/>
      <c r="E986" s="38"/>
      <c r="F986" s="38"/>
      <c r="G986" s="38"/>
      <c r="H986" s="38"/>
      <c r="I986" s="38"/>
      <c r="J986" s="38"/>
      <c r="K986" s="38"/>
      <c r="L986" s="38"/>
      <c r="M986" s="38"/>
      <c r="N986" s="38"/>
      <c r="O986" s="38"/>
      <c r="P986" s="38"/>
      <c r="Q986" s="38"/>
      <c r="R986" s="38"/>
      <c r="S986" s="38"/>
      <c r="T986" s="38"/>
      <c r="U986" s="38"/>
      <c r="V986" s="39"/>
    </row>
    <row r="987" spans="2:22" s="37" customFormat="1" x14ac:dyDescent="0.2">
      <c r="B987" s="92"/>
      <c r="C987" s="93"/>
      <c r="D987" s="38"/>
      <c r="E987" s="38"/>
      <c r="F987" s="38"/>
      <c r="G987" s="38"/>
      <c r="H987" s="38"/>
      <c r="I987" s="38"/>
      <c r="J987" s="38"/>
      <c r="K987" s="38"/>
      <c r="L987" s="38"/>
      <c r="M987" s="38"/>
      <c r="N987" s="38"/>
      <c r="O987" s="38"/>
      <c r="P987" s="38"/>
      <c r="Q987" s="38"/>
      <c r="R987" s="38"/>
      <c r="S987" s="38"/>
      <c r="T987" s="38"/>
      <c r="U987" s="38"/>
      <c r="V987" s="39"/>
    </row>
    <row r="988" spans="2:22" s="37" customFormat="1" x14ac:dyDescent="0.2">
      <c r="B988" s="92"/>
      <c r="C988" s="93"/>
      <c r="D988" s="38"/>
      <c r="E988" s="38"/>
      <c r="F988" s="38"/>
      <c r="G988" s="38"/>
      <c r="H988" s="38"/>
      <c r="I988" s="38"/>
      <c r="J988" s="38"/>
      <c r="K988" s="38"/>
      <c r="L988" s="38"/>
      <c r="M988" s="38"/>
      <c r="N988" s="38"/>
      <c r="O988" s="38"/>
      <c r="P988" s="38"/>
      <c r="Q988" s="38"/>
      <c r="R988" s="38"/>
      <c r="S988" s="38"/>
      <c r="T988" s="38"/>
      <c r="U988" s="38"/>
      <c r="V988" s="39"/>
    </row>
    <row r="989" spans="2:22" s="37" customFormat="1" x14ac:dyDescent="0.2">
      <c r="B989" s="92"/>
      <c r="C989" s="93"/>
      <c r="D989" s="38"/>
      <c r="E989" s="38"/>
      <c r="F989" s="38"/>
      <c r="G989" s="38"/>
      <c r="H989" s="38"/>
      <c r="I989" s="38"/>
      <c r="J989" s="38"/>
      <c r="K989" s="38"/>
      <c r="L989" s="38"/>
      <c r="M989" s="38"/>
      <c r="N989" s="38"/>
      <c r="O989" s="38"/>
      <c r="P989" s="38"/>
      <c r="Q989" s="38"/>
      <c r="R989" s="38"/>
      <c r="S989" s="38"/>
      <c r="T989" s="38"/>
      <c r="U989" s="38"/>
      <c r="V989" s="39"/>
    </row>
    <row r="990" spans="2:22" s="37" customFormat="1" x14ac:dyDescent="0.2">
      <c r="B990" s="92"/>
      <c r="C990" s="93"/>
      <c r="D990" s="38"/>
      <c r="E990" s="38"/>
      <c r="F990" s="38"/>
      <c r="G990" s="38"/>
      <c r="H990" s="38"/>
      <c r="I990" s="38"/>
      <c r="J990" s="38"/>
      <c r="K990" s="38"/>
      <c r="L990" s="38"/>
      <c r="M990" s="38"/>
      <c r="N990" s="38"/>
      <c r="O990" s="38"/>
      <c r="P990" s="38"/>
      <c r="Q990" s="38"/>
      <c r="R990" s="38"/>
      <c r="S990" s="38"/>
      <c r="T990" s="38"/>
      <c r="U990" s="38"/>
      <c r="V990" s="39"/>
    </row>
    <row r="991" spans="2:22" s="37" customFormat="1" x14ac:dyDescent="0.2">
      <c r="B991" s="92"/>
      <c r="C991" s="93"/>
      <c r="D991" s="38"/>
      <c r="E991" s="38"/>
      <c r="F991" s="38"/>
      <c r="G991" s="38"/>
      <c r="H991" s="38"/>
      <c r="I991" s="38"/>
      <c r="J991" s="38"/>
      <c r="K991" s="38"/>
      <c r="L991" s="38"/>
      <c r="M991" s="38"/>
      <c r="N991" s="38"/>
      <c r="O991" s="38"/>
      <c r="P991" s="38"/>
      <c r="Q991" s="38"/>
      <c r="R991" s="38"/>
      <c r="S991" s="38"/>
      <c r="T991" s="38"/>
      <c r="U991" s="38"/>
      <c r="V991" s="39"/>
    </row>
    <row r="992" spans="2:22" s="37" customFormat="1" x14ac:dyDescent="0.2">
      <c r="B992" s="92"/>
      <c r="C992" s="93"/>
      <c r="D992" s="38"/>
      <c r="E992" s="38"/>
      <c r="F992" s="38"/>
      <c r="G992" s="38"/>
      <c r="H992" s="38"/>
      <c r="I992" s="38"/>
      <c r="J992" s="38"/>
      <c r="K992" s="38"/>
      <c r="L992" s="38"/>
      <c r="M992" s="38"/>
      <c r="N992" s="38"/>
      <c r="O992" s="38"/>
      <c r="P992" s="38"/>
      <c r="Q992" s="38"/>
      <c r="R992" s="38"/>
      <c r="S992" s="38"/>
      <c r="T992" s="38"/>
      <c r="U992" s="38"/>
      <c r="V992" s="39"/>
    </row>
    <row r="993" spans="2:22" s="37" customFormat="1" x14ac:dyDescent="0.2">
      <c r="B993" s="92"/>
      <c r="C993" s="93"/>
      <c r="D993" s="38"/>
      <c r="E993" s="38"/>
      <c r="F993" s="38"/>
      <c r="G993" s="38"/>
      <c r="H993" s="38"/>
      <c r="I993" s="38"/>
      <c r="J993" s="38"/>
      <c r="K993" s="38"/>
      <c r="L993" s="38"/>
      <c r="M993" s="38"/>
      <c r="N993" s="38"/>
      <c r="O993" s="38"/>
      <c r="P993" s="38"/>
      <c r="Q993" s="38"/>
      <c r="R993" s="38"/>
      <c r="S993" s="38"/>
      <c r="T993" s="38"/>
      <c r="U993" s="38"/>
      <c r="V993" s="39"/>
    </row>
    <row r="994" spans="2:22" s="37" customFormat="1" x14ac:dyDescent="0.2">
      <c r="B994" s="92"/>
      <c r="C994" s="93"/>
      <c r="D994" s="38"/>
      <c r="E994" s="38"/>
      <c r="F994" s="38"/>
      <c r="G994" s="38"/>
      <c r="H994" s="38"/>
      <c r="I994" s="38"/>
      <c r="J994" s="38"/>
      <c r="K994" s="38"/>
      <c r="L994" s="38"/>
      <c r="M994" s="38"/>
      <c r="N994" s="38"/>
      <c r="O994" s="38"/>
      <c r="P994" s="38"/>
      <c r="Q994" s="38"/>
      <c r="R994" s="38"/>
      <c r="S994" s="38"/>
      <c r="T994" s="38"/>
      <c r="U994" s="38"/>
      <c r="V994" s="39"/>
    </row>
    <row r="995" spans="2:22" s="37" customFormat="1" x14ac:dyDescent="0.2">
      <c r="B995" s="92"/>
      <c r="C995" s="93"/>
      <c r="D995" s="38"/>
      <c r="E995" s="38"/>
      <c r="F995" s="38"/>
      <c r="G995" s="38"/>
      <c r="H995" s="38"/>
      <c r="I995" s="38"/>
      <c r="J995" s="38"/>
      <c r="K995" s="38"/>
      <c r="L995" s="38"/>
      <c r="M995" s="38"/>
      <c r="N995" s="38"/>
      <c r="O995" s="38"/>
      <c r="P995" s="38"/>
      <c r="Q995" s="38"/>
      <c r="R995" s="38"/>
      <c r="S995" s="38"/>
      <c r="T995" s="38"/>
      <c r="U995" s="38"/>
      <c r="V995" s="39"/>
    </row>
    <row r="996" spans="2:22" s="37" customFormat="1" x14ac:dyDescent="0.2">
      <c r="B996" s="92"/>
      <c r="C996" s="93"/>
      <c r="D996" s="38"/>
      <c r="E996" s="38"/>
      <c r="F996" s="38"/>
      <c r="G996" s="38"/>
      <c r="H996" s="38"/>
      <c r="I996" s="38"/>
      <c r="J996" s="38"/>
      <c r="K996" s="38"/>
      <c r="L996" s="38"/>
      <c r="M996" s="38"/>
      <c r="N996" s="38"/>
      <c r="O996" s="38"/>
      <c r="P996" s="38"/>
      <c r="Q996" s="38"/>
      <c r="R996" s="38"/>
      <c r="S996" s="38"/>
      <c r="T996" s="38"/>
      <c r="U996" s="38"/>
      <c r="V996" s="39"/>
    </row>
    <row r="997" spans="2:22" s="37" customFormat="1" x14ac:dyDescent="0.2">
      <c r="B997" s="92"/>
      <c r="C997" s="93"/>
      <c r="D997" s="38"/>
      <c r="E997" s="38"/>
      <c r="F997" s="38"/>
      <c r="G997" s="38"/>
      <c r="H997" s="38"/>
      <c r="I997" s="38"/>
      <c r="J997" s="38"/>
      <c r="K997" s="38"/>
      <c r="L997" s="38"/>
      <c r="M997" s="38"/>
      <c r="N997" s="38"/>
      <c r="O997" s="38"/>
      <c r="P997" s="38"/>
      <c r="Q997" s="38"/>
      <c r="R997" s="38"/>
      <c r="S997" s="38"/>
      <c r="T997" s="38"/>
      <c r="U997" s="38"/>
      <c r="V997" s="39"/>
    </row>
    <row r="998" spans="2:22" s="37" customFormat="1" x14ac:dyDescent="0.2">
      <c r="B998" s="92"/>
      <c r="C998" s="93"/>
      <c r="D998" s="38"/>
      <c r="E998" s="38"/>
      <c r="F998" s="38"/>
      <c r="G998" s="38"/>
      <c r="H998" s="38"/>
      <c r="I998" s="38"/>
      <c r="J998" s="38"/>
      <c r="K998" s="38"/>
      <c r="L998" s="38"/>
      <c r="M998" s="38"/>
      <c r="N998" s="38"/>
      <c r="O998" s="38"/>
      <c r="P998" s="38"/>
      <c r="Q998" s="38"/>
      <c r="R998" s="38"/>
      <c r="S998" s="38"/>
      <c r="T998" s="38"/>
      <c r="U998" s="38"/>
      <c r="V998" s="39"/>
    </row>
    <row r="999" spans="2:22" s="37" customFormat="1" x14ac:dyDescent="0.2">
      <c r="B999" s="92"/>
      <c r="C999" s="93"/>
      <c r="D999" s="38"/>
      <c r="E999" s="38"/>
      <c r="F999" s="38"/>
      <c r="G999" s="38"/>
      <c r="H999" s="38"/>
      <c r="I999" s="38"/>
      <c r="J999" s="38"/>
      <c r="K999" s="38"/>
      <c r="L999" s="38"/>
      <c r="M999" s="38"/>
      <c r="N999" s="38"/>
      <c r="O999" s="38"/>
      <c r="P999" s="38"/>
      <c r="Q999" s="38"/>
      <c r="R999" s="38"/>
      <c r="S999" s="38"/>
      <c r="T999" s="38"/>
      <c r="U999" s="38"/>
      <c r="V999" s="39"/>
    </row>
    <row r="1000" spans="2:22" s="37" customFormat="1" x14ac:dyDescent="0.2">
      <c r="B1000" s="92"/>
      <c r="C1000" s="93"/>
      <c r="D1000" s="38"/>
      <c r="E1000" s="38"/>
      <c r="F1000" s="38"/>
      <c r="G1000" s="38"/>
      <c r="H1000" s="38"/>
      <c r="I1000" s="38"/>
      <c r="J1000" s="38"/>
      <c r="K1000" s="38"/>
      <c r="L1000" s="38"/>
      <c r="M1000" s="38"/>
      <c r="N1000" s="38"/>
      <c r="O1000" s="38"/>
      <c r="P1000" s="38"/>
      <c r="Q1000" s="38"/>
      <c r="R1000" s="38"/>
      <c r="S1000" s="38"/>
      <c r="T1000" s="38"/>
      <c r="U1000" s="38"/>
      <c r="V1000" s="39"/>
    </row>
    <row r="1001" spans="2:22" s="37" customFormat="1" x14ac:dyDescent="0.2">
      <c r="B1001" s="92"/>
      <c r="C1001" s="93"/>
      <c r="D1001" s="38"/>
      <c r="E1001" s="38"/>
      <c r="F1001" s="38"/>
      <c r="G1001" s="38"/>
      <c r="H1001" s="38"/>
      <c r="I1001" s="38"/>
      <c r="J1001" s="38"/>
      <c r="K1001" s="38"/>
      <c r="L1001" s="38"/>
      <c r="M1001" s="38"/>
      <c r="N1001" s="38"/>
      <c r="O1001" s="38"/>
      <c r="P1001" s="38"/>
      <c r="Q1001" s="38"/>
      <c r="R1001" s="38"/>
      <c r="S1001" s="38"/>
      <c r="T1001" s="38"/>
      <c r="U1001" s="38"/>
      <c r="V1001" s="39"/>
    </row>
    <row r="1002" spans="2:22" s="37" customFormat="1" x14ac:dyDescent="0.2">
      <c r="B1002" s="92"/>
      <c r="C1002" s="93"/>
      <c r="D1002" s="38"/>
      <c r="E1002" s="38"/>
      <c r="F1002" s="38"/>
      <c r="G1002" s="38"/>
      <c r="H1002" s="38"/>
      <c r="I1002" s="38"/>
      <c r="J1002" s="38"/>
      <c r="K1002" s="38"/>
      <c r="L1002" s="38"/>
      <c r="M1002" s="38"/>
      <c r="N1002" s="38"/>
      <c r="O1002" s="38"/>
      <c r="P1002" s="38"/>
      <c r="Q1002" s="38"/>
      <c r="R1002" s="38"/>
      <c r="S1002" s="38"/>
      <c r="T1002" s="38"/>
      <c r="U1002" s="38"/>
      <c r="V1002" s="39"/>
    </row>
    <row r="1003" spans="2:22" s="37" customFormat="1" x14ac:dyDescent="0.2">
      <c r="B1003" s="92"/>
      <c r="C1003" s="93"/>
      <c r="D1003" s="38"/>
      <c r="E1003" s="38"/>
      <c r="F1003" s="38"/>
      <c r="G1003" s="38"/>
      <c r="H1003" s="38"/>
      <c r="I1003" s="38"/>
      <c r="J1003" s="38"/>
      <c r="K1003" s="38"/>
      <c r="L1003" s="38"/>
      <c r="M1003" s="38"/>
      <c r="N1003" s="38"/>
      <c r="O1003" s="38"/>
      <c r="P1003" s="38"/>
      <c r="Q1003" s="38"/>
      <c r="R1003" s="38"/>
      <c r="S1003" s="38"/>
      <c r="T1003" s="38"/>
      <c r="U1003" s="38"/>
      <c r="V1003" s="39"/>
    </row>
    <row r="1004" spans="2:22" s="37" customFormat="1" x14ac:dyDescent="0.2">
      <c r="B1004" s="92"/>
      <c r="C1004" s="93"/>
      <c r="D1004" s="38"/>
      <c r="E1004" s="38"/>
      <c r="F1004" s="38"/>
      <c r="G1004" s="38"/>
      <c r="H1004" s="38"/>
      <c r="I1004" s="38"/>
      <c r="J1004" s="38"/>
      <c r="K1004" s="38"/>
      <c r="L1004" s="38"/>
      <c r="M1004" s="38"/>
      <c r="N1004" s="38"/>
      <c r="O1004" s="38"/>
      <c r="P1004" s="38"/>
      <c r="Q1004" s="38"/>
      <c r="R1004" s="38"/>
      <c r="S1004" s="38"/>
      <c r="T1004" s="38"/>
      <c r="U1004" s="38"/>
      <c r="V1004" s="39"/>
    </row>
    <row r="1005" spans="2:22" s="37" customFormat="1" x14ac:dyDescent="0.2">
      <c r="B1005" s="92"/>
      <c r="C1005" s="93"/>
      <c r="D1005" s="38"/>
      <c r="E1005" s="38"/>
      <c r="F1005" s="38"/>
      <c r="G1005" s="38"/>
      <c r="H1005" s="38"/>
      <c r="I1005" s="38"/>
      <c r="J1005" s="38"/>
      <c r="K1005" s="38"/>
      <c r="L1005" s="38"/>
      <c r="M1005" s="38"/>
      <c r="N1005" s="38"/>
      <c r="O1005" s="38"/>
      <c r="P1005" s="38"/>
      <c r="Q1005" s="38"/>
      <c r="R1005" s="38"/>
      <c r="S1005" s="38"/>
      <c r="T1005" s="38"/>
      <c r="U1005" s="38"/>
      <c r="V1005" s="39"/>
    </row>
    <row r="1006" spans="2:22" s="37" customFormat="1" x14ac:dyDescent="0.2">
      <c r="B1006" s="92"/>
      <c r="C1006" s="93"/>
      <c r="D1006" s="38"/>
      <c r="E1006" s="38"/>
      <c r="F1006" s="38"/>
      <c r="G1006" s="38"/>
      <c r="H1006" s="38"/>
      <c r="I1006" s="38"/>
      <c r="J1006" s="38"/>
      <c r="K1006" s="38"/>
      <c r="L1006" s="38"/>
      <c r="M1006" s="38"/>
      <c r="N1006" s="38"/>
      <c r="O1006" s="38"/>
      <c r="P1006" s="38"/>
      <c r="Q1006" s="38"/>
      <c r="R1006" s="38"/>
      <c r="S1006" s="38"/>
      <c r="T1006" s="38"/>
      <c r="U1006" s="38"/>
      <c r="V1006" s="39"/>
    </row>
    <row r="1007" spans="2:22" s="37" customFormat="1" x14ac:dyDescent="0.2">
      <c r="B1007" s="92"/>
      <c r="C1007" s="93"/>
      <c r="D1007" s="38"/>
      <c r="E1007" s="38"/>
      <c r="F1007" s="38"/>
      <c r="G1007" s="38"/>
      <c r="H1007" s="38"/>
      <c r="I1007" s="38"/>
      <c r="J1007" s="38"/>
      <c r="K1007" s="38"/>
      <c r="L1007" s="38"/>
      <c r="M1007" s="38"/>
      <c r="N1007" s="38"/>
      <c r="O1007" s="38"/>
      <c r="P1007" s="38"/>
      <c r="Q1007" s="38"/>
      <c r="R1007" s="38"/>
      <c r="S1007" s="38"/>
      <c r="T1007" s="38"/>
      <c r="U1007" s="38"/>
      <c r="V1007" s="39"/>
    </row>
    <row r="1008" spans="2:22" s="37" customFormat="1" x14ac:dyDescent="0.2">
      <c r="B1008" s="92"/>
      <c r="C1008" s="93"/>
      <c r="D1008" s="38"/>
      <c r="E1008" s="38"/>
      <c r="F1008" s="38"/>
      <c r="G1008" s="38"/>
      <c r="H1008" s="38"/>
      <c r="I1008" s="38"/>
      <c r="J1008" s="38"/>
      <c r="K1008" s="38"/>
      <c r="L1008" s="38"/>
      <c r="M1008" s="38"/>
      <c r="N1008" s="38"/>
      <c r="O1008" s="38"/>
      <c r="P1008" s="38"/>
      <c r="Q1008" s="38"/>
      <c r="R1008" s="38"/>
      <c r="S1008" s="38"/>
      <c r="T1008" s="38"/>
      <c r="U1008" s="38"/>
      <c r="V1008" s="39"/>
    </row>
    <row r="1009" spans="2:22" s="37" customFormat="1" x14ac:dyDescent="0.2">
      <c r="B1009" s="92"/>
      <c r="C1009" s="93"/>
      <c r="D1009" s="38"/>
      <c r="E1009" s="38"/>
      <c r="F1009" s="38"/>
      <c r="G1009" s="38"/>
      <c r="H1009" s="38"/>
      <c r="I1009" s="38"/>
      <c r="J1009" s="38"/>
      <c r="K1009" s="38"/>
      <c r="L1009" s="38"/>
      <c r="M1009" s="38"/>
      <c r="N1009" s="38"/>
      <c r="O1009" s="38"/>
      <c r="P1009" s="38"/>
      <c r="Q1009" s="38"/>
      <c r="R1009" s="38"/>
      <c r="S1009" s="38"/>
      <c r="T1009" s="38"/>
      <c r="U1009" s="38"/>
      <c r="V1009" s="39"/>
    </row>
    <row r="1010" spans="2:22" s="37" customFormat="1" x14ac:dyDescent="0.2">
      <c r="B1010" s="92"/>
      <c r="C1010" s="93"/>
      <c r="D1010" s="38"/>
      <c r="E1010" s="38"/>
      <c r="F1010" s="38"/>
      <c r="G1010" s="38"/>
      <c r="H1010" s="38"/>
      <c r="I1010" s="38"/>
      <c r="J1010" s="38"/>
      <c r="K1010" s="38"/>
      <c r="L1010" s="38"/>
      <c r="M1010" s="38"/>
      <c r="N1010" s="38"/>
      <c r="O1010" s="38"/>
      <c r="P1010" s="38"/>
      <c r="Q1010" s="38"/>
      <c r="R1010" s="38"/>
      <c r="S1010" s="38"/>
      <c r="T1010" s="38"/>
      <c r="U1010" s="38"/>
      <c r="V1010" s="39"/>
    </row>
    <row r="1011" spans="2:22" s="37" customFormat="1" x14ac:dyDescent="0.2">
      <c r="B1011" s="92"/>
      <c r="C1011" s="93"/>
      <c r="D1011" s="38"/>
      <c r="E1011" s="38"/>
      <c r="F1011" s="38"/>
      <c r="G1011" s="38"/>
      <c r="H1011" s="38"/>
      <c r="I1011" s="38"/>
      <c r="J1011" s="38"/>
      <c r="K1011" s="38"/>
      <c r="L1011" s="38"/>
      <c r="M1011" s="38"/>
      <c r="N1011" s="38"/>
      <c r="O1011" s="38"/>
      <c r="P1011" s="38"/>
      <c r="Q1011" s="38"/>
      <c r="R1011" s="38"/>
      <c r="S1011" s="38"/>
      <c r="T1011" s="38"/>
      <c r="U1011" s="38"/>
      <c r="V1011" s="39"/>
    </row>
    <row r="1012" spans="2:22" s="37" customFormat="1" x14ac:dyDescent="0.2">
      <c r="B1012" s="92"/>
      <c r="C1012" s="93"/>
      <c r="D1012" s="38"/>
      <c r="E1012" s="38"/>
      <c r="F1012" s="38"/>
      <c r="G1012" s="38"/>
      <c r="H1012" s="38"/>
      <c r="I1012" s="38"/>
      <c r="J1012" s="38"/>
      <c r="K1012" s="38"/>
      <c r="L1012" s="38"/>
      <c r="M1012" s="38"/>
      <c r="N1012" s="38"/>
      <c r="O1012" s="38"/>
      <c r="P1012" s="38"/>
      <c r="Q1012" s="38"/>
      <c r="R1012" s="38"/>
      <c r="S1012" s="38"/>
      <c r="T1012" s="38"/>
      <c r="U1012" s="38"/>
      <c r="V1012" s="39"/>
    </row>
    <row r="1013" spans="2:22" s="37" customFormat="1" x14ac:dyDescent="0.2">
      <c r="B1013" s="92"/>
      <c r="C1013" s="93"/>
      <c r="D1013" s="38"/>
      <c r="E1013" s="38"/>
      <c r="F1013" s="38"/>
      <c r="G1013" s="38"/>
      <c r="H1013" s="38"/>
      <c r="I1013" s="38"/>
      <c r="J1013" s="38"/>
      <c r="K1013" s="38"/>
      <c r="L1013" s="38"/>
      <c r="M1013" s="38"/>
      <c r="N1013" s="38"/>
      <c r="O1013" s="38"/>
      <c r="P1013" s="38"/>
      <c r="Q1013" s="38"/>
      <c r="R1013" s="38"/>
      <c r="S1013" s="38"/>
      <c r="T1013" s="38"/>
      <c r="U1013" s="38"/>
      <c r="V1013" s="39"/>
    </row>
    <row r="1014" spans="2:22" s="37" customFormat="1" x14ac:dyDescent="0.2">
      <c r="B1014" s="92"/>
      <c r="C1014" s="93"/>
      <c r="D1014" s="38"/>
      <c r="E1014" s="38"/>
      <c r="F1014" s="38"/>
      <c r="G1014" s="38"/>
      <c r="H1014" s="38"/>
      <c r="I1014" s="38"/>
      <c r="J1014" s="38"/>
      <c r="K1014" s="38"/>
      <c r="L1014" s="38"/>
      <c r="M1014" s="38"/>
      <c r="N1014" s="38"/>
      <c r="O1014" s="38"/>
      <c r="P1014" s="38"/>
      <c r="Q1014" s="38"/>
      <c r="R1014" s="38"/>
      <c r="S1014" s="38"/>
      <c r="T1014" s="38"/>
      <c r="U1014" s="38"/>
      <c r="V1014" s="39"/>
    </row>
    <row r="1015" spans="2:22" s="37" customFormat="1" x14ac:dyDescent="0.2">
      <c r="B1015" s="92"/>
      <c r="C1015" s="93"/>
      <c r="D1015" s="38"/>
      <c r="E1015" s="38"/>
      <c r="F1015" s="38"/>
      <c r="G1015" s="38"/>
      <c r="H1015" s="38"/>
      <c r="I1015" s="38"/>
      <c r="J1015" s="38"/>
      <c r="K1015" s="38"/>
      <c r="L1015" s="38"/>
      <c r="M1015" s="38"/>
      <c r="N1015" s="38"/>
      <c r="O1015" s="38"/>
      <c r="P1015" s="38"/>
      <c r="Q1015" s="38"/>
      <c r="R1015" s="38"/>
      <c r="S1015" s="38"/>
      <c r="T1015" s="38"/>
      <c r="U1015" s="38"/>
      <c r="V1015" s="39"/>
    </row>
    <row r="1016" spans="2:22" s="37" customFormat="1" x14ac:dyDescent="0.2">
      <c r="B1016" s="92"/>
      <c r="C1016" s="93"/>
      <c r="D1016" s="38"/>
      <c r="E1016" s="38"/>
      <c r="F1016" s="38"/>
      <c r="G1016" s="38"/>
      <c r="H1016" s="38"/>
      <c r="I1016" s="38"/>
      <c r="J1016" s="38"/>
      <c r="K1016" s="38"/>
      <c r="L1016" s="38"/>
      <c r="M1016" s="38"/>
      <c r="N1016" s="38"/>
      <c r="O1016" s="38"/>
      <c r="P1016" s="38"/>
      <c r="Q1016" s="38"/>
      <c r="R1016" s="38"/>
      <c r="S1016" s="38"/>
      <c r="T1016" s="38"/>
      <c r="U1016" s="38"/>
      <c r="V1016" s="39"/>
    </row>
    <row r="1017" spans="2:22" s="37" customFormat="1" x14ac:dyDescent="0.2">
      <c r="B1017" s="92"/>
      <c r="C1017" s="93"/>
      <c r="D1017" s="38"/>
      <c r="E1017" s="38"/>
      <c r="F1017" s="38"/>
      <c r="G1017" s="38"/>
      <c r="H1017" s="38"/>
      <c r="I1017" s="38"/>
      <c r="J1017" s="38"/>
      <c r="K1017" s="38"/>
      <c r="L1017" s="38"/>
      <c r="M1017" s="38"/>
      <c r="N1017" s="38"/>
      <c r="O1017" s="38"/>
      <c r="P1017" s="38"/>
      <c r="Q1017" s="38"/>
      <c r="R1017" s="38"/>
      <c r="S1017" s="38"/>
      <c r="T1017" s="38"/>
      <c r="U1017" s="38"/>
      <c r="V1017" s="39"/>
    </row>
    <row r="1018" spans="2:22" s="37" customFormat="1" x14ac:dyDescent="0.2">
      <c r="B1018" s="92"/>
      <c r="C1018" s="93"/>
      <c r="D1018" s="38"/>
      <c r="E1018" s="38"/>
      <c r="F1018" s="38"/>
      <c r="G1018" s="38"/>
      <c r="H1018" s="38"/>
      <c r="I1018" s="38"/>
      <c r="J1018" s="38"/>
      <c r="K1018" s="38"/>
      <c r="L1018" s="38"/>
      <c r="M1018" s="38"/>
      <c r="N1018" s="38"/>
      <c r="O1018" s="38"/>
      <c r="P1018" s="38"/>
      <c r="Q1018" s="38"/>
      <c r="R1018" s="38"/>
      <c r="S1018" s="38"/>
      <c r="T1018" s="38"/>
      <c r="U1018" s="38"/>
      <c r="V1018" s="39"/>
    </row>
    <row r="1019" spans="2:22" s="37" customFormat="1" x14ac:dyDescent="0.2">
      <c r="B1019" s="92"/>
      <c r="C1019" s="93"/>
      <c r="D1019" s="38"/>
      <c r="E1019" s="38"/>
      <c r="F1019" s="38"/>
      <c r="G1019" s="38"/>
      <c r="H1019" s="38"/>
      <c r="I1019" s="38"/>
      <c r="J1019" s="38"/>
      <c r="K1019" s="38"/>
      <c r="L1019" s="38"/>
      <c r="M1019" s="38"/>
      <c r="N1019" s="38"/>
      <c r="O1019" s="38"/>
      <c r="P1019" s="38"/>
      <c r="Q1019" s="38"/>
      <c r="R1019" s="38"/>
      <c r="S1019" s="38"/>
      <c r="T1019" s="38"/>
      <c r="U1019" s="38"/>
      <c r="V1019" s="39"/>
    </row>
    <row r="1020" spans="2:22" s="37" customFormat="1" x14ac:dyDescent="0.2">
      <c r="B1020" s="92"/>
      <c r="C1020" s="93"/>
      <c r="D1020" s="38"/>
      <c r="E1020" s="38"/>
      <c r="F1020" s="38"/>
      <c r="G1020" s="38"/>
      <c r="H1020" s="38"/>
      <c r="I1020" s="38"/>
      <c r="J1020" s="38"/>
      <c r="K1020" s="38"/>
      <c r="L1020" s="38"/>
      <c r="M1020" s="38"/>
      <c r="N1020" s="38"/>
      <c r="O1020" s="38"/>
      <c r="P1020" s="38"/>
      <c r="Q1020" s="38"/>
      <c r="R1020" s="38"/>
      <c r="S1020" s="38"/>
      <c r="T1020" s="38"/>
      <c r="U1020" s="38"/>
      <c r="V1020" s="39"/>
    </row>
    <row r="1021" spans="2:22" s="37" customFormat="1" x14ac:dyDescent="0.2">
      <c r="B1021" s="92"/>
      <c r="C1021" s="93"/>
      <c r="D1021" s="38"/>
      <c r="E1021" s="38"/>
      <c r="F1021" s="38"/>
      <c r="G1021" s="38"/>
      <c r="H1021" s="38"/>
      <c r="I1021" s="38"/>
      <c r="J1021" s="38"/>
      <c r="K1021" s="38"/>
      <c r="L1021" s="38"/>
      <c r="M1021" s="38"/>
      <c r="N1021" s="38"/>
      <c r="O1021" s="38"/>
      <c r="P1021" s="38"/>
      <c r="Q1021" s="38"/>
      <c r="R1021" s="38"/>
      <c r="S1021" s="38"/>
      <c r="T1021" s="38"/>
      <c r="U1021" s="38"/>
      <c r="V1021" s="39"/>
    </row>
    <row r="1022" spans="2:22" s="37" customFormat="1" x14ac:dyDescent="0.2">
      <c r="B1022" s="92"/>
      <c r="C1022" s="93"/>
      <c r="D1022" s="38"/>
      <c r="E1022" s="38"/>
      <c r="F1022" s="38"/>
      <c r="G1022" s="38"/>
      <c r="H1022" s="38"/>
      <c r="I1022" s="38"/>
      <c r="J1022" s="38"/>
      <c r="K1022" s="38"/>
      <c r="L1022" s="38"/>
      <c r="M1022" s="38"/>
      <c r="N1022" s="38"/>
      <c r="O1022" s="38"/>
      <c r="P1022" s="38"/>
      <c r="Q1022" s="38"/>
      <c r="R1022" s="38"/>
      <c r="S1022" s="38"/>
      <c r="T1022" s="38"/>
      <c r="U1022" s="38"/>
      <c r="V1022" s="39"/>
    </row>
    <row r="1023" spans="2:22" s="37" customFormat="1" x14ac:dyDescent="0.2">
      <c r="B1023" s="92"/>
      <c r="C1023" s="93"/>
      <c r="D1023" s="38"/>
      <c r="E1023" s="38"/>
      <c r="F1023" s="38"/>
      <c r="G1023" s="38"/>
      <c r="H1023" s="38"/>
      <c r="I1023" s="38"/>
      <c r="J1023" s="38"/>
      <c r="K1023" s="38"/>
      <c r="L1023" s="38"/>
      <c r="M1023" s="38"/>
      <c r="N1023" s="38"/>
      <c r="O1023" s="38"/>
      <c r="P1023" s="38"/>
      <c r="Q1023" s="38"/>
      <c r="R1023" s="38"/>
      <c r="S1023" s="38"/>
      <c r="T1023" s="38"/>
      <c r="U1023" s="38"/>
      <c r="V1023" s="39"/>
    </row>
    <row r="1024" spans="2:22" s="37" customFormat="1" x14ac:dyDescent="0.2">
      <c r="B1024" s="92"/>
      <c r="C1024" s="93"/>
      <c r="D1024" s="38"/>
      <c r="E1024" s="38"/>
      <c r="F1024" s="38"/>
      <c r="G1024" s="38"/>
      <c r="H1024" s="38"/>
      <c r="I1024" s="38"/>
      <c r="J1024" s="38"/>
      <c r="K1024" s="38"/>
      <c r="L1024" s="38"/>
      <c r="M1024" s="38"/>
      <c r="N1024" s="38"/>
      <c r="O1024" s="38"/>
      <c r="P1024" s="38"/>
      <c r="Q1024" s="38"/>
      <c r="R1024" s="38"/>
      <c r="S1024" s="38"/>
      <c r="T1024" s="38"/>
      <c r="U1024" s="38"/>
      <c r="V1024" s="39"/>
    </row>
    <row r="1025" spans="2:22" s="37" customFormat="1" x14ac:dyDescent="0.2">
      <c r="B1025" s="92"/>
      <c r="C1025" s="93"/>
      <c r="D1025" s="38"/>
      <c r="E1025" s="38"/>
      <c r="F1025" s="38"/>
      <c r="G1025" s="38"/>
      <c r="H1025" s="38"/>
      <c r="I1025" s="38"/>
      <c r="J1025" s="38"/>
      <c r="K1025" s="38"/>
      <c r="L1025" s="38"/>
      <c r="M1025" s="38"/>
      <c r="N1025" s="38"/>
      <c r="O1025" s="38"/>
      <c r="P1025" s="38"/>
      <c r="Q1025" s="38"/>
      <c r="R1025" s="38"/>
      <c r="S1025" s="38"/>
      <c r="T1025" s="38"/>
      <c r="U1025" s="38"/>
      <c r="V1025" s="39"/>
    </row>
    <row r="1026" spans="2:22" s="37" customFormat="1" x14ac:dyDescent="0.2">
      <c r="B1026" s="92"/>
      <c r="C1026" s="93"/>
      <c r="D1026" s="38"/>
      <c r="E1026" s="38"/>
      <c r="F1026" s="38"/>
      <c r="G1026" s="38"/>
      <c r="H1026" s="38"/>
      <c r="I1026" s="38"/>
      <c r="J1026" s="38"/>
      <c r="K1026" s="38"/>
      <c r="L1026" s="38"/>
      <c r="M1026" s="38"/>
      <c r="N1026" s="38"/>
      <c r="O1026" s="38"/>
      <c r="P1026" s="38"/>
      <c r="Q1026" s="38"/>
      <c r="R1026" s="38"/>
      <c r="S1026" s="38"/>
      <c r="T1026" s="38"/>
      <c r="U1026" s="38"/>
      <c r="V1026" s="39"/>
    </row>
    <row r="1027" spans="2:22" s="37" customFormat="1" x14ac:dyDescent="0.2">
      <c r="B1027" s="92"/>
      <c r="C1027" s="93"/>
      <c r="D1027" s="38"/>
      <c r="E1027" s="38"/>
      <c r="F1027" s="38"/>
      <c r="G1027" s="38"/>
      <c r="H1027" s="38"/>
      <c r="I1027" s="38"/>
      <c r="J1027" s="38"/>
      <c r="K1027" s="38"/>
      <c r="L1027" s="38"/>
      <c r="M1027" s="38"/>
      <c r="N1027" s="38"/>
      <c r="O1027" s="38"/>
      <c r="P1027" s="38"/>
      <c r="Q1027" s="38"/>
      <c r="R1027" s="38"/>
      <c r="S1027" s="38"/>
      <c r="T1027" s="38"/>
      <c r="U1027" s="38"/>
      <c r="V1027" s="39"/>
    </row>
    <row r="1028" spans="2:22" s="37" customFormat="1" x14ac:dyDescent="0.2">
      <c r="B1028" s="92"/>
      <c r="C1028" s="93"/>
      <c r="D1028" s="38"/>
      <c r="E1028" s="38"/>
      <c r="F1028" s="38"/>
      <c r="G1028" s="38"/>
      <c r="H1028" s="38"/>
      <c r="I1028" s="38"/>
      <c r="J1028" s="38"/>
      <c r="K1028" s="38"/>
      <c r="L1028" s="38"/>
      <c r="M1028" s="38"/>
      <c r="N1028" s="38"/>
      <c r="O1028" s="38"/>
      <c r="P1028" s="38"/>
      <c r="Q1028" s="38"/>
      <c r="R1028" s="38"/>
      <c r="S1028" s="38"/>
      <c r="T1028" s="38"/>
      <c r="U1028" s="38"/>
      <c r="V1028" s="39"/>
    </row>
    <row r="1029" spans="2:22" s="37" customFormat="1" x14ac:dyDescent="0.2">
      <c r="B1029" s="92"/>
      <c r="C1029" s="93"/>
      <c r="D1029" s="38"/>
      <c r="E1029" s="38"/>
      <c r="F1029" s="38"/>
      <c r="G1029" s="38"/>
      <c r="H1029" s="38"/>
      <c r="I1029" s="38"/>
      <c r="J1029" s="38"/>
      <c r="K1029" s="38"/>
      <c r="L1029" s="38"/>
      <c r="M1029" s="38"/>
      <c r="N1029" s="38"/>
      <c r="O1029" s="38"/>
      <c r="P1029" s="38"/>
      <c r="Q1029" s="38"/>
      <c r="R1029" s="38"/>
      <c r="S1029" s="38"/>
      <c r="T1029" s="38"/>
      <c r="U1029" s="38"/>
      <c r="V1029" s="39"/>
    </row>
    <row r="1030" spans="2:22" s="37" customFormat="1" x14ac:dyDescent="0.2">
      <c r="B1030" s="92"/>
      <c r="C1030" s="93"/>
      <c r="D1030" s="38"/>
      <c r="E1030" s="38"/>
      <c r="F1030" s="38"/>
      <c r="G1030" s="38"/>
      <c r="H1030" s="38"/>
      <c r="I1030" s="38"/>
      <c r="J1030" s="38"/>
      <c r="K1030" s="38"/>
      <c r="L1030" s="38"/>
      <c r="M1030" s="38"/>
      <c r="N1030" s="38"/>
      <c r="O1030" s="38"/>
      <c r="P1030" s="38"/>
      <c r="Q1030" s="38"/>
      <c r="R1030" s="38"/>
      <c r="S1030" s="38"/>
      <c r="T1030" s="38"/>
      <c r="U1030" s="38"/>
      <c r="V1030" s="39"/>
    </row>
    <row r="1031" spans="2:22" s="37" customFormat="1" x14ac:dyDescent="0.2">
      <c r="B1031" s="92"/>
      <c r="C1031" s="93"/>
      <c r="D1031" s="38"/>
      <c r="E1031" s="38"/>
      <c r="F1031" s="38"/>
      <c r="G1031" s="38"/>
      <c r="H1031" s="38"/>
      <c r="I1031" s="38"/>
      <c r="J1031" s="38"/>
      <c r="K1031" s="38"/>
      <c r="L1031" s="38"/>
      <c r="M1031" s="38"/>
      <c r="N1031" s="38"/>
      <c r="O1031" s="38"/>
      <c r="P1031" s="38"/>
      <c r="Q1031" s="38"/>
      <c r="R1031" s="38"/>
      <c r="S1031" s="38"/>
      <c r="T1031" s="38"/>
      <c r="U1031" s="38"/>
      <c r="V1031" s="39"/>
    </row>
    <row r="1032" spans="2:22" s="37" customFormat="1" x14ac:dyDescent="0.2">
      <c r="B1032" s="92"/>
      <c r="C1032" s="93"/>
      <c r="D1032" s="38"/>
      <c r="E1032" s="38"/>
      <c r="F1032" s="38"/>
      <c r="G1032" s="38"/>
      <c r="H1032" s="38"/>
      <c r="I1032" s="38"/>
      <c r="J1032" s="38"/>
      <c r="K1032" s="38"/>
      <c r="L1032" s="38"/>
      <c r="M1032" s="38"/>
      <c r="N1032" s="38"/>
      <c r="O1032" s="38"/>
      <c r="P1032" s="38"/>
      <c r="Q1032" s="38"/>
      <c r="R1032" s="38"/>
      <c r="S1032" s="38"/>
      <c r="T1032" s="38"/>
      <c r="U1032" s="38"/>
      <c r="V1032" s="39"/>
    </row>
    <row r="1033" spans="2:22" s="37" customFormat="1" x14ac:dyDescent="0.2">
      <c r="B1033" s="92"/>
      <c r="C1033" s="93"/>
      <c r="D1033" s="38"/>
      <c r="E1033" s="38"/>
      <c r="F1033" s="38"/>
      <c r="G1033" s="38"/>
      <c r="H1033" s="38"/>
      <c r="I1033" s="38"/>
      <c r="J1033" s="38"/>
      <c r="K1033" s="38"/>
      <c r="L1033" s="38"/>
      <c r="M1033" s="38"/>
      <c r="N1033" s="38"/>
      <c r="O1033" s="38"/>
      <c r="P1033" s="38"/>
      <c r="Q1033" s="38"/>
      <c r="R1033" s="38"/>
      <c r="S1033" s="38"/>
      <c r="T1033" s="38"/>
      <c r="U1033" s="38"/>
      <c r="V1033" s="39"/>
    </row>
    <row r="1034" spans="2:22" s="37" customFormat="1" x14ac:dyDescent="0.2">
      <c r="B1034" s="92"/>
      <c r="C1034" s="93"/>
      <c r="D1034" s="38"/>
      <c r="E1034" s="38"/>
      <c r="F1034" s="38"/>
      <c r="G1034" s="38"/>
      <c r="H1034" s="38"/>
      <c r="I1034" s="38"/>
      <c r="J1034" s="38"/>
      <c r="K1034" s="38"/>
      <c r="L1034" s="38"/>
      <c r="M1034" s="38"/>
      <c r="N1034" s="38"/>
      <c r="O1034" s="38"/>
      <c r="P1034" s="38"/>
      <c r="Q1034" s="38"/>
      <c r="R1034" s="38"/>
      <c r="S1034" s="38"/>
      <c r="T1034" s="38"/>
      <c r="U1034" s="38"/>
      <c r="V1034" s="39"/>
    </row>
    <row r="1035" spans="2:22" s="37" customFormat="1" x14ac:dyDescent="0.2">
      <c r="B1035" s="92"/>
      <c r="C1035" s="93"/>
      <c r="D1035" s="38"/>
      <c r="E1035" s="38"/>
      <c r="F1035" s="38"/>
      <c r="G1035" s="38"/>
      <c r="H1035" s="38"/>
      <c r="I1035" s="38"/>
      <c r="J1035" s="38"/>
      <c r="K1035" s="38"/>
      <c r="L1035" s="38"/>
      <c r="M1035" s="38"/>
      <c r="N1035" s="38"/>
      <c r="O1035" s="38"/>
      <c r="P1035" s="38"/>
      <c r="Q1035" s="38"/>
      <c r="R1035" s="38"/>
      <c r="S1035" s="38"/>
      <c r="T1035" s="38"/>
      <c r="U1035" s="38"/>
      <c r="V1035" s="39"/>
    </row>
    <row r="1036" spans="2:22" s="37" customFormat="1" x14ac:dyDescent="0.2">
      <c r="B1036" s="92"/>
      <c r="C1036" s="93"/>
      <c r="D1036" s="38"/>
      <c r="E1036" s="38"/>
      <c r="F1036" s="38"/>
      <c r="G1036" s="38"/>
      <c r="H1036" s="38"/>
      <c r="I1036" s="38"/>
      <c r="J1036" s="38"/>
      <c r="K1036" s="38"/>
      <c r="L1036" s="38"/>
      <c r="M1036" s="38"/>
      <c r="N1036" s="38"/>
      <c r="O1036" s="38"/>
      <c r="P1036" s="38"/>
      <c r="Q1036" s="38"/>
      <c r="R1036" s="38"/>
      <c r="S1036" s="38"/>
      <c r="T1036" s="38"/>
      <c r="U1036" s="38"/>
      <c r="V1036" s="39"/>
    </row>
    <row r="1037" spans="2:22" s="37" customFormat="1" x14ac:dyDescent="0.2">
      <c r="B1037" s="92"/>
      <c r="C1037" s="93"/>
      <c r="D1037" s="38"/>
      <c r="E1037" s="38"/>
      <c r="F1037" s="38"/>
      <c r="G1037" s="38"/>
      <c r="H1037" s="38"/>
      <c r="I1037" s="38"/>
      <c r="J1037" s="38"/>
      <c r="K1037" s="38"/>
      <c r="L1037" s="38"/>
      <c r="M1037" s="38"/>
      <c r="N1037" s="38"/>
      <c r="O1037" s="38"/>
      <c r="P1037" s="38"/>
      <c r="Q1037" s="38"/>
      <c r="R1037" s="38"/>
      <c r="S1037" s="38"/>
      <c r="T1037" s="38"/>
      <c r="U1037" s="38"/>
      <c r="V1037" s="39"/>
    </row>
    <row r="1038" spans="2:22" s="37" customFormat="1" x14ac:dyDescent="0.2">
      <c r="B1038" s="92"/>
      <c r="C1038" s="93"/>
      <c r="D1038" s="38"/>
      <c r="E1038" s="38"/>
      <c r="F1038" s="38"/>
      <c r="G1038" s="38"/>
      <c r="H1038" s="38"/>
      <c r="I1038" s="38"/>
      <c r="J1038" s="38"/>
      <c r="K1038" s="38"/>
      <c r="L1038" s="38"/>
      <c r="M1038" s="38"/>
      <c r="N1038" s="38"/>
      <c r="O1038" s="38"/>
      <c r="P1038" s="38"/>
      <c r="Q1038" s="38"/>
      <c r="R1038" s="38"/>
      <c r="S1038" s="38"/>
      <c r="T1038" s="38"/>
      <c r="U1038" s="38"/>
      <c r="V1038" s="39"/>
    </row>
    <row r="1039" spans="2:22" s="37" customFormat="1" x14ac:dyDescent="0.2">
      <c r="B1039" s="92"/>
      <c r="C1039" s="93"/>
      <c r="D1039" s="38"/>
      <c r="E1039" s="38"/>
      <c r="F1039" s="38"/>
      <c r="G1039" s="38"/>
      <c r="H1039" s="38"/>
      <c r="I1039" s="38"/>
      <c r="J1039" s="38"/>
      <c r="K1039" s="38"/>
      <c r="L1039" s="38"/>
      <c r="M1039" s="38"/>
      <c r="N1039" s="38"/>
      <c r="O1039" s="38"/>
      <c r="P1039" s="38"/>
      <c r="Q1039" s="38"/>
      <c r="R1039" s="38"/>
      <c r="S1039" s="38"/>
      <c r="T1039" s="38"/>
      <c r="U1039" s="38"/>
      <c r="V1039" s="39"/>
    </row>
    <row r="1040" spans="2:22" s="37" customFormat="1" x14ac:dyDescent="0.2">
      <c r="B1040" s="92"/>
      <c r="C1040" s="93"/>
      <c r="D1040" s="38"/>
      <c r="E1040" s="38"/>
      <c r="F1040" s="38"/>
      <c r="G1040" s="38"/>
      <c r="H1040" s="38"/>
      <c r="I1040" s="38"/>
      <c r="J1040" s="38"/>
      <c r="K1040" s="38"/>
      <c r="L1040" s="38"/>
      <c r="M1040" s="38"/>
      <c r="N1040" s="38"/>
      <c r="O1040" s="38"/>
      <c r="P1040" s="38"/>
      <c r="Q1040" s="38"/>
      <c r="R1040" s="38"/>
      <c r="S1040" s="38"/>
      <c r="T1040" s="38"/>
      <c r="U1040" s="38"/>
      <c r="V1040" s="39"/>
    </row>
    <row r="1041" spans="2:22" s="37" customFormat="1" x14ac:dyDescent="0.2">
      <c r="B1041" s="92"/>
      <c r="C1041" s="93"/>
      <c r="D1041" s="38"/>
      <c r="E1041" s="38"/>
      <c r="F1041" s="38"/>
      <c r="G1041" s="38"/>
      <c r="H1041" s="38"/>
      <c r="I1041" s="38"/>
      <c r="J1041" s="38"/>
      <c r="K1041" s="38"/>
      <c r="L1041" s="38"/>
      <c r="M1041" s="38"/>
      <c r="N1041" s="38"/>
      <c r="O1041" s="38"/>
      <c r="P1041" s="38"/>
      <c r="Q1041" s="38"/>
      <c r="R1041" s="38"/>
      <c r="S1041" s="38"/>
      <c r="T1041" s="38"/>
      <c r="U1041" s="38"/>
      <c r="V1041" s="39"/>
    </row>
    <row r="1042" spans="2:22" s="37" customFormat="1" x14ac:dyDescent="0.2">
      <c r="B1042" s="92"/>
      <c r="C1042" s="93"/>
      <c r="D1042" s="38"/>
      <c r="E1042" s="38"/>
      <c r="F1042" s="38"/>
      <c r="G1042" s="38"/>
      <c r="H1042" s="38"/>
      <c r="I1042" s="38"/>
      <c r="J1042" s="38"/>
      <c r="K1042" s="38"/>
      <c r="L1042" s="38"/>
      <c r="M1042" s="38"/>
      <c r="N1042" s="38"/>
      <c r="O1042" s="38"/>
      <c r="P1042" s="38"/>
      <c r="Q1042" s="38"/>
      <c r="R1042" s="38"/>
      <c r="S1042" s="38"/>
      <c r="T1042" s="38"/>
      <c r="U1042" s="38"/>
      <c r="V1042" s="39"/>
    </row>
    <row r="1043" spans="2:22" s="37" customFormat="1" x14ac:dyDescent="0.2">
      <c r="B1043" s="92"/>
      <c r="C1043" s="93"/>
      <c r="D1043" s="38"/>
      <c r="E1043" s="38"/>
      <c r="F1043" s="38"/>
      <c r="G1043" s="38"/>
      <c r="H1043" s="38"/>
      <c r="I1043" s="38"/>
      <c r="J1043" s="38"/>
      <c r="K1043" s="38"/>
      <c r="L1043" s="38"/>
      <c r="M1043" s="38"/>
      <c r="N1043" s="38"/>
      <c r="O1043" s="38"/>
      <c r="P1043" s="38"/>
      <c r="Q1043" s="38"/>
      <c r="R1043" s="38"/>
      <c r="S1043" s="38"/>
      <c r="T1043" s="38"/>
      <c r="U1043" s="38"/>
      <c r="V1043" s="39"/>
    </row>
    <row r="1044" spans="2:22" s="37" customFormat="1" x14ac:dyDescent="0.2">
      <c r="B1044" s="92"/>
      <c r="C1044" s="93"/>
      <c r="D1044" s="38"/>
      <c r="E1044" s="38"/>
      <c r="F1044" s="38"/>
      <c r="G1044" s="38"/>
      <c r="H1044" s="38"/>
      <c r="I1044" s="38"/>
      <c r="J1044" s="38"/>
      <c r="K1044" s="38"/>
      <c r="L1044" s="38"/>
      <c r="M1044" s="38"/>
      <c r="N1044" s="38"/>
      <c r="O1044" s="38"/>
      <c r="P1044" s="38"/>
      <c r="Q1044" s="38"/>
      <c r="R1044" s="38"/>
      <c r="S1044" s="38"/>
      <c r="T1044" s="38"/>
      <c r="U1044" s="38"/>
      <c r="V1044" s="39"/>
    </row>
    <row r="1045" spans="2:22" s="37" customFormat="1" x14ac:dyDescent="0.2">
      <c r="B1045" s="92"/>
      <c r="C1045" s="93"/>
      <c r="D1045" s="38"/>
      <c r="E1045" s="38"/>
      <c r="F1045" s="38"/>
      <c r="G1045" s="38"/>
      <c r="H1045" s="38"/>
      <c r="I1045" s="38"/>
      <c r="J1045" s="38"/>
      <c r="K1045" s="38"/>
      <c r="L1045" s="38"/>
      <c r="M1045" s="38"/>
      <c r="N1045" s="38"/>
      <c r="O1045" s="38"/>
      <c r="P1045" s="38"/>
      <c r="Q1045" s="38"/>
      <c r="R1045" s="38"/>
      <c r="S1045" s="38"/>
      <c r="T1045" s="38"/>
      <c r="U1045" s="38"/>
      <c r="V1045" s="39"/>
    </row>
    <row r="1046" spans="2:22" s="37" customFormat="1" x14ac:dyDescent="0.2">
      <c r="B1046" s="92"/>
      <c r="C1046" s="93"/>
      <c r="D1046" s="38"/>
      <c r="E1046" s="38"/>
      <c r="F1046" s="38"/>
      <c r="G1046" s="38"/>
      <c r="H1046" s="38"/>
      <c r="I1046" s="38"/>
      <c r="J1046" s="38"/>
      <c r="K1046" s="38"/>
      <c r="L1046" s="38"/>
      <c r="M1046" s="38"/>
      <c r="N1046" s="38"/>
      <c r="O1046" s="38"/>
      <c r="P1046" s="38"/>
      <c r="Q1046" s="38"/>
      <c r="R1046" s="38"/>
      <c r="S1046" s="38"/>
      <c r="T1046" s="38"/>
      <c r="U1046" s="38"/>
      <c r="V1046" s="39"/>
    </row>
    <row r="1047" spans="2:22" s="37" customFormat="1" x14ac:dyDescent="0.2">
      <c r="B1047" s="92"/>
      <c r="C1047" s="93"/>
      <c r="D1047" s="38"/>
      <c r="E1047" s="38"/>
      <c r="F1047" s="38"/>
      <c r="G1047" s="38"/>
      <c r="H1047" s="38"/>
      <c r="I1047" s="38"/>
      <c r="J1047" s="38"/>
      <c r="K1047" s="38"/>
      <c r="L1047" s="38"/>
      <c r="M1047" s="38"/>
      <c r="N1047" s="38"/>
      <c r="O1047" s="38"/>
      <c r="P1047" s="38"/>
      <c r="Q1047" s="38"/>
      <c r="R1047" s="38"/>
      <c r="S1047" s="38"/>
      <c r="T1047" s="38"/>
      <c r="U1047" s="38"/>
      <c r="V1047" s="39"/>
    </row>
    <row r="1048" spans="2:22" s="37" customFormat="1" x14ac:dyDescent="0.2">
      <c r="B1048" s="92"/>
      <c r="C1048" s="93"/>
      <c r="D1048" s="38"/>
      <c r="E1048" s="38"/>
      <c r="F1048" s="38"/>
      <c r="G1048" s="38"/>
      <c r="H1048" s="38"/>
      <c r="I1048" s="38"/>
      <c r="J1048" s="38"/>
      <c r="K1048" s="38"/>
      <c r="L1048" s="38"/>
      <c r="M1048" s="38"/>
      <c r="N1048" s="38"/>
      <c r="O1048" s="38"/>
      <c r="P1048" s="38"/>
      <c r="Q1048" s="38"/>
      <c r="R1048" s="38"/>
      <c r="S1048" s="38"/>
      <c r="T1048" s="38"/>
      <c r="U1048" s="38"/>
      <c r="V1048" s="39"/>
    </row>
    <row r="1049" spans="2:22" s="37" customFormat="1" x14ac:dyDescent="0.2">
      <c r="B1049" s="92"/>
      <c r="C1049" s="93"/>
      <c r="D1049" s="38"/>
      <c r="E1049" s="38"/>
      <c r="F1049" s="38"/>
      <c r="G1049" s="38"/>
      <c r="H1049" s="38"/>
      <c r="I1049" s="38"/>
      <c r="J1049" s="38"/>
      <c r="K1049" s="38"/>
      <c r="L1049" s="38"/>
      <c r="M1049" s="38"/>
      <c r="N1049" s="38"/>
      <c r="O1049" s="38"/>
      <c r="P1049" s="38"/>
      <c r="Q1049" s="38"/>
      <c r="R1049" s="38"/>
      <c r="S1049" s="38"/>
      <c r="T1049" s="38"/>
      <c r="U1049" s="38"/>
      <c r="V1049" s="39"/>
    </row>
    <row r="1050" spans="2:22" s="37" customFormat="1" x14ac:dyDescent="0.2">
      <c r="B1050" s="92"/>
      <c r="C1050" s="93"/>
      <c r="D1050" s="38"/>
      <c r="E1050" s="38"/>
      <c r="F1050" s="38"/>
      <c r="G1050" s="38"/>
      <c r="H1050" s="38"/>
      <c r="I1050" s="38"/>
      <c r="J1050" s="38"/>
      <c r="K1050" s="38"/>
      <c r="L1050" s="38"/>
      <c r="M1050" s="38"/>
      <c r="N1050" s="38"/>
      <c r="O1050" s="38"/>
      <c r="P1050" s="38"/>
      <c r="Q1050" s="38"/>
      <c r="R1050" s="38"/>
      <c r="S1050" s="38"/>
      <c r="T1050" s="38"/>
      <c r="U1050" s="38"/>
      <c r="V1050" s="39"/>
    </row>
    <row r="1051" spans="2:22" s="37" customFormat="1" x14ac:dyDescent="0.2">
      <c r="B1051" s="92"/>
      <c r="C1051" s="93"/>
      <c r="D1051" s="38"/>
      <c r="E1051" s="38"/>
      <c r="F1051" s="38"/>
      <c r="G1051" s="38"/>
      <c r="H1051" s="38"/>
      <c r="I1051" s="38"/>
      <c r="J1051" s="38"/>
      <c r="K1051" s="38"/>
      <c r="L1051" s="38"/>
      <c r="M1051" s="38"/>
      <c r="N1051" s="38"/>
      <c r="O1051" s="38"/>
      <c r="P1051" s="38"/>
      <c r="Q1051" s="38"/>
      <c r="R1051" s="38"/>
      <c r="S1051" s="38"/>
      <c r="T1051" s="38"/>
      <c r="U1051" s="38"/>
      <c r="V1051" s="39"/>
    </row>
    <row r="1052" spans="2:22" s="37" customFormat="1" x14ac:dyDescent="0.2">
      <c r="B1052" s="92"/>
      <c r="C1052" s="93"/>
      <c r="D1052" s="38"/>
      <c r="E1052" s="38"/>
      <c r="F1052" s="38"/>
      <c r="G1052" s="38"/>
      <c r="H1052" s="38"/>
      <c r="I1052" s="38"/>
      <c r="J1052" s="38"/>
      <c r="K1052" s="38"/>
      <c r="L1052" s="38"/>
      <c r="M1052" s="38"/>
      <c r="N1052" s="38"/>
      <c r="O1052" s="38"/>
      <c r="P1052" s="38"/>
      <c r="Q1052" s="38"/>
      <c r="R1052" s="38"/>
      <c r="S1052" s="38"/>
      <c r="T1052" s="38"/>
      <c r="U1052" s="38"/>
      <c r="V1052" s="39"/>
    </row>
    <row r="1053" spans="2:22" s="37" customFormat="1" x14ac:dyDescent="0.2">
      <c r="B1053" s="92"/>
      <c r="C1053" s="93"/>
      <c r="D1053" s="38"/>
      <c r="E1053" s="38"/>
      <c r="F1053" s="38"/>
      <c r="G1053" s="38"/>
      <c r="H1053" s="38"/>
      <c r="I1053" s="38"/>
      <c r="J1053" s="38"/>
      <c r="K1053" s="38"/>
      <c r="L1053" s="38"/>
      <c r="M1053" s="38"/>
      <c r="N1053" s="38"/>
      <c r="O1053" s="38"/>
      <c r="P1053" s="38"/>
      <c r="Q1053" s="38"/>
      <c r="R1053" s="38"/>
      <c r="S1053" s="38"/>
      <c r="T1053" s="38"/>
      <c r="U1053" s="38"/>
      <c r="V1053" s="39"/>
    </row>
    <row r="1054" spans="2:22" s="37" customFormat="1" x14ac:dyDescent="0.2">
      <c r="B1054" s="92"/>
      <c r="C1054" s="93"/>
      <c r="D1054" s="38"/>
      <c r="E1054" s="38"/>
      <c r="F1054" s="38"/>
      <c r="G1054" s="38"/>
      <c r="H1054" s="38"/>
      <c r="I1054" s="38"/>
      <c r="J1054" s="38"/>
      <c r="K1054" s="38"/>
      <c r="L1054" s="38"/>
      <c r="M1054" s="38"/>
      <c r="N1054" s="38"/>
      <c r="O1054" s="38"/>
      <c r="P1054" s="38"/>
      <c r="Q1054" s="38"/>
      <c r="R1054" s="38"/>
      <c r="S1054" s="38"/>
      <c r="T1054" s="38"/>
      <c r="U1054" s="38"/>
      <c r="V1054" s="39"/>
    </row>
    <row r="1055" spans="2:22" s="37" customFormat="1" x14ac:dyDescent="0.2">
      <c r="B1055" s="92"/>
      <c r="C1055" s="93"/>
      <c r="D1055" s="38"/>
      <c r="E1055" s="38"/>
      <c r="F1055" s="38"/>
      <c r="G1055" s="38"/>
      <c r="H1055" s="38"/>
      <c r="I1055" s="38"/>
      <c r="J1055" s="38"/>
      <c r="K1055" s="38"/>
      <c r="L1055" s="38"/>
      <c r="M1055" s="38"/>
      <c r="N1055" s="38"/>
      <c r="O1055" s="38"/>
      <c r="P1055" s="38"/>
      <c r="Q1055" s="38"/>
      <c r="R1055" s="38"/>
      <c r="S1055" s="38"/>
      <c r="T1055" s="38"/>
      <c r="U1055" s="38"/>
      <c r="V1055" s="39"/>
    </row>
    <row r="1056" spans="2:22" s="37" customFormat="1" x14ac:dyDescent="0.2">
      <c r="B1056" s="92"/>
      <c r="C1056" s="93"/>
      <c r="D1056" s="38"/>
      <c r="E1056" s="38"/>
      <c r="F1056" s="38"/>
      <c r="G1056" s="38"/>
      <c r="H1056" s="38"/>
      <c r="I1056" s="38"/>
      <c r="J1056" s="38"/>
      <c r="K1056" s="38"/>
      <c r="L1056" s="38"/>
      <c r="M1056" s="38"/>
      <c r="N1056" s="38"/>
      <c r="O1056" s="38"/>
      <c r="P1056" s="38"/>
      <c r="Q1056" s="38"/>
      <c r="R1056" s="38"/>
      <c r="S1056" s="38"/>
      <c r="T1056" s="38"/>
      <c r="U1056" s="38"/>
      <c r="V1056" s="39"/>
    </row>
    <row r="1057" spans="2:22" s="37" customFormat="1" x14ac:dyDescent="0.2">
      <c r="B1057" s="92"/>
      <c r="C1057" s="93"/>
      <c r="D1057" s="38"/>
      <c r="E1057" s="38"/>
      <c r="F1057" s="38"/>
      <c r="G1057" s="38"/>
      <c r="H1057" s="38"/>
      <c r="I1057" s="38"/>
      <c r="J1057" s="38"/>
      <c r="K1057" s="38"/>
      <c r="L1057" s="38"/>
      <c r="M1057" s="38"/>
      <c r="N1057" s="38"/>
      <c r="O1057" s="38"/>
      <c r="P1057" s="38"/>
      <c r="Q1057" s="38"/>
      <c r="R1057" s="38"/>
      <c r="S1057" s="38"/>
      <c r="T1057" s="38"/>
      <c r="U1057" s="38"/>
      <c r="V1057" s="39"/>
    </row>
    <row r="1058" spans="2:22" s="37" customFormat="1" x14ac:dyDescent="0.2">
      <c r="B1058" s="92"/>
      <c r="C1058" s="93"/>
      <c r="D1058" s="38"/>
      <c r="E1058" s="38"/>
      <c r="F1058" s="38"/>
      <c r="G1058" s="38"/>
      <c r="H1058" s="38"/>
      <c r="I1058" s="38"/>
      <c r="J1058" s="38"/>
      <c r="K1058" s="38"/>
      <c r="L1058" s="38"/>
      <c r="M1058" s="38"/>
      <c r="N1058" s="38"/>
      <c r="O1058" s="38"/>
      <c r="P1058" s="38"/>
      <c r="Q1058" s="38"/>
      <c r="R1058" s="38"/>
      <c r="S1058" s="38"/>
      <c r="T1058" s="38"/>
      <c r="U1058" s="38"/>
      <c r="V1058" s="39"/>
    </row>
    <row r="1059" spans="2:22" s="37" customFormat="1" x14ac:dyDescent="0.2">
      <c r="B1059" s="92"/>
      <c r="C1059" s="93"/>
      <c r="D1059" s="38"/>
      <c r="E1059" s="38"/>
      <c r="F1059" s="38"/>
      <c r="G1059" s="38"/>
      <c r="H1059" s="38"/>
      <c r="I1059" s="38"/>
      <c r="J1059" s="38"/>
      <c r="K1059" s="38"/>
      <c r="L1059" s="38"/>
      <c r="M1059" s="38"/>
      <c r="N1059" s="38"/>
      <c r="O1059" s="38"/>
      <c r="P1059" s="38"/>
      <c r="Q1059" s="38"/>
      <c r="R1059" s="38"/>
      <c r="S1059" s="38"/>
      <c r="T1059" s="38"/>
      <c r="U1059" s="38"/>
      <c r="V1059" s="39"/>
    </row>
    <row r="1060" spans="2:22" s="37" customFormat="1" x14ac:dyDescent="0.2">
      <c r="B1060" s="92"/>
      <c r="C1060" s="93"/>
      <c r="D1060" s="38"/>
      <c r="E1060" s="38"/>
      <c r="F1060" s="38"/>
      <c r="G1060" s="38"/>
      <c r="H1060" s="38"/>
      <c r="I1060" s="38"/>
      <c r="J1060" s="38"/>
      <c r="K1060" s="38"/>
      <c r="L1060" s="38"/>
      <c r="M1060" s="38"/>
      <c r="N1060" s="38"/>
      <c r="O1060" s="38"/>
      <c r="P1060" s="38"/>
      <c r="Q1060" s="38"/>
      <c r="R1060" s="38"/>
      <c r="S1060" s="38"/>
      <c r="T1060" s="38"/>
      <c r="U1060" s="38"/>
      <c r="V1060" s="39"/>
    </row>
    <row r="1061" spans="2:22" s="37" customFormat="1" x14ac:dyDescent="0.2">
      <c r="B1061" s="92"/>
      <c r="C1061" s="93"/>
      <c r="D1061" s="38"/>
      <c r="E1061" s="38"/>
      <c r="F1061" s="38"/>
      <c r="G1061" s="38"/>
      <c r="H1061" s="38"/>
      <c r="I1061" s="38"/>
      <c r="J1061" s="38"/>
      <c r="K1061" s="38"/>
      <c r="L1061" s="38"/>
      <c r="M1061" s="38"/>
      <c r="N1061" s="38"/>
      <c r="O1061" s="38"/>
      <c r="P1061" s="38"/>
      <c r="Q1061" s="38"/>
      <c r="R1061" s="38"/>
      <c r="S1061" s="38"/>
      <c r="T1061" s="38"/>
      <c r="U1061" s="38"/>
      <c r="V1061" s="39"/>
    </row>
    <row r="1062" spans="2:22" s="37" customFormat="1" x14ac:dyDescent="0.2">
      <c r="B1062" s="92"/>
      <c r="C1062" s="93"/>
      <c r="D1062" s="38"/>
      <c r="E1062" s="38"/>
      <c r="F1062" s="38"/>
      <c r="G1062" s="38"/>
      <c r="H1062" s="38"/>
      <c r="I1062" s="38"/>
      <c r="J1062" s="38"/>
      <c r="K1062" s="38"/>
      <c r="L1062" s="38"/>
      <c r="M1062" s="38"/>
      <c r="N1062" s="38"/>
      <c r="O1062" s="38"/>
      <c r="P1062" s="38"/>
      <c r="Q1062" s="38"/>
      <c r="R1062" s="38"/>
      <c r="S1062" s="38"/>
      <c r="T1062" s="38"/>
      <c r="U1062" s="38"/>
      <c r="V1062" s="39"/>
    </row>
    <row r="1063" spans="2:22" s="37" customFormat="1" x14ac:dyDescent="0.2">
      <c r="B1063" s="92"/>
      <c r="C1063" s="93"/>
      <c r="D1063" s="38"/>
      <c r="E1063" s="38"/>
      <c r="F1063" s="38"/>
      <c r="G1063" s="38"/>
      <c r="H1063" s="38"/>
      <c r="I1063" s="38"/>
      <c r="J1063" s="38"/>
      <c r="K1063" s="38"/>
      <c r="L1063" s="38"/>
      <c r="M1063" s="38"/>
      <c r="N1063" s="38"/>
      <c r="O1063" s="38"/>
      <c r="P1063" s="38"/>
      <c r="Q1063" s="38"/>
      <c r="R1063" s="38"/>
      <c r="S1063" s="38"/>
      <c r="T1063" s="38"/>
      <c r="U1063" s="38"/>
      <c r="V1063" s="39"/>
    </row>
    <row r="1064" spans="2:22" s="37" customFormat="1" x14ac:dyDescent="0.2">
      <c r="B1064" s="92"/>
      <c r="C1064" s="93"/>
      <c r="D1064" s="38"/>
      <c r="E1064" s="38"/>
      <c r="F1064" s="38"/>
      <c r="G1064" s="38"/>
      <c r="H1064" s="38"/>
      <c r="I1064" s="38"/>
      <c r="J1064" s="38"/>
      <c r="K1064" s="38"/>
      <c r="L1064" s="38"/>
      <c r="M1064" s="38"/>
      <c r="N1064" s="38"/>
      <c r="O1064" s="38"/>
      <c r="P1064" s="38"/>
      <c r="Q1064" s="38"/>
      <c r="R1064" s="38"/>
      <c r="S1064" s="38"/>
      <c r="T1064" s="38"/>
      <c r="U1064" s="38"/>
      <c r="V1064" s="39"/>
    </row>
    <row r="1065" spans="2:22" s="37" customFormat="1" x14ac:dyDescent="0.2">
      <c r="B1065" s="92"/>
      <c r="C1065" s="93"/>
      <c r="D1065" s="38"/>
      <c r="E1065" s="38"/>
      <c r="F1065" s="38"/>
      <c r="G1065" s="38"/>
      <c r="H1065" s="38"/>
      <c r="I1065" s="38"/>
      <c r="J1065" s="38"/>
      <c r="K1065" s="38"/>
      <c r="L1065" s="38"/>
      <c r="M1065" s="38"/>
      <c r="N1065" s="38"/>
      <c r="O1065" s="38"/>
      <c r="P1065" s="38"/>
      <c r="Q1065" s="38"/>
      <c r="R1065" s="38"/>
      <c r="S1065" s="38"/>
      <c r="T1065" s="38"/>
      <c r="U1065" s="38"/>
      <c r="V1065" s="39"/>
    </row>
    <row r="1066" spans="2:22" s="37" customFormat="1" x14ac:dyDescent="0.2">
      <c r="B1066" s="92"/>
      <c r="C1066" s="93"/>
      <c r="D1066" s="38"/>
      <c r="E1066" s="38"/>
      <c r="F1066" s="38"/>
      <c r="G1066" s="38"/>
      <c r="H1066" s="38"/>
      <c r="I1066" s="38"/>
      <c r="J1066" s="38"/>
      <c r="K1066" s="38"/>
      <c r="L1066" s="38"/>
      <c r="M1066" s="38"/>
      <c r="N1066" s="38"/>
      <c r="O1066" s="38"/>
      <c r="P1066" s="38"/>
      <c r="Q1066" s="38"/>
      <c r="R1066" s="38"/>
      <c r="S1066" s="38"/>
      <c r="T1066" s="38"/>
      <c r="U1066" s="38"/>
      <c r="V1066" s="39"/>
    </row>
    <row r="1067" spans="2:22" s="37" customFormat="1" x14ac:dyDescent="0.2">
      <c r="B1067" s="92"/>
      <c r="C1067" s="93"/>
      <c r="D1067" s="38"/>
      <c r="E1067" s="38"/>
      <c r="F1067" s="38"/>
      <c r="G1067" s="38"/>
      <c r="H1067" s="38"/>
      <c r="I1067" s="38"/>
      <c r="J1067" s="38"/>
      <c r="K1067" s="38"/>
      <c r="L1067" s="38"/>
      <c r="M1067" s="38"/>
      <c r="N1067" s="38"/>
      <c r="O1067" s="38"/>
      <c r="P1067" s="38"/>
      <c r="Q1067" s="38"/>
      <c r="R1067" s="38"/>
      <c r="S1067" s="38"/>
      <c r="T1067" s="38"/>
      <c r="U1067" s="38"/>
      <c r="V1067" s="39"/>
    </row>
    <row r="1068" spans="2:22" s="37" customFormat="1" x14ac:dyDescent="0.2">
      <c r="B1068" s="92"/>
      <c r="C1068" s="93"/>
      <c r="D1068" s="38"/>
      <c r="E1068" s="38"/>
      <c r="F1068" s="38"/>
      <c r="G1068" s="38"/>
      <c r="H1068" s="38"/>
      <c r="I1068" s="38"/>
      <c r="J1068" s="38"/>
      <c r="K1068" s="38"/>
      <c r="L1068" s="38"/>
      <c r="M1068" s="38"/>
      <c r="N1068" s="38"/>
      <c r="O1068" s="38"/>
      <c r="P1068" s="38"/>
      <c r="Q1068" s="38"/>
      <c r="R1068" s="38"/>
      <c r="S1068" s="38"/>
      <c r="T1068" s="38"/>
      <c r="U1068" s="38"/>
      <c r="V1068" s="39"/>
    </row>
    <row r="1069" spans="2:22" s="37" customFormat="1" x14ac:dyDescent="0.2">
      <c r="B1069" s="92"/>
      <c r="C1069" s="93"/>
      <c r="D1069" s="38"/>
      <c r="E1069" s="38"/>
      <c r="F1069" s="38"/>
      <c r="G1069" s="38"/>
      <c r="H1069" s="38"/>
      <c r="I1069" s="38"/>
      <c r="J1069" s="38"/>
      <c r="K1069" s="38"/>
      <c r="L1069" s="38"/>
      <c r="M1069" s="38"/>
      <c r="N1069" s="38"/>
      <c r="O1069" s="38"/>
      <c r="P1069" s="38"/>
      <c r="Q1069" s="38"/>
      <c r="R1069" s="38"/>
      <c r="S1069" s="38"/>
      <c r="T1069" s="38"/>
      <c r="U1069" s="38"/>
      <c r="V1069" s="39"/>
    </row>
    <row r="1070" spans="2:22" s="37" customFormat="1" x14ac:dyDescent="0.2">
      <c r="B1070" s="92"/>
      <c r="C1070" s="93"/>
      <c r="D1070" s="38"/>
      <c r="E1070" s="38"/>
      <c r="F1070" s="38"/>
      <c r="G1070" s="38"/>
      <c r="H1070" s="38"/>
      <c r="I1070" s="38"/>
      <c r="J1070" s="38"/>
      <c r="K1070" s="38"/>
      <c r="L1070" s="38"/>
      <c r="M1070" s="38"/>
      <c r="N1070" s="38"/>
      <c r="O1070" s="38"/>
      <c r="P1070" s="38"/>
      <c r="Q1070" s="38"/>
      <c r="R1070" s="38"/>
      <c r="S1070" s="38"/>
      <c r="T1070" s="38"/>
      <c r="U1070" s="38"/>
      <c r="V1070" s="39"/>
    </row>
    <row r="1071" spans="2:22" s="37" customFormat="1" x14ac:dyDescent="0.2">
      <c r="B1071" s="92"/>
      <c r="C1071" s="93"/>
      <c r="D1071" s="38"/>
      <c r="E1071" s="38"/>
      <c r="F1071" s="38"/>
      <c r="G1071" s="38"/>
      <c r="H1071" s="38"/>
      <c r="I1071" s="38"/>
      <c r="J1071" s="38"/>
      <c r="K1071" s="38"/>
      <c r="L1071" s="38"/>
      <c r="M1071" s="38"/>
      <c r="N1071" s="38"/>
      <c r="O1071" s="38"/>
      <c r="P1071" s="38"/>
      <c r="Q1071" s="38"/>
      <c r="R1071" s="38"/>
      <c r="S1071" s="38"/>
      <c r="T1071" s="38"/>
      <c r="U1071" s="38"/>
      <c r="V1071" s="39"/>
    </row>
    <row r="1072" spans="2:22" s="37" customFormat="1" x14ac:dyDescent="0.2">
      <c r="B1072" s="92"/>
      <c r="C1072" s="93"/>
      <c r="D1072" s="38"/>
      <c r="E1072" s="38"/>
      <c r="F1072" s="38"/>
      <c r="G1072" s="38"/>
      <c r="H1072" s="38"/>
      <c r="I1072" s="38"/>
      <c r="J1072" s="38"/>
      <c r="K1072" s="38"/>
      <c r="L1072" s="38"/>
      <c r="M1072" s="38"/>
      <c r="N1072" s="38"/>
      <c r="O1072" s="38"/>
      <c r="P1072" s="38"/>
      <c r="Q1072" s="38"/>
      <c r="R1072" s="38"/>
      <c r="S1072" s="38"/>
      <c r="T1072" s="38"/>
      <c r="U1072" s="38"/>
      <c r="V1072" s="39"/>
    </row>
    <row r="1073" spans="2:22" s="37" customFormat="1" x14ac:dyDescent="0.2">
      <c r="B1073" s="92"/>
      <c r="C1073" s="93"/>
      <c r="D1073" s="38"/>
      <c r="E1073" s="38"/>
      <c r="F1073" s="38"/>
      <c r="G1073" s="38"/>
      <c r="H1073" s="38"/>
      <c r="I1073" s="38"/>
      <c r="J1073" s="38"/>
      <c r="K1073" s="38"/>
      <c r="L1073" s="38"/>
      <c r="M1073" s="38"/>
      <c r="N1073" s="38"/>
      <c r="O1073" s="38"/>
      <c r="P1073" s="38"/>
      <c r="Q1073" s="38"/>
      <c r="R1073" s="38"/>
      <c r="S1073" s="38"/>
      <c r="T1073" s="38"/>
      <c r="U1073" s="38"/>
      <c r="V1073" s="39"/>
    </row>
    <row r="1074" spans="2:22" s="37" customFormat="1" x14ac:dyDescent="0.2">
      <c r="B1074" s="92"/>
      <c r="C1074" s="93"/>
      <c r="D1074" s="38"/>
      <c r="E1074" s="38"/>
      <c r="F1074" s="38"/>
      <c r="G1074" s="38"/>
      <c r="H1074" s="38"/>
      <c r="I1074" s="38"/>
      <c r="J1074" s="38"/>
      <c r="K1074" s="38"/>
      <c r="L1074" s="38"/>
      <c r="M1074" s="38"/>
      <c r="N1074" s="38"/>
      <c r="O1074" s="38"/>
      <c r="P1074" s="38"/>
      <c r="Q1074" s="38"/>
      <c r="R1074" s="38"/>
      <c r="S1074" s="38"/>
      <c r="T1074" s="38"/>
      <c r="U1074" s="38"/>
      <c r="V1074" s="39"/>
    </row>
    <row r="1075" spans="2:22" s="37" customFormat="1" x14ac:dyDescent="0.2">
      <c r="B1075" s="92"/>
      <c r="C1075" s="93"/>
      <c r="D1075" s="38"/>
      <c r="E1075" s="38"/>
      <c r="F1075" s="38"/>
      <c r="G1075" s="38"/>
      <c r="H1075" s="38"/>
      <c r="I1075" s="38"/>
      <c r="J1075" s="38"/>
      <c r="K1075" s="38"/>
      <c r="L1075" s="38"/>
      <c r="M1075" s="38"/>
      <c r="N1075" s="38"/>
      <c r="O1075" s="38"/>
      <c r="P1075" s="38"/>
      <c r="Q1075" s="38"/>
      <c r="R1075" s="38"/>
      <c r="S1075" s="38"/>
      <c r="T1075" s="38"/>
      <c r="U1075" s="38"/>
      <c r="V1075" s="39"/>
    </row>
    <row r="1076" spans="2:22" s="37" customFormat="1" x14ac:dyDescent="0.2">
      <c r="B1076" s="92"/>
      <c r="C1076" s="93"/>
      <c r="D1076" s="38"/>
      <c r="E1076" s="38"/>
      <c r="F1076" s="38"/>
      <c r="G1076" s="38"/>
      <c r="H1076" s="38"/>
      <c r="I1076" s="38"/>
      <c r="J1076" s="38"/>
      <c r="K1076" s="38"/>
      <c r="L1076" s="38"/>
      <c r="M1076" s="38"/>
      <c r="N1076" s="38"/>
      <c r="O1076" s="38"/>
      <c r="P1076" s="38"/>
      <c r="Q1076" s="38"/>
      <c r="R1076" s="38"/>
      <c r="S1076" s="38"/>
      <c r="T1076" s="38"/>
      <c r="U1076" s="38"/>
      <c r="V1076" s="39"/>
    </row>
    <row r="1077" spans="2:22" s="37" customFormat="1" x14ac:dyDescent="0.2">
      <c r="B1077" s="92"/>
      <c r="C1077" s="93"/>
      <c r="D1077" s="38"/>
      <c r="E1077" s="38"/>
      <c r="F1077" s="38"/>
      <c r="G1077" s="38"/>
      <c r="H1077" s="38"/>
      <c r="I1077" s="38"/>
      <c r="J1077" s="38"/>
      <c r="K1077" s="38"/>
      <c r="L1077" s="38"/>
      <c r="M1077" s="38"/>
      <c r="N1077" s="38"/>
      <c r="O1077" s="38"/>
      <c r="P1077" s="38"/>
      <c r="Q1077" s="38"/>
      <c r="R1077" s="38"/>
      <c r="S1077" s="38"/>
      <c r="T1077" s="38"/>
      <c r="U1077" s="38"/>
      <c r="V1077" s="39"/>
    </row>
    <row r="1078" spans="2:22" s="37" customFormat="1" x14ac:dyDescent="0.2">
      <c r="B1078" s="92"/>
      <c r="C1078" s="93"/>
      <c r="D1078" s="38"/>
      <c r="E1078" s="38"/>
      <c r="F1078" s="38"/>
      <c r="G1078" s="38"/>
      <c r="H1078" s="38"/>
      <c r="I1078" s="38"/>
      <c r="J1078" s="38"/>
      <c r="K1078" s="38"/>
      <c r="L1078" s="38"/>
      <c r="M1078" s="38"/>
      <c r="N1078" s="38"/>
      <c r="O1078" s="38"/>
      <c r="P1078" s="38"/>
      <c r="Q1078" s="38"/>
      <c r="R1078" s="38"/>
      <c r="S1078" s="38"/>
      <c r="T1078" s="38"/>
      <c r="U1078" s="38"/>
      <c r="V1078" s="39"/>
    </row>
    <row r="1079" spans="2:22" s="37" customFormat="1" x14ac:dyDescent="0.2">
      <c r="B1079" s="92"/>
      <c r="C1079" s="93"/>
      <c r="D1079" s="38"/>
      <c r="E1079" s="38"/>
      <c r="F1079" s="38"/>
      <c r="G1079" s="38"/>
      <c r="H1079" s="38"/>
      <c r="I1079" s="38"/>
      <c r="J1079" s="38"/>
      <c r="K1079" s="38"/>
      <c r="L1079" s="38"/>
      <c r="M1079" s="38"/>
      <c r="N1079" s="38"/>
      <c r="O1079" s="38"/>
      <c r="P1079" s="38"/>
      <c r="Q1079" s="38"/>
      <c r="R1079" s="38"/>
      <c r="S1079" s="38"/>
      <c r="T1079" s="38"/>
      <c r="U1079" s="38"/>
      <c r="V1079" s="39"/>
    </row>
    <row r="1080" spans="2:22" s="37" customFormat="1" x14ac:dyDescent="0.2">
      <c r="B1080" s="92"/>
      <c r="C1080" s="93"/>
      <c r="D1080" s="38"/>
      <c r="E1080" s="38"/>
      <c r="F1080" s="38"/>
      <c r="G1080" s="38"/>
      <c r="H1080" s="38"/>
      <c r="I1080" s="38"/>
      <c r="J1080" s="38"/>
      <c r="K1080" s="38"/>
      <c r="L1080" s="38"/>
      <c r="M1080" s="38"/>
      <c r="N1080" s="38"/>
      <c r="O1080" s="38"/>
      <c r="P1080" s="38"/>
      <c r="Q1080" s="38"/>
      <c r="R1080" s="38"/>
      <c r="S1080" s="38"/>
      <c r="T1080" s="38"/>
      <c r="U1080" s="38"/>
      <c r="V1080" s="39"/>
    </row>
    <row r="1081" spans="2:22" s="37" customFormat="1" x14ac:dyDescent="0.2">
      <c r="B1081" s="92"/>
      <c r="C1081" s="93"/>
      <c r="D1081" s="38"/>
      <c r="E1081" s="38"/>
      <c r="F1081" s="38"/>
      <c r="G1081" s="38"/>
      <c r="H1081" s="38"/>
      <c r="I1081" s="38"/>
      <c r="J1081" s="38"/>
      <c r="K1081" s="38"/>
      <c r="L1081" s="38"/>
      <c r="M1081" s="38"/>
      <c r="N1081" s="38"/>
      <c r="O1081" s="38"/>
      <c r="P1081" s="38"/>
      <c r="Q1081" s="38"/>
      <c r="R1081" s="38"/>
      <c r="S1081" s="38"/>
      <c r="T1081" s="38"/>
      <c r="U1081" s="38"/>
      <c r="V1081" s="39"/>
    </row>
    <row r="1082" spans="2:22" s="37" customFormat="1" x14ac:dyDescent="0.2">
      <c r="B1082" s="92"/>
      <c r="C1082" s="93"/>
      <c r="D1082" s="38"/>
      <c r="E1082" s="38"/>
      <c r="F1082" s="38"/>
      <c r="G1082" s="38"/>
      <c r="H1082" s="38"/>
      <c r="I1082" s="38"/>
      <c r="J1082" s="38"/>
      <c r="K1082" s="38"/>
      <c r="L1082" s="38"/>
      <c r="M1082" s="38"/>
      <c r="N1082" s="38"/>
      <c r="O1082" s="38"/>
      <c r="P1082" s="38"/>
      <c r="Q1082" s="38"/>
      <c r="R1082" s="38"/>
      <c r="S1082" s="38"/>
      <c r="T1082" s="38"/>
      <c r="U1082" s="38"/>
      <c r="V1082" s="39"/>
    </row>
    <row r="1083" spans="2:22" s="37" customFormat="1" x14ac:dyDescent="0.2">
      <c r="B1083" s="92"/>
      <c r="C1083" s="93"/>
      <c r="D1083" s="38"/>
      <c r="E1083" s="38"/>
      <c r="F1083" s="38"/>
      <c r="G1083" s="38"/>
      <c r="H1083" s="38"/>
      <c r="I1083" s="38"/>
      <c r="J1083" s="38"/>
      <c r="K1083" s="38"/>
      <c r="L1083" s="38"/>
      <c r="M1083" s="38"/>
      <c r="N1083" s="38"/>
      <c r="O1083" s="38"/>
      <c r="P1083" s="38"/>
      <c r="Q1083" s="38"/>
      <c r="R1083" s="38"/>
      <c r="S1083" s="38"/>
      <c r="T1083" s="38"/>
      <c r="U1083" s="38"/>
      <c r="V1083" s="39"/>
    </row>
    <row r="1084" spans="2:22" s="37" customFormat="1" x14ac:dyDescent="0.2">
      <c r="B1084" s="92"/>
      <c r="C1084" s="93"/>
      <c r="D1084" s="38"/>
      <c r="E1084" s="38"/>
      <c r="F1084" s="38"/>
      <c r="G1084" s="38"/>
      <c r="H1084" s="38"/>
      <c r="I1084" s="38"/>
      <c r="J1084" s="38"/>
      <c r="K1084" s="38"/>
      <c r="L1084" s="38"/>
      <c r="M1084" s="38"/>
      <c r="N1084" s="38"/>
      <c r="O1084" s="38"/>
      <c r="P1084" s="38"/>
      <c r="Q1084" s="38"/>
      <c r="R1084" s="38"/>
      <c r="S1084" s="38"/>
      <c r="T1084" s="38"/>
      <c r="U1084" s="38"/>
      <c r="V1084" s="39"/>
    </row>
    <row r="1085" spans="2:22" s="37" customFormat="1" x14ac:dyDescent="0.2">
      <c r="B1085" s="92"/>
      <c r="C1085" s="93"/>
      <c r="D1085" s="38"/>
      <c r="E1085" s="38"/>
      <c r="F1085" s="38"/>
      <c r="G1085" s="38"/>
      <c r="H1085" s="38"/>
      <c r="I1085" s="38"/>
      <c r="J1085" s="38"/>
      <c r="K1085" s="38"/>
      <c r="L1085" s="38"/>
      <c r="M1085" s="38"/>
      <c r="N1085" s="38"/>
      <c r="O1085" s="38"/>
      <c r="P1085" s="38"/>
      <c r="Q1085" s="38"/>
      <c r="R1085" s="38"/>
      <c r="S1085" s="38"/>
      <c r="T1085" s="38"/>
      <c r="U1085" s="38"/>
      <c r="V1085" s="39"/>
    </row>
    <row r="1086" spans="2:22" s="37" customFormat="1" x14ac:dyDescent="0.2">
      <c r="B1086" s="92"/>
      <c r="C1086" s="93"/>
      <c r="D1086" s="38"/>
      <c r="E1086" s="38"/>
      <c r="F1086" s="38"/>
      <c r="G1086" s="38"/>
      <c r="H1086" s="38"/>
      <c r="I1086" s="38"/>
      <c r="J1086" s="38"/>
      <c r="K1086" s="38"/>
      <c r="L1086" s="38"/>
      <c r="M1086" s="38"/>
      <c r="N1086" s="38"/>
      <c r="O1086" s="38"/>
      <c r="P1086" s="38"/>
      <c r="Q1086" s="38"/>
      <c r="R1086" s="38"/>
      <c r="S1086" s="38"/>
      <c r="T1086" s="38"/>
      <c r="U1086" s="38"/>
      <c r="V1086" s="39"/>
    </row>
    <row r="1087" spans="2:22" s="37" customFormat="1" x14ac:dyDescent="0.2">
      <c r="B1087" s="92"/>
      <c r="C1087" s="93"/>
      <c r="D1087" s="38"/>
      <c r="E1087" s="38"/>
      <c r="F1087" s="38"/>
      <c r="G1087" s="38"/>
      <c r="H1087" s="38"/>
      <c r="I1087" s="38"/>
      <c r="J1087" s="38"/>
      <c r="K1087" s="38"/>
      <c r="L1087" s="38"/>
      <c r="M1087" s="38"/>
      <c r="N1087" s="38"/>
      <c r="O1087" s="38"/>
      <c r="P1087" s="38"/>
      <c r="Q1087" s="38"/>
      <c r="R1087" s="38"/>
      <c r="S1087" s="38"/>
      <c r="T1087" s="38"/>
      <c r="U1087" s="38"/>
      <c r="V1087" s="39"/>
    </row>
    <row r="1088" spans="2:22" s="37" customFormat="1" x14ac:dyDescent="0.2">
      <c r="B1088" s="92"/>
      <c r="C1088" s="93"/>
      <c r="D1088" s="38"/>
      <c r="E1088" s="38"/>
      <c r="F1088" s="38"/>
      <c r="G1088" s="38"/>
      <c r="H1088" s="38"/>
      <c r="I1088" s="38"/>
      <c r="J1088" s="38"/>
      <c r="K1088" s="38"/>
      <c r="L1088" s="38"/>
      <c r="M1088" s="38"/>
      <c r="N1088" s="38"/>
      <c r="O1088" s="38"/>
      <c r="P1088" s="38"/>
      <c r="Q1088" s="38"/>
      <c r="R1088" s="38"/>
      <c r="S1088" s="38"/>
      <c r="T1088" s="38"/>
      <c r="U1088" s="38"/>
      <c r="V1088" s="39"/>
    </row>
    <row r="1089" spans="2:22" s="37" customFormat="1" x14ac:dyDescent="0.2">
      <c r="B1089" s="92"/>
      <c r="C1089" s="93"/>
      <c r="D1089" s="38"/>
      <c r="E1089" s="38"/>
      <c r="F1089" s="38"/>
      <c r="G1089" s="38"/>
      <c r="H1089" s="38"/>
      <c r="I1089" s="38"/>
      <c r="J1089" s="38"/>
      <c r="K1089" s="38"/>
      <c r="L1089" s="38"/>
      <c r="M1089" s="38"/>
      <c r="N1089" s="38"/>
      <c r="O1089" s="38"/>
      <c r="P1089" s="38"/>
      <c r="Q1089" s="38"/>
      <c r="R1089" s="38"/>
      <c r="S1089" s="38"/>
      <c r="T1089" s="38"/>
      <c r="U1089" s="38"/>
      <c r="V1089" s="39"/>
    </row>
    <row r="1090" spans="2:22" s="37" customFormat="1" x14ac:dyDescent="0.2">
      <c r="B1090" s="92"/>
      <c r="C1090" s="93"/>
      <c r="D1090" s="38"/>
      <c r="E1090" s="38"/>
      <c r="F1090" s="38"/>
      <c r="G1090" s="38"/>
      <c r="H1090" s="38"/>
      <c r="I1090" s="38"/>
      <c r="J1090" s="38"/>
      <c r="K1090" s="38"/>
      <c r="L1090" s="38"/>
      <c r="M1090" s="38"/>
      <c r="N1090" s="38"/>
      <c r="O1090" s="38"/>
      <c r="P1090" s="38"/>
      <c r="Q1090" s="38"/>
      <c r="R1090" s="38"/>
      <c r="S1090" s="38"/>
      <c r="T1090" s="38"/>
      <c r="U1090" s="38"/>
      <c r="V1090" s="39"/>
    </row>
    <row r="1091" spans="2:22" s="37" customFormat="1" x14ac:dyDescent="0.2">
      <c r="B1091" s="92"/>
      <c r="C1091" s="93"/>
      <c r="D1091" s="38"/>
      <c r="E1091" s="38"/>
      <c r="F1091" s="38"/>
      <c r="G1091" s="38"/>
      <c r="H1091" s="38"/>
      <c r="I1091" s="38"/>
      <c r="J1091" s="38"/>
      <c r="K1091" s="38"/>
      <c r="L1091" s="38"/>
      <c r="M1091" s="38"/>
      <c r="N1091" s="38"/>
      <c r="O1091" s="38"/>
      <c r="P1091" s="38"/>
      <c r="Q1091" s="38"/>
      <c r="R1091" s="38"/>
      <c r="S1091" s="38"/>
      <c r="T1091" s="38"/>
      <c r="U1091" s="38"/>
      <c r="V1091" s="39"/>
    </row>
    <row r="1092" spans="2:22" s="37" customFormat="1" x14ac:dyDescent="0.2">
      <c r="B1092" s="92"/>
      <c r="C1092" s="93"/>
      <c r="D1092" s="38"/>
      <c r="E1092" s="38"/>
      <c r="F1092" s="38"/>
      <c r="G1092" s="38"/>
      <c r="H1092" s="38"/>
      <c r="I1092" s="38"/>
      <c r="J1092" s="38"/>
      <c r="K1092" s="38"/>
      <c r="L1092" s="38"/>
      <c r="M1092" s="38"/>
      <c r="N1092" s="38"/>
      <c r="O1092" s="38"/>
      <c r="P1092" s="38"/>
      <c r="Q1092" s="38"/>
      <c r="R1092" s="38"/>
      <c r="S1092" s="38"/>
      <c r="T1092" s="38"/>
      <c r="U1092" s="38"/>
      <c r="V1092" s="39"/>
    </row>
    <row r="1093" spans="2:22" s="37" customFormat="1" x14ac:dyDescent="0.2">
      <c r="B1093" s="92"/>
      <c r="C1093" s="93"/>
      <c r="D1093" s="38"/>
      <c r="E1093" s="38"/>
      <c r="F1093" s="38"/>
      <c r="G1093" s="38"/>
      <c r="H1093" s="38"/>
      <c r="I1093" s="38"/>
      <c r="J1093" s="38"/>
      <c r="K1093" s="38"/>
      <c r="L1093" s="38"/>
      <c r="M1093" s="38"/>
      <c r="N1093" s="38"/>
      <c r="O1093" s="38"/>
      <c r="P1093" s="38"/>
      <c r="Q1093" s="38"/>
      <c r="R1093" s="38"/>
      <c r="S1093" s="38"/>
      <c r="T1093" s="38"/>
      <c r="U1093" s="38"/>
      <c r="V1093" s="39"/>
    </row>
    <row r="1094" spans="2:22" s="37" customFormat="1" x14ac:dyDescent="0.2">
      <c r="B1094" s="92"/>
      <c r="C1094" s="93"/>
      <c r="D1094" s="38"/>
      <c r="E1094" s="38"/>
      <c r="F1094" s="38"/>
      <c r="G1094" s="38"/>
      <c r="H1094" s="38"/>
      <c r="I1094" s="38"/>
      <c r="J1094" s="38"/>
      <c r="K1094" s="38"/>
      <c r="L1094" s="38"/>
      <c r="M1094" s="38"/>
      <c r="N1094" s="38"/>
      <c r="O1094" s="38"/>
      <c r="P1094" s="38"/>
      <c r="Q1094" s="38"/>
      <c r="R1094" s="38"/>
      <c r="S1094" s="38"/>
      <c r="T1094" s="38"/>
      <c r="U1094" s="38"/>
      <c r="V1094" s="39"/>
    </row>
    <row r="1095" spans="2:22" s="37" customFormat="1" x14ac:dyDescent="0.2">
      <c r="B1095" s="92"/>
      <c r="C1095" s="93"/>
      <c r="D1095" s="38"/>
      <c r="E1095" s="38"/>
      <c r="F1095" s="38"/>
      <c r="G1095" s="38"/>
      <c r="H1095" s="38"/>
      <c r="I1095" s="38"/>
      <c r="J1095" s="38"/>
      <c r="K1095" s="38"/>
      <c r="L1095" s="38"/>
      <c r="M1095" s="38"/>
      <c r="N1095" s="38"/>
      <c r="O1095" s="38"/>
      <c r="P1095" s="38"/>
      <c r="Q1095" s="38"/>
      <c r="R1095" s="38"/>
      <c r="S1095" s="38"/>
      <c r="T1095" s="38"/>
      <c r="U1095" s="38"/>
      <c r="V1095" s="39"/>
    </row>
    <row r="1096" spans="2:22" s="37" customFormat="1" x14ac:dyDescent="0.2">
      <c r="B1096" s="92"/>
      <c r="C1096" s="93"/>
      <c r="D1096" s="38"/>
      <c r="E1096" s="38"/>
      <c r="F1096" s="38"/>
      <c r="G1096" s="38"/>
      <c r="H1096" s="38"/>
      <c r="I1096" s="38"/>
      <c r="J1096" s="38"/>
      <c r="K1096" s="38"/>
      <c r="L1096" s="38"/>
      <c r="M1096" s="38"/>
      <c r="N1096" s="38"/>
      <c r="O1096" s="38"/>
      <c r="P1096" s="38"/>
      <c r="Q1096" s="38"/>
      <c r="R1096" s="38"/>
      <c r="S1096" s="38"/>
      <c r="T1096" s="38"/>
      <c r="U1096" s="38"/>
      <c r="V1096" s="39"/>
    </row>
    <row r="1097" spans="2:22" s="37" customFormat="1" x14ac:dyDescent="0.2">
      <c r="B1097" s="92"/>
      <c r="C1097" s="93"/>
      <c r="D1097" s="38"/>
      <c r="E1097" s="38"/>
      <c r="F1097" s="38"/>
      <c r="G1097" s="38"/>
      <c r="H1097" s="38"/>
      <c r="I1097" s="38"/>
      <c r="J1097" s="38"/>
      <c r="K1097" s="38"/>
      <c r="L1097" s="38"/>
      <c r="M1097" s="38"/>
      <c r="N1097" s="38"/>
      <c r="O1097" s="38"/>
      <c r="P1097" s="38"/>
      <c r="Q1097" s="38"/>
      <c r="R1097" s="38"/>
      <c r="S1097" s="38"/>
      <c r="T1097" s="38"/>
      <c r="U1097" s="38"/>
      <c r="V1097" s="39"/>
    </row>
    <row r="1098" spans="2:22" s="37" customFormat="1" x14ac:dyDescent="0.2">
      <c r="B1098" s="92"/>
      <c r="C1098" s="93"/>
      <c r="D1098" s="38"/>
      <c r="E1098" s="38"/>
      <c r="F1098" s="38"/>
      <c r="G1098" s="38"/>
      <c r="H1098" s="38"/>
      <c r="I1098" s="38"/>
      <c r="J1098" s="38"/>
      <c r="K1098" s="38"/>
      <c r="L1098" s="38"/>
      <c r="M1098" s="38"/>
      <c r="N1098" s="38"/>
      <c r="O1098" s="38"/>
      <c r="P1098" s="38"/>
      <c r="Q1098" s="38"/>
      <c r="R1098" s="38"/>
      <c r="S1098" s="38"/>
      <c r="T1098" s="38"/>
      <c r="U1098" s="38"/>
      <c r="V1098" s="39"/>
    </row>
    <row r="1099" spans="2:22" s="37" customFormat="1" x14ac:dyDescent="0.2">
      <c r="B1099" s="92"/>
      <c r="C1099" s="93"/>
      <c r="D1099" s="38"/>
      <c r="E1099" s="38"/>
      <c r="F1099" s="38"/>
      <c r="G1099" s="38"/>
      <c r="H1099" s="38"/>
      <c r="I1099" s="38"/>
      <c r="J1099" s="38"/>
      <c r="K1099" s="38"/>
      <c r="L1099" s="38"/>
      <c r="M1099" s="38"/>
      <c r="N1099" s="38"/>
      <c r="O1099" s="38"/>
      <c r="P1099" s="38"/>
      <c r="Q1099" s="38"/>
      <c r="R1099" s="38"/>
      <c r="S1099" s="38"/>
      <c r="T1099" s="38"/>
      <c r="U1099" s="38"/>
      <c r="V1099" s="39"/>
    </row>
    <row r="1100" spans="2:22" s="37" customFormat="1" x14ac:dyDescent="0.2">
      <c r="B1100" s="92"/>
      <c r="C1100" s="93"/>
      <c r="D1100" s="38"/>
      <c r="E1100" s="38"/>
      <c r="F1100" s="38"/>
      <c r="G1100" s="38"/>
      <c r="H1100" s="38"/>
      <c r="I1100" s="38"/>
      <c r="J1100" s="38"/>
      <c r="K1100" s="38"/>
      <c r="L1100" s="38"/>
      <c r="M1100" s="38"/>
      <c r="N1100" s="38"/>
      <c r="O1100" s="38"/>
      <c r="P1100" s="38"/>
      <c r="Q1100" s="38"/>
      <c r="R1100" s="38"/>
      <c r="S1100" s="38"/>
      <c r="T1100" s="38"/>
      <c r="U1100" s="38"/>
      <c r="V1100" s="39"/>
    </row>
    <row r="1101" spans="2:22" s="37" customFormat="1" x14ac:dyDescent="0.2">
      <c r="B1101" s="92"/>
      <c r="C1101" s="93"/>
      <c r="D1101" s="38"/>
      <c r="E1101" s="38"/>
      <c r="F1101" s="38"/>
      <c r="G1101" s="38"/>
      <c r="H1101" s="38"/>
      <c r="I1101" s="38"/>
      <c r="J1101" s="38"/>
      <c r="K1101" s="38"/>
      <c r="L1101" s="38"/>
      <c r="M1101" s="38"/>
      <c r="N1101" s="38"/>
      <c r="O1101" s="38"/>
      <c r="P1101" s="38"/>
      <c r="Q1101" s="38"/>
      <c r="R1101" s="38"/>
      <c r="S1101" s="38"/>
      <c r="T1101" s="38"/>
      <c r="U1101" s="38"/>
      <c r="V1101" s="39"/>
    </row>
    <row r="1102" spans="2:22" s="37" customFormat="1" x14ac:dyDescent="0.2">
      <c r="B1102" s="92"/>
      <c r="C1102" s="93"/>
      <c r="D1102" s="38"/>
      <c r="E1102" s="38"/>
      <c r="F1102" s="38"/>
      <c r="G1102" s="38"/>
      <c r="H1102" s="38"/>
      <c r="I1102" s="38"/>
      <c r="J1102" s="38"/>
      <c r="K1102" s="38"/>
      <c r="L1102" s="38"/>
      <c r="M1102" s="38"/>
      <c r="N1102" s="38"/>
      <c r="O1102" s="38"/>
      <c r="P1102" s="38"/>
      <c r="Q1102" s="38"/>
      <c r="R1102" s="38"/>
      <c r="S1102" s="38"/>
      <c r="T1102" s="38"/>
      <c r="U1102" s="38"/>
      <c r="V1102" s="39"/>
    </row>
    <row r="1103" spans="2:22" s="37" customFormat="1" x14ac:dyDescent="0.2">
      <c r="B1103" s="92"/>
      <c r="C1103" s="93"/>
      <c r="D1103" s="38"/>
      <c r="E1103" s="38"/>
      <c r="F1103" s="38"/>
      <c r="G1103" s="38"/>
      <c r="H1103" s="38"/>
      <c r="I1103" s="38"/>
      <c r="J1103" s="38"/>
      <c r="K1103" s="38"/>
      <c r="L1103" s="38"/>
      <c r="M1103" s="38"/>
      <c r="N1103" s="38"/>
      <c r="O1103" s="38"/>
      <c r="P1103" s="38"/>
      <c r="Q1103" s="38"/>
      <c r="R1103" s="38"/>
      <c r="S1103" s="38"/>
      <c r="T1103" s="38"/>
      <c r="U1103" s="38"/>
      <c r="V1103" s="39"/>
    </row>
    <row r="1104" spans="2:22" s="37" customFormat="1" x14ac:dyDescent="0.2">
      <c r="B1104" s="92"/>
      <c r="C1104" s="93"/>
      <c r="D1104" s="38"/>
      <c r="E1104" s="38"/>
      <c r="F1104" s="38"/>
      <c r="G1104" s="38"/>
      <c r="H1104" s="38"/>
      <c r="I1104" s="38"/>
      <c r="J1104" s="38"/>
      <c r="K1104" s="38"/>
      <c r="L1104" s="38"/>
      <c r="M1104" s="38"/>
      <c r="N1104" s="38"/>
      <c r="O1104" s="38"/>
      <c r="P1104" s="38"/>
      <c r="Q1104" s="38"/>
      <c r="R1104" s="38"/>
      <c r="S1104" s="38"/>
      <c r="T1104" s="38"/>
      <c r="U1104" s="38"/>
      <c r="V1104" s="39"/>
    </row>
    <row r="1105" spans="2:22" s="37" customFormat="1" x14ac:dyDescent="0.2">
      <c r="B1105" s="92"/>
      <c r="C1105" s="93"/>
      <c r="D1105" s="38"/>
      <c r="E1105" s="38"/>
      <c r="F1105" s="38"/>
      <c r="G1105" s="38"/>
      <c r="H1105" s="38"/>
      <c r="I1105" s="38"/>
      <c r="J1105" s="38"/>
      <c r="K1105" s="38"/>
      <c r="L1105" s="38"/>
      <c r="M1105" s="38"/>
      <c r="N1105" s="38"/>
      <c r="O1105" s="38"/>
      <c r="P1105" s="38"/>
      <c r="Q1105" s="38"/>
      <c r="R1105" s="38"/>
      <c r="S1105" s="38"/>
      <c r="T1105" s="38"/>
      <c r="U1105" s="38"/>
      <c r="V1105" s="39"/>
    </row>
    <row r="1106" spans="2:22" s="37" customFormat="1" x14ac:dyDescent="0.2">
      <c r="B1106" s="92"/>
      <c r="C1106" s="93"/>
      <c r="D1106" s="38"/>
      <c r="E1106" s="38"/>
      <c r="F1106" s="38"/>
      <c r="G1106" s="38"/>
      <c r="H1106" s="38"/>
      <c r="I1106" s="38"/>
      <c r="J1106" s="38"/>
      <c r="K1106" s="38"/>
      <c r="L1106" s="38"/>
      <c r="M1106" s="38"/>
      <c r="N1106" s="38"/>
      <c r="O1106" s="38"/>
      <c r="P1106" s="38"/>
      <c r="Q1106" s="38"/>
      <c r="R1106" s="38"/>
      <c r="S1106" s="38"/>
      <c r="T1106" s="38"/>
      <c r="U1106" s="38"/>
      <c r="V1106" s="39"/>
    </row>
    <row r="1107" spans="2:22" s="37" customFormat="1" x14ac:dyDescent="0.2">
      <c r="B1107" s="92"/>
      <c r="C1107" s="93"/>
      <c r="D1107" s="38"/>
      <c r="E1107" s="38"/>
      <c r="F1107" s="38"/>
      <c r="G1107" s="38"/>
      <c r="H1107" s="38"/>
      <c r="I1107" s="38"/>
      <c r="J1107" s="38"/>
      <c r="K1107" s="38"/>
      <c r="L1107" s="38"/>
      <c r="M1107" s="38"/>
      <c r="N1107" s="38"/>
      <c r="O1107" s="38"/>
      <c r="P1107" s="38"/>
      <c r="Q1107" s="38"/>
      <c r="R1107" s="38"/>
      <c r="S1107" s="38"/>
      <c r="T1107" s="38"/>
      <c r="U1107" s="38"/>
      <c r="V1107" s="39"/>
    </row>
    <row r="1108" spans="2:22" s="37" customFormat="1" x14ac:dyDescent="0.2">
      <c r="B1108" s="92"/>
      <c r="C1108" s="93"/>
      <c r="D1108" s="38"/>
      <c r="E1108" s="38"/>
      <c r="F1108" s="38"/>
      <c r="G1108" s="38"/>
      <c r="H1108" s="38"/>
      <c r="I1108" s="38"/>
      <c r="J1108" s="38"/>
      <c r="K1108" s="38"/>
      <c r="L1108" s="38"/>
      <c r="M1108" s="38"/>
      <c r="N1108" s="38"/>
      <c r="O1108" s="38"/>
      <c r="P1108" s="38"/>
      <c r="Q1108" s="38"/>
      <c r="R1108" s="38"/>
      <c r="S1108" s="38"/>
      <c r="T1108" s="38"/>
      <c r="U1108" s="38"/>
      <c r="V1108" s="39"/>
    </row>
    <row r="1109" spans="2:22" s="37" customFormat="1" x14ac:dyDescent="0.2">
      <c r="B1109" s="92"/>
      <c r="C1109" s="93"/>
      <c r="D1109" s="38"/>
      <c r="E1109" s="38"/>
      <c r="F1109" s="38"/>
      <c r="G1109" s="38"/>
      <c r="H1109" s="38"/>
      <c r="I1109" s="38"/>
      <c r="J1109" s="38"/>
      <c r="K1109" s="38"/>
      <c r="L1109" s="38"/>
      <c r="M1109" s="38"/>
      <c r="N1109" s="38"/>
      <c r="O1109" s="38"/>
      <c r="P1109" s="38"/>
      <c r="Q1109" s="38"/>
      <c r="R1109" s="38"/>
      <c r="S1109" s="38"/>
      <c r="T1109" s="38"/>
      <c r="U1109" s="38"/>
      <c r="V1109" s="39"/>
    </row>
    <row r="1110" spans="2:22" s="37" customFormat="1" x14ac:dyDescent="0.2">
      <c r="B1110" s="92"/>
      <c r="C1110" s="93"/>
      <c r="D1110" s="38"/>
      <c r="E1110" s="38"/>
      <c r="F1110" s="38"/>
      <c r="G1110" s="38"/>
      <c r="H1110" s="38"/>
      <c r="I1110" s="38"/>
      <c r="J1110" s="38"/>
      <c r="K1110" s="38"/>
      <c r="L1110" s="38"/>
      <c r="M1110" s="38"/>
      <c r="N1110" s="38"/>
      <c r="O1110" s="38"/>
      <c r="P1110" s="38"/>
      <c r="Q1110" s="38"/>
      <c r="R1110" s="38"/>
      <c r="S1110" s="38"/>
      <c r="T1110" s="38"/>
      <c r="U1110" s="38"/>
      <c r="V1110" s="39"/>
    </row>
    <row r="1111" spans="2:22" s="37" customFormat="1" x14ac:dyDescent="0.2">
      <c r="B1111" s="92"/>
      <c r="C1111" s="93"/>
      <c r="D1111" s="38"/>
      <c r="E1111" s="38"/>
      <c r="F1111" s="38"/>
      <c r="G1111" s="38"/>
      <c r="H1111" s="38"/>
      <c r="I1111" s="38"/>
      <c r="J1111" s="38"/>
      <c r="K1111" s="38"/>
      <c r="L1111" s="38"/>
      <c r="M1111" s="38"/>
      <c r="N1111" s="38"/>
      <c r="O1111" s="38"/>
      <c r="P1111" s="38"/>
      <c r="Q1111" s="38"/>
      <c r="R1111" s="38"/>
      <c r="S1111" s="38"/>
      <c r="T1111" s="38"/>
      <c r="U1111" s="38"/>
      <c r="V1111" s="39"/>
    </row>
    <row r="1112" spans="2:22" s="37" customFormat="1" x14ac:dyDescent="0.2">
      <c r="B1112" s="92"/>
      <c r="C1112" s="93"/>
      <c r="D1112" s="38"/>
      <c r="E1112" s="38"/>
      <c r="F1112" s="38"/>
      <c r="G1112" s="38"/>
      <c r="H1112" s="38"/>
      <c r="I1112" s="38"/>
      <c r="J1112" s="38"/>
      <c r="K1112" s="38"/>
      <c r="L1112" s="38"/>
      <c r="M1112" s="38"/>
      <c r="N1112" s="38"/>
      <c r="O1112" s="38"/>
      <c r="P1112" s="38"/>
      <c r="Q1112" s="38"/>
      <c r="R1112" s="38"/>
      <c r="S1112" s="38"/>
      <c r="T1112" s="38"/>
      <c r="U1112" s="38"/>
      <c r="V1112" s="39"/>
    </row>
    <row r="1113" spans="2:22" s="37" customFormat="1" x14ac:dyDescent="0.2">
      <c r="B1113" s="92"/>
      <c r="C1113" s="93"/>
      <c r="D1113" s="38"/>
      <c r="E1113" s="38"/>
      <c r="F1113" s="38"/>
      <c r="G1113" s="38"/>
      <c r="H1113" s="38"/>
      <c r="I1113" s="38"/>
      <c r="J1113" s="38"/>
      <c r="K1113" s="38"/>
      <c r="L1113" s="38"/>
      <c r="M1113" s="38"/>
      <c r="N1113" s="38"/>
      <c r="O1113" s="38"/>
      <c r="P1113" s="38"/>
      <c r="Q1113" s="38"/>
      <c r="R1113" s="38"/>
      <c r="S1113" s="38"/>
      <c r="T1113" s="38"/>
      <c r="U1113" s="38"/>
      <c r="V1113" s="39"/>
    </row>
    <row r="1114" spans="2:22" s="37" customFormat="1" x14ac:dyDescent="0.2">
      <c r="B1114" s="92"/>
      <c r="C1114" s="93"/>
      <c r="D1114" s="38"/>
      <c r="E1114" s="38"/>
      <c r="F1114" s="38"/>
      <c r="G1114" s="38"/>
      <c r="H1114" s="38"/>
      <c r="I1114" s="38"/>
      <c r="J1114" s="38"/>
      <c r="K1114" s="38"/>
      <c r="L1114" s="38"/>
      <c r="M1114" s="38"/>
      <c r="N1114" s="38"/>
      <c r="O1114" s="38"/>
      <c r="P1114" s="38"/>
      <c r="Q1114" s="38"/>
      <c r="R1114" s="38"/>
      <c r="S1114" s="38"/>
      <c r="T1114" s="38"/>
      <c r="U1114" s="38"/>
      <c r="V1114" s="39"/>
    </row>
    <row r="1115" spans="2:22" s="37" customFormat="1" x14ac:dyDescent="0.2">
      <c r="B1115" s="92"/>
      <c r="C1115" s="93"/>
      <c r="D1115" s="38"/>
      <c r="E1115" s="38"/>
      <c r="F1115" s="38"/>
      <c r="G1115" s="38"/>
      <c r="H1115" s="38"/>
      <c r="I1115" s="38"/>
      <c r="J1115" s="38"/>
      <c r="K1115" s="38"/>
      <c r="L1115" s="38"/>
      <c r="M1115" s="38"/>
      <c r="N1115" s="38"/>
      <c r="O1115" s="38"/>
      <c r="P1115" s="38"/>
      <c r="Q1115" s="38"/>
      <c r="R1115" s="38"/>
      <c r="S1115" s="38"/>
      <c r="T1115" s="38"/>
      <c r="U1115" s="38"/>
      <c r="V1115" s="39"/>
    </row>
    <row r="1116" spans="2:22" s="37" customFormat="1" x14ac:dyDescent="0.2">
      <c r="B1116" s="92"/>
      <c r="C1116" s="93"/>
      <c r="D1116" s="38"/>
      <c r="E1116" s="38"/>
      <c r="F1116" s="38"/>
      <c r="G1116" s="38"/>
      <c r="H1116" s="38"/>
      <c r="I1116" s="38"/>
      <c r="J1116" s="38"/>
      <c r="K1116" s="38"/>
      <c r="L1116" s="38"/>
      <c r="M1116" s="38"/>
      <c r="N1116" s="38"/>
      <c r="O1116" s="38"/>
      <c r="P1116" s="38"/>
      <c r="Q1116" s="38"/>
      <c r="R1116" s="38"/>
      <c r="S1116" s="38"/>
      <c r="T1116" s="38"/>
      <c r="U1116" s="38"/>
      <c r="V1116" s="39"/>
    </row>
    <row r="1117" spans="2:22" s="37" customFormat="1" x14ac:dyDescent="0.2">
      <c r="B1117" s="92"/>
      <c r="C1117" s="93"/>
      <c r="D1117" s="38"/>
      <c r="E1117" s="38"/>
      <c r="F1117" s="38"/>
      <c r="G1117" s="38"/>
      <c r="H1117" s="38"/>
      <c r="I1117" s="38"/>
      <c r="J1117" s="38"/>
      <c r="K1117" s="38"/>
      <c r="L1117" s="38"/>
      <c r="M1117" s="38"/>
      <c r="N1117" s="38"/>
      <c r="O1117" s="38"/>
      <c r="P1117" s="38"/>
      <c r="Q1117" s="38"/>
      <c r="R1117" s="38"/>
      <c r="S1117" s="38"/>
      <c r="T1117" s="38"/>
      <c r="U1117" s="38"/>
      <c r="V1117" s="39"/>
    </row>
    <row r="1118" spans="2:22" s="37" customFormat="1" x14ac:dyDescent="0.2">
      <c r="B1118" s="92"/>
      <c r="C1118" s="93"/>
      <c r="D1118" s="38"/>
      <c r="E1118" s="38"/>
      <c r="F1118" s="38"/>
      <c r="G1118" s="38"/>
      <c r="H1118" s="38"/>
      <c r="I1118" s="38"/>
      <c r="J1118" s="38"/>
      <c r="K1118" s="38"/>
      <c r="L1118" s="38"/>
      <c r="M1118" s="38"/>
      <c r="N1118" s="38"/>
      <c r="O1118" s="38"/>
      <c r="P1118" s="38"/>
      <c r="Q1118" s="38"/>
      <c r="R1118" s="38"/>
      <c r="S1118" s="38"/>
      <c r="T1118" s="38"/>
      <c r="U1118" s="38"/>
      <c r="V1118" s="39"/>
    </row>
    <row r="1119" spans="2:22" s="37" customFormat="1" x14ac:dyDescent="0.2">
      <c r="B1119" s="92"/>
      <c r="C1119" s="93"/>
      <c r="D1119" s="38"/>
      <c r="E1119" s="38"/>
      <c r="F1119" s="38"/>
      <c r="G1119" s="38"/>
      <c r="H1119" s="38"/>
      <c r="I1119" s="38"/>
      <c r="J1119" s="38"/>
      <c r="K1119" s="38"/>
      <c r="L1119" s="38"/>
      <c r="M1119" s="38"/>
      <c r="N1119" s="38"/>
      <c r="O1119" s="38"/>
      <c r="P1119" s="38"/>
      <c r="Q1119" s="38"/>
      <c r="R1119" s="38"/>
      <c r="S1119" s="38"/>
      <c r="T1119" s="38"/>
      <c r="U1119" s="38"/>
      <c r="V1119" s="39"/>
    </row>
    <row r="1120" spans="2:22" s="37" customFormat="1" x14ac:dyDescent="0.2">
      <c r="B1120" s="92"/>
      <c r="C1120" s="93"/>
      <c r="D1120" s="38"/>
      <c r="E1120" s="38"/>
      <c r="F1120" s="38"/>
      <c r="G1120" s="38"/>
      <c r="H1120" s="38"/>
      <c r="I1120" s="38"/>
      <c r="J1120" s="38"/>
      <c r="K1120" s="38"/>
      <c r="L1120" s="38"/>
      <c r="M1120" s="38"/>
      <c r="N1120" s="38"/>
      <c r="O1120" s="38"/>
      <c r="P1120" s="38"/>
      <c r="Q1120" s="38"/>
      <c r="R1120" s="38"/>
      <c r="S1120" s="38"/>
      <c r="T1120" s="38"/>
      <c r="U1120" s="38"/>
      <c r="V1120" s="39"/>
    </row>
    <row r="1121" spans="2:22" s="37" customFormat="1" x14ac:dyDescent="0.2">
      <c r="B1121" s="92"/>
      <c r="C1121" s="93"/>
      <c r="D1121" s="38"/>
      <c r="E1121" s="38"/>
      <c r="F1121" s="38"/>
      <c r="G1121" s="38"/>
      <c r="H1121" s="38"/>
      <c r="I1121" s="38"/>
      <c r="J1121" s="38"/>
      <c r="K1121" s="38"/>
      <c r="L1121" s="38"/>
      <c r="M1121" s="38"/>
      <c r="N1121" s="38"/>
      <c r="O1121" s="38"/>
      <c r="P1121" s="38"/>
      <c r="Q1121" s="38"/>
      <c r="R1121" s="38"/>
      <c r="S1121" s="38"/>
      <c r="T1121" s="38"/>
      <c r="U1121" s="38"/>
      <c r="V1121" s="39"/>
    </row>
    <row r="1122" spans="2:22" s="37" customFormat="1" x14ac:dyDescent="0.2">
      <c r="B1122" s="92"/>
      <c r="C1122" s="93"/>
      <c r="D1122" s="38"/>
      <c r="E1122" s="38"/>
      <c r="F1122" s="38"/>
      <c r="G1122" s="38"/>
      <c r="H1122" s="38"/>
      <c r="I1122" s="38"/>
      <c r="J1122" s="38"/>
      <c r="K1122" s="38"/>
      <c r="L1122" s="38"/>
      <c r="M1122" s="38"/>
      <c r="N1122" s="38"/>
      <c r="O1122" s="38"/>
      <c r="P1122" s="38"/>
      <c r="Q1122" s="38"/>
      <c r="R1122" s="38"/>
      <c r="S1122" s="38"/>
      <c r="T1122" s="38"/>
      <c r="U1122" s="38"/>
      <c r="V1122" s="39"/>
    </row>
    <row r="1123" spans="2:22" s="37" customFormat="1" x14ac:dyDescent="0.2">
      <c r="B1123" s="92"/>
      <c r="C1123" s="93"/>
      <c r="D1123" s="38"/>
      <c r="E1123" s="38"/>
      <c r="F1123" s="38"/>
      <c r="G1123" s="38"/>
      <c r="H1123" s="38"/>
      <c r="I1123" s="38"/>
      <c r="J1123" s="38"/>
      <c r="K1123" s="38"/>
      <c r="L1123" s="38"/>
      <c r="M1123" s="38"/>
      <c r="N1123" s="38"/>
      <c r="O1123" s="38"/>
      <c r="P1123" s="38"/>
      <c r="Q1123" s="38"/>
      <c r="R1123" s="38"/>
      <c r="S1123" s="38"/>
      <c r="T1123" s="38"/>
      <c r="U1123" s="38"/>
      <c r="V1123" s="39"/>
    </row>
    <row r="1124" spans="2:22" s="37" customFormat="1" x14ac:dyDescent="0.2">
      <c r="B1124" s="92"/>
      <c r="C1124" s="93"/>
      <c r="D1124" s="38"/>
      <c r="E1124" s="38"/>
      <c r="F1124" s="38"/>
      <c r="G1124" s="38"/>
      <c r="H1124" s="38"/>
      <c r="I1124" s="38"/>
      <c r="J1124" s="38"/>
      <c r="K1124" s="38"/>
      <c r="L1124" s="38"/>
      <c r="M1124" s="38"/>
      <c r="N1124" s="38"/>
      <c r="O1124" s="38"/>
      <c r="P1124" s="38"/>
      <c r="Q1124" s="38"/>
      <c r="R1124" s="38"/>
      <c r="S1124" s="38"/>
      <c r="T1124" s="38"/>
      <c r="U1124" s="38"/>
      <c r="V1124" s="39"/>
    </row>
    <row r="1125" spans="2:22" s="37" customFormat="1" x14ac:dyDescent="0.2">
      <c r="B1125" s="92"/>
      <c r="C1125" s="93"/>
      <c r="D1125" s="38"/>
      <c r="E1125" s="38"/>
      <c r="F1125" s="38"/>
      <c r="G1125" s="38"/>
      <c r="H1125" s="38"/>
      <c r="I1125" s="38"/>
      <c r="J1125" s="38"/>
      <c r="K1125" s="38"/>
      <c r="L1125" s="38"/>
      <c r="M1125" s="38"/>
      <c r="N1125" s="38"/>
      <c r="O1125" s="38"/>
      <c r="P1125" s="38"/>
      <c r="Q1125" s="38"/>
      <c r="R1125" s="38"/>
      <c r="S1125" s="38"/>
      <c r="T1125" s="38"/>
      <c r="U1125" s="38"/>
      <c r="V1125" s="39"/>
    </row>
    <row r="1126" spans="2:22" s="37" customFormat="1" x14ac:dyDescent="0.2">
      <c r="B1126" s="92"/>
      <c r="C1126" s="93"/>
      <c r="D1126" s="38"/>
      <c r="E1126" s="38"/>
      <c r="F1126" s="38"/>
      <c r="G1126" s="38"/>
      <c r="H1126" s="38"/>
      <c r="I1126" s="38"/>
      <c r="J1126" s="38"/>
      <c r="K1126" s="38"/>
      <c r="L1126" s="38"/>
      <c r="M1126" s="38"/>
      <c r="N1126" s="38"/>
      <c r="O1126" s="38"/>
      <c r="P1126" s="38"/>
      <c r="Q1126" s="38"/>
      <c r="R1126" s="38"/>
      <c r="S1126" s="38"/>
      <c r="T1126" s="38"/>
      <c r="U1126" s="38"/>
      <c r="V1126" s="39"/>
    </row>
    <row r="1127" spans="2:22" s="37" customFormat="1" x14ac:dyDescent="0.2">
      <c r="B1127" s="92"/>
      <c r="C1127" s="93"/>
      <c r="D1127" s="38"/>
      <c r="E1127" s="38"/>
      <c r="F1127" s="38"/>
      <c r="G1127" s="38"/>
      <c r="H1127" s="38"/>
      <c r="I1127" s="38"/>
      <c r="J1127" s="38"/>
      <c r="K1127" s="38"/>
      <c r="L1127" s="38"/>
      <c r="M1127" s="38"/>
      <c r="N1127" s="38"/>
      <c r="O1127" s="38"/>
      <c r="P1127" s="38"/>
      <c r="Q1127" s="38"/>
      <c r="R1127" s="38"/>
      <c r="S1127" s="38"/>
      <c r="T1127" s="38"/>
      <c r="U1127" s="38"/>
      <c r="V1127" s="39"/>
    </row>
    <row r="1128" spans="2:22" s="37" customFormat="1" x14ac:dyDescent="0.2">
      <c r="B1128" s="92"/>
      <c r="C1128" s="93"/>
      <c r="D1128" s="38"/>
      <c r="E1128" s="38"/>
      <c r="F1128" s="38"/>
      <c r="G1128" s="38"/>
      <c r="H1128" s="38"/>
      <c r="I1128" s="38"/>
      <c r="J1128" s="38"/>
      <c r="K1128" s="38"/>
      <c r="L1128" s="38"/>
      <c r="M1128" s="38"/>
      <c r="N1128" s="38"/>
      <c r="O1128" s="38"/>
      <c r="P1128" s="38"/>
      <c r="Q1128" s="38"/>
      <c r="R1128" s="38"/>
      <c r="S1128" s="38"/>
      <c r="T1128" s="38"/>
      <c r="U1128" s="38"/>
      <c r="V1128" s="39"/>
    </row>
    <row r="1129" spans="2:22" s="37" customFormat="1" x14ac:dyDescent="0.2">
      <c r="B1129" s="92"/>
      <c r="C1129" s="93"/>
      <c r="D1129" s="38"/>
      <c r="E1129" s="38"/>
      <c r="F1129" s="38"/>
      <c r="G1129" s="38"/>
      <c r="H1129" s="38"/>
      <c r="I1129" s="38"/>
      <c r="J1129" s="38"/>
      <c r="K1129" s="38"/>
      <c r="L1129" s="38"/>
      <c r="M1129" s="38"/>
      <c r="N1129" s="38"/>
      <c r="O1129" s="38"/>
      <c r="P1129" s="38"/>
      <c r="Q1129" s="38"/>
      <c r="R1129" s="38"/>
      <c r="S1129" s="38"/>
      <c r="T1129" s="38"/>
      <c r="U1129" s="38"/>
      <c r="V1129" s="39"/>
    </row>
    <row r="1130" spans="2:22" s="37" customFormat="1" x14ac:dyDescent="0.2">
      <c r="B1130" s="92"/>
      <c r="C1130" s="93"/>
      <c r="D1130" s="38"/>
      <c r="E1130" s="38"/>
      <c r="F1130" s="38"/>
      <c r="G1130" s="38"/>
      <c r="H1130" s="38"/>
      <c r="I1130" s="38"/>
      <c r="J1130" s="38"/>
      <c r="K1130" s="38"/>
      <c r="L1130" s="38"/>
      <c r="M1130" s="38"/>
      <c r="N1130" s="38"/>
      <c r="O1130" s="38"/>
      <c r="P1130" s="38"/>
      <c r="Q1130" s="38"/>
      <c r="R1130" s="38"/>
      <c r="S1130" s="38"/>
      <c r="T1130" s="38"/>
      <c r="U1130" s="38"/>
      <c r="V1130" s="39"/>
    </row>
    <row r="1131" spans="2:22" s="37" customFormat="1" x14ac:dyDescent="0.2">
      <c r="B1131" s="92"/>
      <c r="C1131" s="93"/>
      <c r="D1131" s="38"/>
      <c r="E1131" s="38"/>
      <c r="F1131" s="38"/>
      <c r="G1131" s="38"/>
      <c r="H1131" s="38"/>
      <c r="I1131" s="38"/>
      <c r="J1131" s="38"/>
      <c r="K1131" s="38"/>
      <c r="L1131" s="38"/>
      <c r="M1131" s="38"/>
      <c r="N1131" s="38"/>
      <c r="O1131" s="38"/>
      <c r="P1131" s="38"/>
      <c r="Q1131" s="38"/>
      <c r="R1131" s="38"/>
      <c r="S1131" s="38"/>
      <c r="T1131" s="38"/>
      <c r="U1131" s="38"/>
      <c r="V1131" s="39"/>
    </row>
    <row r="1132" spans="2:22" s="37" customFormat="1" x14ac:dyDescent="0.2">
      <c r="B1132" s="92"/>
      <c r="C1132" s="93"/>
      <c r="D1132" s="38"/>
      <c r="E1132" s="38"/>
      <c r="F1132" s="38"/>
      <c r="G1132" s="38"/>
      <c r="H1132" s="38"/>
      <c r="I1132" s="38"/>
      <c r="J1132" s="38"/>
      <c r="K1132" s="38"/>
      <c r="L1132" s="38"/>
      <c r="M1132" s="38"/>
      <c r="N1132" s="38"/>
      <c r="O1132" s="38"/>
      <c r="P1132" s="38"/>
      <c r="Q1132" s="38"/>
      <c r="R1132" s="38"/>
      <c r="S1132" s="38"/>
      <c r="T1132" s="38"/>
      <c r="U1132" s="38"/>
      <c r="V1132" s="39"/>
    </row>
    <row r="1133" spans="2:22" s="37" customFormat="1" x14ac:dyDescent="0.2">
      <c r="B1133" s="92"/>
      <c r="C1133" s="93"/>
      <c r="D1133" s="38"/>
      <c r="E1133" s="38"/>
      <c r="F1133" s="38"/>
      <c r="G1133" s="38"/>
      <c r="H1133" s="38"/>
      <c r="I1133" s="38"/>
      <c r="J1133" s="38"/>
      <c r="K1133" s="38"/>
      <c r="L1133" s="38"/>
      <c r="M1133" s="38"/>
      <c r="N1133" s="38"/>
      <c r="O1133" s="38"/>
      <c r="P1133" s="38"/>
      <c r="Q1133" s="38"/>
      <c r="R1133" s="38"/>
      <c r="S1133" s="38"/>
      <c r="T1133" s="38"/>
      <c r="U1133" s="38"/>
      <c r="V1133" s="39"/>
    </row>
    <row r="1134" spans="2:22" s="37" customFormat="1" x14ac:dyDescent="0.2">
      <c r="B1134" s="92"/>
      <c r="C1134" s="93"/>
      <c r="D1134" s="38"/>
      <c r="E1134" s="38"/>
      <c r="F1134" s="38"/>
      <c r="G1134" s="38"/>
      <c r="H1134" s="38"/>
      <c r="I1134" s="38"/>
      <c r="J1134" s="38"/>
      <c r="K1134" s="38"/>
      <c r="L1134" s="38"/>
      <c r="M1134" s="38"/>
      <c r="N1134" s="38"/>
      <c r="O1134" s="38"/>
      <c r="P1134" s="38"/>
      <c r="Q1134" s="38"/>
      <c r="R1134" s="38"/>
      <c r="S1134" s="38"/>
      <c r="T1134" s="38"/>
      <c r="U1134" s="38"/>
      <c r="V1134" s="39"/>
    </row>
    <row r="1135" spans="2:22" s="37" customFormat="1" x14ac:dyDescent="0.2">
      <c r="B1135" s="92"/>
      <c r="C1135" s="93"/>
      <c r="D1135" s="38"/>
      <c r="E1135" s="38"/>
      <c r="F1135" s="38"/>
      <c r="G1135" s="38"/>
      <c r="H1135" s="38"/>
      <c r="I1135" s="38"/>
      <c r="J1135" s="38"/>
      <c r="K1135" s="38"/>
      <c r="L1135" s="38"/>
      <c r="M1135" s="38"/>
      <c r="N1135" s="38"/>
      <c r="O1135" s="38"/>
      <c r="P1135" s="38"/>
      <c r="Q1135" s="38"/>
      <c r="R1135" s="38"/>
      <c r="S1135" s="38"/>
      <c r="T1135" s="38"/>
      <c r="U1135" s="38"/>
      <c r="V1135" s="39"/>
    </row>
    <row r="1136" spans="2:22" s="37" customFormat="1" x14ac:dyDescent="0.2">
      <c r="B1136" s="92"/>
      <c r="C1136" s="93"/>
      <c r="D1136" s="38"/>
      <c r="E1136" s="38"/>
      <c r="F1136" s="38"/>
      <c r="G1136" s="38"/>
      <c r="H1136" s="38"/>
      <c r="I1136" s="38"/>
      <c r="J1136" s="38"/>
      <c r="K1136" s="38"/>
      <c r="L1136" s="38"/>
      <c r="M1136" s="38"/>
      <c r="N1136" s="38"/>
      <c r="O1136" s="38"/>
      <c r="P1136" s="38"/>
      <c r="Q1136" s="38"/>
      <c r="R1136" s="38"/>
      <c r="S1136" s="38"/>
      <c r="T1136" s="38"/>
      <c r="U1136" s="38"/>
      <c r="V1136" s="39"/>
    </row>
    <row r="1137" spans="2:22" s="37" customFormat="1" x14ac:dyDescent="0.2">
      <c r="B1137" s="92"/>
      <c r="C1137" s="93"/>
      <c r="D1137" s="38"/>
      <c r="E1137" s="38"/>
      <c r="F1137" s="38"/>
      <c r="G1137" s="38"/>
      <c r="H1137" s="38"/>
      <c r="I1137" s="38"/>
      <c r="J1137" s="38"/>
      <c r="K1137" s="38"/>
      <c r="L1137" s="38"/>
      <c r="M1137" s="38"/>
      <c r="N1137" s="38"/>
      <c r="O1137" s="38"/>
      <c r="P1137" s="38"/>
      <c r="Q1137" s="38"/>
      <c r="R1137" s="38"/>
      <c r="S1137" s="38"/>
      <c r="T1137" s="38"/>
      <c r="U1137" s="38"/>
      <c r="V1137" s="39"/>
    </row>
    <row r="1138" spans="2:22" s="37" customFormat="1" x14ac:dyDescent="0.2">
      <c r="B1138" s="92"/>
      <c r="C1138" s="93"/>
      <c r="D1138" s="38"/>
      <c r="E1138" s="38"/>
      <c r="F1138" s="38"/>
      <c r="G1138" s="38"/>
      <c r="H1138" s="38"/>
      <c r="I1138" s="38"/>
      <c r="J1138" s="38"/>
      <c r="K1138" s="38"/>
      <c r="L1138" s="38"/>
      <c r="M1138" s="38"/>
      <c r="N1138" s="38"/>
      <c r="O1138" s="38"/>
      <c r="P1138" s="38"/>
      <c r="Q1138" s="38"/>
      <c r="R1138" s="38"/>
      <c r="S1138" s="38"/>
      <c r="T1138" s="38"/>
      <c r="U1138" s="38"/>
      <c r="V1138" s="39"/>
    </row>
    <row r="1139" spans="2:22" s="37" customFormat="1" x14ac:dyDescent="0.2">
      <c r="B1139" s="92"/>
      <c r="C1139" s="93"/>
      <c r="D1139" s="38"/>
      <c r="E1139" s="38"/>
      <c r="F1139" s="38"/>
      <c r="G1139" s="38"/>
      <c r="H1139" s="38"/>
      <c r="I1139" s="38"/>
      <c r="J1139" s="38"/>
      <c r="K1139" s="38"/>
      <c r="L1139" s="38"/>
      <c r="M1139" s="38"/>
      <c r="N1139" s="38"/>
      <c r="O1139" s="38"/>
      <c r="P1139" s="38"/>
      <c r="Q1139" s="38"/>
      <c r="R1139" s="38"/>
      <c r="S1139" s="38"/>
      <c r="T1139" s="38"/>
      <c r="U1139" s="38"/>
      <c r="V1139" s="39"/>
    </row>
    <row r="1140" spans="2:22" s="37" customFormat="1" x14ac:dyDescent="0.2">
      <c r="B1140" s="92"/>
      <c r="C1140" s="93"/>
      <c r="D1140" s="38"/>
      <c r="E1140" s="38"/>
      <c r="F1140" s="38"/>
      <c r="G1140" s="38"/>
      <c r="H1140" s="38"/>
      <c r="I1140" s="38"/>
      <c r="J1140" s="38"/>
      <c r="K1140" s="38"/>
      <c r="L1140" s="38"/>
      <c r="M1140" s="38"/>
      <c r="N1140" s="38"/>
      <c r="O1140" s="38"/>
      <c r="P1140" s="38"/>
      <c r="Q1140" s="38"/>
      <c r="R1140" s="38"/>
      <c r="S1140" s="38"/>
      <c r="T1140" s="38"/>
      <c r="U1140" s="38"/>
      <c r="V1140" s="39"/>
    </row>
    <row r="1141" spans="2:22" s="37" customFormat="1" x14ac:dyDescent="0.2">
      <c r="B1141" s="92"/>
      <c r="C1141" s="93"/>
      <c r="D1141" s="38"/>
      <c r="E1141" s="38"/>
      <c r="F1141" s="38"/>
      <c r="G1141" s="38"/>
      <c r="H1141" s="38"/>
      <c r="I1141" s="38"/>
      <c r="J1141" s="38"/>
      <c r="K1141" s="38"/>
      <c r="L1141" s="38"/>
      <c r="M1141" s="38"/>
      <c r="N1141" s="38"/>
      <c r="O1141" s="38"/>
      <c r="P1141" s="38"/>
      <c r="Q1141" s="38"/>
      <c r="R1141" s="38"/>
      <c r="S1141" s="38"/>
      <c r="T1141" s="38"/>
      <c r="U1141" s="38"/>
      <c r="V1141" s="39"/>
    </row>
    <row r="1142" spans="2:22" s="37" customFormat="1" x14ac:dyDescent="0.2">
      <c r="B1142" s="92"/>
      <c r="C1142" s="93"/>
      <c r="D1142" s="38"/>
      <c r="E1142" s="38"/>
      <c r="F1142" s="38"/>
      <c r="G1142" s="38"/>
      <c r="H1142" s="38"/>
      <c r="I1142" s="38"/>
      <c r="J1142" s="38"/>
      <c r="K1142" s="38"/>
      <c r="L1142" s="38"/>
      <c r="M1142" s="38"/>
      <c r="N1142" s="38"/>
      <c r="O1142" s="38"/>
      <c r="P1142" s="38"/>
      <c r="Q1142" s="38"/>
      <c r="R1142" s="38"/>
      <c r="S1142" s="38"/>
      <c r="T1142" s="38"/>
      <c r="U1142" s="38"/>
      <c r="V1142" s="39"/>
    </row>
    <row r="1143" spans="2:22" s="37" customFormat="1" x14ac:dyDescent="0.2">
      <c r="B1143" s="92"/>
      <c r="C1143" s="93"/>
      <c r="D1143" s="38"/>
      <c r="E1143" s="38"/>
      <c r="F1143" s="38"/>
      <c r="G1143" s="38"/>
      <c r="H1143" s="38"/>
      <c r="I1143" s="38"/>
      <c r="J1143" s="38"/>
      <c r="K1143" s="38"/>
      <c r="L1143" s="38"/>
      <c r="M1143" s="38"/>
      <c r="N1143" s="38"/>
      <c r="O1143" s="38"/>
      <c r="P1143" s="38"/>
      <c r="Q1143" s="38"/>
      <c r="R1143" s="38"/>
      <c r="S1143" s="38"/>
      <c r="T1143" s="38"/>
      <c r="U1143" s="38"/>
      <c r="V1143" s="39"/>
    </row>
    <row r="1144" spans="2:22" s="37" customFormat="1" x14ac:dyDescent="0.2">
      <c r="B1144" s="92"/>
      <c r="C1144" s="93"/>
      <c r="D1144" s="38"/>
      <c r="E1144" s="38"/>
      <c r="F1144" s="38"/>
      <c r="G1144" s="38"/>
      <c r="H1144" s="38"/>
      <c r="I1144" s="38"/>
      <c r="J1144" s="38"/>
      <c r="K1144" s="38"/>
      <c r="L1144" s="38"/>
      <c r="M1144" s="38"/>
      <c r="N1144" s="38"/>
      <c r="O1144" s="38"/>
      <c r="P1144" s="38"/>
      <c r="Q1144" s="38"/>
      <c r="R1144" s="38"/>
      <c r="S1144" s="38"/>
      <c r="T1144" s="38"/>
      <c r="U1144" s="38"/>
      <c r="V1144" s="39"/>
    </row>
    <row r="1145" spans="2:22" s="37" customFormat="1" x14ac:dyDescent="0.2">
      <c r="B1145" s="92"/>
      <c r="C1145" s="93"/>
      <c r="D1145" s="38"/>
      <c r="E1145" s="38"/>
      <c r="F1145" s="38"/>
      <c r="G1145" s="38"/>
      <c r="H1145" s="38"/>
      <c r="I1145" s="38"/>
      <c r="J1145" s="38"/>
      <c r="K1145" s="38"/>
      <c r="L1145" s="38"/>
      <c r="M1145" s="38"/>
      <c r="N1145" s="38"/>
      <c r="O1145" s="38"/>
      <c r="P1145" s="38"/>
      <c r="Q1145" s="38"/>
      <c r="R1145" s="38"/>
      <c r="S1145" s="38"/>
      <c r="T1145" s="38"/>
      <c r="U1145" s="38"/>
      <c r="V1145" s="39"/>
    </row>
    <row r="1146" spans="2:22" s="37" customFormat="1" x14ac:dyDescent="0.2">
      <c r="B1146" s="92"/>
      <c r="C1146" s="93"/>
      <c r="D1146" s="38"/>
      <c r="E1146" s="38"/>
      <c r="F1146" s="38"/>
      <c r="G1146" s="38"/>
      <c r="H1146" s="38"/>
      <c r="I1146" s="38"/>
      <c r="J1146" s="38"/>
      <c r="K1146" s="38"/>
      <c r="L1146" s="38"/>
      <c r="M1146" s="38"/>
      <c r="N1146" s="38"/>
      <c r="O1146" s="38"/>
      <c r="P1146" s="38"/>
      <c r="Q1146" s="38"/>
      <c r="R1146" s="38"/>
      <c r="S1146" s="38"/>
      <c r="T1146" s="38"/>
      <c r="U1146" s="38"/>
      <c r="V1146" s="39"/>
    </row>
    <row r="1147" spans="2:22" s="37" customFormat="1" x14ac:dyDescent="0.2">
      <c r="B1147" s="92"/>
      <c r="C1147" s="93"/>
      <c r="D1147" s="38"/>
      <c r="E1147" s="38"/>
      <c r="F1147" s="38"/>
      <c r="G1147" s="38"/>
      <c r="H1147" s="38"/>
      <c r="I1147" s="38"/>
      <c r="J1147" s="38"/>
      <c r="K1147" s="38"/>
      <c r="L1147" s="38"/>
      <c r="M1147" s="38"/>
      <c r="N1147" s="38"/>
      <c r="O1147" s="38"/>
      <c r="P1147" s="38"/>
      <c r="Q1147" s="38"/>
      <c r="R1147" s="38"/>
      <c r="S1147" s="38"/>
      <c r="T1147" s="38"/>
      <c r="U1147" s="38"/>
      <c r="V1147" s="39"/>
    </row>
    <row r="1148" spans="2:22" s="37" customFormat="1" x14ac:dyDescent="0.2">
      <c r="B1148" s="92"/>
      <c r="C1148" s="93"/>
      <c r="D1148" s="38"/>
      <c r="E1148" s="38"/>
      <c r="F1148" s="38"/>
      <c r="G1148" s="38"/>
      <c r="H1148" s="38"/>
      <c r="I1148" s="38"/>
      <c r="J1148" s="38"/>
      <c r="K1148" s="38"/>
      <c r="L1148" s="38"/>
      <c r="M1148" s="38"/>
      <c r="N1148" s="38"/>
      <c r="O1148" s="38"/>
      <c r="P1148" s="38"/>
      <c r="Q1148" s="38"/>
      <c r="R1148" s="38"/>
      <c r="S1148" s="38"/>
      <c r="T1148" s="38"/>
      <c r="U1148" s="38"/>
      <c r="V1148" s="39"/>
    </row>
    <row r="1149" spans="2:22" s="37" customFormat="1" x14ac:dyDescent="0.2">
      <c r="B1149" s="92"/>
      <c r="C1149" s="93"/>
      <c r="D1149" s="38"/>
      <c r="E1149" s="38"/>
      <c r="F1149" s="38"/>
      <c r="G1149" s="38"/>
      <c r="H1149" s="38"/>
      <c r="I1149" s="38"/>
      <c r="J1149" s="38"/>
      <c r="K1149" s="38"/>
      <c r="L1149" s="38"/>
      <c r="M1149" s="38"/>
      <c r="N1149" s="38"/>
      <c r="O1149" s="38"/>
      <c r="P1149" s="38"/>
      <c r="Q1149" s="38"/>
      <c r="R1149" s="38"/>
      <c r="S1149" s="38"/>
      <c r="T1149" s="38"/>
      <c r="U1149" s="38"/>
      <c r="V1149" s="39"/>
    </row>
    <row r="1150" spans="2:22" s="37" customFormat="1" x14ac:dyDescent="0.2">
      <c r="B1150" s="92"/>
      <c r="C1150" s="93"/>
      <c r="D1150" s="38"/>
      <c r="E1150" s="38"/>
      <c r="F1150" s="38"/>
      <c r="G1150" s="38"/>
      <c r="H1150" s="38"/>
      <c r="I1150" s="38"/>
      <c r="J1150" s="38"/>
      <c r="K1150" s="38"/>
      <c r="L1150" s="38"/>
      <c r="M1150" s="38"/>
      <c r="N1150" s="38"/>
      <c r="O1150" s="38"/>
      <c r="P1150" s="38"/>
      <c r="Q1150" s="38"/>
      <c r="R1150" s="38"/>
      <c r="S1150" s="38"/>
      <c r="T1150" s="38"/>
      <c r="U1150" s="38"/>
      <c r="V1150" s="39"/>
    </row>
    <row r="1151" spans="2:22" s="37" customFormat="1" x14ac:dyDescent="0.2">
      <c r="B1151" s="92"/>
      <c r="C1151" s="93"/>
      <c r="D1151" s="38"/>
      <c r="E1151" s="38"/>
      <c r="F1151" s="38"/>
      <c r="G1151" s="38"/>
      <c r="H1151" s="38"/>
      <c r="I1151" s="38"/>
      <c r="J1151" s="38"/>
      <c r="K1151" s="38"/>
      <c r="L1151" s="38"/>
      <c r="M1151" s="38"/>
      <c r="N1151" s="38"/>
      <c r="O1151" s="38"/>
      <c r="P1151" s="38"/>
      <c r="Q1151" s="38"/>
      <c r="R1151" s="38"/>
      <c r="S1151" s="38"/>
      <c r="T1151" s="38"/>
      <c r="U1151" s="38"/>
      <c r="V1151" s="39"/>
    </row>
    <row r="1152" spans="2:22" s="37" customFormat="1" x14ac:dyDescent="0.2">
      <c r="B1152" s="92"/>
      <c r="C1152" s="93"/>
      <c r="D1152" s="38"/>
      <c r="E1152" s="38"/>
      <c r="F1152" s="38"/>
      <c r="G1152" s="38"/>
      <c r="H1152" s="38"/>
      <c r="I1152" s="38"/>
      <c r="J1152" s="38"/>
      <c r="K1152" s="38"/>
      <c r="L1152" s="38"/>
      <c r="M1152" s="38"/>
      <c r="N1152" s="38"/>
      <c r="O1152" s="38"/>
      <c r="P1152" s="38"/>
      <c r="Q1152" s="38"/>
      <c r="R1152" s="38"/>
      <c r="S1152" s="38"/>
      <c r="T1152" s="38"/>
      <c r="U1152" s="38"/>
      <c r="V1152" s="39"/>
    </row>
    <row r="1153" spans="2:22" s="37" customFormat="1" x14ac:dyDescent="0.2">
      <c r="B1153" s="92"/>
      <c r="C1153" s="93"/>
      <c r="D1153" s="38"/>
      <c r="E1153" s="38"/>
      <c r="F1153" s="38"/>
      <c r="G1153" s="38"/>
      <c r="H1153" s="38"/>
      <c r="I1153" s="38"/>
      <c r="J1153" s="38"/>
      <c r="K1153" s="38"/>
      <c r="L1153" s="38"/>
      <c r="M1153" s="38"/>
      <c r="N1153" s="38"/>
      <c r="O1153" s="38"/>
      <c r="P1153" s="38"/>
      <c r="Q1153" s="38"/>
      <c r="R1153" s="38"/>
      <c r="S1153" s="38"/>
      <c r="T1153" s="38"/>
      <c r="U1153" s="38"/>
      <c r="V1153" s="39"/>
    </row>
    <row r="1154" spans="2:22" s="37" customFormat="1" x14ac:dyDescent="0.2">
      <c r="B1154" s="92"/>
      <c r="C1154" s="93"/>
      <c r="D1154" s="38"/>
      <c r="E1154" s="38"/>
      <c r="F1154" s="38"/>
      <c r="G1154" s="38"/>
      <c r="H1154" s="38"/>
      <c r="I1154" s="38"/>
      <c r="J1154" s="38"/>
      <c r="K1154" s="38"/>
      <c r="L1154" s="38"/>
      <c r="M1154" s="38"/>
      <c r="N1154" s="38"/>
      <c r="O1154" s="38"/>
      <c r="P1154" s="38"/>
      <c r="Q1154" s="38"/>
      <c r="R1154" s="38"/>
      <c r="S1154" s="38"/>
      <c r="T1154" s="38"/>
      <c r="U1154" s="38"/>
      <c r="V1154" s="39"/>
    </row>
    <row r="1155" spans="2:22" s="37" customFormat="1" x14ac:dyDescent="0.2">
      <c r="B1155" s="92"/>
      <c r="C1155" s="93"/>
      <c r="D1155" s="38"/>
      <c r="E1155" s="38"/>
      <c r="F1155" s="38"/>
      <c r="G1155" s="38"/>
      <c r="H1155" s="38"/>
      <c r="I1155" s="38"/>
      <c r="J1155" s="38"/>
      <c r="K1155" s="38"/>
      <c r="L1155" s="38"/>
      <c r="M1155" s="38"/>
      <c r="N1155" s="38"/>
      <c r="O1155" s="38"/>
      <c r="P1155" s="38"/>
      <c r="Q1155" s="38"/>
      <c r="R1155" s="38"/>
      <c r="S1155" s="38"/>
      <c r="T1155" s="38"/>
      <c r="U1155" s="38"/>
      <c r="V1155" s="39"/>
    </row>
    <row r="1156" spans="2:22" s="37" customFormat="1" x14ac:dyDescent="0.2">
      <c r="B1156" s="92"/>
      <c r="C1156" s="93"/>
      <c r="D1156" s="38"/>
      <c r="E1156" s="38"/>
      <c r="F1156" s="38"/>
      <c r="G1156" s="38"/>
      <c r="H1156" s="38"/>
      <c r="I1156" s="38"/>
      <c r="J1156" s="38"/>
      <c r="K1156" s="38"/>
      <c r="L1156" s="38"/>
      <c r="M1156" s="38"/>
      <c r="N1156" s="38"/>
      <c r="O1156" s="38"/>
      <c r="P1156" s="38"/>
      <c r="Q1156" s="38"/>
      <c r="R1156" s="38"/>
      <c r="S1156" s="38"/>
      <c r="T1156" s="38"/>
      <c r="U1156" s="38"/>
      <c r="V1156" s="39"/>
    </row>
    <row r="1157" spans="2:22" s="37" customFormat="1" x14ac:dyDescent="0.2">
      <c r="B1157" s="92"/>
      <c r="C1157" s="93"/>
      <c r="D1157" s="38"/>
      <c r="E1157" s="38"/>
      <c r="F1157" s="38"/>
      <c r="G1157" s="38"/>
      <c r="H1157" s="38"/>
      <c r="I1157" s="38"/>
      <c r="J1157" s="38"/>
      <c r="K1157" s="38"/>
      <c r="L1157" s="38"/>
      <c r="M1157" s="38"/>
      <c r="N1157" s="38"/>
      <c r="O1157" s="38"/>
      <c r="P1157" s="38"/>
      <c r="Q1157" s="38"/>
      <c r="R1157" s="38"/>
      <c r="S1157" s="38"/>
      <c r="T1157" s="38"/>
      <c r="U1157" s="38"/>
      <c r="V1157" s="39"/>
    </row>
    <row r="1158" spans="2:22" s="37" customFormat="1" x14ac:dyDescent="0.2">
      <c r="B1158" s="92"/>
      <c r="C1158" s="93"/>
      <c r="D1158" s="38"/>
      <c r="E1158" s="38"/>
      <c r="F1158" s="38"/>
      <c r="G1158" s="38"/>
      <c r="H1158" s="38"/>
      <c r="I1158" s="38"/>
      <c r="J1158" s="38"/>
      <c r="K1158" s="38"/>
      <c r="L1158" s="38"/>
      <c r="M1158" s="38"/>
      <c r="N1158" s="38"/>
      <c r="O1158" s="38"/>
      <c r="P1158" s="38"/>
      <c r="Q1158" s="38"/>
      <c r="R1158" s="38"/>
      <c r="S1158" s="38"/>
      <c r="T1158" s="38"/>
      <c r="U1158" s="38"/>
      <c r="V1158" s="39"/>
    </row>
    <row r="1159" spans="2:22" s="37" customFormat="1" x14ac:dyDescent="0.2">
      <c r="B1159" s="92"/>
      <c r="C1159" s="93"/>
      <c r="D1159" s="38"/>
      <c r="E1159" s="38"/>
      <c r="F1159" s="38"/>
      <c r="G1159" s="38"/>
      <c r="H1159" s="38"/>
      <c r="I1159" s="38"/>
      <c r="J1159" s="38"/>
      <c r="K1159" s="38"/>
      <c r="L1159" s="38"/>
      <c r="M1159" s="38"/>
      <c r="N1159" s="38"/>
      <c r="O1159" s="38"/>
      <c r="P1159" s="38"/>
      <c r="Q1159" s="38"/>
      <c r="R1159" s="38"/>
      <c r="S1159" s="38"/>
      <c r="T1159" s="38"/>
      <c r="U1159" s="38"/>
      <c r="V1159" s="39"/>
    </row>
    <row r="1160" spans="2:22" s="37" customFormat="1" x14ac:dyDescent="0.2">
      <c r="B1160" s="92"/>
      <c r="C1160" s="93"/>
      <c r="D1160" s="38"/>
      <c r="E1160" s="38"/>
      <c r="F1160" s="38"/>
      <c r="G1160" s="38"/>
      <c r="H1160" s="38"/>
      <c r="I1160" s="38"/>
      <c r="J1160" s="38"/>
      <c r="K1160" s="38"/>
      <c r="L1160" s="38"/>
      <c r="M1160" s="38"/>
      <c r="N1160" s="38"/>
      <c r="O1160" s="38"/>
      <c r="P1160" s="38"/>
      <c r="Q1160" s="38"/>
      <c r="R1160" s="38"/>
      <c r="S1160" s="38"/>
      <c r="T1160" s="38"/>
      <c r="U1160" s="38"/>
      <c r="V1160" s="39"/>
    </row>
    <row r="1161" spans="2:22" s="37" customFormat="1" x14ac:dyDescent="0.2">
      <c r="B1161" s="92"/>
      <c r="C1161" s="93"/>
      <c r="D1161" s="38"/>
      <c r="E1161" s="38"/>
      <c r="F1161" s="38"/>
      <c r="G1161" s="38"/>
      <c r="H1161" s="38"/>
      <c r="I1161" s="38"/>
      <c r="J1161" s="38"/>
      <c r="K1161" s="38"/>
      <c r="L1161" s="38"/>
      <c r="M1161" s="38"/>
      <c r="N1161" s="38"/>
      <c r="O1161" s="38"/>
      <c r="P1161" s="38"/>
      <c r="Q1161" s="38"/>
      <c r="R1161" s="38"/>
      <c r="S1161" s="38"/>
      <c r="T1161" s="38"/>
      <c r="U1161" s="38"/>
      <c r="V1161" s="39"/>
    </row>
    <row r="1162" spans="2:22" s="37" customFormat="1" x14ac:dyDescent="0.2">
      <c r="B1162" s="92"/>
      <c r="C1162" s="93"/>
      <c r="D1162" s="38"/>
      <c r="E1162" s="38"/>
      <c r="F1162" s="38"/>
      <c r="G1162" s="38"/>
      <c r="H1162" s="38"/>
      <c r="I1162" s="38"/>
      <c r="J1162" s="38"/>
      <c r="K1162" s="38"/>
      <c r="L1162" s="38"/>
      <c r="M1162" s="38"/>
      <c r="N1162" s="38"/>
      <c r="O1162" s="38"/>
      <c r="P1162" s="38"/>
      <c r="Q1162" s="38"/>
      <c r="R1162" s="38"/>
      <c r="S1162" s="38"/>
      <c r="T1162" s="38"/>
      <c r="U1162" s="38"/>
      <c r="V1162" s="39"/>
    </row>
    <row r="1163" spans="2:22" s="37" customFormat="1" x14ac:dyDescent="0.2">
      <c r="B1163" s="92"/>
      <c r="C1163" s="93"/>
      <c r="D1163" s="38"/>
      <c r="E1163" s="38"/>
      <c r="F1163" s="38"/>
      <c r="G1163" s="38"/>
      <c r="H1163" s="38"/>
      <c r="I1163" s="38"/>
      <c r="J1163" s="38"/>
      <c r="K1163" s="38"/>
      <c r="L1163" s="38"/>
      <c r="M1163" s="38"/>
      <c r="N1163" s="38"/>
      <c r="O1163" s="38"/>
      <c r="P1163" s="38"/>
      <c r="Q1163" s="38"/>
      <c r="R1163" s="38"/>
      <c r="S1163" s="38"/>
      <c r="T1163" s="38"/>
      <c r="U1163" s="38"/>
      <c r="V1163" s="39"/>
    </row>
    <row r="1164" spans="2:22" s="37" customFormat="1" x14ac:dyDescent="0.2">
      <c r="B1164" s="92"/>
      <c r="C1164" s="93"/>
      <c r="D1164" s="38"/>
      <c r="E1164" s="38"/>
      <c r="F1164" s="38"/>
      <c r="G1164" s="38"/>
      <c r="H1164" s="38"/>
      <c r="I1164" s="38"/>
      <c r="J1164" s="38"/>
      <c r="K1164" s="38"/>
      <c r="L1164" s="38"/>
      <c r="M1164" s="38"/>
      <c r="N1164" s="38"/>
      <c r="O1164" s="38"/>
      <c r="P1164" s="38"/>
      <c r="Q1164" s="38"/>
      <c r="R1164" s="38"/>
      <c r="S1164" s="38"/>
      <c r="T1164" s="38"/>
      <c r="U1164" s="38"/>
      <c r="V1164" s="39"/>
    </row>
    <row r="1165" spans="2:22" s="37" customFormat="1" x14ac:dyDescent="0.2">
      <c r="B1165" s="92"/>
      <c r="C1165" s="93"/>
      <c r="D1165" s="38"/>
      <c r="E1165" s="38"/>
      <c r="F1165" s="38"/>
      <c r="G1165" s="38"/>
      <c r="H1165" s="38"/>
      <c r="I1165" s="38"/>
      <c r="J1165" s="38"/>
      <c r="K1165" s="38"/>
      <c r="L1165" s="38"/>
      <c r="M1165" s="38"/>
      <c r="N1165" s="38"/>
      <c r="O1165" s="38"/>
      <c r="P1165" s="38"/>
      <c r="Q1165" s="38"/>
      <c r="R1165" s="38"/>
      <c r="S1165" s="38"/>
      <c r="T1165" s="38"/>
      <c r="U1165" s="38"/>
      <c r="V1165" s="39"/>
    </row>
    <row r="1166" spans="2:22" s="37" customFormat="1" x14ac:dyDescent="0.2">
      <c r="B1166" s="92"/>
      <c r="C1166" s="93"/>
      <c r="D1166" s="38"/>
      <c r="E1166" s="38"/>
      <c r="F1166" s="38"/>
      <c r="G1166" s="38"/>
      <c r="H1166" s="38"/>
      <c r="I1166" s="38"/>
      <c r="J1166" s="38"/>
      <c r="K1166" s="38"/>
      <c r="L1166" s="38"/>
      <c r="M1166" s="38"/>
      <c r="N1166" s="38"/>
      <c r="O1166" s="38"/>
      <c r="P1166" s="38"/>
      <c r="Q1166" s="38"/>
      <c r="R1166" s="38"/>
      <c r="S1166" s="38"/>
      <c r="T1166" s="38"/>
      <c r="U1166" s="38"/>
      <c r="V1166" s="39"/>
    </row>
    <row r="1167" spans="2:22" s="37" customFormat="1" x14ac:dyDescent="0.2">
      <c r="B1167" s="92"/>
      <c r="C1167" s="93"/>
      <c r="D1167" s="38"/>
      <c r="E1167" s="38"/>
      <c r="F1167" s="38"/>
      <c r="G1167" s="38"/>
      <c r="H1167" s="38"/>
      <c r="I1167" s="38"/>
      <c r="J1167" s="38"/>
      <c r="K1167" s="38"/>
      <c r="L1167" s="38"/>
      <c r="M1167" s="38"/>
      <c r="N1167" s="38"/>
      <c r="O1167" s="38"/>
      <c r="P1167" s="38"/>
      <c r="Q1167" s="38"/>
      <c r="R1167" s="38"/>
      <c r="S1167" s="38"/>
      <c r="T1167" s="38"/>
      <c r="U1167" s="38"/>
      <c r="V1167" s="39"/>
    </row>
    <row r="1168" spans="2:22" s="37" customFormat="1" x14ac:dyDescent="0.2">
      <c r="B1168" s="92"/>
      <c r="C1168" s="93"/>
      <c r="D1168" s="38"/>
      <c r="E1168" s="38"/>
      <c r="F1168" s="38"/>
      <c r="G1168" s="38"/>
      <c r="H1168" s="38"/>
      <c r="I1168" s="38"/>
      <c r="J1168" s="38"/>
      <c r="K1168" s="38"/>
      <c r="L1168" s="38"/>
      <c r="M1168" s="38"/>
      <c r="N1168" s="38"/>
      <c r="O1168" s="38"/>
      <c r="P1168" s="38"/>
      <c r="Q1168" s="38"/>
      <c r="R1168" s="38"/>
      <c r="S1168" s="38"/>
      <c r="T1168" s="38"/>
      <c r="U1168" s="38"/>
      <c r="V1168" s="39"/>
    </row>
    <row r="1169" spans="2:22" s="37" customFormat="1" x14ac:dyDescent="0.2">
      <c r="B1169" s="92"/>
      <c r="C1169" s="93"/>
      <c r="D1169" s="38"/>
      <c r="E1169" s="38"/>
      <c r="F1169" s="38"/>
      <c r="G1169" s="38"/>
      <c r="H1169" s="38"/>
      <c r="I1169" s="38"/>
      <c r="J1169" s="38"/>
      <c r="K1169" s="38"/>
      <c r="L1169" s="38"/>
      <c r="M1169" s="38"/>
      <c r="N1169" s="38"/>
      <c r="O1169" s="38"/>
      <c r="P1169" s="38"/>
      <c r="Q1169" s="38"/>
      <c r="R1169" s="38"/>
      <c r="S1169" s="38"/>
      <c r="T1169" s="38"/>
      <c r="U1169" s="38"/>
      <c r="V1169" s="39"/>
    </row>
    <row r="1170" spans="2:22" s="37" customFormat="1" x14ac:dyDescent="0.2">
      <c r="B1170" s="92"/>
      <c r="C1170" s="93"/>
      <c r="D1170" s="38"/>
      <c r="E1170" s="38"/>
      <c r="F1170" s="38"/>
      <c r="G1170" s="38"/>
      <c r="H1170" s="38"/>
      <c r="I1170" s="38"/>
      <c r="J1170" s="38"/>
      <c r="K1170" s="38"/>
      <c r="L1170" s="38"/>
      <c r="M1170" s="38"/>
      <c r="N1170" s="38"/>
      <c r="O1170" s="38"/>
      <c r="P1170" s="38"/>
      <c r="Q1170" s="38"/>
      <c r="R1170" s="38"/>
      <c r="S1170" s="38"/>
      <c r="T1170" s="38"/>
      <c r="U1170" s="38"/>
      <c r="V1170" s="39"/>
    </row>
    <row r="1171" spans="2:22" s="37" customFormat="1" x14ac:dyDescent="0.2">
      <c r="B1171" s="92"/>
      <c r="C1171" s="93"/>
      <c r="D1171" s="38"/>
      <c r="E1171" s="38"/>
      <c r="F1171" s="38"/>
      <c r="G1171" s="38"/>
      <c r="H1171" s="38"/>
      <c r="I1171" s="38"/>
      <c r="J1171" s="38"/>
      <c r="K1171" s="38"/>
      <c r="L1171" s="38"/>
      <c r="M1171" s="38"/>
      <c r="N1171" s="38"/>
      <c r="O1171" s="38"/>
      <c r="P1171" s="38"/>
      <c r="Q1171" s="38"/>
      <c r="R1171" s="38"/>
      <c r="S1171" s="38"/>
      <c r="T1171" s="38"/>
      <c r="U1171" s="38"/>
      <c r="V1171" s="39"/>
    </row>
    <row r="1172" spans="2:22" s="37" customFormat="1" x14ac:dyDescent="0.2">
      <c r="B1172" s="92"/>
      <c r="C1172" s="93"/>
      <c r="D1172" s="38"/>
      <c r="E1172" s="38"/>
      <c r="F1172" s="38"/>
      <c r="G1172" s="38"/>
      <c r="H1172" s="38"/>
      <c r="I1172" s="38"/>
      <c r="J1172" s="38"/>
      <c r="K1172" s="38"/>
      <c r="L1172" s="38"/>
      <c r="M1172" s="38"/>
      <c r="N1172" s="38"/>
      <c r="O1172" s="38"/>
      <c r="P1172" s="38"/>
      <c r="Q1172" s="38"/>
      <c r="R1172" s="38"/>
      <c r="S1172" s="38"/>
      <c r="T1172" s="38"/>
      <c r="U1172" s="38"/>
      <c r="V1172" s="39"/>
    </row>
    <row r="1173" spans="2:22" s="37" customFormat="1" x14ac:dyDescent="0.2">
      <c r="B1173" s="92"/>
      <c r="C1173" s="93"/>
      <c r="D1173" s="38"/>
      <c r="E1173" s="38"/>
      <c r="F1173" s="38"/>
      <c r="G1173" s="38"/>
      <c r="H1173" s="38"/>
      <c r="I1173" s="38"/>
      <c r="J1173" s="38"/>
      <c r="K1173" s="38"/>
      <c r="L1173" s="38"/>
      <c r="M1173" s="38"/>
      <c r="N1173" s="38"/>
      <c r="O1173" s="38"/>
      <c r="P1173" s="38"/>
      <c r="Q1173" s="38"/>
      <c r="R1173" s="38"/>
      <c r="S1173" s="38"/>
      <c r="T1173" s="38"/>
      <c r="U1173" s="38"/>
      <c r="V1173" s="39"/>
    </row>
    <row r="1174" spans="2:22" s="37" customFormat="1" x14ac:dyDescent="0.2">
      <c r="B1174" s="92"/>
      <c r="C1174" s="93"/>
      <c r="D1174" s="38"/>
      <c r="E1174" s="38"/>
      <c r="F1174" s="38"/>
      <c r="G1174" s="38"/>
      <c r="H1174" s="38"/>
      <c r="I1174" s="38"/>
      <c r="J1174" s="38"/>
      <c r="K1174" s="38"/>
      <c r="L1174" s="38"/>
      <c r="M1174" s="38"/>
      <c r="N1174" s="38"/>
      <c r="O1174" s="38"/>
      <c r="P1174" s="38"/>
      <c r="Q1174" s="38"/>
      <c r="R1174" s="38"/>
      <c r="S1174" s="38"/>
      <c r="T1174" s="38"/>
      <c r="U1174" s="38"/>
      <c r="V1174" s="39"/>
    </row>
    <row r="1175" spans="2:22" s="37" customFormat="1" x14ac:dyDescent="0.2">
      <c r="B1175" s="92"/>
      <c r="C1175" s="93"/>
      <c r="D1175" s="38"/>
      <c r="E1175" s="38"/>
      <c r="F1175" s="38"/>
      <c r="G1175" s="38"/>
      <c r="H1175" s="38"/>
      <c r="I1175" s="38"/>
      <c r="J1175" s="38"/>
      <c r="K1175" s="38"/>
      <c r="L1175" s="38"/>
      <c r="M1175" s="38"/>
      <c r="N1175" s="38"/>
      <c r="O1175" s="38"/>
      <c r="P1175" s="38"/>
      <c r="Q1175" s="38"/>
      <c r="R1175" s="38"/>
      <c r="S1175" s="38"/>
      <c r="T1175" s="38"/>
      <c r="U1175" s="38"/>
      <c r="V1175" s="39"/>
    </row>
    <row r="1176" spans="2:22" s="37" customFormat="1" x14ac:dyDescent="0.2">
      <c r="B1176" s="92"/>
      <c r="C1176" s="93"/>
      <c r="D1176" s="38"/>
      <c r="E1176" s="38"/>
      <c r="F1176" s="38"/>
      <c r="G1176" s="38"/>
      <c r="H1176" s="38"/>
      <c r="I1176" s="38"/>
      <c r="J1176" s="38"/>
      <c r="K1176" s="38"/>
      <c r="L1176" s="38"/>
      <c r="M1176" s="38"/>
      <c r="N1176" s="38"/>
      <c r="O1176" s="38"/>
      <c r="P1176" s="38"/>
      <c r="Q1176" s="38"/>
      <c r="R1176" s="38"/>
      <c r="S1176" s="38"/>
      <c r="T1176" s="38"/>
      <c r="U1176" s="38"/>
      <c r="V1176" s="39"/>
    </row>
    <row r="1177" spans="2:22" s="37" customFormat="1" x14ac:dyDescent="0.2">
      <c r="B1177" s="92"/>
      <c r="C1177" s="93"/>
      <c r="D1177" s="38"/>
      <c r="E1177" s="38"/>
      <c r="F1177" s="38"/>
      <c r="G1177" s="38"/>
      <c r="H1177" s="38"/>
      <c r="I1177" s="38"/>
      <c r="J1177" s="38"/>
      <c r="K1177" s="38"/>
      <c r="L1177" s="38"/>
      <c r="M1177" s="38"/>
      <c r="N1177" s="38"/>
      <c r="O1177" s="38"/>
      <c r="P1177" s="38"/>
      <c r="Q1177" s="38"/>
      <c r="R1177" s="38"/>
      <c r="S1177" s="38"/>
      <c r="T1177" s="38"/>
      <c r="U1177" s="38"/>
      <c r="V1177" s="39"/>
    </row>
    <row r="1178" spans="2:22" s="37" customFormat="1" x14ac:dyDescent="0.2">
      <c r="B1178" s="92"/>
      <c r="C1178" s="93"/>
      <c r="D1178" s="38"/>
      <c r="E1178" s="38"/>
      <c r="F1178" s="38"/>
      <c r="G1178" s="38"/>
      <c r="H1178" s="38"/>
      <c r="I1178" s="38"/>
      <c r="J1178" s="38"/>
      <c r="K1178" s="38"/>
      <c r="L1178" s="38"/>
      <c r="M1178" s="38"/>
      <c r="N1178" s="38"/>
      <c r="O1178" s="38"/>
      <c r="P1178" s="38"/>
      <c r="Q1178" s="38"/>
      <c r="R1178" s="38"/>
      <c r="S1178" s="38"/>
      <c r="T1178" s="38"/>
      <c r="U1178" s="38"/>
      <c r="V1178" s="39"/>
    </row>
    <row r="1179" spans="2:22" s="37" customFormat="1" x14ac:dyDescent="0.2">
      <c r="B1179" s="92"/>
      <c r="C1179" s="93"/>
      <c r="D1179" s="38"/>
      <c r="E1179" s="38"/>
      <c r="F1179" s="38"/>
      <c r="G1179" s="38"/>
      <c r="H1179" s="38"/>
      <c r="I1179" s="38"/>
      <c r="J1179" s="38"/>
      <c r="K1179" s="38"/>
      <c r="L1179" s="38"/>
      <c r="M1179" s="38"/>
      <c r="N1179" s="38"/>
      <c r="O1179" s="38"/>
      <c r="P1179" s="38"/>
      <c r="Q1179" s="38"/>
      <c r="R1179" s="38"/>
      <c r="S1179" s="38"/>
      <c r="T1179" s="38"/>
      <c r="U1179" s="38"/>
      <c r="V1179" s="39"/>
    </row>
    <row r="1180" spans="2:22" s="37" customFormat="1" x14ac:dyDescent="0.2">
      <c r="B1180" s="92"/>
      <c r="C1180" s="93"/>
      <c r="D1180" s="38"/>
      <c r="E1180" s="38"/>
      <c r="F1180" s="38"/>
      <c r="G1180" s="38"/>
      <c r="H1180" s="38"/>
      <c r="I1180" s="38"/>
      <c r="J1180" s="38"/>
      <c r="K1180" s="38"/>
      <c r="L1180" s="38"/>
      <c r="M1180" s="38"/>
      <c r="N1180" s="38"/>
      <c r="O1180" s="38"/>
      <c r="P1180" s="38"/>
      <c r="Q1180" s="38"/>
      <c r="R1180" s="38"/>
      <c r="S1180" s="38"/>
      <c r="T1180" s="38"/>
      <c r="U1180" s="38"/>
      <c r="V1180" s="39"/>
    </row>
    <row r="1181" spans="2:22" s="37" customFormat="1" x14ac:dyDescent="0.2">
      <c r="B1181" s="92"/>
      <c r="C1181" s="93"/>
      <c r="D1181" s="38"/>
      <c r="E1181" s="38"/>
      <c r="F1181" s="38"/>
      <c r="G1181" s="38"/>
      <c r="H1181" s="38"/>
      <c r="I1181" s="38"/>
      <c r="J1181" s="38"/>
      <c r="K1181" s="38"/>
      <c r="L1181" s="38"/>
      <c r="M1181" s="38"/>
      <c r="N1181" s="38"/>
      <c r="O1181" s="38"/>
      <c r="P1181" s="38"/>
      <c r="Q1181" s="38"/>
      <c r="R1181" s="38"/>
      <c r="S1181" s="38"/>
      <c r="T1181" s="38"/>
      <c r="U1181" s="38"/>
      <c r="V1181" s="39"/>
    </row>
    <row r="1182" spans="2:22" s="37" customFormat="1" x14ac:dyDescent="0.2">
      <c r="B1182" s="92"/>
      <c r="C1182" s="93"/>
      <c r="D1182" s="38"/>
      <c r="E1182" s="38"/>
      <c r="F1182" s="38"/>
      <c r="G1182" s="38"/>
      <c r="H1182" s="38"/>
      <c r="I1182" s="38"/>
      <c r="J1182" s="38"/>
      <c r="K1182" s="38"/>
      <c r="L1182" s="38"/>
      <c r="M1182" s="38"/>
      <c r="N1182" s="38"/>
      <c r="O1182" s="38"/>
      <c r="P1182" s="38"/>
      <c r="Q1182" s="38"/>
      <c r="R1182" s="38"/>
      <c r="S1182" s="38"/>
      <c r="T1182" s="38"/>
      <c r="U1182" s="38"/>
      <c r="V1182" s="39"/>
    </row>
    <row r="1183" spans="2:22" s="37" customFormat="1" x14ac:dyDescent="0.2">
      <c r="B1183" s="92"/>
      <c r="C1183" s="93"/>
      <c r="D1183" s="38"/>
      <c r="E1183" s="38"/>
      <c r="F1183" s="38"/>
      <c r="G1183" s="38"/>
      <c r="H1183" s="38"/>
      <c r="I1183" s="38"/>
      <c r="J1183" s="38"/>
      <c r="K1183" s="38"/>
      <c r="L1183" s="38"/>
      <c r="M1183" s="38"/>
      <c r="N1183" s="38"/>
      <c r="O1183" s="38"/>
      <c r="P1183" s="38"/>
      <c r="Q1183" s="38"/>
      <c r="R1183" s="38"/>
      <c r="S1183" s="38"/>
      <c r="T1183" s="38"/>
      <c r="U1183" s="38"/>
      <c r="V1183" s="39"/>
    </row>
    <row r="1184" spans="2:22" s="37" customFormat="1" x14ac:dyDescent="0.2">
      <c r="B1184" s="92"/>
      <c r="C1184" s="93"/>
      <c r="D1184" s="38"/>
      <c r="E1184" s="38"/>
      <c r="F1184" s="38"/>
      <c r="G1184" s="38"/>
      <c r="H1184" s="38"/>
      <c r="I1184" s="38"/>
      <c r="J1184" s="38"/>
      <c r="K1184" s="38"/>
      <c r="L1184" s="38"/>
      <c r="M1184" s="38"/>
      <c r="N1184" s="38"/>
      <c r="O1184" s="38"/>
      <c r="P1184" s="38"/>
      <c r="Q1184" s="38"/>
      <c r="R1184" s="38"/>
      <c r="S1184" s="38"/>
      <c r="T1184" s="38"/>
      <c r="U1184" s="38"/>
      <c r="V1184" s="39"/>
    </row>
    <row r="1185" spans="2:22" s="37" customFormat="1" x14ac:dyDescent="0.2">
      <c r="B1185" s="92"/>
      <c r="C1185" s="93"/>
      <c r="D1185" s="38"/>
      <c r="E1185" s="38"/>
      <c r="F1185" s="38"/>
      <c r="G1185" s="38"/>
      <c r="H1185" s="38"/>
      <c r="I1185" s="38"/>
      <c r="J1185" s="38"/>
      <c r="K1185" s="38"/>
      <c r="L1185" s="38"/>
      <c r="M1185" s="38"/>
      <c r="N1185" s="38"/>
      <c r="O1185" s="38"/>
      <c r="P1185" s="38"/>
      <c r="Q1185" s="38"/>
      <c r="R1185" s="38"/>
      <c r="S1185" s="38"/>
      <c r="T1185" s="38"/>
      <c r="U1185" s="38"/>
      <c r="V1185" s="39"/>
    </row>
    <row r="1186" spans="2:22" s="37" customFormat="1" x14ac:dyDescent="0.2">
      <c r="B1186" s="92"/>
      <c r="C1186" s="93"/>
      <c r="D1186" s="38"/>
      <c r="E1186" s="38"/>
      <c r="F1186" s="38"/>
      <c r="G1186" s="38"/>
      <c r="H1186" s="38"/>
      <c r="I1186" s="38"/>
      <c r="J1186" s="38"/>
      <c r="K1186" s="38"/>
      <c r="L1186" s="38"/>
      <c r="M1186" s="38"/>
      <c r="N1186" s="38"/>
      <c r="O1186" s="38"/>
      <c r="P1186" s="38"/>
      <c r="Q1186" s="38"/>
      <c r="R1186" s="38"/>
      <c r="S1186" s="38"/>
      <c r="T1186" s="38"/>
      <c r="U1186" s="38"/>
      <c r="V1186" s="39"/>
    </row>
    <row r="1187" spans="2:22" s="37" customFormat="1" x14ac:dyDescent="0.2">
      <c r="B1187" s="92"/>
      <c r="C1187" s="93"/>
      <c r="D1187" s="38"/>
      <c r="E1187" s="38"/>
      <c r="F1187" s="38"/>
      <c r="G1187" s="38"/>
      <c r="H1187" s="38"/>
      <c r="I1187" s="38"/>
      <c r="J1187" s="38"/>
      <c r="K1187" s="38"/>
      <c r="L1187" s="38"/>
      <c r="M1187" s="38"/>
      <c r="N1187" s="38"/>
      <c r="O1187" s="38"/>
      <c r="P1187" s="38"/>
      <c r="Q1187" s="38"/>
      <c r="R1187" s="38"/>
      <c r="S1187" s="38"/>
      <c r="T1187" s="38"/>
      <c r="U1187" s="38"/>
      <c r="V1187" s="39"/>
    </row>
    <row r="1188" spans="2:22" s="37" customFormat="1" x14ac:dyDescent="0.2">
      <c r="B1188" s="92"/>
      <c r="C1188" s="93"/>
      <c r="D1188" s="38"/>
      <c r="E1188" s="38"/>
      <c r="F1188" s="38"/>
      <c r="G1188" s="38"/>
      <c r="H1188" s="38"/>
      <c r="I1188" s="38"/>
      <c r="J1188" s="38"/>
      <c r="K1188" s="38"/>
      <c r="L1188" s="38"/>
      <c r="M1188" s="38"/>
      <c r="N1188" s="38"/>
      <c r="O1188" s="38"/>
      <c r="P1188" s="38"/>
      <c r="Q1188" s="38"/>
      <c r="R1188" s="38"/>
      <c r="S1188" s="38"/>
      <c r="T1188" s="38"/>
      <c r="U1188" s="38"/>
      <c r="V1188" s="39"/>
    </row>
    <row r="1189" spans="2:22" s="37" customFormat="1" x14ac:dyDescent="0.2">
      <c r="B1189" s="92"/>
      <c r="C1189" s="93"/>
      <c r="D1189" s="38"/>
      <c r="E1189" s="38"/>
      <c r="F1189" s="38"/>
      <c r="G1189" s="38"/>
      <c r="H1189" s="38"/>
      <c r="I1189" s="38"/>
      <c r="J1189" s="38"/>
      <c r="K1189" s="38"/>
      <c r="L1189" s="38"/>
      <c r="M1189" s="38"/>
      <c r="N1189" s="38"/>
      <c r="O1189" s="38"/>
      <c r="P1189" s="38"/>
      <c r="Q1189" s="38"/>
      <c r="R1189" s="38"/>
      <c r="S1189" s="38"/>
      <c r="T1189" s="38"/>
      <c r="U1189" s="38"/>
      <c r="V1189" s="39"/>
    </row>
    <row r="1190" spans="2:22" s="37" customFormat="1" x14ac:dyDescent="0.2">
      <c r="B1190" s="92"/>
      <c r="C1190" s="93"/>
      <c r="D1190" s="38"/>
      <c r="E1190" s="38"/>
      <c r="F1190" s="38"/>
      <c r="G1190" s="38"/>
      <c r="H1190" s="38"/>
      <c r="I1190" s="38"/>
      <c r="J1190" s="38"/>
      <c r="K1190" s="38"/>
      <c r="L1190" s="38"/>
      <c r="M1190" s="38"/>
      <c r="N1190" s="38"/>
      <c r="O1190" s="38"/>
      <c r="P1190" s="38"/>
      <c r="Q1190" s="38"/>
      <c r="R1190" s="38"/>
      <c r="S1190" s="38"/>
      <c r="T1190" s="38"/>
      <c r="U1190" s="38"/>
      <c r="V1190" s="39"/>
    </row>
    <row r="1191" spans="2:22" s="37" customFormat="1" x14ac:dyDescent="0.2">
      <c r="B1191" s="92"/>
      <c r="C1191" s="93"/>
      <c r="D1191" s="38"/>
      <c r="E1191" s="38"/>
      <c r="F1191" s="38"/>
      <c r="G1191" s="38"/>
      <c r="H1191" s="38"/>
      <c r="I1191" s="38"/>
      <c r="J1191" s="38"/>
      <c r="K1191" s="38"/>
      <c r="L1191" s="38"/>
      <c r="M1191" s="38"/>
      <c r="N1191" s="38"/>
      <c r="O1191" s="38"/>
      <c r="P1191" s="38"/>
      <c r="Q1191" s="38"/>
      <c r="R1191" s="38"/>
      <c r="S1191" s="38"/>
      <c r="T1191" s="38"/>
      <c r="U1191" s="38"/>
      <c r="V1191" s="39"/>
    </row>
    <row r="1192" spans="2:22" s="37" customFormat="1" x14ac:dyDescent="0.2">
      <c r="B1192" s="92"/>
      <c r="C1192" s="93"/>
      <c r="D1192" s="38"/>
      <c r="E1192" s="38"/>
      <c r="F1192" s="38"/>
      <c r="G1192" s="38"/>
      <c r="H1192" s="38"/>
      <c r="I1192" s="38"/>
      <c r="J1192" s="38"/>
      <c r="K1192" s="38"/>
      <c r="L1192" s="38"/>
      <c r="M1192" s="38"/>
      <c r="N1192" s="38"/>
      <c r="O1192" s="38"/>
      <c r="P1192" s="38"/>
      <c r="Q1192" s="38"/>
      <c r="R1192" s="38"/>
      <c r="S1192" s="38"/>
      <c r="T1192" s="38"/>
      <c r="U1192" s="38"/>
      <c r="V1192" s="39"/>
    </row>
    <row r="1193" spans="2:22" s="37" customFormat="1" x14ac:dyDescent="0.2">
      <c r="B1193" s="92"/>
      <c r="C1193" s="93"/>
      <c r="D1193" s="38"/>
      <c r="E1193" s="38"/>
      <c r="F1193" s="38"/>
      <c r="G1193" s="38"/>
      <c r="H1193" s="38"/>
      <c r="I1193" s="38"/>
      <c r="J1193" s="38"/>
      <c r="K1193" s="38"/>
      <c r="L1193" s="38"/>
      <c r="M1193" s="38"/>
      <c r="N1193" s="38"/>
      <c r="O1193" s="38"/>
      <c r="P1193" s="38"/>
      <c r="Q1193" s="38"/>
      <c r="R1193" s="38"/>
      <c r="S1193" s="38"/>
      <c r="T1193" s="38"/>
      <c r="U1193" s="38"/>
      <c r="V1193" s="39"/>
    </row>
    <row r="1194" spans="2:22" s="37" customFormat="1" x14ac:dyDescent="0.2">
      <c r="B1194" s="92"/>
      <c r="C1194" s="93"/>
      <c r="D1194" s="38"/>
      <c r="E1194" s="38"/>
      <c r="F1194" s="38"/>
      <c r="G1194" s="38"/>
      <c r="H1194" s="38"/>
      <c r="I1194" s="38"/>
      <c r="J1194" s="38"/>
      <c r="K1194" s="38"/>
      <c r="L1194" s="38"/>
      <c r="M1194" s="38"/>
      <c r="N1194" s="38"/>
      <c r="O1194" s="38"/>
      <c r="P1194" s="38"/>
      <c r="Q1194" s="38"/>
      <c r="R1194" s="38"/>
      <c r="S1194" s="38"/>
      <c r="T1194" s="38"/>
      <c r="U1194" s="38"/>
      <c r="V1194" s="39"/>
    </row>
    <row r="1195" spans="2:22" s="37" customFormat="1" x14ac:dyDescent="0.2">
      <c r="B1195" s="92"/>
      <c r="C1195" s="93"/>
      <c r="D1195" s="38"/>
      <c r="E1195" s="38"/>
      <c r="F1195" s="38"/>
      <c r="G1195" s="38"/>
      <c r="H1195" s="38"/>
      <c r="I1195" s="38"/>
      <c r="J1195" s="38"/>
      <c r="K1195" s="38"/>
      <c r="L1195" s="38"/>
      <c r="M1195" s="38"/>
      <c r="N1195" s="38"/>
      <c r="O1195" s="38"/>
      <c r="P1195" s="38"/>
      <c r="Q1195" s="38"/>
      <c r="R1195" s="38"/>
      <c r="S1195" s="38"/>
      <c r="T1195" s="38"/>
      <c r="U1195" s="38"/>
      <c r="V1195" s="39"/>
    </row>
    <row r="1196" spans="2:22" s="37" customFormat="1" x14ac:dyDescent="0.2">
      <c r="B1196" s="92"/>
      <c r="C1196" s="93"/>
      <c r="D1196" s="38"/>
      <c r="E1196" s="38"/>
      <c r="F1196" s="38"/>
      <c r="G1196" s="38"/>
      <c r="H1196" s="38"/>
      <c r="I1196" s="38"/>
      <c r="J1196" s="38"/>
      <c r="K1196" s="38"/>
      <c r="L1196" s="38"/>
      <c r="M1196" s="38"/>
      <c r="N1196" s="38"/>
      <c r="O1196" s="38"/>
      <c r="P1196" s="38"/>
      <c r="Q1196" s="38"/>
      <c r="R1196" s="38"/>
      <c r="S1196" s="38"/>
      <c r="T1196" s="38"/>
      <c r="U1196" s="38"/>
      <c r="V1196" s="39"/>
    </row>
    <row r="1197" spans="2:22" s="37" customFormat="1" x14ac:dyDescent="0.2">
      <c r="B1197" s="92"/>
      <c r="C1197" s="93"/>
      <c r="D1197" s="38"/>
      <c r="E1197" s="38"/>
      <c r="F1197" s="38"/>
      <c r="G1197" s="38"/>
      <c r="H1197" s="38"/>
      <c r="I1197" s="38"/>
      <c r="J1197" s="38"/>
      <c r="K1197" s="38"/>
      <c r="L1197" s="38"/>
      <c r="M1197" s="38"/>
      <c r="N1197" s="38"/>
      <c r="O1197" s="38"/>
      <c r="P1197" s="38"/>
      <c r="Q1197" s="38"/>
      <c r="R1197" s="38"/>
      <c r="S1197" s="38"/>
      <c r="T1197" s="38"/>
      <c r="U1197" s="38"/>
      <c r="V1197" s="39"/>
    </row>
    <row r="1198" spans="2:22" s="37" customFormat="1" x14ac:dyDescent="0.2">
      <c r="B1198" s="92"/>
      <c r="C1198" s="93"/>
      <c r="D1198" s="38"/>
      <c r="E1198" s="38"/>
      <c r="F1198" s="38"/>
      <c r="G1198" s="38"/>
      <c r="H1198" s="38"/>
      <c r="I1198" s="38"/>
      <c r="J1198" s="38"/>
      <c r="K1198" s="38"/>
      <c r="L1198" s="38"/>
      <c r="M1198" s="38"/>
      <c r="N1198" s="38"/>
      <c r="O1198" s="38"/>
      <c r="P1198" s="38"/>
      <c r="Q1198" s="38"/>
      <c r="R1198" s="38"/>
      <c r="S1198" s="38"/>
      <c r="T1198" s="38"/>
      <c r="U1198" s="38"/>
      <c r="V1198" s="39"/>
    </row>
    <row r="1199" spans="2:22" s="37" customFormat="1" x14ac:dyDescent="0.2">
      <c r="B1199" s="92"/>
      <c r="C1199" s="93"/>
      <c r="D1199" s="38"/>
      <c r="E1199" s="38"/>
      <c r="F1199" s="38"/>
      <c r="G1199" s="38"/>
      <c r="H1199" s="38"/>
      <c r="I1199" s="38"/>
      <c r="J1199" s="38"/>
      <c r="K1199" s="38"/>
      <c r="L1199" s="38"/>
      <c r="M1199" s="38"/>
      <c r="N1199" s="38"/>
      <c r="O1199" s="38"/>
      <c r="P1199" s="38"/>
      <c r="Q1199" s="38"/>
      <c r="R1199" s="38"/>
      <c r="S1199" s="38"/>
      <c r="T1199" s="38"/>
      <c r="U1199" s="38"/>
      <c r="V1199" s="39"/>
    </row>
    <row r="1200" spans="2:22" s="37" customFormat="1" x14ac:dyDescent="0.2">
      <c r="B1200" s="92"/>
      <c r="C1200" s="93"/>
      <c r="D1200" s="38"/>
      <c r="E1200" s="38"/>
      <c r="F1200" s="38"/>
      <c r="G1200" s="38"/>
      <c r="H1200" s="38"/>
      <c r="I1200" s="38"/>
      <c r="J1200" s="38"/>
      <c r="K1200" s="38"/>
      <c r="L1200" s="38"/>
      <c r="M1200" s="38"/>
      <c r="N1200" s="38"/>
      <c r="O1200" s="38"/>
      <c r="P1200" s="38"/>
      <c r="Q1200" s="38"/>
      <c r="R1200" s="38"/>
      <c r="S1200" s="38"/>
      <c r="T1200" s="38"/>
      <c r="U1200" s="38"/>
      <c r="V1200" s="39"/>
    </row>
    <row r="1201" spans="2:22" s="37" customFormat="1" x14ac:dyDescent="0.2">
      <c r="B1201" s="92"/>
      <c r="C1201" s="93"/>
      <c r="D1201" s="38"/>
      <c r="E1201" s="38"/>
      <c r="F1201" s="38"/>
      <c r="G1201" s="38"/>
      <c r="H1201" s="38"/>
      <c r="I1201" s="38"/>
      <c r="J1201" s="38"/>
      <c r="K1201" s="38"/>
      <c r="L1201" s="38"/>
      <c r="M1201" s="38"/>
      <c r="N1201" s="38"/>
      <c r="O1201" s="38"/>
      <c r="P1201" s="38"/>
      <c r="Q1201" s="38"/>
      <c r="R1201" s="38"/>
      <c r="S1201" s="38"/>
      <c r="T1201" s="38"/>
      <c r="U1201" s="38"/>
      <c r="V1201" s="39"/>
    </row>
    <row r="1202" spans="2:22" s="37" customFormat="1" x14ac:dyDescent="0.2">
      <c r="B1202" s="92"/>
      <c r="C1202" s="93"/>
      <c r="D1202" s="38"/>
      <c r="E1202" s="38"/>
      <c r="F1202" s="38"/>
      <c r="G1202" s="38"/>
      <c r="H1202" s="38"/>
      <c r="I1202" s="38"/>
      <c r="J1202" s="38"/>
      <c r="K1202" s="38"/>
      <c r="L1202" s="38"/>
      <c r="M1202" s="38"/>
      <c r="N1202" s="38"/>
      <c r="O1202" s="38"/>
      <c r="P1202" s="38"/>
      <c r="Q1202" s="38"/>
      <c r="R1202" s="38"/>
      <c r="S1202" s="38"/>
      <c r="T1202" s="38"/>
      <c r="U1202" s="38"/>
      <c r="V1202" s="39"/>
    </row>
    <row r="1203" spans="2:22" s="37" customFormat="1" x14ac:dyDescent="0.2">
      <c r="B1203" s="92"/>
      <c r="C1203" s="93"/>
      <c r="D1203" s="38"/>
      <c r="E1203" s="38"/>
      <c r="F1203" s="38"/>
      <c r="G1203" s="38"/>
      <c r="H1203" s="38"/>
      <c r="I1203" s="38"/>
      <c r="J1203" s="38"/>
      <c r="K1203" s="38"/>
      <c r="L1203" s="38"/>
      <c r="M1203" s="38"/>
      <c r="N1203" s="38"/>
      <c r="O1203" s="38"/>
      <c r="P1203" s="38"/>
      <c r="Q1203" s="38"/>
      <c r="R1203" s="38"/>
      <c r="S1203" s="38"/>
      <c r="T1203" s="38"/>
      <c r="U1203" s="38"/>
      <c r="V1203" s="39"/>
    </row>
    <row r="1204" spans="2:22" s="37" customFormat="1" x14ac:dyDescent="0.2">
      <c r="B1204" s="92"/>
      <c r="C1204" s="93"/>
      <c r="D1204" s="38"/>
      <c r="E1204" s="38"/>
      <c r="F1204" s="38"/>
      <c r="G1204" s="38"/>
      <c r="H1204" s="38"/>
      <c r="I1204" s="38"/>
      <c r="J1204" s="38"/>
      <c r="K1204" s="38"/>
      <c r="L1204" s="38"/>
      <c r="M1204" s="38"/>
      <c r="N1204" s="38"/>
      <c r="O1204" s="38"/>
      <c r="P1204" s="38"/>
      <c r="Q1204" s="38"/>
      <c r="R1204" s="38"/>
      <c r="S1204" s="38"/>
      <c r="T1204" s="38"/>
      <c r="U1204" s="38"/>
      <c r="V1204" s="39"/>
    </row>
    <row r="1205" spans="2:22" s="37" customFormat="1" x14ac:dyDescent="0.2">
      <c r="B1205" s="92"/>
      <c r="C1205" s="93"/>
      <c r="D1205" s="38"/>
      <c r="E1205" s="38"/>
      <c r="F1205" s="38"/>
      <c r="G1205" s="38"/>
      <c r="H1205" s="38"/>
      <c r="I1205" s="38"/>
      <c r="J1205" s="38"/>
      <c r="K1205" s="38"/>
      <c r="L1205" s="38"/>
      <c r="M1205" s="38"/>
      <c r="N1205" s="38"/>
      <c r="O1205" s="38"/>
      <c r="P1205" s="38"/>
      <c r="Q1205" s="38"/>
      <c r="R1205" s="38"/>
      <c r="S1205" s="38"/>
      <c r="T1205" s="38"/>
      <c r="U1205" s="38"/>
      <c r="V1205" s="39"/>
    </row>
    <row r="1206" spans="2:22" s="37" customFormat="1" x14ac:dyDescent="0.2">
      <c r="B1206" s="92"/>
      <c r="C1206" s="93"/>
      <c r="D1206" s="38"/>
      <c r="E1206" s="38"/>
      <c r="F1206" s="38"/>
      <c r="G1206" s="38"/>
      <c r="H1206" s="38"/>
      <c r="I1206" s="38"/>
      <c r="J1206" s="38"/>
      <c r="K1206" s="38"/>
      <c r="L1206" s="38"/>
      <c r="M1206" s="38"/>
      <c r="N1206" s="38"/>
      <c r="O1206" s="38"/>
      <c r="P1206" s="38"/>
      <c r="Q1206" s="38"/>
      <c r="R1206" s="38"/>
      <c r="S1206" s="38"/>
      <c r="T1206" s="38"/>
      <c r="U1206" s="38"/>
      <c r="V1206" s="39"/>
    </row>
    <row r="1207" spans="2:22" s="37" customFormat="1" x14ac:dyDescent="0.2">
      <c r="B1207" s="92"/>
      <c r="C1207" s="93"/>
      <c r="D1207" s="38"/>
      <c r="E1207" s="38"/>
      <c r="F1207" s="38"/>
      <c r="G1207" s="38"/>
      <c r="H1207" s="38"/>
      <c r="I1207" s="38"/>
      <c r="J1207" s="38"/>
      <c r="K1207" s="38"/>
      <c r="L1207" s="38"/>
      <c r="M1207" s="38"/>
      <c r="N1207" s="38"/>
      <c r="O1207" s="38"/>
      <c r="P1207" s="38"/>
      <c r="Q1207" s="38"/>
      <c r="R1207" s="38"/>
      <c r="S1207" s="38"/>
      <c r="T1207" s="38"/>
      <c r="U1207" s="38"/>
      <c r="V1207" s="39"/>
    </row>
    <row r="1208" spans="2:22" s="37" customFormat="1" x14ac:dyDescent="0.2">
      <c r="B1208" s="92"/>
      <c r="C1208" s="93"/>
      <c r="D1208" s="38"/>
      <c r="E1208" s="38"/>
      <c r="F1208" s="38"/>
      <c r="G1208" s="38"/>
      <c r="H1208" s="38"/>
      <c r="I1208" s="38"/>
      <c r="J1208" s="38"/>
      <c r="K1208" s="38"/>
      <c r="L1208" s="38"/>
      <c r="M1208" s="38"/>
      <c r="N1208" s="38"/>
      <c r="O1208" s="38"/>
      <c r="P1208" s="38"/>
      <c r="Q1208" s="38"/>
      <c r="R1208" s="38"/>
      <c r="S1208" s="38"/>
      <c r="T1208" s="38"/>
      <c r="U1208" s="38"/>
      <c r="V1208" s="39"/>
    </row>
    <row r="1209" spans="2:22" s="37" customFormat="1" x14ac:dyDescent="0.2">
      <c r="B1209" s="92"/>
      <c r="C1209" s="93"/>
      <c r="D1209" s="38"/>
      <c r="E1209" s="38"/>
      <c r="F1209" s="38"/>
      <c r="G1209" s="38"/>
      <c r="H1209" s="38"/>
      <c r="I1209" s="38"/>
      <c r="J1209" s="38"/>
      <c r="K1209" s="38"/>
      <c r="L1209" s="38"/>
      <c r="M1209" s="38"/>
      <c r="N1209" s="38"/>
      <c r="O1209" s="38"/>
      <c r="P1209" s="38"/>
      <c r="Q1209" s="38"/>
      <c r="R1209" s="38"/>
      <c r="S1209" s="38"/>
      <c r="T1209" s="38"/>
      <c r="U1209" s="38"/>
      <c r="V1209" s="39"/>
    </row>
    <row r="1210" spans="2:22" s="37" customFormat="1" x14ac:dyDescent="0.2">
      <c r="B1210" s="92"/>
      <c r="C1210" s="93"/>
      <c r="D1210" s="38"/>
      <c r="E1210" s="38"/>
      <c r="F1210" s="38"/>
      <c r="G1210" s="38"/>
      <c r="H1210" s="38"/>
      <c r="I1210" s="38"/>
      <c r="J1210" s="38"/>
      <c r="K1210" s="38"/>
      <c r="L1210" s="38"/>
      <c r="M1210" s="38"/>
      <c r="N1210" s="38"/>
      <c r="O1210" s="38"/>
      <c r="P1210" s="38"/>
      <c r="Q1210" s="38"/>
      <c r="R1210" s="38"/>
      <c r="S1210" s="38"/>
      <c r="T1210" s="38"/>
      <c r="U1210" s="38"/>
      <c r="V1210" s="39"/>
    </row>
    <row r="1211" spans="2:22" s="37" customFormat="1" x14ac:dyDescent="0.2">
      <c r="B1211" s="92"/>
      <c r="C1211" s="93"/>
      <c r="D1211" s="38"/>
      <c r="E1211" s="38"/>
      <c r="F1211" s="38"/>
      <c r="G1211" s="38"/>
      <c r="H1211" s="38"/>
      <c r="I1211" s="38"/>
      <c r="J1211" s="38"/>
      <c r="K1211" s="38"/>
      <c r="L1211" s="38"/>
      <c r="M1211" s="38"/>
      <c r="N1211" s="38"/>
      <c r="O1211" s="38"/>
      <c r="P1211" s="38"/>
      <c r="Q1211" s="38"/>
      <c r="R1211" s="38"/>
      <c r="S1211" s="38"/>
      <c r="T1211" s="38"/>
      <c r="U1211" s="38"/>
      <c r="V1211" s="39"/>
    </row>
    <row r="1212" spans="2:22" s="37" customFormat="1" x14ac:dyDescent="0.2">
      <c r="B1212" s="92"/>
      <c r="C1212" s="93"/>
      <c r="D1212" s="38"/>
      <c r="E1212" s="38"/>
      <c r="F1212" s="38"/>
      <c r="G1212" s="38"/>
      <c r="H1212" s="38"/>
      <c r="I1212" s="38"/>
      <c r="J1212" s="38"/>
      <c r="K1212" s="38"/>
      <c r="L1212" s="38"/>
      <c r="M1212" s="38"/>
      <c r="N1212" s="38"/>
      <c r="O1212" s="38"/>
      <c r="P1212" s="38"/>
      <c r="Q1212" s="38"/>
      <c r="R1212" s="38"/>
      <c r="S1212" s="38"/>
      <c r="T1212" s="38"/>
      <c r="U1212" s="38"/>
      <c r="V1212" s="39"/>
    </row>
    <row r="1213" spans="2:22" s="37" customFormat="1" x14ac:dyDescent="0.2">
      <c r="B1213" s="92"/>
      <c r="C1213" s="93"/>
      <c r="D1213" s="38"/>
      <c r="E1213" s="38"/>
      <c r="F1213" s="38"/>
      <c r="G1213" s="38"/>
      <c r="H1213" s="38"/>
      <c r="I1213" s="38"/>
      <c r="J1213" s="38"/>
      <c r="K1213" s="38"/>
      <c r="L1213" s="38"/>
      <c r="M1213" s="38"/>
      <c r="N1213" s="38"/>
      <c r="O1213" s="38"/>
      <c r="P1213" s="38"/>
      <c r="Q1213" s="38"/>
      <c r="R1213" s="38"/>
      <c r="S1213" s="38"/>
      <c r="T1213" s="38"/>
      <c r="U1213" s="38"/>
      <c r="V1213" s="39"/>
    </row>
    <row r="1214" spans="2:22" s="37" customFormat="1" x14ac:dyDescent="0.2">
      <c r="B1214" s="92"/>
      <c r="C1214" s="93"/>
      <c r="D1214" s="38"/>
      <c r="E1214" s="38"/>
      <c r="F1214" s="38"/>
      <c r="G1214" s="38"/>
      <c r="H1214" s="38"/>
      <c r="I1214" s="38"/>
      <c r="J1214" s="38"/>
      <c r="K1214" s="38"/>
      <c r="L1214" s="38"/>
      <c r="M1214" s="38"/>
      <c r="N1214" s="38"/>
      <c r="O1214" s="38"/>
      <c r="P1214" s="38"/>
      <c r="Q1214" s="38"/>
      <c r="R1214" s="38"/>
      <c r="S1214" s="38"/>
      <c r="T1214" s="38"/>
      <c r="U1214" s="38"/>
      <c r="V1214" s="39"/>
    </row>
    <row r="1215" spans="2:22" s="37" customFormat="1" x14ac:dyDescent="0.2">
      <c r="B1215" s="92"/>
      <c r="C1215" s="93"/>
      <c r="D1215" s="38"/>
      <c r="E1215" s="38"/>
      <c r="F1215" s="38"/>
      <c r="G1215" s="38"/>
      <c r="H1215" s="38"/>
      <c r="I1215" s="38"/>
      <c r="J1215" s="38"/>
      <c r="K1215" s="38"/>
      <c r="L1215" s="38"/>
      <c r="M1215" s="38"/>
      <c r="N1215" s="38"/>
      <c r="O1215" s="38"/>
      <c r="P1215" s="38"/>
      <c r="Q1215" s="38"/>
      <c r="R1215" s="38"/>
      <c r="S1215" s="38"/>
      <c r="T1215" s="38"/>
      <c r="U1215" s="38"/>
      <c r="V1215" s="39"/>
    </row>
    <row r="1216" spans="2:22" s="37" customFormat="1" x14ac:dyDescent="0.2">
      <c r="B1216" s="92"/>
      <c r="C1216" s="93"/>
      <c r="D1216" s="38"/>
      <c r="E1216" s="38"/>
      <c r="F1216" s="38"/>
      <c r="G1216" s="38"/>
      <c r="H1216" s="38"/>
      <c r="I1216" s="38"/>
      <c r="J1216" s="38"/>
      <c r="K1216" s="38"/>
      <c r="L1216" s="38"/>
      <c r="M1216" s="38"/>
      <c r="N1216" s="38"/>
      <c r="O1216" s="38"/>
      <c r="P1216" s="38"/>
      <c r="Q1216" s="38"/>
      <c r="R1216" s="38"/>
      <c r="S1216" s="38"/>
      <c r="T1216" s="38"/>
      <c r="U1216" s="38"/>
      <c r="V1216" s="39"/>
    </row>
    <row r="1217" spans="2:22" s="37" customFormat="1" x14ac:dyDescent="0.2">
      <c r="B1217" s="92"/>
      <c r="C1217" s="93"/>
      <c r="D1217" s="38"/>
      <c r="E1217" s="38"/>
      <c r="F1217" s="38"/>
      <c r="G1217" s="38"/>
      <c r="H1217" s="38"/>
      <c r="I1217" s="38"/>
      <c r="J1217" s="38"/>
      <c r="K1217" s="38"/>
      <c r="L1217" s="38"/>
      <c r="M1217" s="38"/>
      <c r="N1217" s="38"/>
      <c r="O1217" s="38"/>
      <c r="P1217" s="38"/>
      <c r="Q1217" s="38"/>
      <c r="R1217" s="38"/>
      <c r="S1217" s="38"/>
      <c r="T1217" s="38"/>
      <c r="U1217" s="38"/>
      <c r="V1217" s="39"/>
    </row>
    <row r="1218" spans="2:22" s="37" customFormat="1" x14ac:dyDescent="0.2">
      <c r="B1218" s="92"/>
      <c r="C1218" s="93"/>
      <c r="D1218" s="38"/>
      <c r="E1218" s="38"/>
      <c r="F1218" s="38"/>
      <c r="G1218" s="38"/>
      <c r="H1218" s="38"/>
      <c r="I1218" s="38"/>
      <c r="J1218" s="38"/>
      <c r="K1218" s="38"/>
      <c r="L1218" s="38"/>
      <c r="M1218" s="38"/>
      <c r="N1218" s="38"/>
      <c r="O1218" s="38"/>
      <c r="P1218" s="38"/>
      <c r="Q1218" s="38"/>
      <c r="R1218" s="38"/>
      <c r="S1218" s="38"/>
      <c r="T1218" s="38"/>
      <c r="U1218" s="38"/>
      <c r="V1218" s="39"/>
    </row>
    <row r="1219" spans="2:22" s="37" customFormat="1" x14ac:dyDescent="0.2">
      <c r="B1219" s="92"/>
      <c r="C1219" s="93"/>
      <c r="D1219" s="38"/>
      <c r="E1219" s="38"/>
      <c r="F1219" s="38"/>
      <c r="G1219" s="38"/>
      <c r="H1219" s="38"/>
      <c r="I1219" s="38"/>
      <c r="J1219" s="38"/>
      <c r="K1219" s="38"/>
      <c r="L1219" s="38"/>
      <c r="M1219" s="38"/>
      <c r="N1219" s="38"/>
      <c r="O1219" s="38"/>
      <c r="P1219" s="38"/>
      <c r="Q1219" s="38"/>
      <c r="R1219" s="38"/>
      <c r="S1219" s="38"/>
      <c r="T1219" s="38"/>
      <c r="U1219" s="38"/>
      <c r="V1219" s="39"/>
    </row>
    <row r="1220" spans="2:22" s="37" customFormat="1" x14ac:dyDescent="0.2">
      <c r="B1220" s="92"/>
      <c r="C1220" s="93"/>
      <c r="D1220" s="38"/>
      <c r="E1220" s="38"/>
      <c r="F1220" s="38"/>
      <c r="G1220" s="38"/>
      <c r="H1220" s="38"/>
      <c r="I1220" s="38"/>
      <c r="J1220" s="38"/>
      <c r="K1220" s="38"/>
      <c r="L1220" s="38"/>
      <c r="M1220" s="38"/>
      <c r="N1220" s="38"/>
      <c r="O1220" s="38"/>
      <c r="P1220" s="38"/>
      <c r="Q1220" s="38"/>
      <c r="R1220" s="38"/>
      <c r="S1220" s="38"/>
      <c r="T1220" s="38"/>
      <c r="U1220" s="38"/>
      <c r="V1220" s="39"/>
    </row>
    <row r="1221" spans="2:22" s="37" customFormat="1" x14ac:dyDescent="0.2">
      <c r="B1221" s="92"/>
      <c r="C1221" s="93"/>
      <c r="D1221" s="38"/>
      <c r="E1221" s="38"/>
      <c r="F1221" s="38"/>
      <c r="G1221" s="38"/>
      <c r="H1221" s="38"/>
      <c r="I1221" s="38"/>
      <c r="J1221" s="38"/>
      <c r="K1221" s="38"/>
      <c r="L1221" s="38"/>
      <c r="M1221" s="38"/>
      <c r="N1221" s="38"/>
      <c r="O1221" s="38"/>
      <c r="P1221" s="38"/>
      <c r="Q1221" s="38"/>
      <c r="R1221" s="38"/>
      <c r="S1221" s="38"/>
      <c r="T1221" s="38"/>
      <c r="U1221" s="38"/>
      <c r="V1221" s="39"/>
    </row>
    <row r="1222" spans="2:22" s="37" customFormat="1" x14ac:dyDescent="0.2">
      <c r="B1222" s="92"/>
      <c r="C1222" s="93"/>
      <c r="D1222" s="38"/>
      <c r="E1222" s="38"/>
      <c r="F1222" s="38"/>
      <c r="G1222" s="38"/>
      <c r="H1222" s="38"/>
      <c r="I1222" s="38"/>
      <c r="J1222" s="38"/>
      <c r="K1222" s="38"/>
      <c r="L1222" s="38"/>
      <c r="M1222" s="38"/>
      <c r="N1222" s="38"/>
      <c r="O1222" s="38"/>
      <c r="P1222" s="38"/>
      <c r="Q1222" s="38"/>
      <c r="R1222" s="38"/>
      <c r="S1222" s="38"/>
      <c r="T1222" s="38"/>
      <c r="U1222" s="38"/>
      <c r="V1222" s="39"/>
    </row>
    <row r="1223" spans="2:22" s="37" customFormat="1" x14ac:dyDescent="0.2">
      <c r="B1223" s="92"/>
      <c r="C1223" s="93"/>
      <c r="D1223" s="38"/>
      <c r="E1223" s="38"/>
      <c r="F1223" s="38"/>
      <c r="G1223" s="38"/>
      <c r="H1223" s="38"/>
      <c r="I1223" s="38"/>
      <c r="J1223" s="38"/>
      <c r="K1223" s="38"/>
      <c r="L1223" s="38"/>
      <c r="M1223" s="38"/>
      <c r="N1223" s="38"/>
      <c r="O1223" s="38"/>
      <c r="P1223" s="38"/>
      <c r="Q1223" s="38"/>
      <c r="R1223" s="38"/>
      <c r="S1223" s="38"/>
      <c r="T1223" s="38"/>
      <c r="U1223" s="38"/>
      <c r="V1223" s="39"/>
    </row>
    <row r="1224" spans="2:22" s="37" customFormat="1" x14ac:dyDescent="0.2">
      <c r="B1224" s="92"/>
      <c r="C1224" s="93"/>
      <c r="D1224" s="38"/>
      <c r="E1224" s="38"/>
      <c r="F1224" s="38"/>
      <c r="G1224" s="38"/>
      <c r="H1224" s="38"/>
      <c r="I1224" s="38"/>
      <c r="J1224" s="38"/>
      <c r="K1224" s="38"/>
      <c r="L1224" s="38"/>
      <c r="M1224" s="38"/>
      <c r="N1224" s="38"/>
      <c r="O1224" s="38"/>
      <c r="P1224" s="38"/>
      <c r="Q1224" s="38"/>
      <c r="R1224" s="38"/>
      <c r="S1224" s="38"/>
      <c r="T1224" s="38"/>
      <c r="U1224" s="38"/>
      <c r="V1224" s="39"/>
    </row>
    <row r="1225" spans="2:22" s="37" customFormat="1" x14ac:dyDescent="0.2">
      <c r="B1225" s="92"/>
      <c r="C1225" s="93"/>
      <c r="D1225" s="38"/>
      <c r="E1225" s="38"/>
      <c r="F1225" s="38"/>
      <c r="G1225" s="38"/>
      <c r="H1225" s="38"/>
      <c r="I1225" s="38"/>
      <c r="J1225" s="38"/>
      <c r="K1225" s="38"/>
      <c r="L1225" s="38"/>
      <c r="M1225" s="38"/>
      <c r="N1225" s="38"/>
      <c r="O1225" s="38"/>
      <c r="P1225" s="38"/>
      <c r="Q1225" s="38"/>
      <c r="R1225" s="38"/>
      <c r="S1225" s="38"/>
      <c r="T1225" s="38"/>
      <c r="U1225" s="38"/>
      <c r="V1225" s="39"/>
    </row>
    <row r="1226" spans="2:22" s="37" customFormat="1" x14ac:dyDescent="0.2">
      <c r="B1226" s="92"/>
      <c r="C1226" s="93"/>
      <c r="D1226" s="38"/>
      <c r="E1226" s="38"/>
      <c r="F1226" s="38"/>
      <c r="G1226" s="38"/>
      <c r="H1226" s="38"/>
      <c r="I1226" s="38"/>
      <c r="J1226" s="38"/>
      <c r="K1226" s="38"/>
      <c r="L1226" s="38"/>
      <c r="M1226" s="38"/>
      <c r="N1226" s="38"/>
      <c r="O1226" s="38"/>
      <c r="P1226" s="38"/>
      <c r="Q1226" s="38"/>
      <c r="R1226" s="38"/>
      <c r="S1226" s="38"/>
      <c r="T1226" s="38"/>
      <c r="U1226" s="38"/>
      <c r="V1226" s="39"/>
    </row>
    <row r="1227" spans="2:22" s="37" customFormat="1" x14ac:dyDescent="0.2">
      <c r="B1227" s="92"/>
      <c r="C1227" s="93"/>
      <c r="D1227" s="38"/>
      <c r="E1227" s="38"/>
      <c r="F1227" s="38"/>
      <c r="G1227" s="38"/>
      <c r="H1227" s="38"/>
      <c r="I1227" s="38"/>
      <c r="J1227" s="38"/>
      <c r="K1227" s="38"/>
      <c r="L1227" s="38"/>
      <c r="M1227" s="38"/>
      <c r="N1227" s="38"/>
      <c r="O1227" s="38"/>
      <c r="P1227" s="38"/>
      <c r="Q1227" s="38"/>
      <c r="R1227" s="38"/>
      <c r="S1227" s="38"/>
      <c r="T1227" s="38"/>
      <c r="U1227" s="38"/>
      <c r="V1227" s="39"/>
    </row>
    <row r="1228" spans="2:22" s="37" customFormat="1" x14ac:dyDescent="0.2">
      <c r="B1228" s="92"/>
      <c r="C1228" s="93"/>
      <c r="D1228" s="38"/>
      <c r="E1228" s="38"/>
      <c r="F1228" s="38"/>
      <c r="G1228" s="38"/>
      <c r="H1228" s="38"/>
      <c r="I1228" s="38"/>
      <c r="J1228" s="38"/>
      <c r="K1228" s="38"/>
      <c r="L1228" s="38"/>
      <c r="M1228" s="38"/>
      <c r="N1228" s="38"/>
      <c r="O1228" s="38"/>
      <c r="P1228" s="38"/>
      <c r="Q1228" s="38"/>
      <c r="R1228" s="38"/>
      <c r="S1228" s="38"/>
      <c r="T1228" s="38"/>
      <c r="U1228" s="38"/>
      <c r="V1228" s="39"/>
    </row>
    <row r="1229" spans="2:22" s="37" customFormat="1" x14ac:dyDescent="0.2">
      <c r="B1229" s="92"/>
      <c r="C1229" s="93"/>
      <c r="D1229" s="38"/>
      <c r="E1229" s="38"/>
      <c r="F1229" s="38"/>
      <c r="G1229" s="38"/>
      <c r="H1229" s="38"/>
      <c r="I1229" s="38"/>
      <c r="J1229" s="38"/>
      <c r="K1229" s="38"/>
      <c r="L1229" s="38"/>
      <c r="M1229" s="38"/>
      <c r="N1229" s="38"/>
      <c r="O1229" s="38"/>
      <c r="P1229" s="38"/>
      <c r="Q1229" s="38"/>
      <c r="R1229" s="38"/>
      <c r="S1229" s="38"/>
      <c r="T1229" s="38"/>
      <c r="U1229" s="38"/>
      <c r="V1229" s="39"/>
    </row>
    <row r="1230" spans="2:22" s="37" customFormat="1" x14ac:dyDescent="0.2">
      <c r="B1230" s="92"/>
      <c r="C1230" s="93"/>
      <c r="D1230" s="38"/>
      <c r="E1230" s="38"/>
      <c r="F1230" s="38"/>
      <c r="G1230" s="38"/>
      <c r="H1230" s="38"/>
      <c r="I1230" s="38"/>
      <c r="J1230" s="38"/>
      <c r="K1230" s="38"/>
      <c r="L1230" s="38"/>
      <c r="M1230" s="38"/>
      <c r="N1230" s="38"/>
      <c r="O1230" s="38"/>
      <c r="P1230" s="38"/>
      <c r="Q1230" s="38"/>
      <c r="R1230" s="38"/>
      <c r="S1230" s="38"/>
      <c r="T1230" s="38"/>
      <c r="U1230" s="38"/>
      <c r="V1230" s="39"/>
    </row>
    <row r="1231" spans="2:22" s="37" customFormat="1" x14ac:dyDescent="0.2">
      <c r="B1231" s="92"/>
      <c r="C1231" s="93"/>
      <c r="D1231" s="38"/>
      <c r="E1231" s="38"/>
      <c r="F1231" s="38"/>
      <c r="G1231" s="38"/>
      <c r="H1231" s="38"/>
      <c r="I1231" s="38"/>
      <c r="J1231" s="38"/>
      <c r="K1231" s="38"/>
      <c r="L1231" s="38"/>
      <c r="M1231" s="38"/>
      <c r="N1231" s="38"/>
      <c r="O1231" s="38"/>
      <c r="P1231" s="38"/>
      <c r="Q1231" s="38"/>
      <c r="R1231" s="38"/>
      <c r="S1231" s="38"/>
      <c r="T1231" s="38"/>
      <c r="U1231" s="38"/>
      <c r="V1231" s="39"/>
    </row>
    <row r="1232" spans="2:22" s="37" customFormat="1" x14ac:dyDescent="0.2">
      <c r="B1232" s="92"/>
      <c r="C1232" s="93"/>
      <c r="D1232" s="38"/>
      <c r="E1232" s="38"/>
      <c r="F1232" s="38"/>
      <c r="G1232" s="38"/>
      <c r="H1232" s="38"/>
      <c r="I1232" s="38"/>
      <c r="J1232" s="38"/>
      <c r="K1232" s="38"/>
      <c r="L1232" s="38"/>
      <c r="M1232" s="38"/>
      <c r="N1232" s="38"/>
      <c r="O1232" s="38"/>
      <c r="P1232" s="38"/>
      <c r="Q1232" s="38"/>
      <c r="R1232" s="38"/>
      <c r="S1232" s="38"/>
      <c r="T1232" s="38"/>
      <c r="U1232" s="38"/>
      <c r="V1232" s="39"/>
    </row>
    <row r="1233" spans="2:22" s="37" customFormat="1" x14ac:dyDescent="0.2">
      <c r="B1233" s="92"/>
      <c r="C1233" s="93"/>
      <c r="D1233" s="38"/>
      <c r="E1233" s="38"/>
      <c r="F1233" s="38"/>
      <c r="G1233" s="38"/>
      <c r="H1233" s="38"/>
      <c r="I1233" s="38"/>
      <c r="J1233" s="38"/>
      <c r="K1233" s="38"/>
      <c r="L1233" s="38"/>
      <c r="M1233" s="38"/>
      <c r="N1233" s="38"/>
      <c r="O1233" s="38"/>
      <c r="P1233" s="38"/>
      <c r="Q1233" s="38"/>
      <c r="R1233" s="38"/>
      <c r="S1233" s="38"/>
      <c r="T1233" s="38"/>
      <c r="U1233" s="38"/>
      <c r="V1233" s="39"/>
    </row>
    <row r="1234" spans="2:22" s="37" customFormat="1" x14ac:dyDescent="0.2">
      <c r="B1234" s="92"/>
      <c r="C1234" s="93"/>
      <c r="D1234" s="38"/>
      <c r="E1234" s="38"/>
      <c r="F1234" s="38"/>
      <c r="G1234" s="38"/>
      <c r="H1234" s="38"/>
      <c r="I1234" s="38"/>
      <c r="J1234" s="38"/>
      <c r="K1234" s="38"/>
      <c r="L1234" s="38"/>
      <c r="M1234" s="38"/>
      <c r="N1234" s="38"/>
      <c r="O1234" s="38"/>
      <c r="P1234" s="38"/>
      <c r="Q1234" s="38"/>
      <c r="R1234" s="38"/>
      <c r="S1234" s="38"/>
      <c r="T1234" s="38"/>
      <c r="U1234" s="38"/>
      <c r="V1234" s="39"/>
    </row>
    <row r="1235" spans="2:22" s="37" customFormat="1" x14ac:dyDescent="0.2">
      <c r="B1235" s="92"/>
      <c r="C1235" s="93"/>
      <c r="D1235" s="38"/>
      <c r="E1235" s="38"/>
      <c r="F1235" s="38"/>
      <c r="G1235" s="38"/>
      <c r="H1235" s="38"/>
      <c r="I1235" s="38"/>
      <c r="J1235" s="38"/>
      <c r="K1235" s="38"/>
      <c r="L1235" s="38"/>
      <c r="M1235" s="38"/>
      <c r="N1235" s="38"/>
      <c r="O1235" s="38"/>
      <c r="P1235" s="38"/>
      <c r="Q1235" s="38"/>
      <c r="R1235" s="38"/>
      <c r="S1235" s="38"/>
      <c r="T1235" s="38"/>
      <c r="U1235" s="38"/>
      <c r="V1235" s="39"/>
    </row>
    <row r="1236" spans="2:22" s="37" customFormat="1" x14ac:dyDescent="0.2">
      <c r="B1236" s="92"/>
      <c r="C1236" s="93"/>
      <c r="D1236" s="38"/>
      <c r="E1236" s="38"/>
      <c r="F1236" s="38"/>
      <c r="G1236" s="38"/>
      <c r="H1236" s="38"/>
      <c r="I1236" s="38"/>
      <c r="J1236" s="38"/>
      <c r="K1236" s="38"/>
      <c r="L1236" s="38"/>
      <c r="M1236" s="38"/>
      <c r="N1236" s="38"/>
      <c r="O1236" s="38"/>
      <c r="P1236" s="38"/>
      <c r="Q1236" s="38"/>
      <c r="R1236" s="38"/>
      <c r="S1236" s="38"/>
      <c r="T1236" s="38"/>
      <c r="U1236" s="38"/>
      <c r="V1236" s="39"/>
    </row>
    <row r="1237" spans="2:22" s="37" customFormat="1" x14ac:dyDescent="0.2">
      <c r="B1237" s="92"/>
      <c r="C1237" s="93"/>
      <c r="D1237" s="38"/>
      <c r="E1237" s="38"/>
      <c r="F1237" s="38"/>
      <c r="G1237" s="38"/>
      <c r="H1237" s="38"/>
      <c r="I1237" s="38"/>
      <c r="J1237" s="38"/>
      <c r="K1237" s="38"/>
      <c r="L1237" s="38"/>
      <c r="M1237" s="38"/>
      <c r="N1237" s="38"/>
      <c r="O1237" s="38"/>
      <c r="P1237" s="38"/>
      <c r="Q1237" s="38"/>
      <c r="R1237" s="38"/>
      <c r="S1237" s="38"/>
      <c r="T1237" s="38"/>
      <c r="U1237" s="38"/>
      <c r="V1237" s="39"/>
    </row>
    <row r="1238" spans="2:22" s="37" customFormat="1" x14ac:dyDescent="0.2">
      <c r="B1238" s="92"/>
      <c r="C1238" s="93"/>
      <c r="D1238" s="38"/>
      <c r="E1238" s="38"/>
      <c r="F1238" s="38"/>
      <c r="G1238" s="38"/>
      <c r="H1238" s="38"/>
      <c r="I1238" s="38"/>
      <c r="J1238" s="38"/>
      <c r="K1238" s="38"/>
      <c r="L1238" s="38"/>
      <c r="M1238" s="38"/>
      <c r="N1238" s="38"/>
      <c r="O1238" s="38"/>
      <c r="P1238" s="38"/>
      <c r="Q1238" s="38"/>
      <c r="R1238" s="38"/>
      <c r="S1238" s="38"/>
      <c r="T1238" s="38"/>
      <c r="U1238" s="38"/>
      <c r="V1238" s="39"/>
    </row>
    <row r="1239" spans="2:22" s="37" customFormat="1" x14ac:dyDescent="0.2">
      <c r="B1239" s="92"/>
      <c r="C1239" s="93"/>
      <c r="D1239" s="38"/>
      <c r="E1239" s="38"/>
      <c r="F1239" s="38"/>
      <c r="G1239" s="38"/>
      <c r="H1239" s="38"/>
      <c r="I1239" s="38"/>
      <c r="J1239" s="38"/>
      <c r="K1239" s="38"/>
      <c r="L1239" s="38"/>
      <c r="M1239" s="38"/>
      <c r="N1239" s="38"/>
      <c r="O1239" s="38"/>
      <c r="P1239" s="38"/>
      <c r="Q1239" s="38"/>
      <c r="R1239" s="38"/>
      <c r="S1239" s="38"/>
      <c r="T1239" s="38"/>
      <c r="U1239" s="38"/>
      <c r="V1239" s="39"/>
    </row>
    <row r="1240" spans="2:22" s="37" customFormat="1" x14ac:dyDescent="0.2">
      <c r="B1240" s="92"/>
      <c r="C1240" s="93"/>
      <c r="D1240" s="38"/>
      <c r="E1240" s="38"/>
      <c r="F1240" s="38"/>
      <c r="G1240" s="38"/>
      <c r="H1240" s="38"/>
      <c r="I1240" s="38"/>
      <c r="J1240" s="38"/>
      <c r="K1240" s="38"/>
      <c r="L1240" s="38"/>
      <c r="M1240" s="38"/>
      <c r="N1240" s="38"/>
      <c r="O1240" s="38"/>
      <c r="P1240" s="38"/>
      <c r="Q1240" s="38"/>
      <c r="R1240" s="38"/>
      <c r="S1240" s="38"/>
      <c r="T1240" s="38"/>
      <c r="U1240" s="38"/>
      <c r="V1240" s="39"/>
    </row>
    <row r="1241" spans="2:22" s="37" customFormat="1" x14ac:dyDescent="0.2">
      <c r="B1241" s="92"/>
      <c r="C1241" s="93"/>
      <c r="D1241" s="38"/>
      <c r="E1241" s="38"/>
      <c r="F1241" s="38"/>
      <c r="G1241" s="38"/>
      <c r="H1241" s="38"/>
      <c r="I1241" s="38"/>
      <c r="J1241" s="38"/>
      <c r="K1241" s="38"/>
      <c r="L1241" s="38"/>
      <c r="M1241" s="38"/>
      <c r="N1241" s="38"/>
      <c r="O1241" s="38"/>
      <c r="P1241" s="38"/>
      <c r="Q1241" s="38"/>
      <c r="R1241" s="38"/>
      <c r="S1241" s="38"/>
      <c r="T1241" s="38"/>
      <c r="U1241" s="38"/>
      <c r="V1241" s="39"/>
    </row>
    <row r="1242" spans="2:22" s="37" customFormat="1" x14ac:dyDescent="0.2">
      <c r="B1242" s="92"/>
      <c r="C1242" s="93"/>
      <c r="D1242" s="38"/>
      <c r="E1242" s="38"/>
      <c r="F1242" s="38"/>
      <c r="G1242" s="38"/>
      <c r="H1242" s="38"/>
      <c r="I1242" s="38"/>
      <c r="J1242" s="38"/>
      <c r="K1242" s="38"/>
      <c r="L1242" s="38"/>
      <c r="M1242" s="38"/>
      <c r="N1242" s="38"/>
      <c r="O1242" s="38"/>
      <c r="P1242" s="38"/>
      <c r="Q1242" s="38"/>
      <c r="R1242" s="38"/>
      <c r="S1242" s="38"/>
      <c r="T1242" s="38"/>
      <c r="U1242" s="38"/>
      <c r="V1242" s="39"/>
    </row>
    <row r="1243" spans="2:22" s="37" customFormat="1" x14ac:dyDescent="0.2">
      <c r="B1243" s="92"/>
      <c r="C1243" s="93"/>
      <c r="D1243" s="38"/>
      <c r="E1243" s="38"/>
      <c r="F1243" s="38"/>
      <c r="G1243" s="38"/>
      <c r="H1243" s="38"/>
      <c r="I1243" s="38"/>
      <c r="J1243" s="38"/>
      <c r="K1243" s="38"/>
      <c r="L1243" s="38"/>
      <c r="M1243" s="38"/>
      <c r="N1243" s="38"/>
      <c r="O1243" s="38"/>
      <c r="P1243" s="38"/>
      <c r="Q1243" s="38"/>
      <c r="R1243" s="38"/>
      <c r="S1243" s="38"/>
      <c r="T1243" s="38"/>
      <c r="U1243" s="38"/>
      <c r="V1243" s="39"/>
    </row>
    <row r="1244" spans="2:22" s="37" customFormat="1" x14ac:dyDescent="0.2">
      <c r="B1244" s="92"/>
      <c r="C1244" s="93"/>
      <c r="D1244" s="38"/>
      <c r="E1244" s="38"/>
      <c r="F1244" s="38"/>
      <c r="G1244" s="38"/>
      <c r="H1244" s="38"/>
      <c r="I1244" s="38"/>
      <c r="J1244" s="38"/>
      <c r="K1244" s="38"/>
      <c r="L1244" s="38"/>
      <c r="M1244" s="38"/>
      <c r="N1244" s="38"/>
      <c r="O1244" s="38"/>
      <c r="P1244" s="38"/>
      <c r="Q1244" s="38"/>
      <c r="R1244" s="38"/>
      <c r="S1244" s="38"/>
      <c r="T1244" s="38"/>
      <c r="U1244" s="38"/>
      <c r="V1244" s="39"/>
    </row>
    <row r="1245" spans="2:22" s="37" customFormat="1" x14ac:dyDescent="0.2">
      <c r="B1245" s="92"/>
      <c r="C1245" s="93"/>
      <c r="D1245" s="38"/>
      <c r="E1245" s="38"/>
      <c r="F1245" s="38"/>
      <c r="G1245" s="38"/>
      <c r="H1245" s="38"/>
      <c r="I1245" s="38"/>
      <c r="J1245" s="38"/>
      <c r="K1245" s="38"/>
      <c r="L1245" s="38"/>
      <c r="M1245" s="38"/>
      <c r="N1245" s="38"/>
      <c r="O1245" s="38"/>
      <c r="P1245" s="38"/>
      <c r="Q1245" s="38"/>
      <c r="R1245" s="38"/>
      <c r="S1245" s="38"/>
      <c r="T1245" s="38"/>
      <c r="U1245" s="38"/>
      <c r="V1245" s="39"/>
    </row>
    <row r="1246" spans="2:22" s="37" customFormat="1" x14ac:dyDescent="0.2">
      <c r="B1246" s="92"/>
      <c r="C1246" s="93"/>
      <c r="D1246" s="38"/>
      <c r="E1246" s="38"/>
      <c r="F1246" s="38"/>
      <c r="G1246" s="38"/>
      <c r="H1246" s="38"/>
      <c r="I1246" s="38"/>
      <c r="J1246" s="38"/>
      <c r="K1246" s="38"/>
      <c r="L1246" s="38"/>
      <c r="M1246" s="38"/>
      <c r="N1246" s="38"/>
      <c r="O1246" s="38"/>
      <c r="P1246" s="38"/>
      <c r="Q1246" s="38"/>
      <c r="R1246" s="38"/>
      <c r="S1246" s="38"/>
      <c r="T1246" s="38"/>
      <c r="U1246" s="38"/>
      <c r="V1246" s="39"/>
    </row>
    <row r="1247" spans="2:22" s="37" customFormat="1" x14ac:dyDescent="0.2">
      <c r="B1247" s="92"/>
      <c r="C1247" s="93"/>
      <c r="D1247" s="38"/>
      <c r="E1247" s="38"/>
      <c r="F1247" s="38"/>
      <c r="G1247" s="38"/>
      <c r="H1247" s="38"/>
      <c r="I1247" s="38"/>
      <c r="J1247" s="38"/>
      <c r="K1247" s="38"/>
      <c r="L1247" s="38"/>
      <c r="M1247" s="38"/>
      <c r="N1247" s="38"/>
      <c r="O1247" s="38"/>
      <c r="P1247" s="38"/>
      <c r="Q1247" s="38"/>
      <c r="R1247" s="38"/>
      <c r="S1247" s="38"/>
      <c r="T1247" s="38"/>
      <c r="U1247" s="38"/>
      <c r="V1247" s="39"/>
    </row>
    <row r="1248" spans="2:22" s="37" customFormat="1" x14ac:dyDescent="0.2">
      <c r="B1248" s="92"/>
      <c r="C1248" s="93"/>
      <c r="D1248" s="38"/>
      <c r="E1248" s="38"/>
      <c r="F1248" s="38"/>
      <c r="G1248" s="38"/>
      <c r="H1248" s="38"/>
      <c r="I1248" s="38"/>
      <c r="J1248" s="38"/>
      <c r="K1248" s="38"/>
      <c r="L1248" s="38"/>
      <c r="M1248" s="38"/>
      <c r="N1248" s="38"/>
      <c r="O1248" s="38"/>
      <c r="P1248" s="38"/>
      <c r="Q1248" s="38"/>
      <c r="R1248" s="38"/>
      <c r="S1248" s="38"/>
      <c r="T1248" s="38"/>
      <c r="U1248" s="38"/>
      <c r="V1248" s="39"/>
    </row>
    <row r="1249" spans="2:22" s="37" customFormat="1" x14ac:dyDescent="0.2">
      <c r="B1249" s="92"/>
      <c r="C1249" s="93"/>
      <c r="D1249" s="38"/>
      <c r="E1249" s="38"/>
      <c r="F1249" s="38"/>
      <c r="G1249" s="38"/>
      <c r="H1249" s="38"/>
      <c r="I1249" s="38"/>
      <c r="J1249" s="38"/>
      <c r="K1249" s="38"/>
      <c r="L1249" s="38"/>
      <c r="M1249" s="38"/>
      <c r="N1249" s="38"/>
      <c r="O1249" s="38"/>
      <c r="P1249" s="38"/>
      <c r="Q1249" s="38"/>
      <c r="R1249" s="38"/>
      <c r="S1249" s="38"/>
      <c r="T1249" s="38"/>
      <c r="U1249" s="38"/>
      <c r="V1249" s="39"/>
    </row>
    <row r="1250" spans="2:22" s="37" customFormat="1" x14ac:dyDescent="0.2">
      <c r="B1250" s="92"/>
      <c r="C1250" s="93"/>
      <c r="D1250" s="38"/>
      <c r="E1250" s="38"/>
      <c r="F1250" s="38"/>
      <c r="G1250" s="38"/>
      <c r="H1250" s="38"/>
      <c r="I1250" s="38"/>
      <c r="J1250" s="38"/>
      <c r="K1250" s="38"/>
      <c r="L1250" s="38"/>
      <c r="M1250" s="38"/>
      <c r="N1250" s="38"/>
      <c r="O1250" s="38"/>
      <c r="P1250" s="38"/>
      <c r="Q1250" s="38"/>
      <c r="R1250" s="38"/>
      <c r="S1250" s="38"/>
      <c r="T1250" s="38"/>
      <c r="U1250" s="38"/>
      <c r="V1250" s="39"/>
    </row>
    <row r="1251" spans="2:22" s="37" customFormat="1" x14ac:dyDescent="0.2">
      <c r="B1251" s="92"/>
      <c r="C1251" s="93"/>
      <c r="D1251" s="38"/>
      <c r="E1251" s="38"/>
      <c r="F1251" s="38"/>
      <c r="G1251" s="38"/>
      <c r="H1251" s="38"/>
      <c r="I1251" s="38"/>
      <c r="J1251" s="38"/>
      <c r="K1251" s="38"/>
      <c r="L1251" s="38"/>
      <c r="M1251" s="38"/>
      <c r="N1251" s="38"/>
      <c r="O1251" s="38"/>
      <c r="P1251" s="38"/>
      <c r="Q1251" s="38"/>
      <c r="R1251" s="38"/>
      <c r="S1251" s="38"/>
      <c r="T1251" s="38"/>
      <c r="U1251" s="38"/>
      <c r="V1251" s="39"/>
    </row>
    <row r="1252" spans="2:22" s="37" customFormat="1" x14ac:dyDescent="0.2">
      <c r="B1252" s="92"/>
      <c r="C1252" s="93"/>
      <c r="D1252" s="38"/>
      <c r="E1252" s="38"/>
      <c r="F1252" s="38"/>
      <c r="G1252" s="38"/>
      <c r="H1252" s="38"/>
      <c r="I1252" s="38"/>
      <c r="J1252" s="38"/>
      <c r="K1252" s="38"/>
      <c r="L1252" s="38"/>
      <c r="M1252" s="38"/>
      <c r="N1252" s="38"/>
      <c r="O1252" s="38"/>
      <c r="P1252" s="38"/>
      <c r="Q1252" s="38"/>
      <c r="R1252" s="38"/>
      <c r="S1252" s="38"/>
      <c r="T1252" s="38"/>
      <c r="U1252" s="38"/>
      <c r="V1252" s="39"/>
    </row>
    <row r="1253" spans="2:22" s="37" customFormat="1" x14ac:dyDescent="0.2">
      <c r="B1253" s="92"/>
      <c r="C1253" s="93"/>
      <c r="D1253" s="38"/>
      <c r="E1253" s="38"/>
      <c r="F1253" s="38"/>
      <c r="G1253" s="38"/>
      <c r="H1253" s="38"/>
      <c r="I1253" s="38"/>
      <c r="J1253" s="38"/>
      <c r="K1253" s="38"/>
      <c r="L1253" s="38"/>
      <c r="M1253" s="38"/>
      <c r="N1253" s="38"/>
      <c r="O1253" s="38"/>
      <c r="P1253" s="38"/>
      <c r="Q1253" s="38"/>
      <c r="R1253" s="38"/>
      <c r="S1253" s="38"/>
      <c r="T1253" s="38"/>
      <c r="U1253" s="38"/>
      <c r="V1253" s="39"/>
    </row>
    <row r="1254" spans="2:22" s="37" customFormat="1" x14ac:dyDescent="0.2">
      <c r="B1254" s="92"/>
      <c r="C1254" s="93"/>
      <c r="D1254" s="38"/>
      <c r="E1254" s="38"/>
      <c r="F1254" s="38"/>
      <c r="G1254" s="38"/>
      <c r="H1254" s="38"/>
      <c r="I1254" s="38"/>
      <c r="J1254" s="38"/>
      <c r="K1254" s="38"/>
      <c r="L1254" s="38"/>
      <c r="M1254" s="38"/>
      <c r="N1254" s="38"/>
      <c r="O1254" s="38"/>
      <c r="P1254" s="38"/>
      <c r="Q1254" s="38"/>
      <c r="R1254" s="38"/>
      <c r="S1254" s="38"/>
      <c r="T1254" s="38"/>
      <c r="U1254" s="38"/>
      <c r="V1254" s="39"/>
    </row>
    <row r="1255" spans="2:22" s="37" customFormat="1" x14ac:dyDescent="0.2">
      <c r="B1255" s="92"/>
      <c r="C1255" s="93"/>
      <c r="D1255" s="38"/>
      <c r="E1255" s="38"/>
      <c r="F1255" s="38"/>
      <c r="G1255" s="38"/>
      <c r="H1255" s="38"/>
      <c r="I1255" s="38"/>
      <c r="J1255" s="38"/>
      <c r="K1255" s="38"/>
      <c r="L1255" s="38"/>
      <c r="M1255" s="38"/>
      <c r="N1255" s="38"/>
      <c r="O1255" s="38"/>
      <c r="P1255" s="38"/>
      <c r="Q1255" s="38"/>
      <c r="R1255" s="38"/>
      <c r="S1255" s="38"/>
      <c r="T1255" s="38"/>
      <c r="U1255" s="38"/>
      <c r="V1255" s="39"/>
    </row>
    <row r="1256" spans="2:22" s="37" customFormat="1" x14ac:dyDescent="0.2">
      <c r="B1256" s="92"/>
      <c r="C1256" s="93"/>
      <c r="D1256" s="38"/>
      <c r="E1256" s="38"/>
      <c r="F1256" s="38"/>
      <c r="G1256" s="38"/>
      <c r="H1256" s="38"/>
      <c r="I1256" s="38"/>
      <c r="J1256" s="38"/>
      <c r="K1256" s="38"/>
      <c r="L1256" s="38"/>
      <c r="M1256" s="38"/>
      <c r="N1256" s="38"/>
      <c r="O1256" s="38"/>
      <c r="P1256" s="38"/>
      <c r="Q1256" s="38"/>
      <c r="R1256" s="38"/>
      <c r="S1256" s="38"/>
      <c r="T1256" s="38"/>
      <c r="U1256" s="38"/>
      <c r="V1256" s="39"/>
    </row>
    <row r="1257" spans="2:22" s="37" customFormat="1" x14ac:dyDescent="0.2">
      <c r="B1257" s="92"/>
      <c r="C1257" s="93"/>
      <c r="D1257" s="38"/>
      <c r="E1257" s="38"/>
      <c r="F1257" s="38"/>
      <c r="G1257" s="38"/>
      <c r="H1257" s="38"/>
      <c r="I1257" s="38"/>
      <c r="J1257" s="38"/>
      <c r="K1257" s="38"/>
      <c r="L1257" s="38"/>
      <c r="M1257" s="38"/>
      <c r="N1257" s="38"/>
      <c r="O1257" s="38"/>
      <c r="P1257" s="38"/>
      <c r="Q1257" s="38"/>
      <c r="R1257" s="38"/>
      <c r="S1257" s="38"/>
      <c r="T1257" s="38"/>
      <c r="U1257" s="38"/>
      <c r="V1257" s="39"/>
    </row>
    <row r="1258" spans="2:22" s="37" customFormat="1" x14ac:dyDescent="0.2">
      <c r="B1258" s="92"/>
      <c r="C1258" s="93"/>
      <c r="D1258" s="38"/>
      <c r="E1258" s="38"/>
      <c r="F1258" s="38"/>
      <c r="G1258" s="38"/>
      <c r="H1258" s="38"/>
      <c r="I1258" s="38"/>
      <c r="J1258" s="38"/>
      <c r="K1258" s="38"/>
      <c r="L1258" s="38"/>
      <c r="M1258" s="38"/>
      <c r="N1258" s="38"/>
      <c r="O1258" s="38"/>
      <c r="P1258" s="38"/>
      <c r="Q1258" s="38"/>
      <c r="R1258" s="38"/>
      <c r="S1258" s="38"/>
      <c r="T1258" s="38"/>
      <c r="U1258" s="38"/>
      <c r="V1258" s="39"/>
    </row>
    <row r="1259" spans="2:22" s="37" customFormat="1" x14ac:dyDescent="0.2">
      <c r="B1259" s="92"/>
      <c r="C1259" s="93"/>
      <c r="D1259" s="38"/>
      <c r="E1259" s="38"/>
      <c r="F1259" s="38"/>
      <c r="G1259" s="38"/>
      <c r="H1259" s="38"/>
      <c r="I1259" s="38"/>
      <c r="J1259" s="38"/>
      <c r="K1259" s="38"/>
      <c r="L1259" s="38"/>
      <c r="M1259" s="38"/>
      <c r="N1259" s="38"/>
      <c r="O1259" s="38"/>
      <c r="P1259" s="38"/>
      <c r="Q1259" s="38"/>
      <c r="R1259" s="38"/>
      <c r="S1259" s="38"/>
      <c r="T1259" s="38"/>
      <c r="U1259" s="38"/>
      <c r="V1259" s="39"/>
    </row>
    <row r="1260" spans="2:22" s="37" customFormat="1" x14ac:dyDescent="0.2">
      <c r="B1260" s="92"/>
      <c r="C1260" s="93"/>
      <c r="D1260" s="38"/>
      <c r="E1260" s="38"/>
      <c r="F1260" s="38"/>
      <c r="G1260" s="38"/>
      <c r="H1260" s="38"/>
      <c r="I1260" s="38"/>
      <c r="J1260" s="38"/>
      <c r="K1260" s="38"/>
      <c r="L1260" s="38"/>
      <c r="M1260" s="38"/>
      <c r="N1260" s="38"/>
      <c r="O1260" s="38"/>
      <c r="P1260" s="38"/>
      <c r="Q1260" s="38"/>
      <c r="R1260" s="38"/>
      <c r="S1260" s="38"/>
      <c r="T1260" s="38"/>
      <c r="U1260" s="38"/>
      <c r="V1260" s="39"/>
    </row>
    <row r="1261" spans="2:22" s="37" customFormat="1" x14ac:dyDescent="0.2">
      <c r="B1261" s="92"/>
      <c r="C1261" s="93"/>
      <c r="D1261" s="38"/>
      <c r="E1261" s="38"/>
      <c r="F1261" s="38"/>
      <c r="G1261" s="38"/>
      <c r="H1261" s="38"/>
      <c r="I1261" s="38"/>
      <c r="J1261" s="38"/>
      <c r="K1261" s="38"/>
      <c r="L1261" s="38"/>
      <c r="M1261" s="38"/>
      <c r="N1261" s="38"/>
      <c r="O1261" s="38"/>
      <c r="P1261" s="38"/>
      <c r="Q1261" s="38"/>
      <c r="R1261" s="38"/>
      <c r="S1261" s="38"/>
      <c r="T1261" s="38"/>
      <c r="U1261" s="38"/>
      <c r="V1261" s="39"/>
    </row>
    <row r="1262" spans="2:22" s="37" customFormat="1" x14ac:dyDescent="0.2">
      <c r="B1262" s="92"/>
      <c r="C1262" s="93"/>
      <c r="D1262" s="38"/>
      <c r="E1262" s="38"/>
      <c r="F1262" s="38"/>
      <c r="G1262" s="38"/>
      <c r="H1262" s="38"/>
      <c r="I1262" s="38"/>
      <c r="J1262" s="38"/>
      <c r="K1262" s="38"/>
      <c r="L1262" s="38"/>
      <c r="M1262" s="38"/>
      <c r="N1262" s="38"/>
      <c r="O1262" s="38"/>
      <c r="P1262" s="38"/>
      <c r="Q1262" s="38"/>
      <c r="R1262" s="38"/>
      <c r="S1262" s="38"/>
      <c r="T1262" s="38"/>
      <c r="U1262" s="38"/>
      <c r="V1262" s="39"/>
    </row>
    <row r="1263" spans="2:22" s="37" customFormat="1" x14ac:dyDescent="0.2">
      <c r="B1263" s="92"/>
      <c r="C1263" s="93"/>
      <c r="D1263" s="38"/>
      <c r="E1263" s="38"/>
      <c r="F1263" s="38"/>
      <c r="G1263" s="38"/>
      <c r="H1263" s="38"/>
      <c r="I1263" s="38"/>
      <c r="J1263" s="38"/>
      <c r="K1263" s="38"/>
      <c r="L1263" s="38"/>
      <c r="M1263" s="38"/>
      <c r="N1263" s="38"/>
      <c r="O1263" s="38"/>
      <c r="P1263" s="38"/>
      <c r="Q1263" s="38"/>
      <c r="R1263" s="38"/>
      <c r="S1263" s="38"/>
      <c r="T1263" s="38"/>
      <c r="U1263" s="38"/>
      <c r="V1263" s="39"/>
    </row>
    <row r="1264" spans="2:22" s="37" customFormat="1" x14ac:dyDescent="0.2">
      <c r="B1264" s="92"/>
      <c r="C1264" s="93"/>
      <c r="D1264" s="38"/>
      <c r="E1264" s="38"/>
      <c r="F1264" s="38"/>
      <c r="G1264" s="38"/>
      <c r="H1264" s="38"/>
      <c r="I1264" s="38"/>
      <c r="J1264" s="38"/>
      <c r="K1264" s="38"/>
      <c r="L1264" s="38"/>
      <c r="M1264" s="38"/>
      <c r="N1264" s="38"/>
      <c r="O1264" s="38"/>
      <c r="P1264" s="38"/>
      <c r="Q1264" s="38"/>
      <c r="R1264" s="38"/>
      <c r="S1264" s="38"/>
      <c r="T1264" s="38"/>
      <c r="U1264" s="38"/>
      <c r="V1264" s="39"/>
    </row>
    <row r="1265" spans="2:22" s="37" customFormat="1" x14ac:dyDescent="0.2">
      <c r="B1265" s="92"/>
      <c r="C1265" s="93"/>
      <c r="D1265" s="38"/>
      <c r="E1265" s="38"/>
      <c r="F1265" s="38"/>
      <c r="G1265" s="38"/>
      <c r="H1265" s="38"/>
      <c r="I1265" s="38"/>
      <c r="J1265" s="38"/>
      <c r="K1265" s="38"/>
      <c r="L1265" s="38"/>
      <c r="M1265" s="38"/>
      <c r="N1265" s="38"/>
      <c r="O1265" s="38"/>
      <c r="P1265" s="38"/>
      <c r="Q1265" s="38"/>
      <c r="R1265" s="38"/>
      <c r="S1265" s="38"/>
      <c r="T1265" s="38"/>
      <c r="U1265" s="38"/>
      <c r="V1265" s="39"/>
    </row>
    <row r="1266" spans="2:22" s="37" customFormat="1" x14ac:dyDescent="0.2">
      <c r="B1266" s="92"/>
      <c r="C1266" s="93"/>
      <c r="D1266" s="38"/>
      <c r="E1266" s="38"/>
      <c r="F1266" s="38"/>
      <c r="G1266" s="38"/>
      <c r="H1266" s="38"/>
      <c r="I1266" s="38"/>
      <c r="J1266" s="38"/>
      <c r="K1266" s="38"/>
      <c r="L1266" s="38"/>
      <c r="M1266" s="38"/>
      <c r="N1266" s="38"/>
      <c r="O1266" s="38"/>
      <c r="P1266" s="38"/>
      <c r="Q1266" s="38"/>
      <c r="R1266" s="38"/>
      <c r="S1266" s="38"/>
      <c r="T1266" s="38"/>
      <c r="U1266" s="38"/>
      <c r="V1266" s="39"/>
    </row>
    <row r="1267" spans="2:22" s="37" customFormat="1" x14ac:dyDescent="0.2">
      <c r="B1267" s="92"/>
      <c r="C1267" s="93"/>
      <c r="D1267" s="38"/>
      <c r="E1267" s="38"/>
      <c r="F1267" s="38"/>
      <c r="G1267" s="38"/>
      <c r="H1267" s="38"/>
      <c r="I1267" s="38"/>
      <c r="J1267" s="38"/>
      <c r="K1267" s="38"/>
      <c r="L1267" s="38"/>
      <c r="M1267" s="38"/>
      <c r="N1267" s="38"/>
      <c r="O1267" s="38"/>
      <c r="P1267" s="38"/>
      <c r="Q1267" s="38"/>
      <c r="R1267" s="38"/>
      <c r="S1267" s="38"/>
      <c r="T1267" s="38"/>
      <c r="U1267" s="38"/>
      <c r="V1267" s="39"/>
    </row>
    <row r="1268" spans="2:22" s="37" customFormat="1" x14ac:dyDescent="0.2">
      <c r="B1268" s="92"/>
      <c r="C1268" s="93"/>
      <c r="D1268" s="38"/>
      <c r="E1268" s="38"/>
      <c r="F1268" s="38"/>
      <c r="G1268" s="38"/>
      <c r="H1268" s="38"/>
      <c r="I1268" s="38"/>
      <c r="J1268" s="38"/>
      <c r="K1268" s="38"/>
      <c r="L1268" s="38"/>
      <c r="M1268" s="38"/>
      <c r="N1268" s="38"/>
      <c r="O1268" s="38"/>
      <c r="P1268" s="38"/>
      <c r="Q1268" s="38"/>
      <c r="R1268" s="38"/>
      <c r="S1268" s="38"/>
      <c r="T1268" s="38"/>
      <c r="U1268" s="38"/>
      <c r="V1268" s="39"/>
    </row>
    <row r="1269" spans="2:22" s="37" customFormat="1" x14ac:dyDescent="0.2">
      <c r="B1269" s="92"/>
      <c r="C1269" s="93"/>
      <c r="D1269" s="38"/>
      <c r="E1269" s="38"/>
      <c r="F1269" s="38"/>
      <c r="G1269" s="38"/>
      <c r="H1269" s="38"/>
      <c r="I1269" s="38"/>
      <c r="J1269" s="38"/>
      <c r="K1269" s="38"/>
      <c r="L1269" s="38"/>
      <c r="M1269" s="38"/>
      <c r="N1269" s="38"/>
      <c r="O1269" s="38"/>
      <c r="P1269" s="38"/>
      <c r="Q1269" s="38"/>
      <c r="R1269" s="38"/>
      <c r="S1269" s="38"/>
      <c r="T1269" s="38"/>
      <c r="U1269" s="38"/>
      <c r="V1269" s="39"/>
    </row>
    <row r="1270" spans="2:22" s="37" customFormat="1" x14ac:dyDescent="0.2">
      <c r="B1270" s="92"/>
      <c r="C1270" s="93"/>
      <c r="D1270" s="38"/>
      <c r="E1270" s="38"/>
      <c r="F1270" s="38"/>
      <c r="G1270" s="38"/>
      <c r="H1270" s="38"/>
      <c r="I1270" s="38"/>
      <c r="J1270" s="38"/>
      <c r="K1270" s="38"/>
      <c r="L1270" s="38"/>
      <c r="M1270" s="38"/>
      <c r="N1270" s="38"/>
      <c r="O1270" s="38"/>
      <c r="P1270" s="38"/>
      <c r="Q1270" s="38"/>
      <c r="R1270" s="38"/>
      <c r="S1270" s="38"/>
      <c r="T1270" s="38"/>
      <c r="U1270" s="38"/>
      <c r="V1270" s="39"/>
    </row>
    <row r="1271" spans="2:22" s="37" customFormat="1" x14ac:dyDescent="0.2">
      <c r="B1271" s="92"/>
      <c r="C1271" s="93"/>
      <c r="D1271" s="38"/>
      <c r="E1271" s="38"/>
      <c r="F1271" s="38"/>
      <c r="G1271" s="38"/>
      <c r="H1271" s="38"/>
      <c r="I1271" s="38"/>
      <c r="J1271" s="38"/>
      <c r="K1271" s="38"/>
      <c r="L1271" s="38"/>
      <c r="M1271" s="38"/>
      <c r="N1271" s="38"/>
      <c r="O1271" s="38"/>
      <c r="P1271" s="38"/>
      <c r="Q1271" s="38"/>
      <c r="R1271" s="38"/>
      <c r="S1271" s="38"/>
      <c r="T1271" s="38"/>
      <c r="U1271" s="38"/>
      <c r="V1271" s="39"/>
    </row>
    <row r="1272" spans="2:22" s="37" customFormat="1" x14ac:dyDescent="0.2">
      <c r="B1272" s="92"/>
      <c r="C1272" s="93"/>
      <c r="D1272" s="38"/>
      <c r="E1272" s="38"/>
      <c r="F1272" s="38"/>
      <c r="G1272" s="38"/>
      <c r="H1272" s="38"/>
      <c r="I1272" s="38"/>
      <c r="J1272" s="38"/>
      <c r="K1272" s="38"/>
      <c r="L1272" s="38"/>
      <c r="M1272" s="38"/>
      <c r="N1272" s="38"/>
      <c r="O1272" s="38"/>
      <c r="P1272" s="38"/>
      <c r="Q1272" s="38"/>
      <c r="R1272" s="38"/>
      <c r="S1272" s="38"/>
      <c r="T1272" s="38"/>
      <c r="U1272" s="38"/>
      <c r="V1272" s="39"/>
    </row>
    <row r="1273" spans="2:22" s="37" customFormat="1" x14ac:dyDescent="0.2">
      <c r="B1273" s="92"/>
      <c r="C1273" s="93"/>
      <c r="D1273" s="38"/>
      <c r="E1273" s="38"/>
      <c r="F1273" s="38"/>
      <c r="G1273" s="38"/>
      <c r="H1273" s="38"/>
      <c r="I1273" s="38"/>
      <c r="J1273" s="38"/>
      <c r="K1273" s="38"/>
      <c r="L1273" s="38"/>
      <c r="M1273" s="38"/>
      <c r="N1273" s="38"/>
      <c r="O1273" s="38"/>
      <c r="P1273" s="38"/>
      <c r="Q1273" s="38"/>
      <c r="R1273" s="38"/>
      <c r="S1273" s="38"/>
      <c r="T1273" s="38"/>
      <c r="U1273" s="38"/>
      <c r="V1273" s="39"/>
    </row>
    <row r="1274" spans="2:22" s="37" customFormat="1" x14ac:dyDescent="0.2">
      <c r="B1274" s="92"/>
      <c r="C1274" s="93"/>
      <c r="D1274" s="38"/>
      <c r="E1274" s="38"/>
      <c r="F1274" s="38"/>
      <c r="G1274" s="38"/>
      <c r="H1274" s="38"/>
      <c r="I1274" s="38"/>
      <c r="J1274" s="38"/>
      <c r="K1274" s="38"/>
      <c r="L1274" s="38"/>
      <c r="M1274" s="38"/>
      <c r="N1274" s="38"/>
      <c r="O1274" s="38"/>
      <c r="P1274" s="38"/>
      <c r="Q1274" s="38"/>
      <c r="R1274" s="38"/>
      <c r="S1274" s="38"/>
      <c r="T1274" s="38"/>
      <c r="U1274" s="38"/>
      <c r="V1274" s="39"/>
    </row>
    <row r="1275" spans="2:22" s="37" customFormat="1" x14ac:dyDescent="0.2">
      <c r="B1275" s="92"/>
      <c r="C1275" s="93"/>
      <c r="D1275" s="38"/>
      <c r="E1275" s="38"/>
      <c r="F1275" s="38"/>
      <c r="G1275" s="38"/>
      <c r="H1275" s="38"/>
      <c r="I1275" s="38"/>
      <c r="J1275" s="38"/>
      <c r="K1275" s="38"/>
      <c r="L1275" s="38"/>
      <c r="M1275" s="38"/>
      <c r="N1275" s="38"/>
      <c r="O1275" s="38"/>
      <c r="P1275" s="38"/>
      <c r="Q1275" s="38"/>
      <c r="R1275" s="38"/>
      <c r="S1275" s="38"/>
      <c r="T1275" s="38"/>
      <c r="U1275" s="38"/>
      <c r="V1275" s="39"/>
    </row>
    <row r="1276" spans="2:22" s="37" customFormat="1" x14ac:dyDescent="0.2">
      <c r="B1276" s="92"/>
      <c r="C1276" s="93"/>
      <c r="D1276" s="38"/>
      <c r="E1276" s="38"/>
      <c r="F1276" s="38"/>
      <c r="G1276" s="38"/>
      <c r="H1276" s="38"/>
      <c r="I1276" s="38"/>
      <c r="J1276" s="38"/>
      <c r="K1276" s="38"/>
      <c r="L1276" s="38"/>
      <c r="M1276" s="38"/>
      <c r="N1276" s="38"/>
      <c r="O1276" s="38"/>
      <c r="P1276" s="38"/>
      <c r="Q1276" s="38"/>
      <c r="R1276" s="38"/>
      <c r="S1276" s="38"/>
      <c r="T1276" s="38"/>
      <c r="U1276" s="38"/>
      <c r="V1276" s="39"/>
    </row>
    <row r="1277" spans="2:22" s="37" customFormat="1" x14ac:dyDescent="0.2">
      <c r="B1277" s="92"/>
      <c r="C1277" s="93"/>
      <c r="D1277" s="38"/>
      <c r="E1277" s="38"/>
      <c r="F1277" s="38"/>
      <c r="G1277" s="38"/>
      <c r="H1277" s="38"/>
      <c r="I1277" s="38"/>
      <c r="J1277" s="38"/>
      <c r="K1277" s="38"/>
      <c r="L1277" s="38"/>
      <c r="M1277" s="38"/>
      <c r="N1277" s="38"/>
      <c r="O1277" s="38"/>
      <c r="P1277" s="38"/>
      <c r="Q1277" s="38"/>
      <c r="R1277" s="38"/>
      <c r="S1277" s="38"/>
      <c r="T1277" s="38"/>
      <c r="U1277" s="38"/>
      <c r="V1277" s="39"/>
    </row>
    <row r="1278" spans="2:22" s="37" customFormat="1" x14ac:dyDescent="0.2">
      <c r="B1278" s="92"/>
      <c r="C1278" s="93"/>
      <c r="D1278" s="38"/>
      <c r="E1278" s="38"/>
      <c r="F1278" s="38"/>
      <c r="G1278" s="38"/>
      <c r="H1278" s="38"/>
      <c r="I1278" s="38"/>
      <c r="J1278" s="38"/>
      <c r="K1278" s="38"/>
      <c r="L1278" s="38"/>
      <c r="M1278" s="38"/>
      <c r="N1278" s="38"/>
      <c r="O1278" s="38"/>
      <c r="P1278" s="38"/>
      <c r="Q1278" s="38"/>
      <c r="R1278" s="38"/>
      <c r="S1278" s="38"/>
      <c r="T1278" s="38"/>
      <c r="U1278" s="38"/>
      <c r="V1278" s="39"/>
    </row>
    <row r="1279" spans="2:22" s="37" customFormat="1" x14ac:dyDescent="0.2">
      <c r="B1279" s="92"/>
      <c r="C1279" s="93"/>
      <c r="D1279" s="38"/>
      <c r="E1279" s="38"/>
      <c r="F1279" s="38"/>
      <c r="G1279" s="38"/>
      <c r="H1279" s="38"/>
      <c r="I1279" s="38"/>
      <c r="J1279" s="38"/>
      <c r="K1279" s="38"/>
      <c r="L1279" s="38"/>
      <c r="M1279" s="38"/>
      <c r="N1279" s="38"/>
      <c r="O1279" s="38"/>
      <c r="P1279" s="38"/>
      <c r="Q1279" s="38"/>
      <c r="R1279" s="38"/>
      <c r="S1279" s="38"/>
      <c r="T1279" s="38"/>
      <c r="U1279" s="38"/>
      <c r="V1279" s="39"/>
    </row>
    <row r="1280" spans="2:22" s="37" customFormat="1" x14ac:dyDescent="0.2">
      <c r="B1280" s="92"/>
      <c r="C1280" s="93"/>
      <c r="D1280" s="38"/>
      <c r="E1280" s="38"/>
      <c r="F1280" s="38"/>
      <c r="G1280" s="38"/>
      <c r="H1280" s="38"/>
      <c r="I1280" s="38"/>
      <c r="J1280" s="38"/>
      <c r="K1280" s="38"/>
      <c r="L1280" s="38"/>
      <c r="M1280" s="38"/>
      <c r="N1280" s="38"/>
      <c r="O1280" s="38"/>
      <c r="P1280" s="38"/>
      <c r="Q1280" s="38"/>
      <c r="R1280" s="38"/>
      <c r="S1280" s="38"/>
      <c r="T1280" s="38"/>
      <c r="U1280" s="38"/>
      <c r="V1280" s="39"/>
    </row>
    <row r="1281" spans="2:22" s="37" customFormat="1" x14ac:dyDescent="0.2">
      <c r="B1281" s="92"/>
      <c r="C1281" s="93"/>
      <c r="D1281" s="38"/>
      <c r="E1281" s="38"/>
      <c r="F1281" s="38"/>
      <c r="G1281" s="38"/>
      <c r="H1281" s="38"/>
      <c r="I1281" s="38"/>
      <c r="J1281" s="38"/>
      <c r="K1281" s="38"/>
      <c r="L1281" s="38"/>
      <c r="M1281" s="38"/>
      <c r="N1281" s="38"/>
      <c r="O1281" s="38"/>
      <c r="P1281" s="38"/>
      <c r="Q1281" s="38"/>
      <c r="R1281" s="38"/>
      <c r="S1281" s="38"/>
      <c r="T1281" s="38"/>
      <c r="U1281" s="38"/>
      <c r="V1281" s="39"/>
    </row>
    <row r="1282" spans="2:22" s="37" customFormat="1" x14ac:dyDescent="0.2">
      <c r="B1282" s="92"/>
      <c r="C1282" s="93"/>
      <c r="D1282" s="38"/>
      <c r="E1282" s="38"/>
      <c r="F1282" s="38"/>
      <c r="G1282" s="38"/>
      <c r="H1282" s="38"/>
      <c r="I1282" s="38"/>
      <c r="J1282" s="38"/>
      <c r="K1282" s="38"/>
      <c r="L1282" s="38"/>
      <c r="M1282" s="38"/>
      <c r="N1282" s="38"/>
      <c r="O1282" s="38"/>
      <c r="P1282" s="38"/>
      <c r="Q1282" s="38"/>
      <c r="R1282" s="38"/>
      <c r="S1282" s="38"/>
      <c r="T1282" s="38"/>
      <c r="U1282" s="38"/>
      <c r="V1282" s="39"/>
    </row>
    <row r="1283" spans="2:22" s="37" customFormat="1" x14ac:dyDescent="0.2">
      <c r="B1283" s="92"/>
      <c r="C1283" s="93"/>
      <c r="D1283" s="38"/>
      <c r="E1283" s="38"/>
      <c r="F1283" s="38"/>
      <c r="G1283" s="38"/>
      <c r="H1283" s="38"/>
      <c r="I1283" s="38"/>
      <c r="J1283" s="38"/>
      <c r="K1283" s="38"/>
      <c r="L1283" s="38"/>
      <c r="M1283" s="38"/>
      <c r="N1283" s="38"/>
      <c r="O1283" s="38"/>
      <c r="P1283" s="38"/>
      <c r="Q1283" s="38"/>
      <c r="R1283" s="38"/>
      <c r="S1283" s="38"/>
      <c r="T1283" s="38"/>
      <c r="U1283" s="38"/>
      <c r="V1283" s="39"/>
    </row>
    <row r="1284" spans="2:22" s="37" customFormat="1" x14ac:dyDescent="0.2">
      <c r="B1284" s="92"/>
      <c r="C1284" s="93"/>
      <c r="D1284" s="38"/>
      <c r="E1284" s="38"/>
      <c r="F1284" s="38"/>
      <c r="G1284" s="38"/>
      <c r="H1284" s="38"/>
      <c r="I1284" s="38"/>
      <c r="J1284" s="38"/>
      <c r="K1284" s="38"/>
      <c r="L1284" s="38"/>
      <c r="M1284" s="38"/>
      <c r="N1284" s="38"/>
      <c r="O1284" s="38"/>
      <c r="P1284" s="38"/>
      <c r="Q1284" s="38"/>
      <c r="R1284" s="38"/>
      <c r="S1284" s="38"/>
      <c r="T1284" s="38"/>
      <c r="U1284" s="38"/>
      <c r="V1284" s="39"/>
    </row>
    <row r="1285" spans="2:22" s="37" customFormat="1" x14ac:dyDescent="0.2">
      <c r="B1285" s="92"/>
      <c r="C1285" s="93"/>
      <c r="D1285" s="38"/>
      <c r="E1285" s="38"/>
      <c r="F1285" s="38"/>
      <c r="G1285" s="38"/>
      <c r="H1285" s="38"/>
      <c r="I1285" s="38"/>
      <c r="J1285" s="38"/>
      <c r="K1285" s="38"/>
      <c r="L1285" s="38"/>
      <c r="M1285" s="38"/>
      <c r="N1285" s="38"/>
      <c r="O1285" s="38"/>
      <c r="P1285" s="38"/>
      <c r="Q1285" s="38"/>
      <c r="R1285" s="38"/>
      <c r="S1285" s="38"/>
      <c r="T1285" s="38"/>
      <c r="U1285" s="38"/>
      <c r="V1285" s="39"/>
    </row>
    <row r="1286" spans="2:22" s="37" customFormat="1" x14ac:dyDescent="0.2">
      <c r="B1286" s="92"/>
      <c r="C1286" s="93"/>
      <c r="D1286" s="38"/>
      <c r="E1286" s="38"/>
      <c r="F1286" s="38"/>
      <c r="G1286" s="38"/>
      <c r="H1286" s="38"/>
      <c r="I1286" s="38"/>
      <c r="J1286" s="38"/>
      <c r="K1286" s="38"/>
      <c r="L1286" s="38"/>
      <c r="M1286" s="38"/>
      <c r="N1286" s="38"/>
      <c r="O1286" s="38"/>
      <c r="P1286" s="38"/>
      <c r="Q1286" s="38"/>
      <c r="R1286" s="38"/>
      <c r="S1286" s="38"/>
      <c r="T1286" s="38"/>
      <c r="U1286" s="38"/>
      <c r="V1286" s="39"/>
    </row>
    <row r="1287" spans="2:22" s="37" customFormat="1" x14ac:dyDescent="0.2">
      <c r="B1287" s="92"/>
      <c r="C1287" s="93"/>
      <c r="D1287" s="38"/>
      <c r="E1287" s="38"/>
      <c r="F1287" s="38"/>
      <c r="G1287" s="38"/>
      <c r="H1287" s="38"/>
      <c r="I1287" s="38"/>
      <c r="J1287" s="38"/>
      <c r="K1287" s="38"/>
      <c r="L1287" s="38"/>
      <c r="M1287" s="38"/>
      <c r="N1287" s="38"/>
      <c r="O1287" s="38"/>
      <c r="P1287" s="38"/>
      <c r="Q1287" s="38"/>
      <c r="R1287" s="38"/>
      <c r="S1287" s="38"/>
      <c r="T1287" s="38"/>
      <c r="U1287" s="38"/>
      <c r="V1287" s="39"/>
    </row>
    <row r="1288" spans="2:22" s="37" customFormat="1" x14ac:dyDescent="0.2">
      <c r="B1288" s="92"/>
      <c r="C1288" s="93"/>
      <c r="D1288" s="38"/>
      <c r="E1288" s="38"/>
      <c r="F1288" s="38"/>
      <c r="G1288" s="38"/>
      <c r="H1288" s="38"/>
      <c r="I1288" s="38"/>
      <c r="J1288" s="38"/>
      <c r="K1288" s="38"/>
      <c r="L1288" s="38"/>
      <c r="M1288" s="38"/>
      <c r="N1288" s="38"/>
      <c r="O1288" s="38"/>
      <c r="P1288" s="38"/>
      <c r="Q1288" s="38"/>
      <c r="R1288" s="38"/>
      <c r="S1288" s="38"/>
      <c r="T1288" s="38"/>
      <c r="U1288" s="38"/>
      <c r="V1288" s="39"/>
    </row>
    <row r="1289" spans="2:22" s="37" customFormat="1" x14ac:dyDescent="0.2">
      <c r="B1289" s="92"/>
      <c r="C1289" s="93"/>
      <c r="D1289" s="38"/>
      <c r="E1289" s="38"/>
      <c r="F1289" s="38"/>
      <c r="G1289" s="38"/>
      <c r="H1289" s="38"/>
      <c r="I1289" s="38"/>
      <c r="J1289" s="38"/>
      <c r="K1289" s="38"/>
      <c r="L1289" s="38"/>
      <c r="M1289" s="38"/>
      <c r="N1289" s="38"/>
      <c r="O1289" s="38"/>
      <c r="P1289" s="38"/>
      <c r="Q1289" s="38"/>
      <c r="R1289" s="38"/>
      <c r="S1289" s="38"/>
      <c r="T1289" s="38"/>
      <c r="U1289" s="38"/>
      <c r="V1289" s="39"/>
    </row>
    <row r="1290" spans="2:22" s="37" customFormat="1" x14ac:dyDescent="0.2">
      <c r="B1290" s="92"/>
      <c r="C1290" s="93"/>
      <c r="D1290" s="38"/>
      <c r="E1290" s="38"/>
      <c r="F1290" s="38"/>
      <c r="G1290" s="38"/>
      <c r="H1290" s="38"/>
      <c r="I1290" s="38"/>
      <c r="J1290" s="38"/>
      <c r="K1290" s="38"/>
      <c r="L1290" s="38"/>
      <c r="M1290" s="38"/>
      <c r="N1290" s="38"/>
      <c r="O1290" s="38"/>
      <c r="P1290" s="38"/>
      <c r="Q1290" s="38"/>
      <c r="R1290" s="38"/>
      <c r="S1290" s="38"/>
      <c r="T1290" s="38"/>
      <c r="U1290" s="38"/>
      <c r="V1290" s="39"/>
    </row>
    <row r="1291" spans="2:22" s="37" customFormat="1" x14ac:dyDescent="0.2">
      <c r="B1291" s="92"/>
      <c r="C1291" s="93"/>
      <c r="D1291" s="38"/>
      <c r="E1291" s="38"/>
      <c r="F1291" s="38"/>
      <c r="G1291" s="38"/>
      <c r="H1291" s="38"/>
      <c r="I1291" s="38"/>
      <c r="J1291" s="38"/>
      <c r="K1291" s="38"/>
      <c r="L1291" s="38"/>
      <c r="M1291" s="38"/>
      <c r="N1291" s="38"/>
      <c r="O1291" s="38"/>
      <c r="P1291" s="38"/>
      <c r="Q1291" s="38"/>
      <c r="R1291" s="38"/>
      <c r="S1291" s="38"/>
      <c r="T1291" s="38"/>
      <c r="U1291" s="38"/>
      <c r="V1291" s="39"/>
    </row>
    <row r="1292" spans="2:22" s="37" customFormat="1" x14ac:dyDescent="0.2">
      <c r="B1292" s="92"/>
      <c r="C1292" s="93"/>
      <c r="D1292" s="38"/>
      <c r="E1292" s="38"/>
      <c r="F1292" s="38"/>
      <c r="G1292" s="38"/>
      <c r="H1292" s="38"/>
      <c r="I1292" s="38"/>
      <c r="J1292" s="38"/>
      <c r="K1292" s="38"/>
      <c r="L1292" s="38"/>
      <c r="M1292" s="38"/>
      <c r="N1292" s="38"/>
      <c r="O1292" s="38"/>
      <c r="P1292" s="38"/>
      <c r="Q1292" s="38"/>
      <c r="R1292" s="38"/>
      <c r="S1292" s="38"/>
      <c r="T1292" s="38"/>
      <c r="U1292" s="38"/>
      <c r="V1292" s="39"/>
    </row>
    <row r="1293" spans="2:22" s="37" customFormat="1" x14ac:dyDescent="0.2">
      <c r="B1293" s="92"/>
      <c r="C1293" s="93"/>
      <c r="D1293" s="38"/>
      <c r="E1293" s="38"/>
      <c r="F1293" s="38"/>
      <c r="G1293" s="38"/>
      <c r="H1293" s="38"/>
      <c r="I1293" s="38"/>
      <c r="J1293" s="38"/>
      <c r="K1293" s="38"/>
      <c r="L1293" s="38"/>
      <c r="M1293" s="38"/>
      <c r="N1293" s="38"/>
      <c r="O1293" s="38"/>
      <c r="P1293" s="38"/>
      <c r="Q1293" s="38"/>
      <c r="R1293" s="38"/>
      <c r="S1293" s="38"/>
      <c r="T1293" s="38"/>
      <c r="U1293" s="38"/>
      <c r="V1293" s="39"/>
    </row>
    <row r="1294" spans="2:22" s="37" customFormat="1" x14ac:dyDescent="0.2">
      <c r="B1294" s="92"/>
      <c r="C1294" s="93"/>
      <c r="D1294" s="38"/>
      <c r="E1294" s="38"/>
      <c r="F1294" s="38"/>
      <c r="G1294" s="38"/>
      <c r="H1294" s="38"/>
      <c r="I1294" s="38"/>
      <c r="J1294" s="38"/>
      <c r="K1294" s="38"/>
      <c r="L1294" s="38"/>
      <c r="M1294" s="38"/>
      <c r="N1294" s="38"/>
      <c r="O1294" s="38"/>
      <c r="P1294" s="38"/>
      <c r="Q1294" s="38"/>
      <c r="R1294" s="38"/>
      <c r="S1294" s="38"/>
      <c r="T1294" s="38"/>
      <c r="U1294" s="38"/>
      <c r="V1294" s="39"/>
    </row>
    <row r="1295" spans="2:22" s="37" customFormat="1" x14ac:dyDescent="0.2">
      <c r="B1295" s="92"/>
      <c r="C1295" s="93"/>
      <c r="D1295" s="38"/>
      <c r="E1295" s="38"/>
      <c r="F1295" s="38"/>
      <c r="G1295" s="38"/>
      <c r="H1295" s="38"/>
      <c r="I1295" s="38"/>
      <c r="J1295" s="38"/>
      <c r="K1295" s="38"/>
      <c r="L1295" s="38"/>
      <c r="M1295" s="38"/>
      <c r="N1295" s="38"/>
      <c r="O1295" s="38"/>
      <c r="P1295" s="38"/>
      <c r="Q1295" s="38"/>
      <c r="R1295" s="38"/>
      <c r="S1295" s="38"/>
      <c r="T1295" s="38"/>
      <c r="U1295" s="38"/>
      <c r="V1295" s="39"/>
    </row>
    <row r="1296" spans="2:22" s="37" customFormat="1" x14ac:dyDescent="0.2">
      <c r="B1296" s="92"/>
      <c r="C1296" s="93"/>
      <c r="D1296" s="38"/>
      <c r="E1296" s="38"/>
      <c r="F1296" s="38"/>
      <c r="G1296" s="38"/>
      <c r="H1296" s="38"/>
      <c r="I1296" s="38"/>
      <c r="J1296" s="38"/>
      <c r="K1296" s="38"/>
      <c r="L1296" s="38"/>
      <c r="M1296" s="38"/>
      <c r="N1296" s="38"/>
      <c r="O1296" s="38"/>
      <c r="P1296" s="38"/>
      <c r="Q1296" s="38"/>
      <c r="R1296" s="38"/>
      <c r="S1296" s="38"/>
      <c r="T1296" s="38"/>
      <c r="U1296" s="38"/>
      <c r="V1296" s="39"/>
    </row>
    <row r="1297" spans="2:22" s="37" customFormat="1" x14ac:dyDescent="0.2">
      <c r="B1297" s="92"/>
      <c r="C1297" s="93"/>
      <c r="D1297" s="38"/>
      <c r="E1297" s="38"/>
      <c r="F1297" s="38"/>
      <c r="G1297" s="38"/>
      <c r="H1297" s="38"/>
      <c r="I1297" s="38"/>
      <c r="J1297" s="38"/>
      <c r="K1297" s="38"/>
      <c r="L1297" s="38"/>
      <c r="M1297" s="38"/>
      <c r="N1297" s="38"/>
      <c r="O1297" s="38"/>
      <c r="P1297" s="38"/>
      <c r="Q1297" s="38"/>
      <c r="R1297" s="38"/>
      <c r="S1297" s="38"/>
      <c r="T1297" s="38"/>
      <c r="U1297" s="38"/>
      <c r="V1297" s="39"/>
    </row>
    <row r="1298" spans="2:22" s="37" customFormat="1" x14ac:dyDescent="0.2">
      <c r="B1298" s="92"/>
      <c r="C1298" s="93"/>
      <c r="D1298" s="38"/>
      <c r="E1298" s="38"/>
      <c r="F1298" s="38"/>
      <c r="G1298" s="38"/>
      <c r="H1298" s="38"/>
      <c r="I1298" s="38"/>
      <c r="J1298" s="38"/>
      <c r="K1298" s="38"/>
      <c r="L1298" s="38"/>
      <c r="M1298" s="38"/>
      <c r="N1298" s="38"/>
      <c r="O1298" s="38"/>
      <c r="P1298" s="38"/>
      <c r="Q1298" s="38"/>
      <c r="R1298" s="38"/>
      <c r="S1298" s="38"/>
      <c r="T1298" s="38"/>
      <c r="U1298" s="38"/>
      <c r="V1298" s="39"/>
    </row>
    <row r="1299" spans="2:22" s="37" customFormat="1" x14ac:dyDescent="0.2">
      <c r="B1299" s="92"/>
      <c r="C1299" s="93"/>
      <c r="D1299" s="38"/>
      <c r="E1299" s="38"/>
      <c r="F1299" s="38"/>
      <c r="G1299" s="38"/>
      <c r="H1299" s="38"/>
      <c r="I1299" s="38"/>
      <c r="J1299" s="38"/>
      <c r="K1299" s="38"/>
      <c r="L1299" s="38"/>
      <c r="M1299" s="38"/>
      <c r="N1299" s="38"/>
      <c r="O1299" s="38"/>
      <c r="P1299" s="38"/>
      <c r="Q1299" s="38"/>
      <c r="R1299" s="38"/>
      <c r="S1299" s="38"/>
      <c r="T1299" s="38"/>
      <c r="U1299" s="38"/>
      <c r="V1299" s="39"/>
    </row>
    <row r="1300" spans="2:22" s="37" customFormat="1" x14ac:dyDescent="0.2">
      <c r="B1300" s="92"/>
      <c r="C1300" s="93"/>
      <c r="D1300" s="38"/>
      <c r="E1300" s="38"/>
      <c r="F1300" s="38"/>
      <c r="G1300" s="38"/>
      <c r="H1300" s="38"/>
      <c r="I1300" s="38"/>
      <c r="J1300" s="38"/>
      <c r="K1300" s="38"/>
      <c r="L1300" s="38"/>
      <c r="M1300" s="38"/>
      <c r="N1300" s="38"/>
      <c r="O1300" s="38"/>
      <c r="P1300" s="38"/>
      <c r="Q1300" s="38"/>
      <c r="R1300" s="38"/>
      <c r="S1300" s="38"/>
      <c r="T1300" s="38"/>
      <c r="U1300" s="38"/>
      <c r="V1300" s="39"/>
    </row>
    <row r="1301" spans="2:22" s="37" customFormat="1" x14ac:dyDescent="0.2">
      <c r="B1301" s="92"/>
      <c r="C1301" s="93"/>
      <c r="D1301" s="38"/>
      <c r="E1301" s="38"/>
      <c r="F1301" s="38"/>
      <c r="G1301" s="38"/>
      <c r="H1301" s="38"/>
      <c r="I1301" s="38"/>
      <c r="J1301" s="38"/>
      <c r="K1301" s="38"/>
      <c r="L1301" s="38"/>
      <c r="M1301" s="38"/>
      <c r="N1301" s="38"/>
      <c r="O1301" s="38"/>
      <c r="P1301" s="38"/>
      <c r="Q1301" s="38"/>
      <c r="R1301" s="38"/>
      <c r="S1301" s="38"/>
      <c r="T1301" s="38"/>
      <c r="U1301" s="38"/>
      <c r="V1301" s="39"/>
    </row>
    <row r="1302" spans="2:22" s="37" customFormat="1" x14ac:dyDescent="0.2">
      <c r="B1302" s="92"/>
      <c r="C1302" s="93"/>
      <c r="D1302" s="38"/>
      <c r="E1302" s="38"/>
      <c r="F1302" s="38"/>
      <c r="G1302" s="38"/>
      <c r="H1302" s="38"/>
      <c r="I1302" s="38"/>
      <c r="J1302" s="38"/>
      <c r="K1302" s="38"/>
      <c r="L1302" s="38"/>
      <c r="M1302" s="38"/>
      <c r="N1302" s="38"/>
      <c r="O1302" s="38"/>
      <c r="P1302" s="38"/>
      <c r="Q1302" s="38"/>
      <c r="R1302" s="38"/>
      <c r="S1302" s="38"/>
      <c r="T1302" s="38"/>
      <c r="U1302" s="38"/>
      <c r="V1302" s="39"/>
    </row>
    <row r="1303" spans="2:22" s="37" customFormat="1" x14ac:dyDescent="0.2">
      <c r="B1303" s="92"/>
      <c r="C1303" s="93"/>
      <c r="D1303" s="38"/>
      <c r="E1303" s="38"/>
      <c r="F1303" s="38"/>
      <c r="G1303" s="38"/>
      <c r="H1303" s="38"/>
      <c r="I1303" s="38"/>
      <c r="J1303" s="38"/>
      <c r="K1303" s="38"/>
      <c r="L1303" s="38"/>
      <c r="M1303" s="38"/>
      <c r="N1303" s="38"/>
      <c r="O1303" s="38"/>
      <c r="P1303" s="38"/>
      <c r="Q1303" s="38"/>
      <c r="R1303" s="38"/>
      <c r="S1303" s="38"/>
      <c r="T1303" s="38"/>
      <c r="U1303" s="38"/>
      <c r="V1303" s="39"/>
    </row>
    <row r="1304" spans="2:22" s="37" customFormat="1" x14ac:dyDescent="0.2">
      <c r="B1304" s="92"/>
      <c r="C1304" s="93"/>
      <c r="D1304" s="38"/>
      <c r="E1304" s="38"/>
      <c r="F1304" s="38"/>
      <c r="G1304" s="38"/>
      <c r="H1304" s="38"/>
      <c r="I1304" s="38"/>
      <c r="J1304" s="38"/>
      <c r="K1304" s="38"/>
      <c r="L1304" s="38"/>
      <c r="M1304" s="38"/>
      <c r="N1304" s="38"/>
      <c r="O1304" s="38"/>
      <c r="P1304" s="38"/>
      <c r="Q1304" s="38"/>
      <c r="R1304" s="38"/>
      <c r="S1304" s="38"/>
      <c r="T1304" s="38"/>
      <c r="U1304" s="38"/>
      <c r="V1304" s="39"/>
    </row>
    <row r="1305" spans="2:22" s="37" customFormat="1" x14ac:dyDescent="0.2">
      <c r="B1305" s="92"/>
      <c r="C1305" s="93"/>
      <c r="D1305" s="38"/>
      <c r="E1305" s="38"/>
      <c r="F1305" s="38"/>
      <c r="G1305" s="38"/>
      <c r="H1305" s="38"/>
      <c r="I1305" s="38"/>
      <c r="J1305" s="38"/>
      <c r="K1305" s="38"/>
      <c r="L1305" s="38"/>
      <c r="M1305" s="38"/>
      <c r="N1305" s="38"/>
      <c r="O1305" s="38"/>
      <c r="P1305" s="38"/>
      <c r="Q1305" s="38"/>
      <c r="R1305" s="38"/>
      <c r="S1305" s="38"/>
      <c r="T1305" s="38"/>
      <c r="U1305" s="38"/>
      <c r="V1305" s="39"/>
    </row>
    <row r="1306" spans="2:22" s="37" customFormat="1" x14ac:dyDescent="0.2">
      <c r="B1306" s="92"/>
      <c r="C1306" s="93"/>
      <c r="D1306" s="38"/>
      <c r="E1306" s="38"/>
      <c r="F1306" s="38"/>
      <c r="G1306" s="38"/>
      <c r="H1306" s="38"/>
      <c r="I1306" s="38"/>
      <c r="J1306" s="38"/>
      <c r="K1306" s="38"/>
      <c r="L1306" s="38"/>
      <c r="M1306" s="38"/>
      <c r="N1306" s="38"/>
      <c r="O1306" s="38"/>
      <c r="P1306" s="38"/>
      <c r="Q1306" s="38"/>
      <c r="R1306" s="38"/>
      <c r="S1306" s="38"/>
      <c r="T1306" s="38"/>
      <c r="U1306" s="38"/>
      <c r="V1306" s="39"/>
    </row>
    <row r="1307" spans="2:22" s="37" customFormat="1" x14ac:dyDescent="0.2">
      <c r="B1307" s="92"/>
      <c r="C1307" s="93"/>
      <c r="D1307" s="38"/>
      <c r="E1307" s="38"/>
      <c r="F1307" s="38"/>
      <c r="G1307" s="38"/>
      <c r="H1307" s="38"/>
      <c r="I1307" s="38"/>
      <c r="J1307" s="38"/>
      <c r="K1307" s="38"/>
      <c r="L1307" s="38"/>
      <c r="M1307" s="38"/>
      <c r="N1307" s="38"/>
      <c r="O1307" s="38"/>
      <c r="P1307" s="38"/>
      <c r="Q1307" s="38"/>
      <c r="R1307" s="38"/>
      <c r="S1307" s="38"/>
      <c r="T1307" s="38"/>
      <c r="U1307" s="38"/>
      <c r="V1307" s="39"/>
    </row>
    <row r="1308" spans="2:22" s="37" customFormat="1" x14ac:dyDescent="0.2">
      <c r="B1308" s="92"/>
      <c r="C1308" s="93"/>
      <c r="D1308" s="38"/>
      <c r="E1308" s="38"/>
      <c r="F1308" s="38"/>
      <c r="G1308" s="38"/>
      <c r="H1308" s="38"/>
      <c r="I1308" s="38"/>
      <c r="J1308" s="38"/>
      <c r="K1308" s="38"/>
      <c r="L1308" s="38"/>
      <c r="M1308" s="38"/>
      <c r="N1308" s="38"/>
      <c r="O1308" s="38"/>
      <c r="P1308" s="38"/>
      <c r="Q1308" s="38"/>
      <c r="R1308" s="38"/>
      <c r="S1308" s="38"/>
      <c r="T1308" s="38"/>
      <c r="U1308" s="38"/>
      <c r="V1308" s="39"/>
    </row>
    <row r="1309" spans="2:22" s="37" customFormat="1" x14ac:dyDescent="0.2">
      <c r="B1309" s="92"/>
      <c r="C1309" s="93"/>
      <c r="D1309" s="38"/>
      <c r="E1309" s="38"/>
      <c r="F1309" s="38"/>
      <c r="G1309" s="38"/>
      <c r="H1309" s="38"/>
      <c r="I1309" s="38"/>
      <c r="J1309" s="38"/>
      <c r="K1309" s="38"/>
      <c r="L1309" s="38"/>
      <c r="M1309" s="38"/>
      <c r="N1309" s="38"/>
      <c r="O1309" s="38"/>
      <c r="P1309" s="38"/>
      <c r="Q1309" s="38"/>
      <c r="R1309" s="38"/>
      <c r="S1309" s="38"/>
      <c r="T1309" s="38"/>
      <c r="U1309" s="38"/>
      <c r="V1309" s="39"/>
    </row>
    <row r="1310" spans="2:22" s="37" customFormat="1" x14ac:dyDescent="0.2">
      <c r="B1310" s="92"/>
      <c r="C1310" s="93"/>
      <c r="D1310" s="38"/>
      <c r="E1310" s="38"/>
      <c r="F1310" s="38"/>
      <c r="G1310" s="38"/>
      <c r="H1310" s="38"/>
      <c r="I1310" s="38"/>
      <c r="J1310" s="38"/>
      <c r="K1310" s="38"/>
      <c r="L1310" s="38"/>
      <c r="M1310" s="38"/>
      <c r="N1310" s="38"/>
      <c r="O1310" s="38"/>
      <c r="P1310" s="38"/>
      <c r="Q1310" s="38"/>
      <c r="R1310" s="38"/>
      <c r="S1310" s="38"/>
      <c r="T1310" s="38"/>
      <c r="U1310" s="38"/>
      <c r="V1310" s="39"/>
    </row>
    <row r="1311" spans="2:22" s="37" customFormat="1" x14ac:dyDescent="0.2">
      <c r="B1311" s="92"/>
      <c r="C1311" s="93"/>
      <c r="D1311" s="38"/>
      <c r="E1311" s="38"/>
      <c r="F1311" s="38"/>
      <c r="G1311" s="38"/>
      <c r="H1311" s="38"/>
      <c r="I1311" s="38"/>
      <c r="J1311" s="38"/>
      <c r="K1311" s="38"/>
      <c r="L1311" s="38"/>
      <c r="M1311" s="38"/>
      <c r="N1311" s="38"/>
      <c r="O1311" s="38"/>
      <c r="P1311" s="38"/>
      <c r="Q1311" s="38"/>
      <c r="R1311" s="38"/>
      <c r="S1311" s="38"/>
      <c r="T1311" s="38"/>
      <c r="U1311" s="38"/>
      <c r="V1311" s="39"/>
    </row>
    <row r="1312" spans="2:22" s="37" customFormat="1" x14ac:dyDescent="0.2">
      <c r="B1312" s="92"/>
      <c r="C1312" s="93"/>
      <c r="D1312" s="38"/>
      <c r="E1312" s="38"/>
      <c r="F1312" s="38"/>
      <c r="G1312" s="38"/>
      <c r="H1312" s="38"/>
      <c r="I1312" s="38"/>
      <c r="J1312" s="38"/>
      <c r="K1312" s="38"/>
      <c r="L1312" s="38"/>
      <c r="M1312" s="38"/>
      <c r="N1312" s="38"/>
      <c r="O1312" s="38"/>
      <c r="P1312" s="38"/>
      <c r="Q1312" s="38"/>
      <c r="R1312" s="38"/>
      <c r="S1312" s="38"/>
      <c r="T1312" s="38"/>
      <c r="U1312" s="38"/>
      <c r="V1312" s="39"/>
    </row>
    <row r="1313" spans="2:22" s="37" customFormat="1" x14ac:dyDescent="0.2">
      <c r="B1313" s="92"/>
      <c r="C1313" s="93"/>
      <c r="D1313" s="38"/>
      <c r="E1313" s="38"/>
      <c r="F1313" s="38"/>
      <c r="G1313" s="38"/>
      <c r="H1313" s="38"/>
      <c r="I1313" s="38"/>
      <c r="J1313" s="38"/>
      <c r="K1313" s="38"/>
      <c r="L1313" s="38"/>
      <c r="M1313" s="38"/>
      <c r="N1313" s="38"/>
      <c r="O1313" s="38"/>
      <c r="P1313" s="38"/>
      <c r="Q1313" s="38"/>
      <c r="R1313" s="38"/>
      <c r="S1313" s="38"/>
      <c r="T1313" s="38"/>
      <c r="U1313" s="38"/>
      <c r="V1313" s="39"/>
    </row>
    <row r="1314" spans="2:22" s="37" customFormat="1" x14ac:dyDescent="0.2">
      <c r="B1314" s="92"/>
      <c r="C1314" s="93"/>
      <c r="D1314" s="38"/>
      <c r="E1314" s="38"/>
      <c r="F1314" s="38"/>
      <c r="G1314" s="38"/>
      <c r="H1314" s="38"/>
      <c r="I1314" s="38"/>
      <c r="J1314" s="38"/>
      <c r="K1314" s="38"/>
      <c r="L1314" s="38"/>
      <c r="M1314" s="38"/>
      <c r="N1314" s="38"/>
      <c r="O1314" s="38"/>
      <c r="P1314" s="38"/>
      <c r="Q1314" s="38"/>
      <c r="R1314" s="38"/>
      <c r="S1314" s="38"/>
      <c r="T1314" s="38"/>
      <c r="U1314" s="38"/>
      <c r="V1314" s="39"/>
    </row>
    <row r="1315" spans="2:22" s="37" customFormat="1" x14ac:dyDescent="0.2">
      <c r="B1315" s="92"/>
      <c r="C1315" s="93"/>
      <c r="D1315" s="38"/>
      <c r="E1315" s="38"/>
      <c r="F1315" s="38"/>
      <c r="G1315" s="38"/>
      <c r="H1315" s="38"/>
      <c r="I1315" s="38"/>
      <c r="J1315" s="38"/>
      <c r="K1315" s="38"/>
      <c r="L1315" s="38"/>
      <c r="M1315" s="38"/>
      <c r="N1315" s="38"/>
      <c r="O1315" s="38"/>
      <c r="P1315" s="38"/>
      <c r="Q1315" s="38"/>
      <c r="R1315" s="38"/>
      <c r="S1315" s="38"/>
      <c r="T1315" s="38"/>
      <c r="U1315" s="38"/>
      <c r="V1315" s="39"/>
    </row>
    <row r="1316" spans="2:22" s="37" customFormat="1" x14ac:dyDescent="0.2">
      <c r="B1316" s="92"/>
      <c r="C1316" s="93"/>
      <c r="D1316" s="38"/>
      <c r="E1316" s="38"/>
      <c r="F1316" s="38"/>
      <c r="G1316" s="38"/>
      <c r="H1316" s="38"/>
      <c r="I1316" s="38"/>
      <c r="J1316" s="38"/>
      <c r="K1316" s="38"/>
      <c r="L1316" s="38"/>
      <c r="M1316" s="38"/>
      <c r="N1316" s="38"/>
      <c r="O1316" s="38"/>
      <c r="P1316" s="38"/>
      <c r="Q1316" s="38"/>
      <c r="R1316" s="38"/>
      <c r="S1316" s="38"/>
      <c r="T1316" s="38"/>
      <c r="U1316" s="38"/>
      <c r="V1316" s="39"/>
    </row>
    <row r="1317" spans="2:22" s="37" customFormat="1" x14ac:dyDescent="0.2">
      <c r="B1317" s="92"/>
      <c r="C1317" s="93"/>
      <c r="D1317" s="38"/>
      <c r="E1317" s="38"/>
      <c r="F1317" s="38"/>
      <c r="G1317" s="38"/>
      <c r="H1317" s="38"/>
      <c r="I1317" s="38"/>
      <c r="J1317" s="38"/>
      <c r="K1317" s="38"/>
      <c r="L1317" s="38"/>
      <c r="M1317" s="38"/>
      <c r="N1317" s="38"/>
      <c r="O1317" s="38"/>
      <c r="P1317" s="38"/>
      <c r="Q1317" s="38"/>
      <c r="R1317" s="38"/>
      <c r="S1317" s="38"/>
      <c r="T1317" s="38"/>
      <c r="U1317" s="38"/>
      <c r="V1317" s="39"/>
    </row>
    <row r="1318" spans="2:22" s="37" customFormat="1" x14ac:dyDescent="0.2">
      <c r="B1318" s="92"/>
      <c r="C1318" s="93"/>
      <c r="D1318" s="38"/>
      <c r="E1318" s="38"/>
      <c r="F1318" s="38"/>
      <c r="G1318" s="38"/>
      <c r="H1318" s="38"/>
      <c r="I1318" s="38"/>
      <c r="J1318" s="38"/>
      <c r="K1318" s="38"/>
      <c r="L1318" s="38"/>
      <c r="M1318" s="38"/>
      <c r="N1318" s="38"/>
      <c r="O1318" s="38"/>
      <c r="P1318" s="38"/>
      <c r="Q1318" s="38"/>
      <c r="R1318" s="38"/>
      <c r="S1318" s="38"/>
      <c r="T1318" s="38"/>
      <c r="U1318" s="38"/>
      <c r="V1318" s="39"/>
    </row>
    <row r="1319" spans="2:22" s="37" customFormat="1" x14ac:dyDescent="0.2">
      <c r="B1319" s="92"/>
      <c r="C1319" s="93"/>
      <c r="D1319" s="38"/>
      <c r="E1319" s="38"/>
      <c r="F1319" s="38"/>
      <c r="G1319" s="38"/>
      <c r="H1319" s="38"/>
      <c r="I1319" s="38"/>
      <c r="J1319" s="38"/>
      <c r="K1319" s="38"/>
      <c r="L1319" s="38"/>
      <c r="M1319" s="38"/>
      <c r="N1319" s="38"/>
      <c r="O1319" s="38"/>
      <c r="P1319" s="38"/>
      <c r="Q1319" s="38"/>
      <c r="R1319" s="38"/>
      <c r="S1319" s="38"/>
      <c r="T1319" s="38"/>
      <c r="U1319" s="38"/>
      <c r="V1319" s="39"/>
    </row>
    <row r="1320" spans="2:22" s="37" customFormat="1" x14ac:dyDescent="0.2">
      <c r="B1320" s="92"/>
      <c r="C1320" s="93"/>
      <c r="D1320" s="38"/>
      <c r="E1320" s="38"/>
      <c r="F1320" s="38"/>
      <c r="G1320" s="38"/>
      <c r="H1320" s="38"/>
      <c r="I1320" s="38"/>
      <c r="J1320" s="38"/>
      <c r="K1320" s="38"/>
      <c r="L1320" s="38"/>
      <c r="M1320" s="38"/>
      <c r="N1320" s="38"/>
      <c r="O1320" s="38"/>
      <c r="P1320" s="38"/>
      <c r="Q1320" s="38"/>
      <c r="R1320" s="38"/>
      <c r="S1320" s="38"/>
      <c r="T1320" s="38"/>
      <c r="U1320" s="38"/>
      <c r="V1320" s="39"/>
    </row>
    <row r="1321" spans="2:22" s="37" customFormat="1" x14ac:dyDescent="0.2">
      <c r="B1321" s="92"/>
      <c r="C1321" s="93"/>
      <c r="D1321" s="38"/>
      <c r="E1321" s="38"/>
      <c r="F1321" s="38"/>
      <c r="G1321" s="38"/>
      <c r="H1321" s="38"/>
      <c r="I1321" s="38"/>
      <c r="J1321" s="38"/>
      <c r="K1321" s="38"/>
      <c r="L1321" s="38"/>
      <c r="M1321" s="38"/>
      <c r="N1321" s="38"/>
      <c r="O1321" s="38"/>
      <c r="P1321" s="38"/>
      <c r="Q1321" s="38"/>
      <c r="R1321" s="38"/>
      <c r="S1321" s="38"/>
      <c r="T1321" s="38"/>
      <c r="U1321" s="38"/>
      <c r="V1321" s="39"/>
    </row>
    <row r="1322" spans="2:22" s="37" customFormat="1" x14ac:dyDescent="0.2">
      <c r="B1322" s="92"/>
      <c r="C1322" s="93"/>
      <c r="D1322" s="38"/>
      <c r="E1322" s="38"/>
      <c r="F1322" s="38"/>
      <c r="G1322" s="38"/>
      <c r="H1322" s="38"/>
      <c r="I1322" s="38"/>
      <c r="J1322" s="38"/>
      <c r="K1322" s="38"/>
      <c r="L1322" s="38"/>
      <c r="M1322" s="38"/>
      <c r="N1322" s="38"/>
      <c r="O1322" s="38"/>
      <c r="P1322" s="38"/>
      <c r="Q1322" s="38"/>
      <c r="R1322" s="38"/>
      <c r="S1322" s="38"/>
      <c r="T1322" s="38"/>
      <c r="U1322" s="38"/>
      <c r="V1322" s="39"/>
    </row>
    <row r="1323" spans="2:22" s="37" customFormat="1" x14ac:dyDescent="0.2">
      <c r="B1323" s="92"/>
      <c r="C1323" s="93"/>
      <c r="D1323" s="38"/>
      <c r="E1323" s="38"/>
      <c r="F1323" s="38"/>
      <c r="G1323" s="38"/>
      <c r="H1323" s="38"/>
      <c r="I1323" s="38"/>
      <c r="J1323" s="38"/>
      <c r="K1323" s="38"/>
      <c r="L1323" s="38"/>
      <c r="M1323" s="38"/>
      <c r="N1323" s="38"/>
      <c r="O1323" s="38"/>
      <c r="P1323" s="38"/>
      <c r="Q1323" s="38"/>
      <c r="R1323" s="38"/>
      <c r="S1323" s="38"/>
      <c r="T1323" s="38"/>
      <c r="U1323" s="38"/>
      <c r="V1323" s="39"/>
    </row>
    <row r="1324" spans="2:22" s="37" customFormat="1" x14ac:dyDescent="0.2">
      <c r="B1324" s="92"/>
      <c r="C1324" s="93"/>
      <c r="D1324" s="38"/>
      <c r="E1324" s="38"/>
      <c r="F1324" s="38"/>
      <c r="G1324" s="38"/>
      <c r="H1324" s="38"/>
      <c r="I1324" s="38"/>
      <c r="J1324" s="38"/>
      <c r="K1324" s="38"/>
      <c r="L1324" s="38"/>
      <c r="M1324" s="38"/>
      <c r="N1324" s="38"/>
      <c r="O1324" s="38"/>
      <c r="P1324" s="38"/>
      <c r="Q1324" s="38"/>
      <c r="R1324" s="38"/>
      <c r="S1324" s="38"/>
      <c r="T1324" s="38"/>
      <c r="U1324" s="38"/>
      <c r="V1324" s="39"/>
    </row>
    <row r="1325" spans="2:22" s="37" customFormat="1" x14ac:dyDescent="0.2">
      <c r="B1325" s="92"/>
      <c r="C1325" s="93"/>
      <c r="D1325" s="38"/>
      <c r="E1325" s="38"/>
      <c r="F1325" s="38"/>
      <c r="G1325" s="38"/>
      <c r="H1325" s="38"/>
      <c r="I1325" s="38"/>
      <c r="J1325" s="38"/>
      <c r="K1325" s="38"/>
      <c r="L1325" s="38"/>
      <c r="M1325" s="38"/>
      <c r="N1325" s="38"/>
      <c r="O1325" s="38"/>
      <c r="P1325" s="38"/>
      <c r="Q1325" s="38"/>
      <c r="R1325" s="38"/>
      <c r="S1325" s="38"/>
      <c r="T1325" s="38"/>
      <c r="U1325" s="38"/>
      <c r="V1325" s="39"/>
    </row>
    <row r="1326" spans="2:22" s="37" customFormat="1" x14ac:dyDescent="0.2">
      <c r="B1326" s="92"/>
      <c r="C1326" s="93"/>
      <c r="D1326" s="38"/>
      <c r="E1326" s="38"/>
      <c r="F1326" s="38"/>
      <c r="G1326" s="38"/>
      <c r="H1326" s="38"/>
      <c r="I1326" s="38"/>
      <c r="J1326" s="38"/>
      <c r="K1326" s="38"/>
      <c r="L1326" s="38"/>
      <c r="M1326" s="38"/>
      <c r="N1326" s="38"/>
      <c r="O1326" s="38"/>
      <c r="P1326" s="38"/>
      <c r="Q1326" s="38"/>
      <c r="R1326" s="38"/>
      <c r="S1326" s="38"/>
      <c r="T1326" s="38"/>
      <c r="U1326" s="38"/>
      <c r="V1326" s="39"/>
    </row>
    <row r="1327" spans="2:22" s="37" customFormat="1" x14ac:dyDescent="0.2">
      <c r="B1327" s="92"/>
      <c r="C1327" s="93"/>
      <c r="D1327" s="38"/>
      <c r="E1327" s="38"/>
      <c r="F1327" s="38"/>
      <c r="G1327" s="38"/>
      <c r="H1327" s="38"/>
      <c r="I1327" s="38"/>
      <c r="J1327" s="38"/>
      <c r="K1327" s="38"/>
      <c r="L1327" s="38"/>
      <c r="M1327" s="38"/>
      <c r="N1327" s="38"/>
      <c r="O1327" s="38"/>
      <c r="P1327" s="38"/>
      <c r="Q1327" s="38"/>
      <c r="R1327" s="38"/>
      <c r="S1327" s="38"/>
      <c r="T1327" s="38"/>
      <c r="U1327" s="38"/>
      <c r="V1327" s="39"/>
    </row>
    <row r="1328" spans="2:22" s="37" customFormat="1" x14ac:dyDescent="0.2">
      <c r="B1328" s="92"/>
      <c r="C1328" s="93"/>
      <c r="D1328" s="38"/>
      <c r="E1328" s="38"/>
      <c r="F1328" s="38"/>
      <c r="G1328" s="38"/>
      <c r="H1328" s="38"/>
      <c r="I1328" s="38"/>
      <c r="J1328" s="38"/>
      <c r="K1328" s="38"/>
      <c r="L1328" s="38"/>
      <c r="M1328" s="38"/>
      <c r="N1328" s="38"/>
      <c r="O1328" s="38"/>
      <c r="P1328" s="38"/>
      <c r="Q1328" s="38"/>
      <c r="R1328" s="38"/>
      <c r="S1328" s="38"/>
      <c r="T1328" s="38"/>
      <c r="U1328" s="38"/>
      <c r="V1328" s="39"/>
    </row>
    <row r="1329" spans="2:22" s="37" customFormat="1" x14ac:dyDescent="0.2">
      <c r="B1329" s="92"/>
      <c r="C1329" s="93"/>
      <c r="D1329" s="38"/>
      <c r="E1329" s="38"/>
      <c r="F1329" s="38"/>
      <c r="G1329" s="38"/>
      <c r="H1329" s="38"/>
      <c r="I1329" s="38"/>
      <c r="J1329" s="38"/>
      <c r="K1329" s="38"/>
      <c r="L1329" s="38"/>
      <c r="M1329" s="38"/>
      <c r="N1329" s="38"/>
      <c r="O1329" s="38"/>
      <c r="P1329" s="38"/>
      <c r="Q1329" s="38"/>
      <c r="R1329" s="38"/>
      <c r="S1329" s="38"/>
      <c r="T1329" s="38"/>
      <c r="U1329" s="38"/>
      <c r="V1329" s="39"/>
    </row>
    <row r="1330" spans="2:22" s="37" customFormat="1" x14ac:dyDescent="0.2">
      <c r="B1330" s="92"/>
      <c r="C1330" s="93"/>
      <c r="D1330" s="38"/>
      <c r="E1330" s="38"/>
      <c r="F1330" s="38"/>
      <c r="G1330" s="38"/>
      <c r="H1330" s="38"/>
      <c r="I1330" s="38"/>
      <c r="J1330" s="38"/>
      <c r="K1330" s="38"/>
      <c r="L1330" s="38"/>
      <c r="M1330" s="38"/>
      <c r="N1330" s="38"/>
      <c r="O1330" s="38"/>
      <c r="P1330" s="38"/>
      <c r="Q1330" s="38"/>
      <c r="R1330" s="38"/>
      <c r="S1330" s="38"/>
      <c r="T1330" s="38"/>
      <c r="U1330" s="38"/>
      <c r="V1330" s="39"/>
    </row>
    <row r="1331" spans="2:22" s="37" customFormat="1" x14ac:dyDescent="0.2">
      <c r="B1331" s="92"/>
      <c r="C1331" s="93"/>
      <c r="D1331" s="38"/>
      <c r="E1331" s="38"/>
      <c r="F1331" s="38"/>
      <c r="G1331" s="38"/>
      <c r="H1331" s="38"/>
      <c r="I1331" s="38"/>
      <c r="J1331" s="38"/>
      <c r="K1331" s="38"/>
      <c r="L1331" s="38"/>
      <c r="M1331" s="38"/>
      <c r="N1331" s="38"/>
      <c r="O1331" s="38"/>
      <c r="P1331" s="38"/>
      <c r="Q1331" s="38"/>
      <c r="R1331" s="38"/>
      <c r="S1331" s="38"/>
      <c r="T1331" s="38"/>
      <c r="U1331" s="38"/>
      <c r="V1331" s="39"/>
    </row>
    <row r="1332" spans="2:22" s="37" customFormat="1" x14ac:dyDescent="0.2">
      <c r="B1332" s="92"/>
      <c r="C1332" s="93"/>
      <c r="D1332" s="38"/>
      <c r="E1332" s="38"/>
      <c r="F1332" s="38"/>
      <c r="G1332" s="38"/>
      <c r="H1332" s="38"/>
      <c r="I1332" s="38"/>
      <c r="J1332" s="38"/>
      <c r="K1332" s="38"/>
      <c r="L1332" s="38"/>
      <c r="M1332" s="38"/>
      <c r="N1332" s="38"/>
      <c r="O1332" s="38"/>
      <c r="P1332" s="38"/>
      <c r="Q1332" s="38"/>
      <c r="R1332" s="38"/>
      <c r="S1332" s="38"/>
      <c r="T1332" s="38"/>
      <c r="U1332" s="38"/>
      <c r="V1332" s="39"/>
    </row>
    <row r="1333" spans="2:22" s="37" customFormat="1" x14ac:dyDescent="0.2">
      <c r="B1333" s="92"/>
      <c r="C1333" s="93"/>
      <c r="D1333" s="38"/>
      <c r="E1333" s="38"/>
      <c r="F1333" s="38"/>
      <c r="G1333" s="38"/>
      <c r="H1333" s="38"/>
      <c r="I1333" s="38"/>
      <c r="J1333" s="38"/>
      <c r="K1333" s="38"/>
      <c r="L1333" s="38"/>
      <c r="M1333" s="38"/>
      <c r="N1333" s="38"/>
      <c r="O1333" s="38"/>
      <c r="P1333" s="38"/>
      <c r="Q1333" s="38"/>
      <c r="R1333" s="38"/>
      <c r="S1333" s="38"/>
      <c r="T1333" s="38"/>
      <c r="U1333" s="38"/>
      <c r="V1333" s="39"/>
    </row>
    <row r="1334" spans="2:22" s="37" customFormat="1" x14ac:dyDescent="0.2">
      <c r="B1334" s="92"/>
      <c r="C1334" s="93"/>
      <c r="D1334" s="38"/>
      <c r="E1334" s="38"/>
      <c r="F1334" s="38"/>
      <c r="G1334" s="38"/>
      <c r="H1334" s="38"/>
      <c r="I1334" s="38"/>
      <c r="J1334" s="38"/>
      <c r="K1334" s="38"/>
      <c r="L1334" s="38"/>
      <c r="M1334" s="38"/>
      <c r="N1334" s="38"/>
      <c r="O1334" s="38"/>
      <c r="P1334" s="38"/>
      <c r="Q1334" s="38"/>
      <c r="R1334" s="38"/>
      <c r="S1334" s="38"/>
      <c r="T1334" s="38"/>
      <c r="U1334" s="38"/>
      <c r="V1334" s="39"/>
    </row>
    <row r="1335" spans="2:22" s="37" customFormat="1" x14ac:dyDescent="0.2">
      <c r="B1335" s="92"/>
      <c r="C1335" s="93"/>
      <c r="D1335" s="38"/>
      <c r="E1335" s="38"/>
      <c r="F1335" s="38"/>
      <c r="G1335" s="38"/>
      <c r="H1335" s="38"/>
      <c r="I1335" s="38"/>
      <c r="J1335" s="38"/>
      <c r="K1335" s="38"/>
      <c r="L1335" s="38"/>
      <c r="M1335" s="38"/>
      <c r="N1335" s="38"/>
      <c r="O1335" s="38"/>
      <c r="P1335" s="38"/>
      <c r="Q1335" s="38"/>
      <c r="R1335" s="38"/>
      <c r="S1335" s="38"/>
      <c r="T1335" s="38"/>
      <c r="U1335" s="38"/>
      <c r="V1335" s="39"/>
    </row>
    <row r="1336" spans="2:22" s="37" customFormat="1" x14ac:dyDescent="0.2">
      <c r="B1336" s="92"/>
      <c r="C1336" s="93"/>
      <c r="D1336" s="38"/>
      <c r="E1336" s="38"/>
      <c r="F1336" s="38"/>
      <c r="G1336" s="38"/>
      <c r="H1336" s="38"/>
      <c r="I1336" s="38"/>
      <c r="J1336" s="38"/>
      <c r="K1336" s="38"/>
      <c r="L1336" s="38"/>
      <c r="M1336" s="38"/>
      <c r="N1336" s="38"/>
      <c r="O1336" s="38"/>
      <c r="P1336" s="38"/>
      <c r="Q1336" s="38"/>
      <c r="R1336" s="38"/>
      <c r="S1336" s="38"/>
      <c r="T1336" s="38"/>
      <c r="U1336" s="38"/>
      <c r="V1336" s="39"/>
    </row>
    <row r="1337" spans="2:22" s="37" customFormat="1" x14ac:dyDescent="0.2">
      <c r="B1337" s="92"/>
      <c r="C1337" s="93"/>
      <c r="D1337" s="38"/>
      <c r="E1337" s="38"/>
      <c r="F1337" s="38"/>
      <c r="G1337" s="38"/>
      <c r="H1337" s="38"/>
      <c r="I1337" s="38"/>
      <c r="J1337" s="38"/>
      <c r="K1337" s="38"/>
      <c r="L1337" s="38"/>
      <c r="M1337" s="38"/>
      <c r="N1337" s="38"/>
      <c r="O1337" s="38"/>
      <c r="P1337" s="38"/>
      <c r="Q1337" s="38"/>
      <c r="R1337" s="38"/>
      <c r="S1337" s="38"/>
      <c r="T1337" s="38"/>
      <c r="U1337" s="38"/>
      <c r="V1337" s="39"/>
    </row>
    <row r="1338" spans="2:22" s="37" customFormat="1" x14ac:dyDescent="0.2">
      <c r="B1338" s="92"/>
      <c r="C1338" s="93"/>
      <c r="D1338" s="38"/>
      <c r="E1338" s="38"/>
      <c r="F1338" s="38"/>
      <c r="G1338" s="38"/>
      <c r="H1338" s="38"/>
      <c r="I1338" s="38"/>
      <c r="J1338" s="38"/>
      <c r="K1338" s="38"/>
      <c r="L1338" s="38"/>
      <c r="M1338" s="38"/>
      <c r="N1338" s="38"/>
      <c r="O1338" s="38"/>
      <c r="P1338" s="38"/>
      <c r="Q1338" s="38"/>
      <c r="R1338" s="38"/>
      <c r="S1338" s="38"/>
      <c r="T1338" s="38"/>
      <c r="U1338" s="38"/>
      <c r="V1338" s="39"/>
    </row>
    <row r="1339" spans="2:22" s="37" customFormat="1" x14ac:dyDescent="0.2">
      <c r="B1339" s="92"/>
      <c r="C1339" s="93"/>
      <c r="D1339" s="38"/>
      <c r="E1339" s="38"/>
      <c r="F1339" s="38"/>
      <c r="G1339" s="38"/>
      <c r="H1339" s="38"/>
      <c r="I1339" s="38"/>
      <c r="J1339" s="38"/>
      <c r="K1339" s="38"/>
      <c r="L1339" s="38"/>
      <c r="M1339" s="38"/>
      <c r="N1339" s="38"/>
      <c r="O1339" s="38"/>
      <c r="P1339" s="38"/>
      <c r="Q1339" s="38"/>
      <c r="R1339" s="38"/>
      <c r="S1339" s="38"/>
      <c r="T1339" s="38"/>
      <c r="U1339" s="38"/>
      <c r="V1339" s="39"/>
    </row>
    <row r="1340" spans="2:22" s="37" customFormat="1" x14ac:dyDescent="0.2">
      <c r="B1340" s="92"/>
      <c r="C1340" s="93"/>
      <c r="D1340" s="38"/>
      <c r="E1340" s="38"/>
      <c r="F1340" s="38"/>
      <c r="G1340" s="38"/>
      <c r="H1340" s="38"/>
      <c r="I1340" s="38"/>
      <c r="J1340" s="38"/>
      <c r="K1340" s="38"/>
      <c r="L1340" s="38"/>
      <c r="M1340" s="38"/>
      <c r="N1340" s="38"/>
      <c r="O1340" s="38"/>
      <c r="P1340" s="38"/>
      <c r="Q1340" s="38"/>
      <c r="R1340" s="38"/>
      <c r="S1340" s="38"/>
      <c r="T1340" s="38"/>
      <c r="U1340" s="38"/>
      <c r="V1340" s="39"/>
    </row>
    <row r="1341" spans="2:22" s="37" customFormat="1" x14ac:dyDescent="0.2">
      <c r="B1341" s="92"/>
      <c r="C1341" s="93"/>
      <c r="D1341" s="38"/>
      <c r="E1341" s="38"/>
      <c r="F1341" s="38"/>
      <c r="G1341" s="38"/>
      <c r="H1341" s="38"/>
      <c r="I1341" s="38"/>
      <c r="J1341" s="38"/>
      <c r="K1341" s="38"/>
      <c r="L1341" s="38"/>
      <c r="M1341" s="38"/>
      <c r="N1341" s="38"/>
      <c r="O1341" s="38"/>
      <c r="P1341" s="38"/>
      <c r="Q1341" s="38"/>
      <c r="R1341" s="38"/>
      <c r="S1341" s="38"/>
      <c r="T1341" s="38"/>
      <c r="U1341" s="38"/>
      <c r="V1341" s="39"/>
    </row>
    <row r="1342" spans="2:22" s="37" customFormat="1" x14ac:dyDescent="0.2">
      <c r="B1342" s="92"/>
      <c r="C1342" s="93"/>
      <c r="D1342" s="38"/>
      <c r="E1342" s="38"/>
      <c r="F1342" s="38"/>
      <c r="G1342" s="38"/>
      <c r="H1342" s="38"/>
      <c r="I1342" s="38"/>
      <c r="J1342" s="38"/>
      <c r="K1342" s="38"/>
      <c r="L1342" s="38"/>
      <c r="M1342" s="38"/>
      <c r="N1342" s="38"/>
      <c r="O1342" s="38"/>
      <c r="P1342" s="38"/>
      <c r="Q1342" s="38"/>
      <c r="R1342" s="38"/>
      <c r="S1342" s="38"/>
      <c r="T1342" s="38"/>
      <c r="U1342" s="38"/>
      <c r="V1342" s="39"/>
    </row>
    <row r="1343" spans="2:22" s="37" customFormat="1" x14ac:dyDescent="0.2">
      <c r="B1343" s="92"/>
      <c r="C1343" s="93"/>
      <c r="D1343" s="38"/>
      <c r="E1343" s="38"/>
      <c r="F1343" s="38"/>
      <c r="G1343" s="38"/>
      <c r="H1343" s="38"/>
      <c r="I1343" s="38"/>
      <c r="J1343" s="38"/>
      <c r="K1343" s="38"/>
      <c r="L1343" s="38"/>
      <c r="M1343" s="38"/>
      <c r="N1343" s="38"/>
      <c r="O1343" s="38"/>
      <c r="P1343" s="38"/>
      <c r="Q1343" s="38"/>
      <c r="R1343" s="38"/>
      <c r="S1343" s="38"/>
      <c r="T1343" s="38"/>
      <c r="U1343" s="38"/>
      <c r="V1343" s="39"/>
    </row>
    <row r="1344" spans="2:22" s="37" customFormat="1" x14ac:dyDescent="0.2">
      <c r="B1344" s="92"/>
      <c r="C1344" s="93"/>
      <c r="D1344" s="38"/>
      <c r="E1344" s="38"/>
      <c r="F1344" s="38"/>
      <c r="G1344" s="38"/>
      <c r="H1344" s="38"/>
      <c r="I1344" s="38"/>
      <c r="J1344" s="38"/>
      <c r="K1344" s="38"/>
      <c r="L1344" s="38"/>
      <c r="M1344" s="38"/>
      <c r="N1344" s="38"/>
      <c r="O1344" s="38"/>
      <c r="P1344" s="38"/>
      <c r="Q1344" s="38"/>
      <c r="R1344" s="38"/>
      <c r="S1344" s="38"/>
      <c r="T1344" s="38"/>
      <c r="U1344" s="38"/>
      <c r="V1344" s="39"/>
    </row>
    <row r="1345" spans="2:22" s="37" customFormat="1" x14ac:dyDescent="0.2">
      <c r="B1345" s="92"/>
      <c r="C1345" s="93"/>
      <c r="D1345" s="38"/>
      <c r="E1345" s="38"/>
      <c r="F1345" s="38"/>
      <c r="G1345" s="38"/>
      <c r="H1345" s="38"/>
      <c r="I1345" s="38"/>
      <c r="J1345" s="38"/>
      <c r="K1345" s="38"/>
      <c r="L1345" s="38"/>
      <c r="M1345" s="38"/>
      <c r="N1345" s="38"/>
      <c r="O1345" s="38"/>
      <c r="P1345" s="38"/>
      <c r="Q1345" s="38"/>
      <c r="R1345" s="38"/>
      <c r="S1345" s="38"/>
      <c r="T1345" s="38"/>
      <c r="U1345" s="38"/>
      <c r="V1345" s="39"/>
    </row>
    <row r="1346" spans="2:22" s="37" customFormat="1" x14ac:dyDescent="0.2">
      <c r="B1346" s="92"/>
      <c r="C1346" s="93"/>
      <c r="D1346" s="38"/>
      <c r="E1346" s="38"/>
      <c r="F1346" s="38"/>
      <c r="G1346" s="38"/>
      <c r="H1346" s="38"/>
      <c r="I1346" s="38"/>
      <c r="J1346" s="38"/>
      <c r="K1346" s="38"/>
      <c r="L1346" s="38"/>
      <c r="M1346" s="38"/>
      <c r="N1346" s="38"/>
      <c r="O1346" s="38"/>
      <c r="P1346" s="38"/>
      <c r="Q1346" s="38"/>
      <c r="R1346" s="38"/>
      <c r="S1346" s="38"/>
      <c r="T1346" s="38"/>
      <c r="U1346" s="38"/>
      <c r="V1346" s="39"/>
    </row>
    <row r="1347" spans="2:22" s="37" customFormat="1" x14ac:dyDescent="0.2">
      <c r="B1347" s="92"/>
      <c r="C1347" s="93"/>
      <c r="D1347" s="38"/>
      <c r="E1347" s="38"/>
      <c r="F1347" s="38"/>
      <c r="G1347" s="38"/>
      <c r="H1347" s="38"/>
      <c r="I1347" s="38"/>
      <c r="J1347" s="38"/>
      <c r="K1347" s="38"/>
      <c r="L1347" s="38"/>
      <c r="M1347" s="38"/>
      <c r="N1347" s="38"/>
      <c r="O1347" s="38"/>
      <c r="P1347" s="38"/>
      <c r="Q1347" s="38"/>
      <c r="R1347" s="38"/>
      <c r="S1347" s="38"/>
      <c r="T1347" s="38"/>
      <c r="U1347" s="38"/>
      <c r="V1347" s="39"/>
    </row>
    <row r="1348" spans="2:22" s="37" customFormat="1" x14ac:dyDescent="0.2">
      <c r="B1348" s="92"/>
      <c r="C1348" s="93"/>
      <c r="D1348" s="38"/>
      <c r="E1348" s="38"/>
      <c r="F1348" s="38"/>
      <c r="G1348" s="38"/>
      <c r="H1348" s="38"/>
      <c r="I1348" s="38"/>
      <c r="J1348" s="38"/>
      <c r="K1348" s="38"/>
      <c r="L1348" s="38"/>
      <c r="M1348" s="38"/>
      <c r="N1348" s="38"/>
      <c r="O1348" s="38"/>
      <c r="P1348" s="38"/>
      <c r="Q1348" s="38"/>
      <c r="R1348" s="38"/>
      <c r="S1348" s="38"/>
      <c r="T1348" s="38"/>
      <c r="U1348" s="38"/>
      <c r="V1348" s="39"/>
    </row>
    <row r="1349" spans="2:22" s="37" customFormat="1" x14ac:dyDescent="0.2">
      <c r="B1349" s="92"/>
      <c r="C1349" s="93"/>
      <c r="D1349" s="38"/>
      <c r="E1349" s="38"/>
      <c r="F1349" s="38"/>
      <c r="G1349" s="38"/>
      <c r="H1349" s="38"/>
      <c r="I1349" s="38"/>
      <c r="J1349" s="38"/>
      <c r="K1349" s="38"/>
      <c r="L1349" s="38"/>
      <c r="M1349" s="38"/>
      <c r="N1349" s="38"/>
      <c r="O1349" s="38"/>
      <c r="P1349" s="38"/>
      <c r="Q1349" s="38"/>
      <c r="R1349" s="38"/>
      <c r="S1349" s="38"/>
      <c r="T1349" s="38"/>
      <c r="U1349" s="38"/>
      <c r="V1349" s="39"/>
    </row>
    <row r="1350" spans="2:22" s="37" customFormat="1" x14ac:dyDescent="0.2">
      <c r="B1350" s="92"/>
      <c r="C1350" s="93"/>
      <c r="D1350" s="38"/>
      <c r="E1350" s="38"/>
      <c r="F1350" s="38"/>
      <c r="G1350" s="38"/>
      <c r="H1350" s="38"/>
      <c r="I1350" s="38"/>
      <c r="J1350" s="38"/>
      <c r="K1350" s="38"/>
      <c r="L1350" s="38"/>
      <c r="M1350" s="38"/>
      <c r="N1350" s="38"/>
      <c r="O1350" s="38"/>
      <c r="P1350" s="38"/>
      <c r="Q1350" s="38"/>
      <c r="R1350" s="38"/>
      <c r="S1350" s="38"/>
      <c r="T1350" s="38"/>
      <c r="U1350" s="38"/>
      <c r="V1350" s="39"/>
    </row>
    <row r="1351" spans="2:22" s="37" customFormat="1" x14ac:dyDescent="0.2">
      <c r="B1351" s="92"/>
      <c r="C1351" s="93"/>
      <c r="D1351" s="38"/>
      <c r="E1351" s="38"/>
      <c r="F1351" s="38"/>
      <c r="G1351" s="38"/>
      <c r="H1351" s="38"/>
      <c r="I1351" s="38"/>
      <c r="J1351" s="38"/>
      <c r="K1351" s="38"/>
      <c r="L1351" s="38"/>
      <c r="M1351" s="38"/>
      <c r="N1351" s="38"/>
      <c r="O1351" s="38"/>
      <c r="P1351" s="38"/>
      <c r="Q1351" s="38"/>
      <c r="R1351" s="38"/>
      <c r="S1351" s="38"/>
      <c r="T1351" s="38"/>
      <c r="U1351" s="38"/>
      <c r="V1351" s="39"/>
    </row>
    <row r="1352" spans="2:22" s="37" customFormat="1" x14ac:dyDescent="0.2">
      <c r="B1352" s="92"/>
      <c r="C1352" s="93"/>
      <c r="D1352" s="38"/>
      <c r="E1352" s="38"/>
      <c r="F1352" s="38"/>
      <c r="G1352" s="38"/>
      <c r="H1352" s="38"/>
      <c r="I1352" s="38"/>
      <c r="J1352" s="38"/>
      <c r="K1352" s="38"/>
      <c r="L1352" s="38"/>
      <c r="M1352" s="38"/>
      <c r="N1352" s="38"/>
      <c r="O1352" s="38"/>
      <c r="P1352" s="38"/>
      <c r="Q1352" s="38"/>
      <c r="R1352" s="38"/>
      <c r="S1352" s="38"/>
      <c r="T1352" s="38"/>
      <c r="U1352" s="38"/>
      <c r="V1352" s="39"/>
    </row>
    <row r="1353" spans="2:22" s="37" customFormat="1" x14ac:dyDescent="0.2">
      <c r="B1353" s="92"/>
      <c r="C1353" s="93"/>
      <c r="D1353" s="38"/>
      <c r="E1353" s="38"/>
      <c r="F1353" s="38"/>
      <c r="G1353" s="38"/>
      <c r="H1353" s="38"/>
      <c r="I1353" s="38"/>
      <c r="J1353" s="38"/>
      <c r="K1353" s="38"/>
      <c r="L1353" s="38"/>
      <c r="M1353" s="38"/>
      <c r="N1353" s="38"/>
      <c r="O1353" s="38"/>
      <c r="P1353" s="38"/>
      <c r="Q1353" s="38"/>
      <c r="R1353" s="38"/>
      <c r="S1353" s="38"/>
      <c r="T1353" s="38"/>
      <c r="U1353" s="38"/>
      <c r="V1353" s="39"/>
    </row>
    <row r="1354" spans="2:22" s="37" customFormat="1" x14ac:dyDescent="0.2">
      <c r="B1354" s="92"/>
      <c r="C1354" s="93"/>
      <c r="D1354" s="38"/>
      <c r="E1354" s="38"/>
      <c r="F1354" s="38"/>
      <c r="G1354" s="38"/>
      <c r="H1354" s="38"/>
      <c r="I1354" s="38"/>
      <c r="J1354" s="38"/>
      <c r="K1354" s="38"/>
      <c r="L1354" s="38"/>
      <c r="M1354" s="38"/>
      <c r="N1354" s="38"/>
      <c r="O1354" s="38"/>
      <c r="P1354" s="38"/>
      <c r="Q1354" s="38"/>
      <c r="R1354" s="38"/>
      <c r="S1354" s="38"/>
      <c r="T1354" s="38"/>
      <c r="U1354" s="38"/>
      <c r="V1354" s="39"/>
    </row>
    <row r="1355" spans="2:22" s="37" customFormat="1" x14ac:dyDescent="0.2">
      <c r="B1355" s="92"/>
      <c r="C1355" s="93"/>
      <c r="D1355" s="38"/>
      <c r="E1355" s="38"/>
      <c r="F1355" s="38"/>
      <c r="G1355" s="38"/>
      <c r="H1355" s="38"/>
      <c r="I1355" s="38"/>
      <c r="J1355" s="38"/>
      <c r="K1355" s="38"/>
      <c r="L1355" s="38"/>
      <c r="M1355" s="38"/>
      <c r="N1355" s="38"/>
      <c r="O1355" s="38"/>
      <c r="P1355" s="38"/>
      <c r="Q1355" s="38"/>
      <c r="R1355" s="38"/>
      <c r="S1355" s="38"/>
      <c r="T1355" s="38"/>
      <c r="U1355" s="38"/>
      <c r="V1355" s="39"/>
    </row>
    <row r="1356" spans="2:22" s="37" customFormat="1" x14ac:dyDescent="0.2">
      <c r="B1356" s="92"/>
      <c r="C1356" s="93"/>
      <c r="D1356" s="38"/>
      <c r="E1356" s="38"/>
      <c r="F1356" s="38"/>
      <c r="G1356" s="38"/>
      <c r="H1356" s="38"/>
      <c r="I1356" s="38"/>
      <c r="J1356" s="38"/>
      <c r="K1356" s="38"/>
      <c r="L1356" s="38"/>
      <c r="M1356" s="38"/>
      <c r="N1356" s="38"/>
      <c r="O1356" s="38"/>
      <c r="P1356" s="38"/>
      <c r="Q1356" s="38"/>
      <c r="R1356" s="38"/>
      <c r="S1356" s="38"/>
      <c r="T1356" s="38"/>
      <c r="U1356" s="38"/>
      <c r="V1356" s="39"/>
    </row>
    <row r="1357" spans="2:22" s="37" customFormat="1" x14ac:dyDescent="0.2">
      <c r="B1357" s="92"/>
      <c r="C1357" s="93"/>
      <c r="D1357" s="38"/>
      <c r="E1357" s="38"/>
      <c r="F1357" s="38"/>
      <c r="G1357" s="38"/>
      <c r="H1357" s="38"/>
      <c r="I1357" s="38"/>
      <c r="J1357" s="38"/>
      <c r="K1357" s="38"/>
      <c r="L1357" s="38"/>
      <c r="M1357" s="38"/>
      <c r="N1357" s="38"/>
      <c r="O1357" s="38"/>
      <c r="P1357" s="38"/>
      <c r="Q1357" s="38"/>
      <c r="R1357" s="38"/>
      <c r="S1357" s="38"/>
      <c r="T1357" s="38"/>
      <c r="U1357" s="38"/>
      <c r="V1357" s="39"/>
    </row>
    <row r="1358" spans="2:22" s="37" customFormat="1" x14ac:dyDescent="0.2">
      <c r="B1358" s="92"/>
      <c r="C1358" s="93"/>
      <c r="D1358" s="38"/>
      <c r="E1358" s="38"/>
      <c r="F1358" s="38"/>
      <c r="G1358" s="38"/>
      <c r="H1358" s="38"/>
      <c r="I1358" s="38"/>
      <c r="J1358" s="38"/>
      <c r="K1358" s="38"/>
      <c r="L1358" s="38"/>
      <c r="M1358" s="38"/>
      <c r="N1358" s="38"/>
      <c r="O1358" s="38"/>
      <c r="P1358" s="38"/>
      <c r="Q1358" s="38"/>
      <c r="R1358" s="38"/>
      <c r="S1358" s="38"/>
      <c r="T1358" s="38"/>
      <c r="U1358" s="38"/>
      <c r="V1358" s="39"/>
    </row>
    <row r="1359" spans="2:22" s="37" customFormat="1" x14ac:dyDescent="0.2">
      <c r="B1359" s="92"/>
      <c r="C1359" s="93"/>
      <c r="D1359" s="38"/>
      <c r="E1359" s="38"/>
      <c r="F1359" s="38"/>
      <c r="G1359" s="38"/>
      <c r="H1359" s="38"/>
      <c r="I1359" s="38"/>
      <c r="J1359" s="38"/>
      <c r="K1359" s="38"/>
      <c r="L1359" s="38"/>
      <c r="M1359" s="38"/>
      <c r="N1359" s="38"/>
      <c r="O1359" s="38"/>
      <c r="P1359" s="38"/>
      <c r="Q1359" s="38"/>
      <c r="R1359" s="38"/>
      <c r="S1359" s="38"/>
      <c r="T1359" s="38"/>
      <c r="U1359" s="38"/>
      <c r="V1359" s="39"/>
    </row>
    <row r="1360" spans="2:22" s="37" customFormat="1" x14ac:dyDescent="0.2">
      <c r="B1360" s="92"/>
      <c r="C1360" s="93"/>
      <c r="D1360" s="38"/>
      <c r="E1360" s="38"/>
      <c r="F1360" s="38"/>
      <c r="G1360" s="38"/>
      <c r="H1360" s="38"/>
      <c r="I1360" s="38"/>
      <c r="J1360" s="38"/>
      <c r="K1360" s="38"/>
      <c r="L1360" s="38"/>
      <c r="M1360" s="38"/>
      <c r="N1360" s="38"/>
      <c r="O1360" s="38"/>
      <c r="P1360" s="38"/>
      <c r="Q1360" s="38"/>
      <c r="R1360" s="38"/>
      <c r="S1360" s="38"/>
      <c r="T1360" s="38"/>
      <c r="U1360" s="38"/>
      <c r="V1360" s="39"/>
    </row>
    <row r="1361" spans="2:22" s="37" customFormat="1" x14ac:dyDescent="0.2">
      <c r="B1361" s="92"/>
      <c r="C1361" s="93"/>
      <c r="D1361" s="38"/>
      <c r="E1361" s="38"/>
      <c r="F1361" s="38"/>
      <c r="G1361" s="38"/>
      <c r="H1361" s="38"/>
      <c r="I1361" s="38"/>
      <c r="J1361" s="38"/>
      <c r="K1361" s="38"/>
      <c r="L1361" s="38"/>
      <c r="M1361" s="38"/>
      <c r="N1361" s="38"/>
      <c r="O1361" s="38"/>
      <c r="P1361" s="38"/>
      <c r="Q1361" s="38"/>
      <c r="R1361" s="38"/>
      <c r="S1361" s="38"/>
      <c r="T1361" s="38"/>
      <c r="U1361" s="38"/>
      <c r="V1361" s="39"/>
    </row>
    <row r="1362" spans="2:22" s="37" customFormat="1" x14ac:dyDescent="0.2">
      <c r="B1362" s="92"/>
      <c r="C1362" s="93"/>
      <c r="D1362" s="38"/>
      <c r="E1362" s="38"/>
      <c r="F1362" s="38"/>
      <c r="G1362" s="38"/>
      <c r="H1362" s="38"/>
      <c r="I1362" s="38"/>
      <c r="J1362" s="38"/>
      <c r="K1362" s="38"/>
      <c r="L1362" s="38"/>
      <c r="M1362" s="38"/>
      <c r="N1362" s="38"/>
      <c r="O1362" s="38"/>
      <c r="P1362" s="38"/>
      <c r="Q1362" s="38"/>
      <c r="R1362" s="38"/>
      <c r="S1362" s="38"/>
      <c r="T1362" s="38"/>
      <c r="U1362" s="38"/>
      <c r="V1362" s="39"/>
    </row>
    <row r="1363" spans="2:22" s="37" customFormat="1" x14ac:dyDescent="0.2">
      <c r="B1363" s="92"/>
      <c r="C1363" s="93"/>
      <c r="D1363" s="38"/>
      <c r="E1363" s="38"/>
      <c r="F1363" s="38"/>
      <c r="G1363" s="38"/>
      <c r="H1363" s="38"/>
      <c r="I1363" s="38"/>
      <c r="J1363" s="38"/>
      <c r="K1363" s="38"/>
      <c r="L1363" s="38"/>
      <c r="M1363" s="38"/>
      <c r="N1363" s="38"/>
      <c r="O1363" s="38"/>
      <c r="P1363" s="38"/>
      <c r="Q1363" s="38"/>
      <c r="R1363" s="38"/>
      <c r="S1363" s="38"/>
      <c r="T1363" s="38"/>
      <c r="U1363" s="38"/>
      <c r="V1363" s="39"/>
    </row>
    <row r="1364" spans="2:22" s="37" customFormat="1" x14ac:dyDescent="0.2">
      <c r="B1364" s="92"/>
      <c r="C1364" s="93"/>
      <c r="D1364" s="38"/>
      <c r="E1364" s="38"/>
      <c r="F1364" s="38"/>
      <c r="G1364" s="38"/>
      <c r="H1364" s="38"/>
      <c r="I1364" s="38"/>
      <c r="J1364" s="38"/>
      <c r="K1364" s="38"/>
      <c r="L1364" s="38"/>
      <c r="M1364" s="38"/>
      <c r="N1364" s="38"/>
      <c r="O1364" s="38"/>
      <c r="P1364" s="38"/>
      <c r="Q1364" s="38"/>
      <c r="R1364" s="38"/>
      <c r="S1364" s="38"/>
      <c r="T1364" s="38"/>
      <c r="U1364" s="38"/>
      <c r="V1364" s="39"/>
    </row>
    <row r="1365" spans="2:22" s="37" customFormat="1" x14ac:dyDescent="0.2">
      <c r="B1365" s="92"/>
      <c r="C1365" s="93"/>
      <c r="D1365" s="38"/>
      <c r="E1365" s="38"/>
      <c r="F1365" s="38"/>
      <c r="G1365" s="38"/>
      <c r="H1365" s="38"/>
      <c r="I1365" s="38"/>
      <c r="J1365" s="38"/>
      <c r="K1365" s="38"/>
      <c r="L1365" s="38"/>
      <c r="M1365" s="38"/>
      <c r="N1365" s="38"/>
      <c r="O1365" s="38"/>
      <c r="P1365" s="38"/>
      <c r="Q1365" s="38"/>
      <c r="R1365" s="38"/>
      <c r="S1365" s="38"/>
      <c r="T1365" s="38"/>
      <c r="U1365" s="38"/>
      <c r="V1365" s="39"/>
    </row>
    <row r="1366" spans="2:22" s="37" customFormat="1" x14ac:dyDescent="0.2">
      <c r="B1366" s="92"/>
      <c r="C1366" s="93"/>
      <c r="D1366" s="38"/>
      <c r="E1366" s="38"/>
      <c r="F1366" s="38"/>
      <c r="G1366" s="38"/>
      <c r="H1366" s="38"/>
      <c r="I1366" s="38"/>
      <c r="J1366" s="38"/>
      <c r="K1366" s="38"/>
      <c r="L1366" s="38"/>
      <c r="M1366" s="38"/>
      <c r="N1366" s="38"/>
      <c r="O1366" s="38"/>
      <c r="P1366" s="38"/>
      <c r="Q1366" s="38"/>
      <c r="R1366" s="38"/>
      <c r="S1366" s="38"/>
      <c r="T1366" s="38"/>
      <c r="U1366" s="38"/>
      <c r="V1366" s="39"/>
    </row>
    <row r="1367" spans="2:22" s="37" customFormat="1" x14ac:dyDescent="0.2">
      <c r="B1367" s="92"/>
      <c r="C1367" s="93"/>
      <c r="D1367" s="38"/>
      <c r="E1367" s="38"/>
      <c r="F1367" s="38"/>
      <c r="G1367" s="38"/>
      <c r="H1367" s="38"/>
      <c r="I1367" s="38"/>
      <c r="J1367" s="38"/>
      <c r="K1367" s="38"/>
      <c r="L1367" s="38"/>
      <c r="M1367" s="38"/>
      <c r="N1367" s="38"/>
      <c r="O1367" s="38"/>
      <c r="P1367" s="38"/>
      <c r="Q1367" s="38"/>
      <c r="R1367" s="38"/>
      <c r="S1367" s="38"/>
      <c r="T1367" s="38"/>
      <c r="U1367" s="38"/>
      <c r="V1367" s="39"/>
    </row>
    <row r="1368" spans="2:22" s="37" customFormat="1" x14ac:dyDescent="0.2">
      <c r="B1368" s="92"/>
      <c r="C1368" s="93"/>
      <c r="D1368" s="38"/>
      <c r="E1368" s="38"/>
      <c r="F1368" s="38"/>
      <c r="G1368" s="38"/>
      <c r="H1368" s="38"/>
      <c r="I1368" s="38"/>
      <c r="J1368" s="38"/>
      <c r="K1368" s="38"/>
      <c r="L1368" s="38"/>
      <c r="M1368" s="38"/>
      <c r="N1368" s="38"/>
      <c r="O1368" s="38"/>
      <c r="P1368" s="38"/>
      <c r="Q1368" s="38"/>
      <c r="R1368" s="38"/>
      <c r="S1368" s="38"/>
      <c r="T1368" s="38"/>
      <c r="U1368" s="38"/>
      <c r="V1368" s="39"/>
    </row>
    <row r="1369" spans="2:22" s="37" customFormat="1" x14ac:dyDescent="0.2">
      <c r="B1369" s="92"/>
      <c r="C1369" s="93"/>
      <c r="D1369" s="38"/>
      <c r="E1369" s="38"/>
      <c r="F1369" s="38"/>
      <c r="G1369" s="38"/>
      <c r="H1369" s="38"/>
      <c r="I1369" s="38"/>
      <c r="J1369" s="38"/>
      <c r="K1369" s="38"/>
      <c r="L1369" s="38"/>
      <c r="M1369" s="38"/>
      <c r="N1369" s="38"/>
      <c r="O1369" s="38"/>
      <c r="P1369" s="38"/>
      <c r="Q1369" s="38"/>
      <c r="R1369" s="38"/>
      <c r="S1369" s="38"/>
      <c r="T1369" s="38"/>
      <c r="U1369" s="38"/>
      <c r="V1369" s="39"/>
    </row>
    <row r="1370" spans="2:22" s="37" customFormat="1" x14ac:dyDescent="0.2">
      <c r="B1370" s="92"/>
      <c r="C1370" s="93"/>
      <c r="D1370" s="38"/>
      <c r="E1370" s="38"/>
      <c r="F1370" s="38"/>
      <c r="G1370" s="38"/>
      <c r="H1370" s="38"/>
      <c r="I1370" s="38"/>
      <c r="J1370" s="38"/>
      <c r="K1370" s="38"/>
      <c r="L1370" s="38"/>
      <c r="M1370" s="38"/>
      <c r="N1370" s="38"/>
      <c r="O1370" s="38"/>
      <c r="P1370" s="38"/>
      <c r="Q1370" s="38"/>
      <c r="R1370" s="38"/>
      <c r="S1370" s="38"/>
      <c r="T1370" s="38"/>
      <c r="U1370" s="38"/>
      <c r="V1370" s="39"/>
    </row>
    <row r="1371" spans="2:22" s="37" customFormat="1" x14ac:dyDescent="0.2">
      <c r="B1371" s="92"/>
      <c r="C1371" s="93"/>
      <c r="D1371" s="38"/>
      <c r="E1371" s="38"/>
      <c r="F1371" s="38"/>
      <c r="G1371" s="38"/>
      <c r="H1371" s="38"/>
      <c r="I1371" s="38"/>
      <c r="J1371" s="38"/>
      <c r="K1371" s="38"/>
      <c r="L1371" s="38"/>
      <c r="M1371" s="38"/>
      <c r="N1371" s="38"/>
      <c r="O1371" s="38"/>
      <c r="P1371" s="38"/>
      <c r="Q1371" s="38"/>
      <c r="R1371" s="38"/>
      <c r="S1371" s="38"/>
      <c r="T1371" s="38"/>
      <c r="U1371" s="38"/>
      <c r="V1371" s="39"/>
    </row>
    <row r="1372" spans="2:22" s="37" customFormat="1" x14ac:dyDescent="0.2">
      <c r="B1372" s="92"/>
      <c r="C1372" s="93"/>
      <c r="D1372" s="38"/>
      <c r="E1372" s="38"/>
      <c r="F1372" s="38"/>
      <c r="G1372" s="38"/>
      <c r="H1372" s="38"/>
      <c r="I1372" s="38"/>
      <c r="J1372" s="38"/>
      <c r="K1372" s="38"/>
      <c r="L1372" s="38"/>
      <c r="M1372" s="38"/>
      <c r="N1372" s="38"/>
      <c r="O1372" s="38"/>
      <c r="P1372" s="38"/>
      <c r="Q1372" s="38"/>
      <c r="R1372" s="38"/>
      <c r="S1372" s="38"/>
      <c r="T1372" s="38"/>
      <c r="U1372" s="38"/>
      <c r="V1372" s="39"/>
    </row>
    <row r="1373" spans="2:22" s="37" customFormat="1" x14ac:dyDescent="0.2">
      <c r="B1373" s="92"/>
      <c r="C1373" s="93"/>
      <c r="D1373" s="38"/>
      <c r="E1373" s="38"/>
      <c r="F1373" s="38"/>
      <c r="G1373" s="38"/>
      <c r="H1373" s="38"/>
      <c r="I1373" s="38"/>
      <c r="J1373" s="38"/>
      <c r="K1373" s="38"/>
      <c r="L1373" s="38"/>
      <c r="M1373" s="38"/>
      <c r="N1373" s="38"/>
      <c r="O1373" s="38"/>
      <c r="P1373" s="38"/>
      <c r="Q1373" s="38"/>
      <c r="R1373" s="38"/>
      <c r="S1373" s="38"/>
      <c r="T1373" s="38"/>
      <c r="U1373" s="38"/>
      <c r="V1373" s="39"/>
    </row>
    <row r="1374" spans="2:22" s="37" customFormat="1" x14ac:dyDescent="0.2">
      <c r="B1374" s="92"/>
      <c r="C1374" s="93"/>
      <c r="D1374" s="38"/>
      <c r="E1374" s="38"/>
      <c r="F1374" s="38"/>
      <c r="G1374" s="38"/>
      <c r="H1374" s="38"/>
      <c r="I1374" s="38"/>
      <c r="J1374" s="38"/>
      <c r="K1374" s="38"/>
      <c r="L1374" s="38"/>
      <c r="M1374" s="38"/>
      <c r="N1374" s="38"/>
      <c r="O1374" s="38"/>
      <c r="P1374" s="38"/>
      <c r="Q1374" s="38"/>
      <c r="R1374" s="38"/>
      <c r="S1374" s="38"/>
      <c r="T1374" s="38"/>
      <c r="U1374" s="38"/>
      <c r="V1374" s="39"/>
    </row>
    <row r="1375" spans="2:22" s="37" customFormat="1" x14ac:dyDescent="0.2">
      <c r="B1375" s="92"/>
      <c r="C1375" s="93"/>
      <c r="D1375" s="38"/>
      <c r="E1375" s="38"/>
      <c r="F1375" s="38"/>
      <c r="G1375" s="38"/>
      <c r="H1375" s="38"/>
      <c r="I1375" s="38"/>
      <c r="J1375" s="38"/>
      <c r="K1375" s="38"/>
      <c r="L1375" s="38"/>
      <c r="M1375" s="38"/>
      <c r="N1375" s="38"/>
      <c r="O1375" s="38"/>
      <c r="P1375" s="38"/>
      <c r="Q1375" s="38"/>
      <c r="R1375" s="38"/>
      <c r="S1375" s="38"/>
      <c r="T1375" s="38"/>
      <c r="U1375" s="38"/>
      <c r="V1375" s="39"/>
    </row>
    <row r="1376" spans="2:22" s="37" customFormat="1" x14ac:dyDescent="0.2">
      <c r="B1376" s="92"/>
      <c r="C1376" s="93"/>
      <c r="D1376" s="38"/>
      <c r="E1376" s="38"/>
      <c r="F1376" s="38"/>
      <c r="G1376" s="38"/>
      <c r="H1376" s="38"/>
      <c r="I1376" s="38"/>
      <c r="J1376" s="38"/>
      <c r="K1376" s="38"/>
      <c r="L1376" s="38"/>
      <c r="M1376" s="38"/>
      <c r="N1376" s="38"/>
      <c r="O1376" s="38"/>
      <c r="P1376" s="38"/>
      <c r="Q1376" s="38"/>
      <c r="R1376" s="38"/>
      <c r="S1376" s="38"/>
      <c r="T1376" s="38"/>
      <c r="U1376" s="38"/>
      <c r="V1376" s="39"/>
    </row>
    <row r="1377" spans="2:22" s="37" customFormat="1" x14ac:dyDescent="0.2">
      <c r="B1377" s="92"/>
      <c r="C1377" s="93"/>
      <c r="D1377" s="38"/>
      <c r="E1377" s="38"/>
      <c r="F1377" s="38"/>
      <c r="G1377" s="38"/>
      <c r="H1377" s="38"/>
      <c r="I1377" s="38"/>
      <c r="J1377" s="38"/>
      <c r="K1377" s="38"/>
      <c r="L1377" s="38"/>
      <c r="M1377" s="38"/>
      <c r="N1377" s="38"/>
      <c r="O1377" s="38"/>
      <c r="P1377" s="38"/>
      <c r="Q1377" s="38"/>
      <c r="R1377" s="38"/>
      <c r="S1377" s="38"/>
      <c r="T1377" s="38"/>
      <c r="U1377" s="38"/>
      <c r="V1377" s="39"/>
    </row>
    <row r="1378" spans="2:22" s="37" customFormat="1" x14ac:dyDescent="0.2">
      <c r="B1378" s="92"/>
      <c r="C1378" s="93"/>
      <c r="D1378" s="38"/>
      <c r="E1378" s="38"/>
      <c r="F1378" s="38"/>
      <c r="G1378" s="38"/>
      <c r="H1378" s="38"/>
      <c r="I1378" s="38"/>
      <c r="J1378" s="38"/>
      <c r="K1378" s="38"/>
      <c r="L1378" s="38"/>
      <c r="M1378" s="38"/>
      <c r="N1378" s="38"/>
      <c r="O1378" s="38"/>
      <c r="P1378" s="38"/>
      <c r="Q1378" s="38"/>
      <c r="R1378" s="38"/>
      <c r="S1378" s="38"/>
      <c r="T1378" s="38"/>
      <c r="U1378" s="38"/>
      <c r="V1378" s="39"/>
    </row>
    <row r="1379" spans="2:22" s="37" customFormat="1" x14ac:dyDescent="0.2">
      <c r="B1379" s="92"/>
      <c r="C1379" s="93"/>
      <c r="D1379" s="38"/>
      <c r="E1379" s="38"/>
      <c r="F1379" s="38"/>
      <c r="G1379" s="38"/>
      <c r="H1379" s="38"/>
      <c r="I1379" s="38"/>
      <c r="J1379" s="38"/>
      <c r="K1379" s="38"/>
      <c r="L1379" s="38"/>
      <c r="M1379" s="38"/>
      <c r="N1379" s="38"/>
      <c r="O1379" s="38"/>
      <c r="P1379" s="38"/>
      <c r="Q1379" s="38"/>
      <c r="R1379" s="38"/>
      <c r="S1379" s="38"/>
      <c r="T1379" s="38"/>
      <c r="U1379" s="38"/>
      <c r="V1379" s="39"/>
    </row>
    <row r="1380" spans="2:22" s="37" customFormat="1" x14ac:dyDescent="0.2">
      <c r="B1380" s="92"/>
      <c r="C1380" s="93"/>
      <c r="D1380" s="38"/>
      <c r="E1380" s="38"/>
      <c r="F1380" s="38"/>
      <c r="G1380" s="38"/>
      <c r="H1380" s="38"/>
      <c r="I1380" s="38"/>
      <c r="J1380" s="38"/>
      <c r="K1380" s="38"/>
      <c r="L1380" s="38"/>
      <c r="M1380" s="38"/>
      <c r="N1380" s="38"/>
      <c r="O1380" s="38"/>
      <c r="P1380" s="38"/>
      <c r="Q1380" s="38"/>
      <c r="R1380" s="38"/>
      <c r="S1380" s="38"/>
      <c r="T1380" s="38"/>
      <c r="U1380" s="38"/>
      <c r="V1380" s="39"/>
    </row>
    <row r="1381" spans="2:22" s="37" customFormat="1" x14ac:dyDescent="0.2">
      <c r="B1381" s="92"/>
      <c r="C1381" s="93"/>
      <c r="D1381" s="38"/>
      <c r="E1381" s="38"/>
      <c r="F1381" s="38"/>
      <c r="G1381" s="38"/>
      <c r="H1381" s="38"/>
      <c r="I1381" s="38"/>
      <c r="J1381" s="38"/>
      <c r="K1381" s="38"/>
      <c r="L1381" s="38"/>
      <c r="M1381" s="38"/>
      <c r="N1381" s="38"/>
      <c r="O1381" s="38"/>
      <c r="P1381" s="38"/>
      <c r="Q1381" s="38"/>
      <c r="R1381" s="38"/>
      <c r="S1381" s="38"/>
      <c r="T1381" s="38"/>
      <c r="U1381" s="38"/>
      <c r="V1381" s="39"/>
    </row>
    <row r="1382" spans="2:22" s="37" customFormat="1" x14ac:dyDescent="0.2">
      <c r="B1382" s="92"/>
      <c r="C1382" s="93"/>
      <c r="D1382" s="38"/>
      <c r="E1382" s="38"/>
      <c r="F1382" s="38"/>
      <c r="G1382" s="38"/>
      <c r="H1382" s="38"/>
      <c r="I1382" s="38"/>
      <c r="J1382" s="38"/>
      <c r="K1382" s="38"/>
      <c r="L1382" s="38"/>
      <c r="M1382" s="38"/>
      <c r="N1382" s="38"/>
      <c r="O1382" s="38"/>
      <c r="P1382" s="38"/>
      <c r="Q1382" s="38"/>
      <c r="R1382" s="38"/>
      <c r="S1382" s="38"/>
      <c r="T1382" s="38"/>
      <c r="U1382" s="38"/>
      <c r="V1382" s="39"/>
    </row>
    <row r="1383" spans="2:22" s="37" customFormat="1" x14ac:dyDescent="0.2">
      <c r="B1383" s="92"/>
      <c r="C1383" s="93"/>
      <c r="D1383" s="38"/>
      <c r="E1383" s="38"/>
      <c r="F1383" s="38"/>
      <c r="G1383" s="38"/>
      <c r="H1383" s="38"/>
      <c r="I1383" s="38"/>
      <c r="J1383" s="38"/>
      <c r="K1383" s="38"/>
      <c r="L1383" s="38"/>
      <c r="M1383" s="38"/>
      <c r="N1383" s="38"/>
      <c r="O1383" s="38"/>
      <c r="P1383" s="38"/>
      <c r="Q1383" s="38"/>
      <c r="R1383" s="38"/>
      <c r="S1383" s="38"/>
      <c r="T1383" s="38"/>
      <c r="U1383" s="38"/>
      <c r="V1383" s="39"/>
    </row>
    <row r="1384" spans="2:22" s="37" customFormat="1" x14ac:dyDescent="0.2">
      <c r="B1384" s="92"/>
      <c r="C1384" s="93"/>
      <c r="D1384" s="38"/>
      <c r="E1384" s="38"/>
      <c r="F1384" s="38"/>
      <c r="G1384" s="38"/>
      <c r="H1384" s="38"/>
      <c r="I1384" s="38"/>
      <c r="J1384" s="38"/>
      <c r="K1384" s="38"/>
      <c r="L1384" s="38"/>
      <c r="M1384" s="38"/>
      <c r="N1384" s="38"/>
      <c r="O1384" s="38"/>
      <c r="P1384" s="38"/>
      <c r="Q1384" s="38"/>
      <c r="R1384" s="38"/>
      <c r="S1384" s="38"/>
      <c r="T1384" s="38"/>
      <c r="U1384" s="38"/>
      <c r="V1384" s="39"/>
    </row>
    <row r="1385" spans="2:22" s="37" customFormat="1" x14ac:dyDescent="0.2">
      <c r="B1385" s="92"/>
      <c r="C1385" s="93"/>
      <c r="D1385" s="38"/>
      <c r="E1385" s="38"/>
      <c r="F1385" s="38"/>
      <c r="G1385" s="38"/>
      <c r="H1385" s="38"/>
      <c r="I1385" s="38"/>
      <c r="J1385" s="38"/>
      <c r="K1385" s="38"/>
      <c r="L1385" s="38"/>
      <c r="M1385" s="38"/>
      <c r="N1385" s="38"/>
      <c r="O1385" s="38"/>
      <c r="P1385" s="38"/>
      <c r="Q1385" s="38"/>
      <c r="R1385" s="38"/>
      <c r="S1385" s="38"/>
      <c r="T1385" s="38"/>
      <c r="U1385" s="38"/>
      <c r="V1385" s="39"/>
    </row>
    <row r="1386" spans="2:22" s="37" customFormat="1" x14ac:dyDescent="0.2">
      <c r="B1386" s="92"/>
      <c r="C1386" s="93"/>
      <c r="D1386" s="38"/>
      <c r="E1386" s="38"/>
      <c r="F1386" s="38"/>
      <c r="G1386" s="38"/>
      <c r="H1386" s="38"/>
      <c r="I1386" s="38"/>
      <c r="J1386" s="38"/>
      <c r="K1386" s="38"/>
      <c r="L1386" s="38"/>
      <c r="M1386" s="38"/>
      <c r="N1386" s="38"/>
      <c r="O1386" s="38"/>
      <c r="P1386" s="38"/>
      <c r="Q1386" s="38"/>
      <c r="R1386" s="38"/>
      <c r="S1386" s="38"/>
      <c r="T1386" s="38"/>
      <c r="U1386" s="38"/>
      <c r="V1386" s="39"/>
    </row>
    <row r="1387" spans="2:22" s="37" customFormat="1" x14ac:dyDescent="0.2">
      <c r="B1387" s="92"/>
      <c r="C1387" s="93"/>
      <c r="D1387" s="38"/>
      <c r="E1387" s="38"/>
      <c r="F1387" s="38"/>
      <c r="G1387" s="38"/>
      <c r="H1387" s="38"/>
      <c r="I1387" s="38"/>
      <c r="J1387" s="38"/>
      <c r="K1387" s="38"/>
      <c r="L1387" s="38"/>
      <c r="M1387" s="38"/>
      <c r="N1387" s="38"/>
      <c r="O1387" s="38"/>
      <c r="P1387" s="38"/>
      <c r="Q1387" s="38"/>
      <c r="R1387" s="38"/>
      <c r="S1387" s="38"/>
      <c r="T1387" s="38"/>
      <c r="U1387" s="38"/>
      <c r="V1387" s="39"/>
    </row>
    <row r="1388" spans="2:22" s="37" customFormat="1" x14ac:dyDescent="0.2">
      <c r="B1388" s="92"/>
      <c r="C1388" s="93"/>
      <c r="D1388" s="38"/>
      <c r="E1388" s="38"/>
      <c r="F1388" s="38"/>
      <c r="G1388" s="38"/>
      <c r="H1388" s="38"/>
      <c r="I1388" s="38"/>
      <c r="J1388" s="38"/>
      <c r="K1388" s="38"/>
      <c r="L1388" s="38"/>
      <c r="M1388" s="38"/>
      <c r="N1388" s="38"/>
      <c r="O1388" s="38"/>
      <c r="P1388" s="38"/>
      <c r="Q1388" s="38"/>
      <c r="R1388" s="38"/>
      <c r="S1388" s="38"/>
      <c r="T1388" s="38"/>
      <c r="U1388" s="38"/>
      <c r="V1388" s="39"/>
    </row>
    <row r="1389" spans="2:22" s="37" customFormat="1" x14ac:dyDescent="0.2">
      <c r="B1389" s="92"/>
      <c r="C1389" s="93"/>
      <c r="D1389" s="38"/>
      <c r="E1389" s="38"/>
      <c r="F1389" s="38"/>
      <c r="G1389" s="38"/>
      <c r="H1389" s="38"/>
      <c r="I1389" s="38"/>
      <c r="J1389" s="38"/>
      <c r="K1389" s="38"/>
      <c r="L1389" s="38"/>
      <c r="M1389" s="38"/>
      <c r="N1389" s="38"/>
      <c r="O1389" s="38"/>
      <c r="P1389" s="38"/>
      <c r="Q1389" s="38"/>
      <c r="R1389" s="38"/>
      <c r="S1389" s="38"/>
      <c r="T1389" s="38"/>
      <c r="U1389" s="38"/>
      <c r="V1389" s="39"/>
    </row>
    <row r="1390" spans="2:22" s="37" customFormat="1" x14ac:dyDescent="0.2">
      <c r="B1390" s="92"/>
      <c r="C1390" s="93"/>
      <c r="D1390" s="38"/>
      <c r="E1390" s="38"/>
      <c r="F1390" s="38"/>
      <c r="G1390" s="38"/>
      <c r="H1390" s="38"/>
      <c r="I1390" s="38"/>
      <c r="J1390" s="38"/>
      <c r="K1390" s="38"/>
      <c r="L1390" s="38"/>
      <c r="M1390" s="38"/>
      <c r="N1390" s="38"/>
      <c r="O1390" s="38"/>
      <c r="P1390" s="38"/>
      <c r="Q1390" s="38"/>
      <c r="R1390" s="38"/>
      <c r="S1390" s="38"/>
      <c r="T1390" s="38"/>
      <c r="U1390" s="38"/>
      <c r="V1390" s="39"/>
    </row>
    <row r="1391" spans="2:22" s="37" customFormat="1" x14ac:dyDescent="0.2">
      <c r="B1391" s="92"/>
      <c r="C1391" s="93"/>
      <c r="D1391" s="38"/>
      <c r="E1391" s="38"/>
      <c r="F1391" s="38"/>
      <c r="G1391" s="38"/>
      <c r="H1391" s="38"/>
      <c r="I1391" s="38"/>
      <c r="J1391" s="38"/>
      <c r="K1391" s="38"/>
      <c r="L1391" s="38"/>
      <c r="M1391" s="38"/>
      <c r="N1391" s="38"/>
      <c r="O1391" s="38"/>
      <c r="P1391" s="38"/>
      <c r="Q1391" s="38"/>
      <c r="R1391" s="38"/>
      <c r="S1391" s="38"/>
      <c r="T1391" s="38"/>
      <c r="U1391" s="38"/>
      <c r="V1391" s="39"/>
    </row>
    <row r="1392" spans="2:22" s="37" customFormat="1" x14ac:dyDescent="0.2">
      <c r="B1392" s="92"/>
      <c r="C1392" s="93"/>
      <c r="D1392" s="38"/>
      <c r="E1392" s="38"/>
      <c r="F1392" s="38"/>
      <c r="G1392" s="38"/>
      <c r="H1392" s="38"/>
      <c r="I1392" s="38"/>
      <c r="J1392" s="38"/>
      <c r="K1392" s="38"/>
      <c r="L1392" s="38"/>
      <c r="M1392" s="38"/>
      <c r="N1392" s="38"/>
      <c r="O1392" s="38"/>
      <c r="P1392" s="38"/>
      <c r="Q1392" s="38"/>
      <c r="R1392" s="38"/>
      <c r="S1392" s="38"/>
      <c r="T1392" s="38"/>
      <c r="U1392" s="38"/>
      <c r="V1392" s="39"/>
    </row>
    <row r="1393" spans="2:22" s="37" customFormat="1" x14ac:dyDescent="0.2">
      <c r="B1393" s="92"/>
      <c r="C1393" s="93"/>
      <c r="D1393" s="38"/>
      <c r="E1393" s="38"/>
      <c r="F1393" s="38"/>
      <c r="G1393" s="38"/>
      <c r="H1393" s="38"/>
      <c r="I1393" s="38"/>
      <c r="J1393" s="38"/>
      <c r="K1393" s="38"/>
      <c r="L1393" s="38"/>
      <c r="M1393" s="38"/>
      <c r="N1393" s="38"/>
      <c r="O1393" s="38"/>
      <c r="P1393" s="38"/>
      <c r="Q1393" s="38"/>
      <c r="R1393" s="38"/>
      <c r="S1393" s="38"/>
      <c r="T1393" s="38"/>
      <c r="U1393" s="38"/>
      <c r="V1393" s="39"/>
    </row>
    <row r="1394" spans="2:22" s="37" customFormat="1" x14ac:dyDescent="0.2">
      <c r="B1394" s="92"/>
      <c r="C1394" s="93"/>
      <c r="D1394" s="38"/>
      <c r="E1394" s="38"/>
      <c r="F1394" s="38"/>
      <c r="G1394" s="38"/>
      <c r="H1394" s="38"/>
      <c r="I1394" s="38"/>
      <c r="J1394" s="38"/>
      <c r="K1394" s="38"/>
      <c r="L1394" s="38"/>
      <c r="M1394" s="38"/>
      <c r="N1394" s="38"/>
      <c r="O1394" s="38"/>
      <c r="P1394" s="38"/>
      <c r="Q1394" s="38"/>
      <c r="R1394" s="38"/>
      <c r="S1394" s="38"/>
      <c r="T1394" s="38"/>
      <c r="U1394" s="38"/>
      <c r="V1394" s="39"/>
    </row>
    <row r="1395" spans="2:22" s="37" customFormat="1" x14ac:dyDescent="0.2">
      <c r="B1395" s="92"/>
      <c r="C1395" s="93"/>
      <c r="D1395" s="38"/>
      <c r="E1395" s="38"/>
      <c r="F1395" s="38"/>
      <c r="G1395" s="38"/>
      <c r="H1395" s="38"/>
      <c r="I1395" s="38"/>
      <c r="J1395" s="38"/>
      <c r="K1395" s="38"/>
      <c r="L1395" s="38"/>
      <c r="M1395" s="38"/>
      <c r="N1395" s="38"/>
      <c r="O1395" s="38"/>
      <c r="P1395" s="38"/>
      <c r="Q1395" s="38"/>
      <c r="R1395" s="38"/>
      <c r="S1395" s="38"/>
      <c r="T1395" s="38"/>
      <c r="U1395" s="38"/>
      <c r="V1395" s="39"/>
    </row>
    <row r="1396" spans="2:22" s="37" customFormat="1" x14ac:dyDescent="0.2">
      <c r="B1396" s="92"/>
      <c r="C1396" s="93"/>
      <c r="D1396" s="38"/>
      <c r="E1396" s="38"/>
      <c r="F1396" s="38"/>
      <c r="G1396" s="38"/>
      <c r="H1396" s="38"/>
      <c r="I1396" s="38"/>
      <c r="J1396" s="38"/>
      <c r="K1396" s="38"/>
      <c r="L1396" s="38"/>
      <c r="M1396" s="38"/>
      <c r="N1396" s="38"/>
      <c r="O1396" s="38"/>
      <c r="P1396" s="38"/>
      <c r="Q1396" s="38"/>
      <c r="R1396" s="38"/>
      <c r="S1396" s="38"/>
      <c r="T1396" s="38"/>
      <c r="U1396" s="38"/>
      <c r="V1396" s="39"/>
    </row>
    <row r="1397" spans="2:22" s="37" customFormat="1" x14ac:dyDescent="0.2">
      <c r="B1397" s="92"/>
      <c r="C1397" s="93"/>
      <c r="D1397" s="38"/>
      <c r="E1397" s="38"/>
      <c r="F1397" s="38"/>
      <c r="G1397" s="38"/>
      <c r="H1397" s="38"/>
      <c r="I1397" s="38"/>
      <c r="J1397" s="38"/>
      <c r="K1397" s="38"/>
      <c r="L1397" s="38"/>
      <c r="M1397" s="38"/>
      <c r="N1397" s="38"/>
      <c r="O1397" s="38"/>
      <c r="P1397" s="38"/>
      <c r="Q1397" s="38"/>
      <c r="R1397" s="38"/>
      <c r="S1397" s="38"/>
      <c r="T1397" s="38"/>
      <c r="U1397" s="38"/>
      <c r="V1397" s="39"/>
    </row>
    <row r="1398" spans="2:22" s="37" customFormat="1" x14ac:dyDescent="0.2">
      <c r="B1398" s="92"/>
      <c r="C1398" s="93"/>
      <c r="D1398" s="38"/>
      <c r="E1398" s="38"/>
      <c r="F1398" s="38"/>
      <c r="G1398" s="38"/>
      <c r="H1398" s="38"/>
      <c r="I1398" s="38"/>
      <c r="J1398" s="38"/>
      <c r="K1398" s="38"/>
      <c r="L1398" s="38"/>
      <c r="M1398" s="38"/>
      <c r="N1398" s="38"/>
      <c r="O1398" s="38"/>
      <c r="P1398" s="38"/>
      <c r="Q1398" s="38"/>
      <c r="R1398" s="38"/>
      <c r="S1398" s="38"/>
      <c r="T1398" s="38"/>
      <c r="U1398" s="38"/>
      <c r="V1398" s="39"/>
    </row>
    <row r="1399" spans="2:22" s="37" customFormat="1" x14ac:dyDescent="0.2">
      <c r="B1399" s="92"/>
      <c r="C1399" s="93"/>
      <c r="D1399" s="38"/>
      <c r="E1399" s="38"/>
      <c r="F1399" s="38"/>
      <c r="G1399" s="38"/>
      <c r="H1399" s="38"/>
      <c r="I1399" s="38"/>
      <c r="J1399" s="38"/>
      <c r="K1399" s="38"/>
      <c r="L1399" s="38"/>
      <c r="M1399" s="38"/>
      <c r="N1399" s="38"/>
      <c r="O1399" s="38"/>
      <c r="P1399" s="38"/>
      <c r="Q1399" s="38"/>
      <c r="R1399" s="38"/>
      <c r="S1399" s="38"/>
      <c r="T1399" s="38"/>
      <c r="U1399" s="38"/>
      <c r="V1399" s="39"/>
    </row>
    <row r="1400" spans="2:22" s="37" customFormat="1" x14ac:dyDescent="0.2">
      <c r="B1400" s="92"/>
      <c r="C1400" s="93"/>
      <c r="D1400" s="38"/>
      <c r="E1400" s="38"/>
      <c r="F1400" s="38"/>
      <c r="G1400" s="38"/>
      <c r="H1400" s="38"/>
      <c r="I1400" s="38"/>
      <c r="J1400" s="38"/>
      <c r="K1400" s="38"/>
      <c r="L1400" s="38"/>
      <c r="M1400" s="38"/>
      <c r="N1400" s="38"/>
      <c r="O1400" s="38"/>
      <c r="P1400" s="38"/>
      <c r="Q1400" s="38"/>
      <c r="R1400" s="38"/>
      <c r="S1400" s="38"/>
      <c r="T1400" s="38"/>
      <c r="U1400" s="38"/>
      <c r="V1400" s="39"/>
    </row>
    <row r="1401" spans="2:22" s="37" customFormat="1" x14ac:dyDescent="0.2">
      <c r="B1401" s="92"/>
      <c r="C1401" s="93"/>
      <c r="D1401" s="38"/>
      <c r="E1401" s="38"/>
      <c r="F1401" s="38"/>
      <c r="G1401" s="38"/>
      <c r="H1401" s="38"/>
      <c r="I1401" s="38"/>
      <c r="J1401" s="38"/>
      <c r="K1401" s="38"/>
      <c r="L1401" s="38"/>
      <c r="M1401" s="38"/>
      <c r="N1401" s="38"/>
      <c r="O1401" s="38"/>
      <c r="P1401" s="38"/>
      <c r="Q1401" s="38"/>
      <c r="R1401" s="38"/>
      <c r="S1401" s="38"/>
      <c r="T1401" s="38"/>
      <c r="U1401" s="38"/>
      <c r="V1401" s="39"/>
    </row>
    <row r="1402" spans="2:22" s="37" customFormat="1" x14ac:dyDescent="0.2">
      <c r="B1402" s="92"/>
      <c r="C1402" s="93"/>
      <c r="D1402" s="38"/>
      <c r="E1402" s="38"/>
      <c r="F1402" s="38"/>
      <c r="G1402" s="38"/>
      <c r="H1402" s="38"/>
      <c r="I1402" s="38"/>
      <c r="J1402" s="38"/>
      <c r="K1402" s="38"/>
      <c r="L1402" s="38"/>
      <c r="M1402" s="38"/>
      <c r="N1402" s="38"/>
      <c r="O1402" s="38"/>
      <c r="P1402" s="38"/>
      <c r="Q1402" s="38"/>
      <c r="R1402" s="38"/>
      <c r="S1402" s="38"/>
      <c r="T1402" s="38"/>
      <c r="U1402" s="38"/>
      <c r="V1402" s="39"/>
    </row>
    <row r="1403" spans="2:22" s="37" customFormat="1" x14ac:dyDescent="0.2">
      <c r="B1403" s="92"/>
      <c r="C1403" s="93"/>
      <c r="D1403" s="38"/>
      <c r="E1403" s="38"/>
      <c r="F1403" s="38"/>
      <c r="G1403" s="38"/>
      <c r="H1403" s="38"/>
      <c r="I1403" s="38"/>
      <c r="J1403" s="38"/>
      <c r="K1403" s="38"/>
      <c r="L1403" s="38"/>
      <c r="M1403" s="38"/>
      <c r="N1403" s="38"/>
      <c r="O1403" s="38"/>
      <c r="P1403" s="38"/>
      <c r="Q1403" s="38"/>
      <c r="R1403" s="38"/>
      <c r="S1403" s="38"/>
      <c r="T1403" s="38"/>
      <c r="U1403" s="38"/>
      <c r="V1403" s="39"/>
    </row>
    <row r="1404" spans="2:22" s="37" customFormat="1" x14ac:dyDescent="0.2">
      <c r="B1404" s="92"/>
      <c r="C1404" s="93"/>
      <c r="D1404" s="38"/>
      <c r="E1404" s="38"/>
      <c r="F1404" s="38"/>
      <c r="G1404" s="38"/>
      <c r="H1404" s="38"/>
      <c r="I1404" s="38"/>
      <c r="J1404" s="38"/>
      <c r="K1404" s="38"/>
      <c r="L1404" s="38"/>
      <c r="M1404" s="38"/>
      <c r="N1404" s="38"/>
      <c r="O1404" s="38"/>
      <c r="P1404" s="38"/>
      <c r="Q1404" s="38"/>
      <c r="R1404" s="38"/>
      <c r="S1404" s="38"/>
      <c r="T1404" s="38"/>
      <c r="U1404" s="38"/>
      <c r="V1404" s="39"/>
    </row>
    <row r="1405" spans="2:22" s="37" customFormat="1" x14ac:dyDescent="0.2">
      <c r="B1405" s="92"/>
      <c r="C1405" s="93"/>
      <c r="D1405" s="38"/>
      <c r="E1405" s="38"/>
      <c r="F1405" s="38"/>
      <c r="G1405" s="38"/>
      <c r="H1405" s="38"/>
      <c r="I1405" s="38"/>
      <c r="J1405" s="38"/>
      <c r="K1405" s="38"/>
      <c r="L1405" s="38"/>
      <c r="M1405" s="38"/>
      <c r="N1405" s="38"/>
      <c r="O1405" s="38"/>
      <c r="P1405" s="38"/>
      <c r="Q1405" s="38"/>
      <c r="R1405" s="38"/>
      <c r="S1405" s="38"/>
      <c r="T1405" s="38"/>
      <c r="U1405" s="38"/>
      <c r="V1405" s="39"/>
    </row>
    <row r="1406" spans="2:22" s="37" customFormat="1" x14ac:dyDescent="0.2">
      <c r="B1406" s="92"/>
      <c r="C1406" s="93"/>
      <c r="D1406" s="38"/>
      <c r="E1406" s="38"/>
      <c r="F1406" s="38"/>
      <c r="G1406" s="38"/>
      <c r="H1406" s="38"/>
      <c r="I1406" s="38"/>
      <c r="J1406" s="38"/>
      <c r="K1406" s="38"/>
      <c r="L1406" s="38"/>
      <c r="M1406" s="38"/>
      <c r="N1406" s="38"/>
      <c r="O1406" s="38"/>
      <c r="P1406" s="38"/>
      <c r="Q1406" s="38"/>
      <c r="R1406" s="38"/>
      <c r="S1406" s="38"/>
      <c r="T1406" s="38"/>
      <c r="U1406" s="38"/>
      <c r="V1406" s="39"/>
    </row>
    <row r="1407" spans="2:22" s="37" customFormat="1" x14ac:dyDescent="0.2">
      <c r="B1407" s="92"/>
      <c r="C1407" s="93"/>
      <c r="D1407" s="38"/>
      <c r="E1407" s="38"/>
      <c r="F1407" s="38"/>
      <c r="G1407" s="38"/>
      <c r="H1407" s="38"/>
      <c r="I1407" s="38"/>
      <c r="J1407" s="38"/>
      <c r="K1407" s="38"/>
      <c r="L1407" s="38"/>
      <c r="M1407" s="38"/>
      <c r="N1407" s="38"/>
      <c r="O1407" s="38"/>
      <c r="P1407" s="38"/>
      <c r="Q1407" s="38"/>
      <c r="R1407" s="38"/>
      <c r="S1407" s="38"/>
      <c r="T1407" s="38"/>
      <c r="U1407" s="38"/>
      <c r="V1407" s="39"/>
    </row>
    <row r="1408" spans="2:22" s="37" customFormat="1" x14ac:dyDescent="0.2">
      <c r="B1408" s="92"/>
      <c r="C1408" s="93"/>
      <c r="D1408" s="38"/>
      <c r="E1408" s="38"/>
      <c r="F1408" s="38"/>
      <c r="G1408" s="38"/>
      <c r="H1408" s="38"/>
      <c r="I1408" s="38"/>
      <c r="J1408" s="38"/>
      <c r="K1408" s="38"/>
      <c r="L1408" s="38"/>
      <c r="M1408" s="38"/>
      <c r="N1408" s="38"/>
      <c r="O1408" s="38"/>
      <c r="P1408" s="38"/>
      <c r="Q1408" s="38"/>
      <c r="R1408" s="38"/>
      <c r="S1408" s="38"/>
      <c r="T1408" s="38"/>
      <c r="U1408" s="38"/>
      <c r="V1408" s="39"/>
    </row>
    <row r="1409" spans="2:22" s="37" customFormat="1" x14ac:dyDescent="0.2">
      <c r="B1409" s="92"/>
      <c r="C1409" s="93"/>
      <c r="D1409" s="38"/>
      <c r="E1409" s="38"/>
      <c r="F1409" s="38"/>
      <c r="G1409" s="38"/>
      <c r="H1409" s="38"/>
      <c r="I1409" s="38"/>
      <c r="J1409" s="38"/>
      <c r="K1409" s="38"/>
      <c r="L1409" s="38"/>
      <c r="M1409" s="38"/>
      <c r="N1409" s="38"/>
      <c r="O1409" s="38"/>
      <c r="P1409" s="38"/>
      <c r="Q1409" s="38"/>
      <c r="R1409" s="38"/>
      <c r="S1409" s="38"/>
      <c r="T1409" s="38"/>
      <c r="U1409" s="38"/>
      <c r="V1409" s="39"/>
    </row>
    <row r="1410" spans="2:22" s="37" customFormat="1" x14ac:dyDescent="0.2">
      <c r="B1410" s="92"/>
      <c r="C1410" s="93"/>
      <c r="D1410" s="38"/>
      <c r="E1410" s="38"/>
      <c r="F1410" s="38"/>
      <c r="G1410" s="38"/>
      <c r="H1410" s="38"/>
      <c r="I1410" s="38"/>
      <c r="J1410" s="38"/>
      <c r="K1410" s="38"/>
      <c r="L1410" s="38"/>
      <c r="M1410" s="38"/>
      <c r="N1410" s="38"/>
      <c r="O1410" s="38"/>
      <c r="P1410" s="38"/>
      <c r="Q1410" s="38"/>
      <c r="R1410" s="38"/>
      <c r="S1410" s="38"/>
      <c r="T1410" s="38"/>
      <c r="U1410" s="38"/>
      <c r="V1410" s="39"/>
    </row>
    <row r="1411" spans="2:22" s="37" customFormat="1" x14ac:dyDescent="0.2">
      <c r="B1411" s="92"/>
      <c r="C1411" s="93"/>
      <c r="D1411" s="38"/>
      <c r="E1411" s="38"/>
      <c r="F1411" s="38"/>
      <c r="G1411" s="38"/>
      <c r="H1411" s="38"/>
      <c r="I1411" s="38"/>
      <c r="J1411" s="38"/>
      <c r="K1411" s="38"/>
      <c r="L1411" s="38"/>
      <c r="M1411" s="38"/>
      <c r="N1411" s="38"/>
      <c r="O1411" s="38"/>
      <c r="P1411" s="38"/>
      <c r="Q1411" s="38"/>
      <c r="R1411" s="38"/>
      <c r="S1411" s="38"/>
      <c r="T1411" s="38"/>
      <c r="U1411" s="38"/>
      <c r="V1411" s="39"/>
    </row>
    <row r="1412" spans="2:22" s="37" customFormat="1" x14ac:dyDescent="0.2">
      <c r="B1412" s="92"/>
      <c r="C1412" s="93"/>
      <c r="D1412" s="38"/>
      <c r="E1412" s="38"/>
      <c r="F1412" s="38"/>
      <c r="G1412" s="38"/>
      <c r="H1412" s="38"/>
      <c r="I1412" s="38"/>
      <c r="J1412" s="38"/>
      <c r="K1412" s="38"/>
      <c r="L1412" s="38"/>
      <c r="M1412" s="38"/>
      <c r="N1412" s="38"/>
      <c r="O1412" s="38"/>
      <c r="P1412" s="38"/>
      <c r="Q1412" s="38"/>
      <c r="R1412" s="38"/>
      <c r="S1412" s="38"/>
      <c r="T1412" s="38"/>
      <c r="U1412" s="38"/>
      <c r="V1412" s="39"/>
    </row>
    <row r="1413" spans="2:22" s="37" customFormat="1" x14ac:dyDescent="0.2">
      <c r="B1413" s="92"/>
      <c r="C1413" s="93"/>
      <c r="D1413" s="38"/>
      <c r="E1413" s="38"/>
      <c r="F1413" s="38"/>
      <c r="G1413" s="38"/>
      <c r="H1413" s="38"/>
      <c r="I1413" s="38"/>
      <c r="J1413" s="38"/>
      <c r="K1413" s="38"/>
      <c r="L1413" s="38"/>
      <c r="M1413" s="38"/>
      <c r="N1413" s="38"/>
      <c r="O1413" s="38"/>
      <c r="P1413" s="38"/>
      <c r="Q1413" s="38"/>
      <c r="R1413" s="38"/>
      <c r="S1413" s="38"/>
      <c r="T1413" s="38"/>
      <c r="U1413" s="38"/>
      <c r="V1413" s="39"/>
    </row>
    <row r="1414" spans="2:22" s="37" customFormat="1" x14ac:dyDescent="0.2">
      <c r="B1414" s="92"/>
      <c r="C1414" s="93"/>
      <c r="D1414" s="38"/>
      <c r="E1414" s="38"/>
      <c r="F1414" s="38"/>
      <c r="G1414" s="38"/>
      <c r="H1414" s="38"/>
      <c r="I1414" s="38"/>
      <c r="J1414" s="38"/>
      <c r="K1414" s="38"/>
      <c r="L1414" s="38"/>
      <c r="M1414" s="38"/>
      <c r="N1414" s="38"/>
      <c r="O1414" s="38"/>
      <c r="P1414" s="38"/>
      <c r="Q1414" s="38"/>
      <c r="R1414" s="38"/>
      <c r="S1414" s="38"/>
      <c r="T1414" s="38"/>
      <c r="U1414" s="38"/>
      <c r="V1414" s="39"/>
    </row>
    <row r="1415" spans="2:22" s="37" customFormat="1" x14ac:dyDescent="0.2">
      <c r="B1415" s="92"/>
      <c r="C1415" s="93"/>
      <c r="D1415" s="38"/>
      <c r="E1415" s="38"/>
      <c r="F1415" s="38"/>
      <c r="G1415" s="38"/>
      <c r="H1415" s="38"/>
      <c r="I1415" s="38"/>
      <c r="J1415" s="38"/>
      <c r="K1415" s="38"/>
      <c r="L1415" s="38"/>
      <c r="M1415" s="38"/>
      <c r="N1415" s="38"/>
      <c r="O1415" s="38"/>
      <c r="P1415" s="38"/>
      <c r="Q1415" s="38"/>
      <c r="R1415" s="38"/>
      <c r="S1415" s="38"/>
      <c r="T1415" s="38"/>
      <c r="U1415" s="38"/>
      <c r="V1415" s="39"/>
    </row>
    <row r="1416" spans="2:22" s="37" customFormat="1" x14ac:dyDescent="0.2">
      <c r="B1416" s="92"/>
      <c r="C1416" s="93"/>
      <c r="D1416" s="38"/>
      <c r="E1416" s="38"/>
      <c r="F1416" s="38"/>
      <c r="G1416" s="38"/>
      <c r="H1416" s="38"/>
      <c r="I1416" s="38"/>
      <c r="J1416" s="38"/>
      <c r="K1416" s="38"/>
      <c r="L1416" s="38"/>
      <c r="M1416" s="38"/>
      <c r="N1416" s="38"/>
      <c r="O1416" s="38"/>
      <c r="P1416" s="38"/>
      <c r="Q1416" s="38"/>
      <c r="R1416" s="38"/>
      <c r="S1416" s="38"/>
      <c r="T1416" s="38"/>
      <c r="U1416" s="38"/>
      <c r="V1416" s="39"/>
    </row>
    <row r="1417" spans="2:22" s="37" customFormat="1" x14ac:dyDescent="0.2">
      <c r="B1417" s="92"/>
      <c r="C1417" s="93"/>
      <c r="D1417" s="38"/>
      <c r="E1417" s="38"/>
      <c r="F1417" s="38"/>
      <c r="G1417" s="38"/>
      <c r="H1417" s="38"/>
      <c r="I1417" s="38"/>
      <c r="J1417" s="38"/>
      <c r="K1417" s="38"/>
      <c r="L1417" s="38"/>
      <c r="M1417" s="38"/>
      <c r="N1417" s="38"/>
      <c r="O1417" s="38"/>
      <c r="P1417" s="38"/>
      <c r="Q1417" s="38"/>
      <c r="R1417" s="38"/>
      <c r="S1417" s="38"/>
      <c r="T1417" s="38"/>
      <c r="U1417" s="38"/>
      <c r="V1417" s="39"/>
    </row>
    <row r="1418" spans="2:22" s="37" customFormat="1" x14ac:dyDescent="0.2">
      <c r="B1418" s="92"/>
      <c r="C1418" s="93"/>
      <c r="D1418" s="38"/>
      <c r="E1418" s="38"/>
      <c r="F1418" s="38"/>
      <c r="G1418" s="38"/>
      <c r="H1418" s="38"/>
      <c r="I1418" s="38"/>
      <c r="J1418" s="38"/>
      <c r="K1418" s="38"/>
      <c r="L1418" s="38"/>
      <c r="M1418" s="38"/>
      <c r="N1418" s="38"/>
      <c r="O1418" s="38"/>
      <c r="P1418" s="38"/>
      <c r="Q1418" s="38"/>
      <c r="R1418" s="38"/>
      <c r="S1418" s="38"/>
      <c r="T1418" s="38"/>
      <c r="U1418" s="38"/>
      <c r="V1418" s="39"/>
    </row>
    <row r="1419" spans="2:22" s="37" customFormat="1" x14ac:dyDescent="0.2">
      <c r="B1419" s="92"/>
      <c r="C1419" s="93"/>
      <c r="D1419" s="38"/>
      <c r="E1419" s="38"/>
      <c r="F1419" s="38"/>
      <c r="G1419" s="38"/>
      <c r="H1419" s="38"/>
      <c r="I1419" s="38"/>
      <c r="J1419" s="38"/>
      <c r="K1419" s="38"/>
      <c r="L1419" s="38"/>
      <c r="M1419" s="38"/>
      <c r="N1419" s="38"/>
      <c r="O1419" s="38"/>
      <c r="P1419" s="38"/>
      <c r="Q1419" s="38"/>
      <c r="R1419" s="38"/>
      <c r="S1419" s="38"/>
      <c r="T1419" s="38"/>
      <c r="U1419" s="38"/>
      <c r="V1419" s="39"/>
    </row>
    <row r="1420" spans="2:22" s="37" customFormat="1" x14ac:dyDescent="0.2">
      <c r="B1420" s="92"/>
      <c r="C1420" s="93"/>
      <c r="D1420" s="38"/>
      <c r="E1420" s="38"/>
      <c r="F1420" s="38"/>
      <c r="G1420" s="38"/>
      <c r="H1420" s="38"/>
      <c r="I1420" s="38"/>
      <c r="J1420" s="38"/>
      <c r="K1420" s="38"/>
      <c r="L1420" s="38"/>
      <c r="M1420" s="38"/>
      <c r="N1420" s="38"/>
      <c r="O1420" s="38"/>
      <c r="P1420" s="38"/>
      <c r="Q1420" s="38"/>
      <c r="R1420" s="38"/>
      <c r="S1420" s="38"/>
      <c r="T1420" s="38"/>
      <c r="U1420" s="38"/>
      <c r="V1420" s="39"/>
    </row>
    <row r="1421" spans="2:22" s="37" customFormat="1" x14ac:dyDescent="0.2">
      <c r="B1421" s="92"/>
      <c r="C1421" s="93"/>
      <c r="D1421" s="38"/>
      <c r="E1421" s="38"/>
      <c r="F1421" s="38"/>
      <c r="G1421" s="38"/>
      <c r="H1421" s="38"/>
      <c r="I1421" s="38"/>
      <c r="J1421" s="38"/>
      <c r="K1421" s="38"/>
      <c r="L1421" s="38"/>
      <c r="M1421" s="38"/>
      <c r="N1421" s="38"/>
      <c r="O1421" s="38"/>
      <c r="P1421" s="38"/>
      <c r="Q1421" s="38"/>
      <c r="R1421" s="38"/>
      <c r="S1421" s="38"/>
      <c r="T1421" s="38"/>
      <c r="U1421" s="38"/>
      <c r="V1421" s="39"/>
    </row>
    <row r="1422" spans="2:22" s="37" customFormat="1" x14ac:dyDescent="0.2">
      <c r="B1422" s="92"/>
      <c r="C1422" s="93"/>
      <c r="D1422" s="38"/>
      <c r="E1422" s="38"/>
      <c r="F1422" s="38"/>
      <c r="G1422" s="38"/>
      <c r="H1422" s="38"/>
      <c r="I1422" s="38"/>
      <c r="J1422" s="38"/>
      <c r="K1422" s="38"/>
      <c r="L1422" s="38"/>
      <c r="M1422" s="38"/>
      <c r="N1422" s="38"/>
      <c r="O1422" s="38"/>
      <c r="P1422" s="38"/>
      <c r="Q1422" s="38"/>
      <c r="R1422" s="38"/>
      <c r="S1422" s="38"/>
      <c r="T1422" s="38"/>
      <c r="U1422" s="38"/>
      <c r="V1422" s="39"/>
    </row>
    <row r="1423" spans="2:22" s="37" customFormat="1" x14ac:dyDescent="0.2">
      <c r="B1423" s="92"/>
      <c r="C1423" s="93"/>
      <c r="D1423" s="38"/>
      <c r="E1423" s="38"/>
      <c r="F1423" s="38"/>
      <c r="G1423" s="38"/>
      <c r="H1423" s="38"/>
      <c r="I1423" s="38"/>
      <c r="J1423" s="38"/>
      <c r="K1423" s="38"/>
      <c r="L1423" s="38"/>
      <c r="M1423" s="38"/>
      <c r="N1423" s="38"/>
      <c r="O1423" s="38"/>
      <c r="P1423" s="38"/>
      <c r="Q1423" s="38"/>
      <c r="R1423" s="38"/>
      <c r="S1423" s="38"/>
      <c r="T1423" s="38"/>
      <c r="U1423" s="38"/>
      <c r="V1423" s="39"/>
    </row>
    <row r="1424" spans="2:22" s="37" customFormat="1" x14ac:dyDescent="0.2">
      <c r="B1424" s="92"/>
      <c r="C1424" s="93"/>
      <c r="D1424" s="38"/>
      <c r="E1424" s="38"/>
      <c r="F1424" s="38"/>
      <c r="G1424" s="38"/>
      <c r="H1424" s="38"/>
      <c r="I1424" s="38"/>
      <c r="J1424" s="38"/>
      <c r="K1424" s="38"/>
      <c r="L1424" s="38"/>
      <c r="M1424" s="38"/>
      <c r="N1424" s="38"/>
      <c r="O1424" s="38"/>
      <c r="P1424" s="38"/>
      <c r="Q1424" s="38"/>
      <c r="R1424" s="38"/>
      <c r="S1424" s="38"/>
      <c r="T1424" s="38"/>
      <c r="U1424" s="38"/>
      <c r="V1424" s="39"/>
    </row>
    <row r="1425" spans="2:22" s="37" customFormat="1" x14ac:dyDescent="0.2">
      <c r="B1425" s="92"/>
      <c r="C1425" s="93"/>
      <c r="D1425" s="38"/>
      <c r="E1425" s="38"/>
      <c r="F1425" s="38"/>
      <c r="G1425" s="38"/>
      <c r="H1425" s="38"/>
      <c r="I1425" s="38"/>
      <c r="J1425" s="38"/>
      <c r="K1425" s="38"/>
      <c r="L1425" s="38"/>
      <c r="M1425" s="38"/>
      <c r="N1425" s="38"/>
      <c r="O1425" s="38"/>
      <c r="P1425" s="38"/>
      <c r="Q1425" s="38"/>
      <c r="R1425" s="38"/>
      <c r="S1425" s="38"/>
      <c r="T1425" s="38"/>
      <c r="U1425" s="38"/>
      <c r="V1425" s="39"/>
    </row>
    <row r="1426" spans="2:22" s="37" customFormat="1" x14ac:dyDescent="0.2">
      <c r="B1426" s="92"/>
      <c r="C1426" s="93"/>
      <c r="D1426" s="38"/>
      <c r="E1426" s="38"/>
      <c r="F1426" s="38"/>
      <c r="G1426" s="38"/>
      <c r="H1426" s="38"/>
      <c r="I1426" s="38"/>
      <c r="J1426" s="38"/>
      <c r="K1426" s="38"/>
      <c r="L1426" s="38"/>
      <c r="M1426" s="38"/>
      <c r="N1426" s="38"/>
      <c r="O1426" s="38"/>
      <c r="P1426" s="38"/>
      <c r="Q1426" s="38"/>
      <c r="R1426" s="38"/>
      <c r="S1426" s="38"/>
      <c r="T1426" s="38"/>
      <c r="U1426" s="38"/>
      <c r="V1426" s="39"/>
    </row>
    <row r="1427" spans="2:22" s="37" customFormat="1" x14ac:dyDescent="0.2">
      <c r="B1427" s="92"/>
      <c r="C1427" s="93"/>
      <c r="D1427" s="38"/>
      <c r="E1427" s="38"/>
      <c r="F1427" s="38"/>
      <c r="G1427" s="38"/>
      <c r="H1427" s="38"/>
      <c r="I1427" s="38"/>
      <c r="J1427" s="38"/>
      <c r="K1427" s="38"/>
      <c r="L1427" s="38"/>
      <c r="M1427" s="38"/>
      <c r="N1427" s="38"/>
      <c r="O1427" s="38"/>
      <c r="P1427" s="38"/>
      <c r="Q1427" s="38"/>
      <c r="R1427" s="38"/>
      <c r="S1427" s="38"/>
      <c r="T1427" s="38"/>
      <c r="U1427" s="38"/>
      <c r="V1427" s="39"/>
    </row>
    <row r="1428" spans="2:22" s="37" customFormat="1" x14ac:dyDescent="0.2">
      <c r="B1428" s="92"/>
      <c r="C1428" s="93"/>
      <c r="D1428" s="38"/>
      <c r="E1428" s="38"/>
      <c r="F1428" s="38"/>
      <c r="G1428" s="38"/>
      <c r="H1428" s="38"/>
      <c r="I1428" s="38"/>
      <c r="J1428" s="38"/>
      <c r="K1428" s="38"/>
      <c r="L1428" s="38"/>
      <c r="M1428" s="38"/>
      <c r="N1428" s="38"/>
      <c r="O1428" s="38"/>
      <c r="P1428" s="38"/>
      <c r="Q1428" s="38"/>
      <c r="R1428" s="38"/>
      <c r="S1428" s="38"/>
      <c r="T1428" s="38"/>
      <c r="U1428" s="38"/>
      <c r="V1428" s="39"/>
    </row>
    <row r="1429" spans="2:22" s="37" customFormat="1" x14ac:dyDescent="0.2">
      <c r="B1429" s="92"/>
      <c r="C1429" s="93"/>
      <c r="D1429" s="38"/>
      <c r="E1429" s="38"/>
      <c r="F1429" s="38"/>
      <c r="G1429" s="38"/>
      <c r="H1429" s="38"/>
      <c r="I1429" s="38"/>
      <c r="J1429" s="38"/>
      <c r="K1429" s="38"/>
      <c r="L1429" s="38"/>
      <c r="M1429" s="38"/>
      <c r="N1429" s="38"/>
      <c r="O1429" s="38"/>
      <c r="P1429" s="38"/>
      <c r="Q1429" s="38"/>
      <c r="R1429" s="38"/>
      <c r="S1429" s="38"/>
      <c r="T1429" s="38"/>
      <c r="U1429" s="38"/>
      <c r="V1429" s="39"/>
    </row>
    <row r="1430" spans="2:22" s="37" customFormat="1" x14ac:dyDescent="0.2">
      <c r="B1430" s="92"/>
      <c r="C1430" s="93"/>
      <c r="D1430" s="38"/>
      <c r="E1430" s="38"/>
      <c r="F1430" s="38"/>
      <c r="G1430" s="38"/>
      <c r="H1430" s="38"/>
      <c r="I1430" s="38"/>
      <c r="J1430" s="38"/>
      <c r="K1430" s="38"/>
      <c r="L1430" s="38"/>
      <c r="M1430" s="38"/>
      <c r="N1430" s="38"/>
      <c r="O1430" s="38"/>
      <c r="P1430" s="38"/>
      <c r="Q1430" s="38"/>
      <c r="R1430" s="38"/>
      <c r="S1430" s="38"/>
      <c r="T1430" s="38"/>
      <c r="U1430" s="38"/>
      <c r="V1430" s="39"/>
    </row>
    <row r="1431" spans="2:22" s="37" customFormat="1" x14ac:dyDescent="0.2">
      <c r="B1431" s="92"/>
      <c r="C1431" s="93"/>
      <c r="D1431" s="38"/>
      <c r="E1431" s="38"/>
      <c r="F1431" s="38"/>
      <c r="G1431" s="38"/>
      <c r="H1431" s="38"/>
      <c r="I1431" s="38"/>
      <c r="J1431" s="38"/>
      <c r="K1431" s="38"/>
      <c r="L1431" s="38"/>
      <c r="M1431" s="38"/>
      <c r="N1431" s="38"/>
      <c r="O1431" s="38"/>
      <c r="P1431" s="38"/>
      <c r="Q1431" s="38"/>
      <c r="R1431" s="38"/>
      <c r="S1431" s="38"/>
      <c r="T1431" s="38"/>
      <c r="U1431" s="38"/>
      <c r="V1431" s="39"/>
    </row>
    <row r="1432" spans="2:22" s="37" customFormat="1" x14ac:dyDescent="0.2">
      <c r="B1432" s="92"/>
      <c r="C1432" s="93"/>
      <c r="D1432" s="38"/>
      <c r="E1432" s="38"/>
      <c r="F1432" s="38"/>
      <c r="G1432" s="38"/>
      <c r="H1432" s="38"/>
      <c r="I1432" s="38"/>
      <c r="J1432" s="38"/>
      <c r="K1432" s="38"/>
      <c r="L1432" s="38"/>
      <c r="M1432" s="38"/>
      <c r="N1432" s="38"/>
      <c r="O1432" s="38"/>
      <c r="P1432" s="38"/>
      <c r="Q1432" s="38"/>
      <c r="R1432" s="38"/>
      <c r="S1432" s="38"/>
      <c r="T1432" s="38"/>
      <c r="U1432" s="38"/>
      <c r="V1432" s="39"/>
    </row>
    <row r="1433" spans="2:22" s="37" customFormat="1" x14ac:dyDescent="0.2">
      <c r="B1433" s="92"/>
      <c r="C1433" s="93"/>
      <c r="D1433" s="38"/>
      <c r="E1433" s="38"/>
      <c r="F1433" s="38"/>
      <c r="G1433" s="38"/>
      <c r="H1433" s="38"/>
      <c r="I1433" s="38"/>
      <c r="J1433" s="38"/>
      <c r="K1433" s="38"/>
      <c r="L1433" s="38"/>
      <c r="M1433" s="38"/>
      <c r="N1433" s="38"/>
      <c r="O1433" s="38"/>
      <c r="P1433" s="38"/>
      <c r="Q1433" s="38"/>
      <c r="R1433" s="38"/>
      <c r="S1433" s="38"/>
      <c r="T1433" s="38"/>
      <c r="U1433" s="38"/>
      <c r="V1433" s="39"/>
    </row>
    <row r="1434" spans="2:22" s="37" customFormat="1" x14ac:dyDescent="0.2">
      <c r="B1434" s="92"/>
      <c r="C1434" s="93"/>
      <c r="D1434" s="38"/>
      <c r="E1434" s="38"/>
      <c r="F1434" s="38"/>
      <c r="G1434" s="38"/>
      <c r="H1434" s="38"/>
      <c r="I1434" s="38"/>
      <c r="J1434" s="38"/>
      <c r="K1434" s="38"/>
      <c r="L1434" s="38"/>
      <c r="M1434" s="38"/>
      <c r="N1434" s="38"/>
      <c r="O1434" s="38"/>
      <c r="P1434" s="38"/>
      <c r="Q1434" s="38"/>
      <c r="R1434" s="38"/>
      <c r="S1434" s="38"/>
      <c r="T1434" s="38"/>
      <c r="U1434" s="38"/>
      <c r="V1434" s="39"/>
    </row>
    <row r="1435" spans="2:22" s="37" customFormat="1" x14ac:dyDescent="0.2">
      <c r="B1435" s="92"/>
      <c r="C1435" s="93"/>
      <c r="D1435" s="38"/>
      <c r="E1435" s="38"/>
      <c r="F1435" s="38"/>
      <c r="G1435" s="38"/>
      <c r="H1435" s="38"/>
      <c r="I1435" s="38"/>
      <c r="J1435" s="38"/>
      <c r="K1435" s="38"/>
      <c r="L1435" s="38"/>
      <c r="M1435" s="38"/>
      <c r="N1435" s="38"/>
      <c r="O1435" s="38"/>
      <c r="P1435" s="38"/>
      <c r="Q1435" s="38"/>
      <c r="R1435" s="38"/>
      <c r="S1435" s="38"/>
      <c r="T1435" s="38"/>
      <c r="U1435" s="38"/>
      <c r="V1435" s="39"/>
    </row>
    <row r="1436" spans="2:22" s="37" customFormat="1" x14ac:dyDescent="0.2">
      <c r="B1436" s="92"/>
      <c r="C1436" s="93"/>
      <c r="D1436" s="38"/>
      <c r="E1436" s="38"/>
      <c r="F1436" s="38"/>
      <c r="G1436" s="38"/>
      <c r="H1436" s="38"/>
      <c r="I1436" s="38"/>
      <c r="J1436" s="38"/>
      <c r="K1436" s="38"/>
      <c r="L1436" s="38"/>
      <c r="M1436" s="38"/>
      <c r="N1436" s="38"/>
      <c r="O1436" s="38"/>
      <c r="P1436" s="38"/>
      <c r="Q1436" s="38"/>
      <c r="R1436" s="38"/>
      <c r="S1436" s="38"/>
      <c r="T1436" s="38"/>
      <c r="U1436" s="38"/>
      <c r="V1436" s="39"/>
    </row>
    <row r="1437" spans="2:22" s="37" customFormat="1" x14ac:dyDescent="0.2">
      <c r="B1437" s="92"/>
      <c r="C1437" s="93"/>
      <c r="D1437" s="38"/>
      <c r="E1437" s="38"/>
      <c r="F1437" s="38"/>
      <c r="G1437" s="38"/>
      <c r="H1437" s="38"/>
      <c r="I1437" s="38"/>
      <c r="J1437" s="38"/>
      <c r="K1437" s="38"/>
      <c r="L1437" s="38"/>
      <c r="M1437" s="38"/>
      <c r="N1437" s="38"/>
      <c r="O1437" s="38"/>
      <c r="P1437" s="38"/>
      <c r="Q1437" s="38"/>
      <c r="R1437" s="38"/>
      <c r="S1437" s="38"/>
      <c r="T1437" s="38"/>
      <c r="U1437" s="38"/>
      <c r="V1437" s="39"/>
    </row>
    <row r="1438" spans="2:22" s="37" customFormat="1" x14ac:dyDescent="0.2">
      <c r="B1438" s="92"/>
      <c r="C1438" s="93"/>
      <c r="D1438" s="38"/>
      <c r="E1438" s="38"/>
      <c r="F1438" s="38"/>
      <c r="G1438" s="38"/>
      <c r="H1438" s="38"/>
      <c r="I1438" s="38"/>
      <c r="J1438" s="38"/>
      <c r="K1438" s="38"/>
      <c r="L1438" s="38"/>
      <c r="M1438" s="38"/>
      <c r="N1438" s="38"/>
      <c r="O1438" s="38"/>
      <c r="P1438" s="38"/>
      <c r="Q1438" s="38"/>
      <c r="R1438" s="38"/>
      <c r="S1438" s="38"/>
      <c r="T1438" s="38"/>
      <c r="U1438" s="38"/>
      <c r="V1438" s="39"/>
    </row>
    <row r="1439" spans="2:22" s="37" customFormat="1" x14ac:dyDescent="0.2">
      <c r="B1439" s="92"/>
      <c r="C1439" s="93"/>
      <c r="D1439" s="38"/>
      <c r="E1439" s="38"/>
      <c r="F1439" s="38"/>
      <c r="G1439" s="38"/>
      <c r="H1439" s="38"/>
      <c r="I1439" s="38"/>
      <c r="J1439" s="38"/>
      <c r="K1439" s="38"/>
      <c r="L1439" s="38"/>
      <c r="M1439" s="38"/>
      <c r="N1439" s="38"/>
      <c r="O1439" s="38"/>
      <c r="P1439" s="38"/>
      <c r="Q1439" s="38"/>
      <c r="R1439" s="38"/>
      <c r="S1439" s="38"/>
      <c r="T1439" s="38"/>
      <c r="U1439" s="38"/>
      <c r="V1439" s="39"/>
    </row>
    <row r="1440" spans="2:22" s="37" customFormat="1" x14ac:dyDescent="0.2">
      <c r="B1440" s="92"/>
      <c r="C1440" s="93"/>
      <c r="D1440" s="38"/>
      <c r="E1440" s="38"/>
      <c r="F1440" s="38"/>
      <c r="G1440" s="38"/>
      <c r="H1440" s="38"/>
      <c r="I1440" s="38"/>
      <c r="J1440" s="38"/>
      <c r="K1440" s="38"/>
      <c r="L1440" s="38"/>
      <c r="M1440" s="38"/>
      <c r="N1440" s="38"/>
      <c r="O1440" s="38"/>
      <c r="P1440" s="38"/>
      <c r="Q1440" s="38"/>
      <c r="R1440" s="38"/>
      <c r="S1440" s="38"/>
      <c r="T1440" s="38"/>
      <c r="U1440" s="38"/>
      <c r="V1440" s="39"/>
    </row>
    <row r="1441" spans="2:22" s="37" customFormat="1" x14ac:dyDescent="0.2">
      <c r="B1441" s="92"/>
      <c r="C1441" s="93"/>
      <c r="D1441" s="38"/>
      <c r="E1441" s="38"/>
      <c r="F1441" s="38"/>
      <c r="G1441" s="38"/>
      <c r="H1441" s="38"/>
      <c r="I1441" s="38"/>
      <c r="J1441" s="38"/>
      <c r="K1441" s="38"/>
      <c r="L1441" s="38"/>
      <c r="M1441" s="38"/>
      <c r="N1441" s="38"/>
      <c r="O1441" s="38"/>
      <c r="P1441" s="38"/>
      <c r="Q1441" s="38"/>
      <c r="R1441" s="38"/>
      <c r="S1441" s="38"/>
      <c r="T1441" s="38"/>
      <c r="U1441" s="38"/>
      <c r="V1441" s="39"/>
    </row>
    <row r="1442" spans="2:22" s="37" customFormat="1" x14ac:dyDescent="0.2">
      <c r="B1442" s="92"/>
      <c r="C1442" s="93"/>
      <c r="D1442" s="38"/>
      <c r="E1442" s="38"/>
      <c r="F1442" s="38"/>
      <c r="G1442" s="38"/>
      <c r="H1442" s="38"/>
      <c r="I1442" s="38"/>
      <c r="J1442" s="38"/>
      <c r="K1442" s="38"/>
      <c r="L1442" s="38"/>
      <c r="M1442" s="38"/>
      <c r="N1442" s="38"/>
      <c r="O1442" s="38"/>
      <c r="P1442" s="38"/>
      <c r="Q1442" s="38"/>
      <c r="R1442" s="38"/>
      <c r="S1442" s="38"/>
      <c r="T1442" s="38"/>
      <c r="U1442" s="38"/>
      <c r="V1442" s="39"/>
    </row>
    <row r="1443" spans="2:22" s="37" customFormat="1" x14ac:dyDescent="0.2">
      <c r="B1443" s="92"/>
      <c r="C1443" s="93"/>
      <c r="D1443" s="38"/>
      <c r="E1443" s="38"/>
      <c r="F1443" s="38"/>
      <c r="G1443" s="38"/>
      <c r="H1443" s="38"/>
      <c r="I1443" s="38"/>
      <c r="J1443" s="38"/>
      <c r="K1443" s="38"/>
      <c r="L1443" s="38"/>
      <c r="M1443" s="38"/>
      <c r="N1443" s="38"/>
      <c r="O1443" s="38"/>
      <c r="P1443" s="38"/>
      <c r="Q1443" s="38"/>
      <c r="R1443" s="38"/>
      <c r="S1443" s="38"/>
      <c r="T1443" s="38"/>
      <c r="U1443" s="38"/>
      <c r="V1443" s="39"/>
    </row>
    <row r="1444" spans="2:22" s="37" customFormat="1" x14ac:dyDescent="0.2">
      <c r="B1444" s="92"/>
      <c r="C1444" s="93"/>
      <c r="D1444" s="38"/>
      <c r="E1444" s="38"/>
      <c r="F1444" s="38"/>
      <c r="G1444" s="38"/>
      <c r="H1444" s="38"/>
      <c r="I1444" s="38"/>
      <c r="J1444" s="38"/>
      <c r="K1444" s="38"/>
      <c r="L1444" s="38"/>
      <c r="M1444" s="38"/>
      <c r="N1444" s="38"/>
      <c r="O1444" s="38"/>
      <c r="P1444" s="38"/>
      <c r="Q1444" s="38"/>
      <c r="R1444" s="38"/>
      <c r="S1444" s="38"/>
      <c r="T1444" s="38"/>
      <c r="U1444" s="38"/>
      <c r="V1444" s="39"/>
    </row>
    <row r="1445" spans="2:22" s="37" customFormat="1" x14ac:dyDescent="0.2">
      <c r="B1445" s="92"/>
      <c r="C1445" s="93"/>
      <c r="D1445" s="38"/>
      <c r="E1445" s="38"/>
      <c r="F1445" s="38"/>
      <c r="G1445" s="38"/>
      <c r="H1445" s="38"/>
      <c r="I1445" s="38"/>
      <c r="J1445" s="38"/>
      <c r="K1445" s="38"/>
      <c r="L1445" s="38"/>
      <c r="M1445" s="38"/>
      <c r="N1445" s="38"/>
      <c r="O1445" s="38"/>
      <c r="P1445" s="38"/>
      <c r="Q1445" s="38"/>
      <c r="R1445" s="38"/>
      <c r="S1445" s="38"/>
      <c r="T1445" s="38"/>
      <c r="U1445" s="38"/>
      <c r="V1445" s="39"/>
    </row>
    <row r="1446" spans="2:22" s="37" customFormat="1" x14ac:dyDescent="0.2">
      <c r="B1446" s="92"/>
      <c r="C1446" s="93"/>
      <c r="D1446" s="38"/>
      <c r="E1446" s="38"/>
      <c r="F1446" s="38"/>
      <c r="G1446" s="38"/>
      <c r="H1446" s="38"/>
      <c r="I1446" s="38"/>
      <c r="J1446" s="38"/>
      <c r="K1446" s="38"/>
      <c r="L1446" s="38"/>
      <c r="M1446" s="38"/>
      <c r="N1446" s="38"/>
      <c r="O1446" s="38"/>
      <c r="P1446" s="38"/>
      <c r="Q1446" s="38"/>
      <c r="R1446" s="38"/>
      <c r="S1446" s="38"/>
      <c r="T1446" s="38"/>
      <c r="U1446" s="38"/>
      <c r="V1446" s="39"/>
    </row>
    <row r="1447" spans="2:22" s="37" customFormat="1" x14ac:dyDescent="0.2">
      <c r="B1447" s="92"/>
      <c r="C1447" s="93"/>
      <c r="D1447" s="38"/>
      <c r="E1447" s="38"/>
      <c r="F1447" s="38"/>
      <c r="G1447" s="38"/>
      <c r="H1447" s="38"/>
      <c r="I1447" s="38"/>
      <c r="J1447" s="38"/>
      <c r="K1447" s="38"/>
      <c r="L1447" s="38"/>
      <c r="M1447" s="38"/>
      <c r="N1447" s="38"/>
      <c r="O1447" s="38"/>
      <c r="P1447" s="38"/>
      <c r="Q1447" s="38"/>
      <c r="R1447" s="38"/>
      <c r="S1447" s="38"/>
      <c r="T1447" s="38"/>
      <c r="U1447" s="38"/>
      <c r="V1447" s="39"/>
    </row>
    <row r="1448" spans="2:22" s="37" customFormat="1" x14ac:dyDescent="0.2">
      <c r="B1448" s="92"/>
      <c r="C1448" s="93"/>
      <c r="D1448" s="38"/>
      <c r="E1448" s="38"/>
      <c r="F1448" s="38"/>
      <c r="G1448" s="38"/>
      <c r="H1448" s="38"/>
      <c r="I1448" s="38"/>
      <c r="J1448" s="38"/>
      <c r="K1448" s="38"/>
      <c r="L1448" s="38"/>
      <c r="M1448" s="38"/>
      <c r="N1448" s="38"/>
      <c r="O1448" s="38"/>
      <c r="P1448" s="38"/>
      <c r="Q1448" s="38"/>
      <c r="R1448" s="38"/>
      <c r="S1448" s="38"/>
      <c r="T1448" s="38"/>
      <c r="U1448" s="38"/>
      <c r="V1448" s="39"/>
    </row>
    <row r="1449" spans="2:22" s="37" customFormat="1" x14ac:dyDescent="0.2">
      <c r="B1449" s="92"/>
      <c r="C1449" s="93"/>
      <c r="D1449" s="38"/>
      <c r="E1449" s="38"/>
      <c r="F1449" s="38"/>
      <c r="G1449" s="38"/>
      <c r="H1449" s="38"/>
      <c r="I1449" s="38"/>
      <c r="J1449" s="38"/>
      <c r="K1449" s="38"/>
      <c r="L1449" s="38"/>
      <c r="M1449" s="38"/>
      <c r="N1449" s="38"/>
      <c r="O1449" s="38"/>
      <c r="P1449" s="38"/>
      <c r="Q1449" s="38"/>
      <c r="R1449" s="38"/>
      <c r="S1449" s="38"/>
      <c r="T1449" s="38"/>
      <c r="U1449" s="38"/>
      <c r="V1449" s="39"/>
    </row>
    <row r="1450" spans="2:22" s="37" customFormat="1" x14ac:dyDescent="0.2">
      <c r="B1450" s="92"/>
      <c r="C1450" s="93"/>
      <c r="D1450" s="38"/>
      <c r="E1450" s="38"/>
      <c r="F1450" s="38"/>
      <c r="G1450" s="38"/>
      <c r="H1450" s="38"/>
      <c r="I1450" s="38"/>
      <c r="J1450" s="38"/>
      <c r="K1450" s="38"/>
      <c r="L1450" s="38"/>
      <c r="M1450" s="38"/>
      <c r="N1450" s="38"/>
      <c r="O1450" s="38"/>
      <c r="P1450" s="38"/>
      <c r="Q1450" s="38"/>
      <c r="R1450" s="38"/>
      <c r="S1450" s="38"/>
      <c r="T1450" s="38"/>
      <c r="U1450" s="38"/>
      <c r="V1450" s="39"/>
    </row>
    <row r="1451" spans="2:22" s="37" customFormat="1" x14ac:dyDescent="0.2">
      <c r="B1451" s="92"/>
      <c r="C1451" s="93"/>
      <c r="D1451" s="38"/>
      <c r="E1451" s="38"/>
      <c r="F1451" s="38"/>
      <c r="G1451" s="38"/>
      <c r="H1451" s="38"/>
      <c r="I1451" s="38"/>
      <c r="J1451" s="38"/>
      <c r="K1451" s="38"/>
      <c r="L1451" s="38"/>
      <c r="M1451" s="38"/>
      <c r="N1451" s="38"/>
      <c r="O1451" s="38"/>
      <c r="P1451" s="38"/>
      <c r="Q1451" s="38"/>
      <c r="R1451" s="38"/>
      <c r="S1451" s="38"/>
      <c r="T1451" s="38"/>
      <c r="U1451" s="38"/>
      <c r="V1451" s="39"/>
    </row>
    <row r="1452" spans="2:22" s="37" customFormat="1" x14ac:dyDescent="0.2">
      <c r="B1452" s="92"/>
      <c r="C1452" s="93"/>
      <c r="D1452" s="38"/>
      <c r="E1452" s="38"/>
      <c r="F1452" s="38"/>
      <c r="G1452" s="38"/>
      <c r="H1452" s="38"/>
      <c r="I1452" s="38"/>
      <c r="J1452" s="38"/>
      <c r="K1452" s="38"/>
      <c r="L1452" s="38"/>
      <c r="M1452" s="38"/>
      <c r="N1452" s="38"/>
      <c r="O1452" s="38"/>
      <c r="P1452" s="38"/>
      <c r="Q1452" s="38"/>
      <c r="R1452" s="38"/>
      <c r="S1452" s="38"/>
      <c r="T1452" s="38"/>
      <c r="U1452" s="38"/>
      <c r="V1452" s="39"/>
    </row>
    <row r="1453" spans="2:22" s="37" customFormat="1" x14ac:dyDescent="0.2">
      <c r="B1453" s="92"/>
      <c r="C1453" s="93"/>
      <c r="D1453" s="38"/>
      <c r="E1453" s="38"/>
      <c r="F1453" s="38"/>
      <c r="G1453" s="38"/>
      <c r="H1453" s="38"/>
      <c r="I1453" s="38"/>
      <c r="J1453" s="38"/>
      <c r="K1453" s="38"/>
      <c r="L1453" s="38"/>
      <c r="M1453" s="38"/>
      <c r="N1453" s="38"/>
      <c r="O1453" s="38"/>
      <c r="P1453" s="38"/>
      <c r="Q1453" s="38"/>
      <c r="R1453" s="38"/>
      <c r="S1453" s="38"/>
      <c r="T1453" s="38"/>
      <c r="U1453" s="38"/>
      <c r="V1453" s="39"/>
    </row>
    <row r="1454" spans="2:22" s="37" customFormat="1" x14ac:dyDescent="0.2">
      <c r="B1454" s="92"/>
      <c r="C1454" s="93"/>
      <c r="D1454" s="38"/>
      <c r="E1454" s="38"/>
      <c r="F1454" s="38"/>
      <c r="G1454" s="38"/>
      <c r="H1454" s="38"/>
      <c r="I1454" s="38"/>
      <c r="J1454" s="38"/>
      <c r="K1454" s="38"/>
      <c r="L1454" s="38"/>
      <c r="M1454" s="38"/>
      <c r="N1454" s="38"/>
      <c r="O1454" s="38"/>
      <c r="P1454" s="38"/>
      <c r="Q1454" s="38"/>
      <c r="R1454" s="38"/>
      <c r="S1454" s="38"/>
      <c r="T1454" s="38"/>
      <c r="U1454" s="38"/>
      <c r="V1454" s="39"/>
    </row>
    <row r="1455" spans="2:22" s="37" customFormat="1" x14ac:dyDescent="0.2">
      <c r="B1455" s="92"/>
      <c r="C1455" s="93"/>
      <c r="D1455" s="38"/>
      <c r="E1455" s="38"/>
      <c r="F1455" s="38"/>
      <c r="G1455" s="38"/>
      <c r="H1455" s="38"/>
      <c r="I1455" s="38"/>
      <c r="J1455" s="38"/>
      <c r="K1455" s="38"/>
      <c r="L1455" s="38"/>
      <c r="M1455" s="38"/>
      <c r="N1455" s="38"/>
      <c r="O1455" s="38"/>
      <c r="P1455" s="38"/>
      <c r="Q1455" s="38"/>
      <c r="R1455" s="38"/>
      <c r="S1455" s="38"/>
      <c r="T1455" s="38"/>
      <c r="U1455" s="38"/>
      <c r="V1455" s="39"/>
    </row>
    <row r="1456" spans="2:22" s="37" customFormat="1" x14ac:dyDescent="0.2">
      <c r="B1456" s="92"/>
      <c r="C1456" s="93"/>
      <c r="D1456" s="38"/>
      <c r="E1456" s="38"/>
      <c r="F1456" s="38"/>
      <c r="G1456" s="38"/>
      <c r="H1456" s="38"/>
      <c r="I1456" s="38"/>
      <c r="J1456" s="38"/>
      <c r="K1456" s="38"/>
      <c r="L1456" s="38"/>
      <c r="M1456" s="38"/>
      <c r="N1456" s="38"/>
      <c r="O1456" s="38"/>
      <c r="P1456" s="38"/>
      <c r="Q1456" s="38"/>
      <c r="R1456" s="38"/>
      <c r="S1456" s="38"/>
      <c r="T1456" s="38"/>
      <c r="U1456" s="38"/>
      <c r="V1456" s="39"/>
    </row>
    <row r="1457" spans="2:22" s="37" customFormat="1" x14ac:dyDescent="0.2">
      <c r="B1457" s="92"/>
      <c r="C1457" s="93"/>
      <c r="D1457" s="38"/>
      <c r="E1457" s="38"/>
      <c r="F1457" s="38"/>
      <c r="G1457" s="38"/>
      <c r="H1457" s="38"/>
      <c r="I1457" s="38"/>
      <c r="J1457" s="38"/>
      <c r="K1457" s="38"/>
      <c r="L1457" s="38"/>
      <c r="M1457" s="38"/>
      <c r="N1457" s="38"/>
      <c r="O1457" s="38"/>
      <c r="P1457" s="38"/>
      <c r="Q1457" s="38"/>
      <c r="R1457" s="38"/>
      <c r="S1457" s="38"/>
      <c r="T1457" s="38"/>
      <c r="U1457" s="38"/>
      <c r="V1457" s="39"/>
    </row>
    <row r="1458" spans="2:22" s="37" customFormat="1" x14ac:dyDescent="0.2">
      <c r="B1458" s="92"/>
      <c r="C1458" s="93"/>
      <c r="D1458" s="38"/>
      <c r="E1458" s="38"/>
      <c r="F1458" s="38"/>
      <c r="G1458" s="38"/>
      <c r="H1458" s="38"/>
      <c r="I1458" s="38"/>
      <c r="J1458" s="38"/>
      <c r="K1458" s="38"/>
      <c r="L1458" s="38"/>
      <c r="M1458" s="38"/>
      <c r="N1458" s="38"/>
      <c r="O1458" s="38"/>
      <c r="P1458" s="38"/>
      <c r="Q1458" s="38"/>
      <c r="R1458" s="38"/>
      <c r="S1458" s="38"/>
      <c r="T1458" s="38"/>
      <c r="U1458" s="38"/>
      <c r="V1458" s="39"/>
    </row>
    <row r="1459" spans="2:22" s="37" customFormat="1" x14ac:dyDescent="0.2">
      <c r="B1459" s="92"/>
      <c r="C1459" s="93"/>
      <c r="D1459" s="38"/>
      <c r="E1459" s="38"/>
      <c r="F1459" s="38"/>
      <c r="G1459" s="38"/>
      <c r="H1459" s="38"/>
      <c r="I1459" s="38"/>
      <c r="J1459" s="38"/>
      <c r="K1459" s="38"/>
      <c r="L1459" s="38"/>
      <c r="M1459" s="38"/>
      <c r="N1459" s="38"/>
      <c r="O1459" s="38"/>
      <c r="P1459" s="38"/>
      <c r="Q1459" s="38"/>
      <c r="R1459" s="38"/>
      <c r="S1459" s="38"/>
      <c r="T1459" s="38"/>
      <c r="U1459" s="38"/>
      <c r="V1459" s="39"/>
    </row>
    <row r="1460" spans="2:22" s="37" customFormat="1" x14ac:dyDescent="0.2">
      <c r="B1460" s="92"/>
      <c r="C1460" s="93"/>
      <c r="D1460" s="38"/>
      <c r="E1460" s="38"/>
      <c r="F1460" s="38"/>
      <c r="G1460" s="38"/>
      <c r="H1460" s="38"/>
      <c r="I1460" s="38"/>
      <c r="J1460" s="38"/>
      <c r="K1460" s="38"/>
      <c r="L1460" s="38"/>
      <c r="M1460" s="38"/>
      <c r="N1460" s="38"/>
      <c r="O1460" s="38"/>
      <c r="P1460" s="38"/>
      <c r="Q1460" s="38"/>
      <c r="R1460" s="38"/>
      <c r="S1460" s="38"/>
      <c r="T1460" s="38"/>
      <c r="U1460" s="38"/>
      <c r="V1460" s="39"/>
    </row>
    <row r="1461" spans="2:22" s="37" customFormat="1" x14ac:dyDescent="0.2">
      <c r="B1461" s="92"/>
      <c r="C1461" s="93"/>
      <c r="D1461" s="38"/>
      <c r="E1461" s="38"/>
      <c r="F1461" s="38"/>
      <c r="G1461" s="38"/>
      <c r="H1461" s="38"/>
      <c r="I1461" s="38"/>
      <c r="J1461" s="38"/>
      <c r="K1461" s="38"/>
      <c r="L1461" s="38"/>
      <c r="M1461" s="38"/>
      <c r="N1461" s="38"/>
      <c r="O1461" s="38"/>
      <c r="P1461" s="38"/>
      <c r="Q1461" s="38"/>
      <c r="R1461" s="38"/>
      <c r="S1461" s="38"/>
      <c r="T1461" s="38"/>
      <c r="U1461" s="38"/>
      <c r="V1461" s="39"/>
    </row>
    <row r="1462" spans="2:22" s="37" customFormat="1" x14ac:dyDescent="0.2">
      <c r="B1462" s="92"/>
      <c r="C1462" s="93"/>
      <c r="D1462" s="38"/>
      <c r="E1462" s="38"/>
      <c r="F1462" s="38"/>
      <c r="G1462" s="38"/>
      <c r="H1462" s="38"/>
      <c r="I1462" s="38"/>
      <c r="J1462" s="38"/>
      <c r="K1462" s="38"/>
      <c r="L1462" s="38"/>
      <c r="M1462" s="38"/>
      <c r="N1462" s="38"/>
      <c r="O1462" s="38"/>
      <c r="P1462" s="38"/>
      <c r="Q1462" s="38"/>
      <c r="R1462" s="38"/>
      <c r="S1462" s="38"/>
      <c r="T1462" s="38"/>
      <c r="U1462" s="38"/>
      <c r="V1462" s="39"/>
    </row>
    <row r="1463" spans="2:22" s="37" customFormat="1" x14ac:dyDescent="0.2">
      <c r="B1463" s="92"/>
      <c r="C1463" s="93"/>
      <c r="D1463" s="38"/>
      <c r="E1463" s="38"/>
      <c r="F1463" s="38"/>
      <c r="G1463" s="38"/>
      <c r="H1463" s="38"/>
      <c r="I1463" s="38"/>
      <c r="J1463" s="38"/>
      <c r="K1463" s="38"/>
      <c r="L1463" s="38"/>
      <c r="M1463" s="38"/>
      <c r="N1463" s="38"/>
      <c r="O1463" s="38"/>
      <c r="P1463" s="38"/>
      <c r="Q1463" s="38"/>
      <c r="R1463" s="38"/>
      <c r="S1463" s="38"/>
      <c r="T1463" s="38"/>
      <c r="U1463" s="38"/>
      <c r="V1463" s="39"/>
    </row>
    <row r="1464" spans="2:22" s="37" customFormat="1" x14ac:dyDescent="0.2">
      <c r="B1464" s="92"/>
      <c r="C1464" s="93"/>
      <c r="D1464" s="38"/>
      <c r="E1464" s="38"/>
      <c r="F1464" s="38"/>
      <c r="G1464" s="38"/>
      <c r="H1464" s="38"/>
      <c r="I1464" s="38"/>
      <c r="J1464" s="38"/>
      <c r="K1464" s="38"/>
      <c r="L1464" s="38"/>
      <c r="M1464" s="38"/>
      <c r="N1464" s="38"/>
      <c r="O1464" s="38"/>
      <c r="P1464" s="38"/>
      <c r="Q1464" s="38"/>
      <c r="R1464" s="38"/>
      <c r="S1464" s="38"/>
      <c r="T1464" s="38"/>
      <c r="U1464" s="38"/>
      <c r="V1464" s="39"/>
    </row>
    <row r="1465" spans="2:22" s="37" customFormat="1" x14ac:dyDescent="0.2">
      <c r="B1465" s="92"/>
      <c r="C1465" s="93"/>
      <c r="D1465" s="38"/>
      <c r="E1465" s="38"/>
      <c r="F1465" s="38"/>
      <c r="G1465" s="38"/>
      <c r="H1465" s="38"/>
      <c r="I1465" s="38"/>
      <c r="J1465" s="38"/>
      <c r="K1465" s="38"/>
      <c r="L1465" s="38"/>
      <c r="M1465" s="38"/>
      <c r="N1465" s="38"/>
      <c r="O1465" s="38"/>
      <c r="P1465" s="38"/>
      <c r="Q1465" s="38"/>
      <c r="R1465" s="38"/>
      <c r="S1465" s="38"/>
      <c r="T1465" s="38"/>
      <c r="U1465" s="38"/>
      <c r="V1465" s="39"/>
    </row>
    <row r="1466" spans="2:22" s="37" customFormat="1" x14ac:dyDescent="0.2">
      <c r="B1466" s="92"/>
      <c r="C1466" s="93"/>
      <c r="D1466" s="38"/>
      <c r="E1466" s="38"/>
      <c r="F1466" s="38"/>
      <c r="G1466" s="38"/>
      <c r="H1466" s="38"/>
      <c r="I1466" s="38"/>
      <c r="J1466" s="38"/>
      <c r="K1466" s="38"/>
      <c r="L1466" s="38"/>
      <c r="M1466" s="38"/>
      <c r="N1466" s="38"/>
      <c r="O1466" s="38"/>
      <c r="P1466" s="38"/>
      <c r="Q1466" s="38"/>
      <c r="R1466" s="38"/>
      <c r="S1466" s="38"/>
      <c r="T1466" s="38"/>
      <c r="U1466" s="38"/>
      <c r="V1466" s="39"/>
    </row>
    <row r="1467" spans="2:22" s="37" customFormat="1" x14ac:dyDescent="0.2">
      <c r="B1467" s="92"/>
      <c r="C1467" s="93"/>
      <c r="D1467" s="38"/>
      <c r="E1467" s="38"/>
      <c r="F1467" s="38"/>
      <c r="G1467" s="38"/>
      <c r="H1467" s="38"/>
      <c r="I1467" s="38"/>
      <c r="J1467" s="38"/>
      <c r="K1467" s="38"/>
      <c r="L1467" s="38"/>
      <c r="M1467" s="38"/>
      <c r="N1467" s="38"/>
      <c r="O1467" s="38"/>
      <c r="P1467" s="38"/>
      <c r="Q1467" s="38"/>
      <c r="R1467" s="38"/>
      <c r="S1467" s="38"/>
      <c r="T1467" s="38"/>
      <c r="U1467" s="38"/>
      <c r="V1467" s="39"/>
    </row>
    <row r="1468" spans="2:22" s="37" customFormat="1" x14ac:dyDescent="0.2">
      <c r="B1468" s="92"/>
      <c r="C1468" s="93"/>
      <c r="D1468" s="38"/>
      <c r="E1468" s="38"/>
      <c r="F1468" s="38"/>
      <c r="G1468" s="38"/>
      <c r="H1468" s="38"/>
      <c r="I1468" s="38"/>
      <c r="J1468" s="38"/>
      <c r="K1468" s="38"/>
      <c r="L1468" s="38"/>
      <c r="M1468" s="38"/>
      <c r="N1468" s="38"/>
      <c r="O1468" s="38"/>
      <c r="P1468" s="38"/>
      <c r="Q1468" s="38"/>
      <c r="R1468" s="38"/>
      <c r="S1468" s="38"/>
      <c r="T1468" s="38"/>
      <c r="U1468" s="38"/>
      <c r="V1468" s="39"/>
    </row>
    <row r="1469" spans="2:22" s="37" customFormat="1" x14ac:dyDescent="0.2">
      <c r="B1469" s="92"/>
      <c r="C1469" s="93"/>
      <c r="D1469" s="38"/>
      <c r="E1469" s="38"/>
      <c r="F1469" s="38"/>
      <c r="G1469" s="38"/>
      <c r="H1469" s="38"/>
      <c r="I1469" s="38"/>
      <c r="J1469" s="38"/>
      <c r="K1469" s="38"/>
      <c r="L1469" s="38"/>
      <c r="M1469" s="38"/>
      <c r="N1469" s="38"/>
      <c r="O1469" s="38"/>
      <c r="P1469" s="38"/>
      <c r="Q1469" s="38"/>
      <c r="R1469" s="38"/>
      <c r="S1469" s="38"/>
      <c r="T1469" s="38"/>
      <c r="U1469" s="38"/>
      <c r="V1469" s="39"/>
    </row>
    <row r="1470" spans="2:22" s="37" customFormat="1" x14ac:dyDescent="0.2">
      <c r="B1470" s="92"/>
      <c r="C1470" s="93"/>
      <c r="D1470" s="38"/>
      <c r="E1470" s="38"/>
      <c r="F1470" s="38"/>
      <c r="G1470" s="38"/>
      <c r="H1470" s="38"/>
      <c r="I1470" s="38"/>
      <c r="J1470" s="38"/>
      <c r="K1470" s="38"/>
      <c r="L1470" s="38"/>
      <c r="M1470" s="38"/>
      <c r="N1470" s="38"/>
      <c r="O1470" s="38"/>
      <c r="P1470" s="38"/>
      <c r="Q1470" s="38"/>
      <c r="R1470" s="38"/>
      <c r="S1470" s="38"/>
      <c r="T1470" s="38"/>
      <c r="U1470" s="38"/>
      <c r="V1470" s="39"/>
    </row>
    <row r="1471" spans="2:22" s="37" customFormat="1" x14ac:dyDescent="0.2">
      <c r="B1471" s="92"/>
      <c r="C1471" s="93"/>
      <c r="D1471" s="38"/>
      <c r="E1471" s="38"/>
      <c r="F1471" s="38"/>
      <c r="G1471" s="38"/>
      <c r="H1471" s="38"/>
      <c r="I1471" s="38"/>
      <c r="J1471" s="38"/>
      <c r="K1471" s="38"/>
      <c r="L1471" s="38"/>
      <c r="M1471" s="38"/>
      <c r="N1471" s="38"/>
      <c r="O1471" s="38"/>
      <c r="P1471" s="38"/>
      <c r="Q1471" s="38"/>
      <c r="R1471" s="38"/>
      <c r="S1471" s="38"/>
      <c r="T1471" s="38"/>
      <c r="U1471" s="38"/>
      <c r="V1471" s="39"/>
    </row>
    <row r="1472" spans="2:22" s="37" customFormat="1" x14ac:dyDescent="0.2">
      <c r="B1472" s="92"/>
      <c r="C1472" s="93"/>
      <c r="D1472" s="38"/>
      <c r="E1472" s="38"/>
      <c r="F1472" s="38"/>
      <c r="G1472" s="38"/>
      <c r="H1472" s="38"/>
      <c r="I1472" s="38"/>
      <c r="J1472" s="38"/>
      <c r="K1472" s="38"/>
      <c r="L1472" s="38"/>
      <c r="M1472" s="38"/>
      <c r="N1472" s="38"/>
      <c r="O1472" s="38"/>
      <c r="P1472" s="38"/>
      <c r="Q1472" s="38"/>
      <c r="R1472" s="38"/>
      <c r="S1472" s="38"/>
      <c r="T1472" s="38"/>
      <c r="U1472" s="38"/>
      <c r="V1472" s="39"/>
    </row>
    <row r="1473" spans="2:22" s="37" customFormat="1" x14ac:dyDescent="0.2">
      <c r="B1473" s="92"/>
      <c r="C1473" s="93"/>
      <c r="D1473" s="38"/>
      <c r="E1473" s="38"/>
      <c r="F1473" s="38"/>
      <c r="G1473" s="38"/>
      <c r="H1473" s="38"/>
      <c r="I1473" s="38"/>
      <c r="J1473" s="38"/>
      <c r="K1473" s="38"/>
      <c r="L1473" s="38"/>
      <c r="M1473" s="38"/>
      <c r="N1473" s="38"/>
      <c r="O1473" s="38"/>
      <c r="P1473" s="38"/>
      <c r="Q1473" s="38"/>
      <c r="R1473" s="38"/>
      <c r="S1473" s="38"/>
      <c r="T1473" s="38"/>
      <c r="U1473" s="38"/>
      <c r="V1473" s="39"/>
    </row>
    <row r="1474" spans="2:22" s="37" customFormat="1" x14ac:dyDescent="0.2">
      <c r="B1474" s="92"/>
      <c r="C1474" s="93"/>
      <c r="D1474" s="38"/>
      <c r="E1474" s="38"/>
      <c r="F1474" s="38"/>
      <c r="G1474" s="38"/>
      <c r="H1474" s="38"/>
      <c r="I1474" s="38"/>
      <c r="J1474" s="38"/>
      <c r="K1474" s="38"/>
      <c r="L1474" s="38"/>
      <c r="M1474" s="38"/>
      <c r="N1474" s="38"/>
      <c r="O1474" s="38"/>
      <c r="P1474" s="38"/>
      <c r="Q1474" s="38"/>
      <c r="R1474" s="38"/>
      <c r="S1474" s="38"/>
      <c r="T1474" s="38"/>
      <c r="U1474" s="38"/>
      <c r="V1474" s="39"/>
    </row>
    <row r="1475" spans="2:22" s="37" customFormat="1" x14ac:dyDescent="0.2">
      <c r="B1475" s="92"/>
      <c r="C1475" s="93"/>
      <c r="D1475" s="38"/>
      <c r="E1475" s="38"/>
      <c r="F1475" s="38"/>
      <c r="G1475" s="38"/>
      <c r="H1475" s="38"/>
      <c r="I1475" s="38"/>
      <c r="J1475" s="38"/>
      <c r="K1475" s="38"/>
      <c r="L1475" s="38"/>
      <c r="M1475" s="38"/>
      <c r="N1475" s="38"/>
      <c r="O1475" s="38"/>
      <c r="P1475" s="38"/>
      <c r="Q1475" s="38"/>
      <c r="R1475" s="38"/>
      <c r="S1475" s="38"/>
      <c r="T1475" s="38"/>
      <c r="U1475" s="38"/>
      <c r="V1475" s="39"/>
    </row>
    <row r="1476" spans="2:22" s="37" customFormat="1" x14ac:dyDescent="0.2">
      <c r="B1476" s="92"/>
      <c r="C1476" s="93"/>
      <c r="D1476" s="38"/>
      <c r="E1476" s="38"/>
      <c r="F1476" s="38"/>
      <c r="G1476" s="38"/>
      <c r="H1476" s="38"/>
      <c r="I1476" s="38"/>
      <c r="J1476" s="38"/>
      <c r="K1476" s="38"/>
      <c r="L1476" s="38"/>
      <c r="M1476" s="38"/>
      <c r="N1476" s="38"/>
      <c r="O1476" s="38"/>
      <c r="P1476" s="38"/>
      <c r="Q1476" s="38"/>
      <c r="R1476" s="38"/>
      <c r="S1476" s="38"/>
      <c r="T1476" s="38"/>
      <c r="U1476" s="38"/>
      <c r="V1476" s="39"/>
    </row>
    <row r="1477" spans="2:22" s="37" customFormat="1" x14ac:dyDescent="0.2">
      <c r="B1477" s="92"/>
      <c r="C1477" s="93"/>
      <c r="D1477" s="38"/>
      <c r="E1477" s="38"/>
      <c r="F1477" s="38"/>
      <c r="G1477" s="38"/>
      <c r="H1477" s="38"/>
      <c r="I1477" s="38"/>
      <c r="J1477" s="38"/>
      <c r="K1477" s="38"/>
      <c r="L1477" s="38"/>
      <c r="M1477" s="38"/>
      <c r="N1477" s="38"/>
      <c r="O1477" s="38"/>
      <c r="P1477" s="38"/>
      <c r="Q1477" s="38"/>
      <c r="R1477" s="38"/>
      <c r="S1477" s="38"/>
      <c r="T1477" s="38"/>
      <c r="U1477" s="38"/>
      <c r="V1477" s="39"/>
    </row>
    <row r="1478" spans="2:22" s="37" customFormat="1" x14ac:dyDescent="0.2">
      <c r="B1478" s="92"/>
      <c r="C1478" s="93"/>
      <c r="D1478" s="38"/>
      <c r="E1478" s="38"/>
      <c r="F1478" s="38"/>
      <c r="G1478" s="38"/>
      <c r="H1478" s="38"/>
      <c r="I1478" s="38"/>
      <c r="J1478" s="38"/>
      <c r="K1478" s="38"/>
      <c r="L1478" s="38"/>
      <c r="M1478" s="38"/>
      <c r="N1478" s="38"/>
      <c r="O1478" s="38"/>
      <c r="P1478" s="38"/>
      <c r="Q1478" s="38"/>
      <c r="R1478" s="38"/>
      <c r="S1478" s="38"/>
      <c r="T1478" s="38"/>
      <c r="U1478" s="38"/>
      <c r="V1478" s="39"/>
    </row>
    <row r="1479" spans="2:22" s="37" customFormat="1" x14ac:dyDescent="0.2">
      <c r="B1479" s="92"/>
      <c r="C1479" s="93"/>
      <c r="D1479" s="38"/>
      <c r="E1479" s="38"/>
      <c r="F1479" s="38"/>
      <c r="G1479" s="38"/>
      <c r="H1479" s="38"/>
      <c r="I1479" s="38"/>
      <c r="J1479" s="38"/>
      <c r="K1479" s="38"/>
      <c r="L1479" s="38"/>
      <c r="M1479" s="38"/>
      <c r="N1479" s="38"/>
      <c r="O1479" s="38"/>
      <c r="P1479" s="38"/>
      <c r="Q1479" s="38"/>
      <c r="R1479" s="38"/>
      <c r="S1479" s="38"/>
      <c r="T1479" s="38"/>
      <c r="U1479" s="38"/>
      <c r="V1479" s="39"/>
    </row>
    <row r="1480" spans="2:22" s="37" customFormat="1" x14ac:dyDescent="0.2">
      <c r="B1480" s="92"/>
      <c r="C1480" s="93"/>
      <c r="D1480" s="38"/>
      <c r="E1480" s="38"/>
      <c r="F1480" s="38"/>
      <c r="G1480" s="38"/>
      <c r="H1480" s="38"/>
      <c r="I1480" s="38"/>
      <c r="J1480" s="38"/>
      <c r="K1480" s="38"/>
      <c r="L1480" s="38"/>
      <c r="M1480" s="38"/>
      <c r="N1480" s="38"/>
      <c r="O1480" s="38"/>
      <c r="P1480" s="38"/>
      <c r="Q1480" s="38"/>
      <c r="R1480" s="38"/>
      <c r="S1480" s="38"/>
      <c r="T1480" s="38"/>
      <c r="U1480" s="38"/>
      <c r="V1480" s="39"/>
    </row>
    <row r="1481" spans="2:22" s="37" customFormat="1" x14ac:dyDescent="0.2">
      <c r="B1481" s="92"/>
      <c r="C1481" s="93"/>
      <c r="D1481" s="38"/>
      <c r="E1481" s="38"/>
      <c r="F1481" s="38"/>
      <c r="G1481" s="38"/>
      <c r="H1481" s="38"/>
      <c r="I1481" s="38"/>
      <c r="J1481" s="38"/>
      <c r="K1481" s="38"/>
      <c r="L1481" s="38"/>
      <c r="M1481" s="38"/>
      <c r="N1481" s="38"/>
      <c r="O1481" s="38"/>
      <c r="P1481" s="38"/>
      <c r="Q1481" s="38"/>
      <c r="R1481" s="38"/>
      <c r="S1481" s="38"/>
      <c r="T1481" s="38"/>
      <c r="U1481" s="38"/>
      <c r="V1481" s="39"/>
    </row>
    <row r="1482" spans="2:22" s="37" customFormat="1" x14ac:dyDescent="0.2">
      <c r="B1482" s="92"/>
      <c r="C1482" s="93"/>
      <c r="D1482" s="38"/>
      <c r="E1482" s="38"/>
      <c r="F1482" s="38"/>
      <c r="G1482" s="38"/>
      <c r="H1482" s="38"/>
      <c r="I1482" s="38"/>
      <c r="J1482" s="38"/>
      <c r="K1482" s="38"/>
      <c r="L1482" s="38"/>
      <c r="M1482" s="38"/>
      <c r="N1482" s="38"/>
      <c r="O1482" s="38"/>
      <c r="P1482" s="38"/>
      <c r="Q1482" s="38"/>
      <c r="R1482" s="38"/>
      <c r="S1482" s="38"/>
      <c r="T1482" s="38"/>
      <c r="U1482" s="38"/>
      <c r="V1482" s="39"/>
    </row>
    <row r="1483" spans="2:22" s="37" customFormat="1" x14ac:dyDescent="0.2">
      <c r="B1483" s="92"/>
      <c r="C1483" s="93"/>
      <c r="D1483" s="38"/>
      <c r="E1483" s="38"/>
      <c r="F1483" s="38"/>
      <c r="G1483" s="38"/>
      <c r="H1483" s="38"/>
      <c r="I1483" s="38"/>
      <c r="J1483" s="38"/>
      <c r="K1483" s="38"/>
      <c r="L1483" s="38"/>
      <c r="M1483" s="38"/>
      <c r="N1483" s="38"/>
      <c r="O1483" s="38"/>
      <c r="P1483" s="38"/>
      <c r="Q1483" s="38"/>
      <c r="R1483" s="38"/>
      <c r="S1483" s="38"/>
      <c r="T1483" s="38"/>
      <c r="U1483" s="38"/>
      <c r="V1483" s="39"/>
    </row>
    <row r="1484" spans="2:22" s="37" customFormat="1" x14ac:dyDescent="0.2">
      <c r="B1484" s="92"/>
      <c r="C1484" s="93"/>
      <c r="D1484" s="38"/>
      <c r="E1484" s="38"/>
      <c r="F1484" s="38"/>
      <c r="G1484" s="38"/>
      <c r="H1484" s="38"/>
      <c r="I1484" s="38"/>
      <c r="J1484" s="38"/>
      <c r="K1484" s="38"/>
      <c r="L1484" s="38"/>
      <c r="M1484" s="38"/>
      <c r="N1484" s="38"/>
      <c r="O1484" s="38"/>
      <c r="P1484" s="38"/>
      <c r="Q1484" s="38"/>
      <c r="R1484" s="38"/>
      <c r="S1484" s="38"/>
      <c r="T1484" s="38"/>
      <c r="U1484" s="38"/>
      <c r="V1484" s="39"/>
    </row>
    <row r="1485" spans="2:22" s="37" customFormat="1" x14ac:dyDescent="0.2">
      <c r="B1485" s="92"/>
      <c r="C1485" s="93"/>
      <c r="D1485" s="38"/>
      <c r="E1485" s="38"/>
      <c r="F1485" s="38"/>
      <c r="G1485" s="38"/>
      <c r="H1485" s="38"/>
      <c r="I1485" s="38"/>
      <c r="J1485" s="38"/>
      <c r="K1485" s="38"/>
      <c r="L1485" s="38"/>
      <c r="M1485" s="38"/>
      <c r="N1485" s="38"/>
      <c r="O1485" s="38"/>
      <c r="P1485" s="38"/>
      <c r="Q1485" s="38"/>
      <c r="R1485" s="38"/>
      <c r="S1485" s="38"/>
      <c r="T1485" s="38"/>
      <c r="U1485" s="38"/>
      <c r="V1485" s="39"/>
    </row>
    <row r="1486" spans="2:22" s="37" customFormat="1" x14ac:dyDescent="0.2">
      <c r="B1486" s="92"/>
      <c r="C1486" s="93"/>
      <c r="D1486" s="38"/>
      <c r="E1486" s="38"/>
      <c r="F1486" s="38"/>
      <c r="G1486" s="38"/>
      <c r="H1486" s="38"/>
      <c r="I1486" s="38"/>
      <c r="J1486" s="38"/>
      <c r="K1486" s="38"/>
      <c r="L1486" s="38"/>
      <c r="M1486" s="38"/>
      <c r="N1486" s="38"/>
      <c r="O1486" s="38"/>
      <c r="P1486" s="38"/>
      <c r="Q1486" s="38"/>
      <c r="R1486" s="38"/>
      <c r="S1486" s="38"/>
      <c r="T1486" s="38"/>
      <c r="U1486" s="38"/>
      <c r="V1486" s="39"/>
    </row>
    <row r="1487" spans="2:22" s="37" customFormat="1" x14ac:dyDescent="0.2">
      <c r="B1487" s="92"/>
      <c r="C1487" s="93"/>
      <c r="D1487" s="38"/>
      <c r="E1487" s="38"/>
      <c r="F1487" s="38"/>
      <c r="G1487" s="38"/>
      <c r="H1487" s="38"/>
      <c r="I1487" s="38"/>
      <c r="J1487" s="38"/>
      <c r="K1487" s="38"/>
      <c r="L1487" s="38"/>
      <c r="M1487" s="38"/>
      <c r="N1487" s="38"/>
      <c r="O1487" s="38"/>
      <c r="P1487" s="38"/>
      <c r="Q1487" s="38"/>
      <c r="R1487" s="38"/>
      <c r="S1487" s="38"/>
      <c r="T1487" s="38"/>
      <c r="U1487" s="38"/>
      <c r="V1487" s="39"/>
    </row>
    <row r="1488" spans="2:22" s="37" customFormat="1" x14ac:dyDescent="0.2">
      <c r="B1488" s="92"/>
      <c r="C1488" s="93"/>
      <c r="D1488" s="38"/>
      <c r="E1488" s="38"/>
      <c r="F1488" s="38"/>
      <c r="G1488" s="38"/>
      <c r="H1488" s="38"/>
      <c r="I1488" s="38"/>
      <c r="J1488" s="38"/>
      <c r="K1488" s="38"/>
      <c r="L1488" s="38"/>
      <c r="M1488" s="38"/>
      <c r="N1488" s="38"/>
      <c r="O1488" s="38"/>
      <c r="P1488" s="38"/>
      <c r="Q1488" s="38"/>
      <c r="R1488" s="38"/>
      <c r="S1488" s="38"/>
      <c r="T1488" s="38"/>
      <c r="U1488" s="38"/>
      <c r="V1488" s="39"/>
    </row>
    <row r="1489" spans="2:22" s="37" customFormat="1" x14ac:dyDescent="0.2">
      <c r="B1489" s="92"/>
      <c r="C1489" s="93"/>
      <c r="D1489" s="38"/>
      <c r="E1489" s="38"/>
      <c r="F1489" s="38"/>
      <c r="G1489" s="38"/>
      <c r="H1489" s="38"/>
      <c r="I1489" s="38"/>
      <c r="J1489" s="38"/>
      <c r="K1489" s="38"/>
      <c r="L1489" s="38"/>
      <c r="M1489" s="38"/>
      <c r="N1489" s="38"/>
      <c r="O1489" s="38"/>
      <c r="P1489" s="38"/>
      <c r="Q1489" s="38"/>
      <c r="R1489" s="38"/>
      <c r="S1489" s="38"/>
      <c r="T1489" s="38"/>
      <c r="U1489" s="38"/>
      <c r="V1489" s="39"/>
    </row>
    <row r="1490" spans="2:22" s="37" customFormat="1" x14ac:dyDescent="0.2">
      <c r="B1490" s="92"/>
      <c r="C1490" s="93"/>
      <c r="D1490" s="38"/>
      <c r="E1490" s="38"/>
      <c r="F1490" s="38"/>
      <c r="G1490" s="38"/>
      <c r="H1490" s="38"/>
      <c r="I1490" s="38"/>
      <c r="J1490" s="38"/>
      <c r="K1490" s="38"/>
      <c r="L1490" s="38"/>
      <c r="M1490" s="38"/>
      <c r="N1490" s="38"/>
      <c r="O1490" s="38"/>
      <c r="P1490" s="38"/>
      <c r="Q1490" s="38"/>
      <c r="R1490" s="38"/>
      <c r="S1490" s="38"/>
      <c r="T1490" s="38"/>
      <c r="U1490" s="38"/>
      <c r="V1490" s="39"/>
    </row>
    <row r="1491" spans="2:22" s="37" customFormat="1" x14ac:dyDescent="0.2">
      <c r="B1491" s="92"/>
      <c r="C1491" s="93"/>
      <c r="D1491" s="38"/>
      <c r="E1491" s="38"/>
      <c r="F1491" s="38"/>
      <c r="G1491" s="38"/>
      <c r="H1491" s="38"/>
      <c r="I1491" s="38"/>
      <c r="J1491" s="38"/>
      <c r="K1491" s="38"/>
      <c r="L1491" s="38"/>
      <c r="M1491" s="38"/>
      <c r="N1491" s="38"/>
      <c r="O1491" s="38"/>
      <c r="P1491" s="38"/>
      <c r="Q1491" s="38"/>
      <c r="R1491" s="38"/>
      <c r="S1491" s="38"/>
      <c r="T1491" s="38"/>
      <c r="U1491" s="38"/>
      <c r="V1491" s="39"/>
    </row>
    <row r="1492" spans="2:22" s="37" customFormat="1" x14ac:dyDescent="0.2">
      <c r="B1492" s="92"/>
      <c r="C1492" s="93"/>
      <c r="D1492" s="38"/>
      <c r="E1492" s="38"/>
      <c r="F1492" s="38"/>
      <c r="G1492" s="38"/>
      <c r="H1492" s="38"/>
      <c r="I1492" s="38"/>
      <c r="J1492" s="38"/>
      <c r="K1492" s="38"/>
      <c r="L1492" s="38"/>
      <c r="M1492" s="38"/>
      <c r="N1492" s="38"/>
      <c r="O1492" s="38"/>
      <c r="P1492" s="38"/>
      <c r="Q1492" s="38"/>
      <c r="R1492" s="38"/>
      <c r="S1492" s="38"/>
      <c r="T1492" s="38"/>
      <c r="U1492" s="38"/>
      <c r="V1492" s="39"/>
    </row>
    <row r="1493" spans="2:22" s="37" customFormat="1" x14ac:dyDescent="0.2">
      <c r="B1493" s="92"/>
      <c r="C1493" s="93"/>
      <c r="D1493" s="38"/>
      <c r="E1493" s="38"/>
      <c r="F1493" s="38"/>
      <c r="G1493" s="38"/>
      <c r="H1493" s="38"/>
      <c r="I1493" s="38"/>
      <c r="J1493" s="38"/>
      <c r="K1493" s="38"/>
      <c r="L1493" s="38"/>
      <c r="M1493" s="38"/>
      <c r="N1493" s="38"/>
      <c r="O1493" s="38"/>
      <c r="P1493" s="38"/>
      <c r="Q1493" s="38"/>
      <c r="R1493" s="38"/>
      <c r="S1493" s="38"/>
      <c r="T1493" s="38"/>
      <c r="U1493" s="38"/>
      <c r="V1493" s="39"/>
    </row>
    <row r="1494" spans="2:22" s="37" customFormat="1" x14ac:dyDescent="0.2">
      <c r="B1494" s="92"/>
      <c r="C1494" s="93"/>
      <c r="D1494" s="38"/>
      <c r="E1494" s="38"/>
      <c r="F1494" s="38"/>
      <c r="G1494" s="38"/>
      <c r="H1494" s="38"/>
      <c r="I1494" s="38"/>
      <c r="J1494" s="38"/>
      <c r="K1494" s="38"/>
      <c r="L1494" s="38"/>
      <c r="M1494" s="38"/>
      <c r="N1494" s="38"/>
      <c r="O1494" s="38"/>
      <c r="P1494" s="38"/>
      <c r="Q1494" s="38"/>
      <c r="R1494" s="38"/>
      <c r="S1494" s="38"/>
      <c r="T1494" s="38"/>
      <c r="U1494" s="38"/>
      <c r="V1494" s="39"/>
    </row>
    <row r="1495" spans="2:22" s="37" customFormat="1" x14ac:dyDescent="0.2">
      <c r="B1495" s="92"/>
      <c r="C1495" s="93"/>
      <c r="D1495" s="38"/>
      <c r="E1495" s="38"/>
      <c r="F1495" s="38"/>
      <c r="G1495" s="38"/>
      <c r="H1495" s="38"/>
      <c r="I1495" s="38"/>
      <c r="J1495" s="38"/>
      <c r="K1495" s="38"/>
      <c r="L1495" s="38"/>
      <c r="M1495" s="38"/>
      <c r="N1495" s="38"/>
      <c r="O1495" s="38"/>
      <c r="P1495" s="38"/>
      <c r="Q1495" s="38"/>
      <c r="R1495" s="38"/>
      <c r="S1495" s="38"/>
      <c r="T1495" s="38"/>
      <c r="U1495" s="38"/>
      <c r="V1495" s="39"/>
    </row>
    <row r="1496" spans="2:22" s="37" customFormat="1" x14ac:dyDescent="0.2">
      <c r="B1496" s="92"/>
      <c r="C1496" s="93"/>
      <c r="D1496" s="38"/>
      <c r="E1496" s="38"/>
      <c r="F1496" s="38"/>
      <c r="G1496" s="38"/>
      <c r="H1496" s="38"/>
      <c r="I1496" s="38"/>
      <c r="J1496" s="38"/>
      <c r="K1496" s="38"/>
      <c r="L1496" s="38"/>
      <c r="M1496" s="38"/>
      <c r="N1496" s="38"/>
      <c r="O1496" s="38"/>
      <c r="P1496" s="38"/>
      <c r="Q1496" s="38"/>
      <c r="R1496" s="38"/>
      <c r="S1496" s="38"/>
      <c r="T1496" s="38"/>
      <c r="U1496" s="38"/>
      <c r="V1496" s="39"/>
    </row>
    <row r="1497" spans="2:22" s="37" customFormat="1" x14ac:dyDescent="0.2">
      <c r="B1497" s="92"/>
      <c r="C1497" s="93"/>
      <c r="D1497" s="38"/>
      <c r="E1497" s="38"/>
      <c r="F1497" s="38"/>
      <c r="G1497" s="38"/>
      <c r="H1497" s="38"/>
      <c r="I1497" s="38"/>
      <c r="J1497" s="38"/>
      <c r="K1497" s="38"/>
      <c r="L1497" s="38"/>
      <c r="M1497" s="38"/>
      <c r="N1497" s="38"/>
      <c r="O1497" s="38"/>
      <c r="P1497" s="38"/>
      <c r="Q1497" s="38"/>
      <c r="R1497" s="38"/>
      <c r="S1497" s="38"/>
      <c r="T1497" s="38"/>
      <c r="U1497" s="38"/>
      <c r="V1497" s="39"/>
    </row>
    <row r="1498" spans="2:22" s="37" customFormat="1" x14ac:dyDescent="0.2">
      <c r="B1498" s="92"/>
      <c r="C1498" s="93"/>
      <c r="D1498" s="38"/>
      <c r="E1498" s="38"/>
      <c r="F1498" s="38"/>
      <c r="G1498" s="38"/>
      <c r="H1498" s="38"/>
      <c r="I1498" s="38"/>
      <c r="J1498" s="38"/>
      <c r="K1498" s="38"/>
      <c r="L1498" s="38"/>
      <c r="M1498" s="38"/>
      <c r="N1498" s="38"/>
      <c r="O1498" s="38"/>
      <c r="P1498" s="38"/>
      <c r="Q1498" s="38"/>
      <c r="R1498" s="38"/>
      <c r="S1498" s="38"/>
      <c r="T1498" s="38"/>
      <c r="U1498" s="38"/>
      <c r="V1498" s="39"/>
    </row>
    <row r="1499" spans="2:22" s="37" customFormat="1" x14ac:dyDescent="0.2">
      <c r="B1499" s="92"/>
      <c r="C1499" s="93"/>
      <c r="D1499" s="38"/>
      <c r="E1499" s="38"/>
      <c r="F1499" s="38"/>
      <c r="G1499" s="38"/>
      <c r="H1499" s="38"/>
      <c r="I1499" s="38"/>
      <c r="J1499" s="38"/>
      <c r="K1499" s="38"/>
      <c r="L1499" s="38"/>
      <c r="M1499" s="38"/>
      <c r="N1499" s="38"/>
      <c r="O1499" s="38"/>
      <c r="P1499" s="38"/>
      <c r="Q1499" s="38"/>
      <c r="R1499" s="38"/>
      <c r="S1499" s="38"/>
      <c r="T1499" s="38"/>
      <c r="U1499" s="38"/>
      <c r="V1499" s="39"/>
    </row>
    <row r="1500" spans="2:22" s="37" customFormat="1" x14ac:dyDescent="0.2">
      <c r="B1500" s="92"/>
      <c r="C1500" s="93"/>
      <c r="D1500" s="38"/>
      <c r="E1500" s="38"/>
      <c r="F1500" s="38"/>
      <c r="G1500" s="38"/>
      <c r="H1500" s="38"/>
      <c r="I1500" s="38"/>
      <c r="J1500" s="38"/>
      <c r="K1500" s="38"/>
      <c r="L1500" s="38"/>
      <c r="M1500" s="38"/>
      <c r="N1500" s="38"/>
      <c r="O1500" s="38"/>
      <c r="P1500" s="38"/>
      <c r="Q1500" s="38"/>
      <c r="R1500" s="38"/>
      <c r="S1500" s="38"/>
      <c r="T1500" s="38"/>
      <c r="U1500" s="38"/>
      <c r="V1500" s="39"/>
    </row>
    <row r="1501" spans="2:22" s="37" customFormat="1" x14ac:dyDescent="0.2">
      <c r="B1501" s="92"/>
      <c r="C1501" s="93"/>
      <c r="D1501" s="38"/>
      <c r="E1501" s="38"/>
      <c r="F1501" s="38"/>
      <c r="G1501" s="38"/>
      <c r="H1501" s="38"/>
      <c r="I1501" s="38"/>
      <c r="J1501" s="38"/>
      <c r="K1501" s="38"/>
      <c r="L1501" s="38"/>
      <c r="M1501" s="38"/>
      <c r="N1501" s="38"/>
      <c r="O1501" s="38"/>
      <c r="P1501" s="38"/>
      <c r="Q1501" s="38"/>
      <c r="R1501" s="38"/>
      <c r="S1501" s="38"/>
      <c r="T1501" s="38"/>
      <c r="U1501" s="38"/>
      <c r="V1501" s="39"/>
    </row>
    <row r="1502" spans="2:22" s="37" customFormat="1" x14ac:dyDescent="0.2">
      <c r="B1502" s="92"/>
      <c r="C1502" s="93"/>
      <c r="D1502" s="38"/>
      <c r="E1502" s="38"/>
      <c r="F1502" s="38"/>
      <c r="G1502" s="38"/>
      <c r="H1502" s="38"/>
      <c r="I1502" s="38"/>
      <c r="J1502" s="38"/>
      <c r="K1502" s="38"/>
      <c r="L1502" s="38"/>
      <c r="M1502" s="38"/>
      <c r="N1502" s="38"/>
      <c r="O1502" s="38"/>
      <c r="P1502" s="38"/>
      <c r="Q1502" s="38"/>
      <c r="R1502" s="38"/>
      <c r="S1502" s="38"/>
      <c r="T1502" s="38"/>
      <c r="U1502" s="38"/>
      <c r="V1502" s="39"/>
    </row>
    <row r="1503" spans="2:22" s="37" customFormat="1" x14ac:dyDescent="0.2">
      <c r="B1503" s="92"/>
      <c r="C1503" s="93"/>
      <c r="D1503" s="38"/>
      <c r="E1503" s="38"/>
      <c r="F1503" s="38"/>
      <c r="G1503" s="38"/>
      <c r="H1503" s="38"/>
      <c r="I1503" s="38"/>
      <c r="J1503" s="38"/>
      <c r="K1503" s="38"/>
      <c r="L1503" s="38"/>
      <c r="M1503" s="38"/>
      <c r="N1503" s="38"/>
      <c r="O1503" s="38"/>
      <c r="P1503" s="38"/>
      <c r="Q1503" s="38"/>
      <c r="R1503" s="38"/>
      <c r="S1503" s="38"/>
      <c r="T1503" s="38"/>
      <c r="U1503" s="38"/>
      <c r="V1503" s="39"/>
    </row>
    <row r="1504" spans="2:22" s="37" customFormat="1" x14ac:dyDescent="0.2">
      <c r="B1504" s="92"/>
      <c r="C1504" s="93"/>
      <c r="D1504" s="38"/>
      <c r="E1504" s="38"/>
      <c r="F1504" s="38"/>
      <c r="G1504" s="38"/>
      <c r="H1504" s="38"/>
      <c r="I1504" s="38"/>
      <c r="J1504" s="38"/>
      <c r="K1504" s="38"/>
      <c r="L1504" s="38"/>
      <c r="M1504" s="38"/>
      <c r="N1504" s="38"/>
      <c r="O1504" s="38"/>
      <c r="P1504" s="38"/>
      <c r="Q1504" s="38"/>
      <c r="R1504" s="38"/>
      <c r="S1504" s="38"/>
      <c r="T1504" s="38"/>
      <c r="U1504" s="38"/>
      <c r="V1504" s="39"/>
    </row>
    <row r="1505" spans="2:22" s="37" customFormat="1" x14ac:dyDescent="0.2">
      <c r="B1505" s="92"/>
      <c r="C1505" s="93"/>
      <c r="D1505" s="38"/>
      <c r="E1505" s="38"/>
      <c r="F1505" s="38"/>
      <c r="G1505" s="38"/>
      <c r="H1505" s="38"/>
      <c r="I1505" s="38"/>
      <c r="J1505" s="38"/>
      <c r="K1505" s="38"/>
      <c r="L1505" s="38"/>
      <c r="M1505" s="38"/>
      <c r="N1505" s="38"/>
      <c r="O1505" s="38"/>
      <c r="P1505" s="38"/>
      <c r="Q1505" s="38"/>
      <c r="R1505" s="38"/>
      <c r="S1505" s="38"/>
      <c r="T1505" s="38"/>
      <c r="U1505" s="38"/>
      <c r="V1505" s="39"/>
    </row>
    <row r="1506" spans="2:22" s="37" customFormat="1" x14ac:dyDescent="0.2">
      <c r="B1506" s="92"/>
      <c r="C1506" s="93"/>
      <c r="D1506" s="38"/>
      <c r="E1506" s="38"/>
      <c r="F1506" s="38"/>
      <c r="G1506" s="38"/>
      <c r="H1506" s="38"/>
      <c r="I1506" s="38"/>
      <c r="J1506" s="38"/>
      <c r="K1506" s="38"/>
      <c r="L1506" s="38"/>
      <c r="M1506" s="38"/>
      <c r="N1506" s="38"/>
      <c r="O1506" s="38"/>
      <c r="P1506" s="38"/>
      <c r="Q1506" s="38"/>
      <c r="R1506" s="38"/>
      <c r="S1506" s="38"/>
      <c r="T1506" s="38"/>
      <c r="U1506" s="38"/>
      <c r="V1506" s="39"/>
    </row>
    <row r="1507" spans="2:22" s="37" customFormat="1" x14ac:dyDescent="0.2">
      <c r="B1507" s="92"/>
      <c r="C1507" s="93"/>
      <c r="D1507" s="38"/>
      <c r="E1507" s="38"/>
      <c r="F1507" s="38"/>
      <c r="G1507" s="38"/>
      <c r="H1507" s="38"/>
      <c r="I1507" s="38"/>
      <c r="J1507" s="38"/>
      <c r="K1507" s="38"/>
      <c r="L1507" s="38"/>
      <c r="M1507" s="38"/>
      <c r="N1507" s="38"/>
      <c r="O1507" s="38"/>
      <c r="P1507" s="38"/>
      <c r="Q1507" s="38"/>
      <c r="R1507" s="38"/>
      <c r="S1507" s="38"/>
      <c r="T1507" s="38"/>
      <c r="U1507" s="38"/>
      <c r="V1507" s="39"/>
    </row>
    <row r="1508" spans="2:22" s="37" customFormat="1" x14ac:dyDescent="0.2">
      <c r="B1508" s="92"/>
      <c r="C1508" s="93"/>
      <c r="D1508" s="38"/>
      <c r="E1508" s="38"/>
      <c r="F1508" s="38"/>
      <c r="G1508" s="38"/>
      <c r="H1508" s="38"/>
      <c r="I1508" s="38"/>
      <c r="J1508" s="38"/>
      <c r="K1508" s="38"/>
      <c r="L1508" s="38"/>
      <c r="M1508" s="38"/>
      <c r="N1508" s="38"/>
      <c r="O1508" s="38"/>
      <c r="P1508" s="38"/>
      <c r="Q1508" s="38"/>
      <c r="R1508" s="38"/>
      <c r="S1508" s="38"/>
      <c r="T1508" s="38"/>
      <c r="U1508" s="38"/>
      <c r="V1508" s="39"/>
    </row>
    <row r="1509" spans="2:22" s="37" customFormat="1" x14ac:dyDescent="0.2">
      <c r="B1509" s="92"/>
      <c r="C1509" s="93"/>
      <c r="D1509" s="38"/>
      <c r="E1509" s="38"/>
      <c r="F1509" s="38"/>
      <c r="G1509" s="38"/>
      <c r="H1509" s="38"/>
      <c r="I1509" s="38"/>
      <c r="J1509" s="38"/>
      <c r="K1509" s="38"/>
      <c r="L1509" s="38"/>
      <c r="M1509" s="38"/>
      <c r="N1509" s="38"/>
      <c r="O1509" s="38"/>
      <c r="P1509" s="38"/>
      <c r="Q1509" s="38"/>
      <c r="R1509" s="38"/>
      <c r="S1509" s="38"/>
      <c r="T1509" s="38"/>
      <c r="U1509" s="38"/>
      <c r="V1509" s="39"/>
    </row>
    <row r="1510" spans="2:22" s="37" customFormat="1" x14ac:dyDescent="0.2">
      <c r="B1510" s="92"/>
      <c r="C1510" s="93"/>
      <c r="D1510" s="38"/>
      <c r="E1510" s="38"/>
      <c r="F1510" s="38"/>
      <c r="G1510" s="38"/>
      <c r="H1510" s="38"/>
      <c r="I1510" s="38"/>
      <c r="J1510" s="38"/>
      <c r="K1510" s="38"/>
      <c r="L1510" s="38"/>
      <c r="M1510" s="38"/>
      <c r="N1510" s="38"/>
      <c r="O1510" s="38"/>
      <c r="P1510" s="38"/>
      <c r="Q1510" s="38"/>
      <c r="R1510" s="38"/>
      <c r="S1510" s="38"/>
      <c r="T1510" s="38"/>
      <c r="U1510" s="38"/>
      <c r="V1510" s="39"/>
    </row>
    <row r="1511" spans="2:22" s="37" customFormat="1" x14ac:dyDescent="0.2">
      <c r="B1511" s="92"/>
      <c r="C1511" s="93"/>
      <c r="D1511" s="38"/>
      <c r="E1511" s="38"/>
      <c r="F1511" s="38"/>
      <c r="G1511" s="38"/>
      <c r="H1511" s="38"/>
      <c r="I1511" s="38"/>
      <c r="J1511" s="38"/>
      <c r="K1511" s="38"/>
      <c r="L1511" s="38"/>
      <c r="M1511" s="38"/>
      <c r="N1511" s="38"/>
      <c r="O1511" s="38"/>
      <c r="P1511" s="38"/>
      <c r="Q1511" s="38"/>
      <c r="R1511" s="38"/>
      <c r="S1511" s="38"/>
      <c r="T1511" s="38"/>
      <c r="U1511" s="38"/>
      <c r="V1511" s="39"/>
    </row>
    <row r="1512" spans="2:22" s="37" customFormat="1" x14ac:dyDescent="0.2">
      <c r="B1512" s="92"/>
      <c r="C1512" s="93"/>
      <c r="D1512" s="38"/>
      <c r="E1512" s="38"/>
      <c r="F1512" s="38"/>
      <c r="G1512" s="38"/>
      <c r="H1512" s="38"/>
      <c r="I1512" s="38"/>
      <c r="J1512" s="38"/>
      <c r="K1512" s="38"/>
      <c r="L1512" s="38"/>
      <c r="M1512" s="38"/>
      <c r="N1512" s="38"/>
      <c r="O1512" s="38"/>
      <c r="P1512" s="38"/>
      <c r="Q1512" s="38"/>
      <c r="R1512" s="38"/>
      <c r="S1512" s="38"/>
      <c r="T1512" s="38"/>
      <c r="U1512" s="38"/>
      <c r="V1512" s="39"/>
    </row>
    <row r="1513" spans="2:22" s="37" customFormat="1" x14ac:dyDescent="0.2">
      <c r="B1513" s="92"/>
      <c r="C1513" s="93"/>
      <c r="D1513" s="38"/>
      <c r="E1513" s="38"/>
      <c r="F1513" s="38"/>
      <c r="G1513" s="38"/>
      <c r="H1513" s="38"/>
      <c r="I1513" s="38"/>
      <c r="J1513" s="38"/>
      <c r="K1513" s="38"/>
      <c r="L1513" s="38"/>
      <c r="M1513" s="38"/>
      <c r="N1513" s="38"/>
      <c r="O1513" s="38"/>
      <c r="P1513" s="38"/>
      <c r="Q1513" s="38"/>
      <c r="R1513" s="38"/>
      <c r="S1513" s="38"/>
      <c r="T1513" s="38"/>
      <c r="U1513" s="38"/>
      <c r="V1513" s="39"/>
    </row>
    <row r="1514" spans="2:22" s="37" customFormat="1" x14ac:dyDescent="0.2">
      <c r="B1514" s="92"/>
      <c r="C1514" s="93"/>
      <c r="D1514" s="38"/>
      <c r="E1514" s="38"/>
      <c r="F1514" s="38"/>
      <c r="G1514" s="38"/>
      <c r="H1514" s="38"/>
      <c r="I1514" s="38"/>
      <c r="J1514" s="38"/>
      <c r="K1514" s="38"/>
      <c r="L1514" s="38"/>
      <c r="M1514" s="38"/>
      <c r="N1514" s="38"/>
      <c r="O1514" s="38"/>
      <c r="P1514" s="38"/>
      <c r="Q1514" s="38"/>
      <c r="R1514" s="38"/>
      <c r="S1514" s="38"/>
      <c r="T1514" s="38"/>
      <c r="U1514" s="38"/>
      <c r="V1514" s="39"/>
    </row>
    <row r="1515" spans="2:22" s="37" customFormat="1" x14ac:dyDescent="0.2">
      <c r="B1515" s="92"/>
      <c r="C1515" s="93"/>
      <c r="D1515" s="38"/>
      <c r="E1515" s="38"/>
      <c r="F1515" s="38"/>
      <c r="G1515" s="38"/>
      <c r="H1515" s="38"/>
      <c r="I1515" s="38"/>
      <c r="J1515" s="38"/>
      <c r="K1515" s="38"/>
      <c r="L1515" s="38"/>
      <c r="M1515" s="38"/>
      <c r="N1515" s="38"/>
      <c r="O1515" s="38"/>
      <c r="P1515" s="38"/>
      <c r="Q1515" s="38"/>
      <c r="R1515" s="38"/>
      <c r="S1515" s="38"/>
      <c r="T1515" s="38"/>
      <c r="U1515" s="38"/>
      <c r="V1515" s="39"/>
    </row>
    <row r="1516" spans="2:22" s="37" customFormat="1" x14ac:dyDescent="0.2">
      <c r="B1516" s="92"/>
      <c r="C1516" s="93"/>
      <c r="D1516" s="38"/>
      <c r="E1516" s="38"/>
      <c r="F1516" s="38"/>
      <c r="G1516" s="38"/>
      <c r="H1516" s="38"/>
      <c r="I1516" s="38"/>
      <c r="J1516" s="38"/>
      <c r="K1516" s="38"/>
      <c r="L1516" s="38"/>
      <c r="M1516" s="38"/>
      <c r="N1516" s="38"/>
      <c r="O1516" s="38"/>
      <c r="P1516" s="38"/>
      <c r="Q1516" s="38"/>
      <c r="R1516" s="38"/>
      <c r="S1516" s="38"/>
      <c r="T1516" s="38"/>
      <c r="U1516" s="38"/>
      <c r="V1516" s="39"/>
    </row>
    <row r="1517" spans="2:22" s="37" customFormat="1" x14ac:dyDescent="0.2">
      <c r="B1517" s="92"/>
      <c r="C1517" s="93"/>
      <c r="D1517" s="38"/>
      <c r="E1517" s="38"/>
      <c r="F1517" s="38"/>
      <c r="G1517" s="38"/>
      <c r="H1517" s="38"/>
      <c r="I1517" s="38"/>
      <c r="J1517" s="38"/>
      <c r="K1517" s="38"/>
      <c r="L1517" s="38"/>
      <c r="M1517" s="38"/>
      <c r="N1517" s="38"/>
      <c r="O1517" s="38"/>
      <c r="P1517" s="38"/>
      <c r="Q1517" s="38"/>
      <c r="R1517" s="38"/>
      <c r="S1517" s="38"/>
      <c r="T1517" s="38"/>
      <c r="U1517" s="38"/>
      <c r="V1517" s="39"/>
    </row>
    <row r="1518" spans="2:22" s="37" customFormat="1" x14ac:dyDescent="0.2">
      <c r="B1518" s="92"/>
      <c r="C1518" s="93"/>
      <c r="D1518" s="38"/>
      <c r="E1518" s="38"/>
      <c r="F1518" s="38"/>
      <c r="G1518" s="38"/>
      <c r="H1518" s="38"/>
      <c r="I1518" s="38"/>
      <c r="J1518" s="38"/>
      <c r="K1518" s="38"/>
      <c r="L1518" s="38"/>
      <c r="M1518" s="38"/>
      <c r="N1518" s="38"/>
      <c r="O1518" s="38"/>
      <c r="P1518" s="38"/>
      <c r="Q1518" s="38"/>
      <c r="R1518" s="38"/>
      <c r="S1518" s="38"/>
      <c r="T1518" s="38"/>
      <c r="U1518" s="38"/>
      <c r="V1518" s="39"/>
    </row>
    <row r="1519" spans="2:22" s="37" customFormat="1" x14ac:dyDescent="0.2">
      <c r="B1519" s="92"/>
      <c r="C1519" s="93"/>
      <c r="D1519" s="38"/>
      <c r="E1519" s="38"/>
      <c r="F1519" s="38"/>
      <c r="G1519" s="38"/>
      <c r="H1519" s="38"/>
      <c r="I1519" s="38"/>
      <c r="J1519" s="38"/>
      <c r="K1519" s="38"/>
      <c r="L1519" s="38"/>
      <c r="M1519" s="38"/>
      <c r="N1519" s="38"/>
      <c r="O1519" s="38"/>
      <c r="P1519" s="38"/>
      <c r="Q1519" s="38"/>
      <c r="R1519" s="38"/>
      <c r="S1519" s="38"/>
      <c r="T1519" s="38"/>
      <c r="U1519" s="38"/>
      <c r="V1519" s="39"/>
    </row>
    <row r="1520" spans="2:22" s="37" customFormat="1" x14ac:dyDescent="0.2">
      <c r="B1520" s="92"/>
      <c r="C1520" s="93"/>
      <c r="D1520" s="38"/>
      <c r="E1520" s="38"/>
      <c r="F1520" s="38"/>
      <c r="G1520" s="38"/>
      <c r="H1520" s="38"/>
      <c r="I1520" s="38"/>
      <c r="J1520" s="38"/>
      <c r="K1520" s="38"/>
      <c r="L1520" s="38"/>
      <c r="M1520" s="38"/>
      <c r="N1520" s="38"/>
      <c r="O1520" s="38"/>
      <c r="P1520" s="38"/>
      <c r="Q1520" s="38"/>
      <c r="R1520" s="38"/>
      <c r="S1520" s="38"/>
      <c r="T1520" s="38"/>
      <c r="U1520" s="38"/>
      <c r="V1520" s="39"/>
    </row>
    <row r="1521" spans="2:22" s="37" customFormat="1" x14ac:dyDescent="0.2">
      <c r="B1521" s="92"/>
      <c r="C1521" s="93"/>
      <c r="D1521" s="38"/>
      <c r="E1521" s="38"/>
      <c r="F1521" s="38"/>
      <c r="G1521" s="38"/>
      <c r="H1521" s="38"/>
      <c r="I1521" s="38"/>
      <c r="J1521" s="38"/>
      <c r="K1521" s="38"/>
      <c r="L1521" s="38"/>
      <c r="M1521" s="38"/>
      <c r="N1521" s="38"/>
      <c r="O1521" s="38"/>
      <c r="P1521" s="38"/>
      <c r="Q1521" s="38"/>
      <c r="R1521" s="38"/>
      <c r="S1521" s="38"/>
      <c r="T1521" s="38"/>
      <c r="U1521" s="38"/>
      <c r="V1521" s="39"/>
    </row>
    <row r="1522" spans="2:22" s="37" customFormat="1" x14ac:dyDescent="0.2">
      <c r="B1522" s="92"/>
      <c r="C1522" s="93"/>
      <c r="D1522" s="38"/>
      <c r="E1522" s="38"/>
      <c r="F1522" s="38"/>
      <c r="G1522" s="38"/>
      <c r="H1522" s="38"/>
      <c r="I1522" s="38"/>
      <c r="J1522" s="38"/>
      <c r="K1522" s="38"/>
      <c r="L1522" s="38"/>
      <c r="M1522" s="38"/>
      <c r="N1522" s="38"/>
      <c r="O1522" s="38"/>
      <c r="P1522" s="38"/>
      <c r="Q1522" s="38"/>
      <c r="R1522" s="38"/>
      <c r="S1522" s="38"/>
      <c r="T1522" s="38"/>
      <c r="U1522" s="38"/>
      <c r="V1522" s="39"/>
    </row>
    <row r="1523" spans="2:22" s="37" customFormat="1" x14ac:dyDescent="0.2">
      <c r="B1523" s="92"/>
      <c r="C1523" s="93"/>
      <c r="D1523" s="38"/>
      <c r="E1523" s="38"/>
      <c r="F1523" s="38"/>
      <c r="G1523" s="38"/>
      <c r="H1523" s="38"/>
      <c r="I1523" s="38"/>
      <c r="J1523" s="38"/>
      <c r="K1523" s="38"/>
      <c r="L1523" s="38"/>
      <c r="M1523" s="38"/>
      <c r="N1523" s="38"/>
      <c r="O1523" s="38"/>
      <c r="P1523" s="38"/>
      <c r="Q1523" s="38"/>
      <c r="R1523" s="38"/>
      <c r="S1523" s="38"/>
      <c r="T1523" s="38"/>
      <c r="U1523" s="38"/>
      <c r="V1523" s="39"/>
    </row>
    <row r="1524" spans="2:22" s="37" customFormat="1" x14ac:dyDescent="0.2">
      <c r="B1524" s="92"/>
      <c r="C1524" s="93"/>
      <c r="D1524" s="38"/>
      <c r="E1524" s="38"/>
      <c r="F1524" s="38"/>
      <c r="G1524" s="38"/>
      <c r="H1524" s="38"/>
      <c r="I1524" s="38"/>
      <c r="J1524" s="38"/>
      <c r="K1524" s="38"/>
      <c r="L1524" s="38"/>
      <c r="M1524" s="38"/>
      <c r="N1524" s="38"/>
      <c r="O1524" s="38"/>
      <c r="P1524" s="38"/>
      <c r="Q1524" s="38"/>
      <c r="R1524" s="38"/>
      <c r="S1524" s="38"/>
      <c r="T1524" s="38"/>
      <c r="U1524" s="38"/>
      <c r="V1524" s="39"/>
    </row>
    <row r="1525" spans="2:22" s="37" customFormat="1" x14ac:dyDescent="0.2">
      <c r="B1525" s="92"/>
      <c r="C1525" s="93"/>
      <c r="D1525" s="38"/>
      <c r="E1525" s="38"/>
      <c r="F1525" s="38"/>
      <c r="G1525" s="38"/>
      <c r="H1525" s="38"/>
      <c r="I1525" s="38"/>
      <c r="J1525" s="38"/>
      <c r="K1525" s="38"/>
      <c r="L1525" s="38"/>
      <c r="M1525" s="38"/>
      <c r="N1525" s="38"/>
      <c r="O1525" s="38"/>
      <c r="P1525" s="38"/>
      <c r="Q1525" s="38"/>
      <c r="R1525" s="38"/>
      <c r="S1525" s="38"/>
      <c r="T1525" s="38"/>
      <c r="U1525" s="38"/>
      <c r="V1525" s="39"/>
    </row>
    <row r="1526" spans="2:22" s="37" customFormat="1" x14ac:dyDescent="0.2">
      <c r="B1526" s="92"/>
      <c r="C1526" s="93"/>
      <c r="D1526" s="38"/>
      <c r="E1526" s="38"/>
      <c r="F1526" s="38"/>
      <c r="G1526" s="38"/>
      <c r="H1526" s="38"/>
      <c r="I1526" s="38"/>
      <c r="J1526" s="38"/>
      <c r="K1526" s="38"/>
      <c r="L1526" s="38"/>
      <c r="M1526" s="38"/>
      <c r="N1526" s="38"/>
      <c r="O1526" s="38"/>
      <c r="P1526" s="38"/>
      <c r="Q1526" s="38"/>
      <c r="R1526" s="38"/>
      <c r="S1526" s="38"/>
      <c r="T1526" s="38"/>
      <c r="U1526" s="38"/>
      <c r="V1526" s="39"/>
    </row>
    <row r="1527" spans="2:22" s="37" customFormat="1" x14ac:dyDescent="0.2">
      <c r="B1527" s="92"/>
      <c r="C1527" s="93"/>
      <c r="D1527" s="38"/>
      <c r="E1527" s="38"/>
      <c r="F1527" s="38"/>
      <c r="G1527" s="38"/>
      <c r="H1527" s="38"/>
      <c r="I1527" s="38"/>
      <c r="J1527" s="38"/>
      <c r="K1527" s="38"/>
      <c r="L1527" s="38"/>
      <c r="M1527" s="38"/>
      <c r="N1527" s="38"/>
      <c r="O1527" s="38"/>
      <c r="P1527" s="38"/>
      <c r="Q1527" s="38"/>
      <c r="R1527" s="38"/>
      <c r="S1527" s="38"/>
      <c r="T1527" s="38"/>
      <c r="U1527" s="38"/>
      <c r="V1527" s="39"/>
    </row>
    <row r="1528" spans="2:22" s="37" customFormat="1" x14ac:dyDescent="0.2">
      <c r="B1528" s="92"/>
      <c r="C1528" s="93"/>
      <c r="D1528" s="38"/>
      <c r="E1528" s="38"/>
      <c r="F1528" s="38"/>
      <c r="G1528" s="38"/>
      <c r="H1528" s="38"/>
      <c r="I1528" s="38"/>
      <c r="J1528" s="38"/>
      <c r="K1528" s="38"/>
      <c r="L1528" s="38"/>
      <c r="M1528" s="38"/>
      <c r="N1528" s="38"/>
      <c r="O1528" s="38"/>
      <c r="P1528" s="38"/>
      <c r="Q1528" s="38"/>
      <c r="R1528" s="38"/>
      <c r="S1528" s="38"/>
      <c r="T1528" s="38"/>
      <c r="U1528" s="38"/>
      <c r="V1528" s="39"/>
    </row>
    <row r="1529" spans="2:22" s="37" customFormat="1" x14ac:dyDescent="0.2">
      <c r="B1529" s="92"/>
      <c r="C1529" s="93"/>
      <c r="D1529" s="38"/>
      <c r="E1529" s="38"/>
      <c r="F1529" s="38"/>
      <c r="G1529" s="38"/>
      <c r="H1529" s="38"/>
      <c r="I1529" s="38"/>
      <c r="J1529" s="38"/>
      <c r="K1529" s="38"/>
      <c r="L1529" s="38"/>
      <c r="M1529" s="38"/>
      <c r="N1529" s="38"/>
      <c r="O1529" s="38"/>
      <c r="P1529" s="38"/>
      <c r="Q1529" s="38"/>
      <c r="R1529" s="38"/>
      <c r="S1529" s="38"/>
      <c r="T1529" s="38"/>
      <c r="U1529" s="38"/>
      <c r="V1529" s="39"/>
    </row>
    <row r="1530" spans="2:22" s="37" customFormat="1" x14ac:dyDescent="0.2">
      <c r="B1530" s="92"/>
      <c r="C1530" s="93"/>
      <c r="D1530" s="38"/>
      <c r="E1530" s="38"/>
      <c r="F1530" s="38"/>
      <c r="G1530" s="38"/>
      <c r="H1530" s="38"/>
      <c r="I1530" s="38"/>
      <c r="J1530" s="38"/>
      <c r="K1530" s="38"/>
      <c r="L1530" s="38"/>
      <c r="M1530" s="38"/>
      <c r="N1530" s="38"/>
      <c r="O1530" s="38"/>
      <c r="P1530" s="38"/>
      <c r="Q1530" s="38"/>
      <c r="R1530" s="38"/>
      <c r="S1530" s="38"/>
      <c r="T1530" s="38"/>
      <c r="U1530" s="38"/>
      <c r="V1530" s="39"/>
    </row>
    <row r="1531" spans="2:22" s="37" customFormat="1" x14ac:dyDescent="0.2">
      <c r="B1531" s="92"/>
      <c r="C1531" s="93"/>
      <c r="D1531" s="38"/>
      <c r="E1531" s="38"/>
      <c r="F1531" s="38"/>
      <c r="G1531" s="38"/>
      <c r="H1531" s="38"/>
      <c r="I1531" s="38"/>
      <c r="J1531" s="38"/>
      <c r="K1531" s="38"/>
      <c r="L1531" s="38"/>
      <c r="M1531" s="38"/>
      <c r="N1531" s="38"/>
      <c r="O1531" s="38"/>
      <c r="P1531" s="38"/>
      <c r="Q1531" s="38"/>
      <c r="R1531" s="38"/>
      <c r="S1531" s="38"/>
      <c r="T1531" s="38"/>
      <c r="U1531" s="38"/>
      <c r="V1531" s="39"/>
    </row>
    <row r="1532" spans="2:22" s="37" customFormat="1" x14ac:dyDescent="0.2">
      <c r="B1532" s="92"/>
      <c r="C1532" s="93"/>
      <c r="D1532" s="38"/>
      <c r="E1532" s="38"/>
      <c r="F1532" s="38"/>
      <c r="G1532" s="38"/>
      <c r="H1532" s="38"/>
      <c r="I1532" s="38"/>
      <c r="J1532" s="38"/>
      <c r="K1532" s="38"/>
      <c r="L1532" s="38"/>
      <c r="M1532" s="38"/>
      <c r="N1532" s="38"/>
      <c r="O1532" s="38"/>
      <c r="P1532" s="38"/>
      <c r="Q1532" s="38"/>
      <c r="R1532" s="38"/>
      <c r="S1532" s="38"/>
      <c r="T1532" s="38"/>
      <c r="U1532" s="38"/>
      <c r="V1532" s="39"/>
    </row>
    <row r="1533" spans="2:22" s="37" customFormat="1" x14ac:dyDescent="0.2">
      <c r="B1533" s="92"/>
      <c r="C1533" s="93"/>
      <c r="D1533" s="38"/>
      <c r="E1533" s="38"/>
      <c r="F1533" s="38"/>
      <c r="G1533" s="38"/>
      <c r="H1533" s="38"/>
      <c r="I1533" s="38"/>
      <c r="J1533" s="38"/>
      <c r="K1533" s="38"/>
      <c r="L1533" s="38"/>
      <c r="M1533" s="38"/>
      <c r="N1533" s="38"/>
      <c r="O1533" s="38"/>
      <c r="P1533" s="38"/>
      <c r="Q1533" s="38"/>
      <c r="R1533" s="38"/>
      <c r="S1533" s="38"/>
      <c r="T1533" s="38"/>
      <c r="U1533" s="38"/>
      <c r="V1533" s="39"/>
    </row>
    <row r="1534" spans="2:22" s="37" customFormat="1" x14ac:dyDescent="0.2">
      <c r="B1534" s="92"/>
      <c r="C1534" s="93"/>
      <c r="D1534" s="38"/>
      <c r="E1534" s="38"/>
      <c r="F1534" s="38"/>
      <c r="G1534" s="38"/>
      <c r="H1534" s="38"/>
      <c r="I1534" s="38"/>
      <c r="J1534" s="38"/>
      <c r="K1534" s="38"/>
      <c r="L1534" s="38"/>
      <c r="M1534" s="38"/>
      <c r="N1534" s="38"/>
      <c r="O1534" s="38"/>
      <c r="P1534" s="38"/>
      <c r="Q1534" s="38"/>
      <c r="R1534" s="38"/>
      <c r="S1534" s="38"/>
      <c r="T1534" s="38"/>
      <c r="U1534" s="38"/>
      <c r="V1534" s="39"/>
    </row>
    <row r="1535" spans="2:22" s="37" customFormat="1" x14ac:dyDescent="0.2">
      <c r="B1535" s="92"/>
      <c r="C1535" s="93"/>
      <c r="D1535" s="38"/>
      <c r="E1535" s="38"/>
      <c r="F1535" s="38"/>
      <c r="G1535" s="38"/>
      <c r="H1535" s="38"/>
      <c r="I1535" s="38"/>
      <c r="J1535" s="38"/>
      <c r="K1535" s="38"/>
      <c r="L1535" s="38"/>
      <c r="M1535" s="38"/>
      <c r="N1535" s="38"/>
      <c r="O1535" s="38"/>
      <c r="P1535" s="38"/>
      <c r="Q1535" s="38"/>
      <c r="R1535" s="38"/>
      <c r="S1535" s="38"/>
      <c r="T1535" s="38"/>
      <c r="U1535" s="38"/>
      <c r="V1535" s="39"/>
    </row>
    <row r="1536" spans="2:22" s="37" customFormat="1" x14ac:dyDescent="0.2">
      <c r="B1536" s="92"/>
      <c r="C1536" s="93"/>
      <c r="D1536" s="38"/>
      <c r="E1536" s="38"/>
      <c r="F1536" s="38"/>
      <c r="G1536" s="38"/>
      <c r="H1536" s="38"/>
      <c r="I1536" s="38"/>
      <c r="J1536" s="38"/>
      <c r="K1536" s="38"/>
      <c r="L1536" s="38"/>
      <c r="M1536" s="38"/>
      <c r="N1536" s="38"/>
      <c r="O1536" s="38"/>
      <c r="P1536" s="38"/>
      <c r="Q1536" s="38"/>
      <c r="R1536" s="38"/>
      <c r="S1536" s="38"/>
      <c r="T1536" s="38"/>
      <c r="U1536" s="38"/>
      <c r="V1536" s="39"/>
    </row>
    <row r="1537" spans="2:22" s="37" customFormat="1" x14ac:dyDescent="0.2">
      <c r="B1537" s="92"/>
      <c r="C1537" s="93"/>
      <c r="D1537" s="38"/>
      <c r="E1537" s="38"/>
      <c r="F1537" s="38"/>
      <c r="G1537" s="38"/>
      <c r="H1537" s="38"/>
      <c r="I1537" s="38"/>
      <c r="J1537" s="38"/>
      <c r="K1537" s="38"/>
      <c r="L1537" s="38"/>
      <c r="M1537" s="38"/>
      <c r="N1537" s="38"/>
      <c r="O1537" s="38"/>
      <c r="P1537" s="38"/>
      <c r="Q1537" s="38"/>
      <c r="R1537" s="38"/>
      <c r="S1537" s="38"/>
      <c r="T1537" s="38"/>
      <c r="U1537" s="38"/>
      <c r="V1537" s="39"/>
    </row>
    <row r="1538" spans="2:22" s="37" customFormat="1" x14ac:dyDescent="0.2">
      <c r="B1538" s="92"/>
      <c r="C1538" s="93"/>
      <c r="D1538" s="38"/>
      <c r="E1538" s="38"/>
      <c r="F1538" s="38"/>
      <c r="G1538" s="38"/>
      <c r="H1538" s="38"/>
      <c r="I1538" s="38"/>
      <c r="J1538" s="38"/>
      <c r="K1538" s="38"/>
      <c r="L1538" s="38"/>
      <c r="M1538" s="38"/>
      <c r="N1538" s="38"/>
      <c r="O1538" s="38"/>
      <c r="P1538" s="38"/>
      <c r="Q1538" s="38"/>
      <c r="R1538" s="38"/>
      <c r="S1538" s="38"/>
      <c r="T1538" s="38"/>
      <c r="U1538" s="38"/>
      <c r="V1538" s="39"/>
    </row>
    <row r="1539" spans="2:22" s="37" customFormat="1" x14ac:dyDescent="0.2">
      <c r="B1539" s="92"/>
      <c r="C1539" s="93"/>
      <c r="D1539" s="38"/>
      <c r="E1539" s="38"/>
      <c r="F1539" s="38"/>
      <c r="G1539" s="38"/>
      <c r="H1539" s="38"/>
      <c r="I1539" s="38"/>
      <c r="J1539" s="38"/>
      <c r="K1539" s="38"/>
      <c r="L1539" s="38"/>
      <c r="M1539" s="38"/>
      <c r="N1539" s="38"/>
      <c r="O1539" s="38"/>
      <c r="P1539" s="38"/>
      <c r="Q1539" s="38"/>
      <c r="R1539" s="38"/>
      <c r="S1539" s="38"/>
      <c r="T1539" s="38"/>
      <c r="U1539" s="38"/>
      <c r="V1539" s="39"/>
    </row>
    <row r="1540" spans="2:22" s="37" customFormat="1" x14ac:dyDescent="0.2">
      <c r="B1540" s="92"/>
      <c r="C1540" s="93"/>
      <c r="D1540" s="38"/>
      <c r="E1540" s="38"/>
      <c r="F1540" s="38"/>
      <c r="G1540" s="38"/>
      <c r="H1540" s="38"/>
      <c r="I1540" s="38"/>
      <c r="J1540" s="38"/>
      <c r="K1540" s="38"/>
      <c r="L1540" s="38"/>
      <c r="M1540" s="38"/>
      <c r="N1540" s="38"/>
      <c r="O1540" s="38"/>
      <c r="P1540" s="38"/>
      <c r="Q1540" s="38"/>
      <c r="R1540" s="38"/>
      <c r="S1540" s="38"/>
      <c r="T1540" s="38"/>
      <c r="U1540" s="38"/>
      <c r="V1540" s="39"/>
    </row>
    <row r="1541" spans="2:22" s="37" customFormat="1" x14ac:dyDescent="0.2">
      <c r="B1541" s="92"/>
      <c r="C1541" s="93"/>
      <c r="D1541" s="38"/>
      <c r="E1541" s="38"/>
      <c r="F1541" s="38"/>
      <c r="G1541" s="38"/>
      <c r="H1541" s="38"/>
      <c r="I1541" s="38"/>
      <c r="J1541" s="38"/>
      <c r="K1541" s="38"/>
      <c r="L1541" s="38"/>
      <c r="M1541" s="38"/>
      <c r="N1541" s="38"/>
      <c r="O1541" s="38"/>
      <c r="P1541" s="38"/>
      <c r="Q1541" s="38"/>
      <c r="R1541" s="38"/>
      <c r="S1541" s="38"/>
      <c r="T1541" s="38"/>
      <c r="U1541" s="38"/>
      <c r="V1541" s="39"/>
    </row>
    <row r="1542" spans="2:22" s="37" customFormat="1" x14ac:dyDescent="0.2">
      <c r="B1542" s="92"/>
      <c r="C1542" s="93"/>
      <c r="D1542" s="38"/>
      <c r="E1542" s="38"/>
      <c r="F1542" s="38"/>
      <c r="G1542" s="38"/>
      <c r="H1542" s="38"/>
      <c r="I1542" s="38"/>
      <c r="J1542" s="38"/>
      <c r="K1542" s="38"/>
      <c r="L1542" s="38"/>
      <c r="M1542" s="38"/>
      <c r="N1542" s="38"/>
      <c r="O1542" s="38"/>
      <c r="P1542" s="38"/>
      <c r="Q1542" s="38"/>
      <c r="R1542" s="38"/>
      <c r="S1542" s="38"/>
      <c r="T1542" s="38"/>
      <c r="U1542" s="38"/>
      <c r="V1542" s="39"/>
    </row>
    <row r="1543" spans="2:22" s="37" customFormat="1" x14ac:dyDescent="0.2">
      <c r="B1543" s="92"/>
      <c r="C1543" s="93"/>
      <c r="D1543" s="38"/>
      <c r="E1543" s="38"/>
      <c r="F1543" s="38"/>
      <c r="G1543" s="38"/>
      <c r="H1543" s="38"/>
      <c r="I1543" s="38"/>
      <c r="J1543" s="38"/>
      <c r="K1543" s="38"/>
      <c r="L1543" s="38"/>
      <c r="M1543" s="38"/>
      <c r="N1543" s="38"/>
      <c r="O1543" s="38"/>
      <c r="P1543" s="38"/>
      <c r="Q1543" s="38"/>
      <c r="R1543" s="38"/>
      <c r="S1543" s="38"/>
      <c r="T1543" s="38"/>
      <c r="U1543" s="38"/>
      <c r="V1543" s="39"/>
    </row>
    <row r="1544" spans="2:22" s="37" customFormat="1" x14ac:dyDescent="0.2">
      <c r="B1544" s="92"/>
      <c r="C1544" s="93"/>
      <c r="D1544" s="38"/>
      <c r="E1544" s="38"/>
      <c r="F1544" s="38"/>
      <c r="G1544" s="38"/>
      <c r="H1544" s="38"/>
      <c r="I1544" s="38"/>
      <c r="J1544" s="38"/>
      <c r="K1544" s="38"/>
      <c r="L1544" s="38"/>
      <c r="M1544" s="38"/>
      <c r="N1544" s="38"/>
      <c r="O1544" s="38"/>
      <c r="P1544" s="38"/>
      <c r="Q1544" s="38"/>
      <c r="R1544" s="38"/>
      <c r="S1544" s="38"/>
      <c r="T1544" s="38"/>
      <c r="U1544" s="38"/>
      <c r="V1544" s="39"/>
    </row>
    <row r="1545" spans="2:22" s="37" customFormat="1" x14ac:dyDescent="0.2">
      <c r="B1545" s="92"/>
      <c r="C1545" s="93"/>
      <c r="D1545" s="38"/>
      <c r="E1545" s="38"/>
      <c r="F1545" s="38"/>
      <c r="G1545" s="38"/>
      <c r="H1545" s="38"/>
      <c r="I1545" s="38"/>
      <c r="J1545" s="38"/>
      <c r="K1545" s="38"/>
      <c r="L1545" s="38"/>
      <c r="M1545" s="38"/>
      <c r="N1545" s="38"/>
      <c r="O1545" s="38"/>
      <c r="P1545" s="38"/>
      <c r="Q1545" s="38"/>
      <c r="R1545" s="38"/>
      <c r="S1545" s="38"/>
      <c r="T1545" s="38"/>
      <c r="U1545" s="38"/>
      <c r="V1545" s="39"/>
    </row>
    <row r="1546" spans="2:22" s="37" customFormat="1" x14ac:dyDescent="0.2">
      <c r="B1546" s="92"/>
      <c r="C1546" s="93"/>
      <c r="D1546" s="38"/>
      <c r="E1546" s="38"/>
      <c r="F1546" s="38"/>
      <c r="G1546" s="38"/>
      <c r="H1546" s="38"/>
      <c r="I1546" s="38"/>
      <c r="J1546" s="38"/>
      <c r="K1546" s="38"/>
      <c r="L1546" s="38"/>
      <c r="M1546" s="38"/>
      <c r="N1546" s="38"/>
      <c r="O1546" s="38"/>
      <c r="P1546" s="38"/>
      <c r="Q1546" s="38"/>
      <c r="R1546" s="38"/>
      <c r="S1546" s="38"/>
      <c r="T1546" s="38"/>
      <c r="U1546" s="38"/>
      <c r="V1546" s="39"/>
    </row>
    <row r="1547" spans="2:22" s="37" customFormat="1" x14ac:dyDescent="0.2">
      <c r="B1547" s="92"/>
      <c r="C1547" s="93"/>
      <c r="D1547" s="38"/>
      <c r="E1547" s="38"/>
      <c r="F1547" s="38"/>
      <c r="G1547" s="38"/>
      <c r="H1547" s="38"/>
      <c r="I1547" s="38"/>
      <c r="J1547" s="38"/>
      <c r="K1547" s="38"/>
      <c r="L1547" s="38"/>
      <c r="M1547" s="38"/>
      <c r="N1547" s="38"/>
      <c r="O1547" s="38"/>
      <c r="P1547" s="38"/>
      <c r="Q1547" s="38"/>
      <c r="R1547" s="38"/>
      <c r="S1547" s="38"/>
      <c r="T1547" s="38"/>
      <c r="U1547" s="38"/>
      <c r="V1547" s="39"/>
    </row>
    <row r="1548" spans="2:22" s="37" customFormat="1" x14ac:dyDescent="0.2">
      <c r="B1548" s="92"/>
      <c r="C1548" s="93"/>
      <c r="D1548" s="38"/>
      <c r="E1548" s="38"/>
      <c r="F1548" s="38"/>
      <c r="G1548" s="38"/>
      <c r="H1548" s="38"/>
      <c r="I1548" s="38"/>
      <c r="J1548" s="38"/>
      <c r="K1548" s="38"/>
      <c r="L1548" s="38"/>
      <c r="M1548" s="38"/>
      <c r="N1548" s="38"/>
      <c r="O1548" s="38"/>
      <c r="P1548" s="38"/>
      <c r="Q1548" s="38"/>
      <c r="R1548" s="38"/>
      <c r="S1548" s="38"/>
      <c r="T1548" s="38"/>
      <c r="U1548" s="38"/>
      <c r="V1548" s="39"/>
    </row>
    <row r="1549" spans="2:22" s="37" customFormat="1" x14ac:dyDescent="0.2">
      <c r="B1549" s="92"/>
      <c r="C1549" s="93"/>
      <c r="D1549" s="38"/>
      <c r="E1549" s="38"/>
      <c r="F1549" s="38"/>
      <c r="G1549" s="38"/>
      <c r="H1549" s="38"/>
      <c r="I1549" s="38"/>
      <c r="J1549" s="38"/>
      <c r="K1549" s="38"/>
      <c r="L1549" s="38"/>
      <c r="M1549" s="38"/>
      <c r="N1549" s="38"/>
      <c r="O1549" s="38"/>
      <c r="P1549" s="38"/>
      <c r="Q1549" s="38"/>
      <c r="R1549" s="38"/>
      <c r="S1549" s="38"/>
      <c r="T1549" s="38"/>
      <c r="U1549" s="38"/>
      <c r="V1549" s="39"/>
    </row>
    <row r="1550" spans="2:22" s="37" customFormat="1" x14ac:dyDescent="0.2">
      <c r="B1550" s="92"/>
      <c r="C1550" s="93"/>
      <c r="D1550" s="38"/>
      <c r="E1550" s="38"/>
      <c r="F1550" s="38"/>
      <c r="G1550" s="38"/>
      <c r="H1550" s="38"/>
      <c r="I1550" s="38"/>
      <c r="J1550" s="38"/>
      <c r="K1550" s="38"/>
      <c r="L1550" s="38"/>
      <c r="M1550" s="38"/>
      <c r="N1550" s="38"/>
      <c r="O1550" s="38"/>
      <c r="P1550" s="38"/>
      <c r="Q1550" s="38"/>
      <c r="R1550" s="38"/>
      <c r="S1550" s="38"/>
      <c r="T1550" s="38"/>
      <c r="U1550" s="38"/>
      <c r="V1550" s="39"/>
    </row>
    <row r="1551" spans="2:22" s="37" customFormat="1" x14ac:dyDescent="0.2">
      <c r="B1551" s="92"/>
      <c r="C1551" s="93"/>
      <c r="D1551" s="38"/>
      <c r="E1551" s="38"/>
      <c r="F1551" s="38"/>
      <c r="G1551" s="38"/>
      <c r="H1551" s="38"/>
      <c r="I1551" s="38"/>
      <c r="J1551" s="38"/>
      <c r="K1551" s="38"/>
      <c r="L1551" s="38"/>
      <c r="M1551" s="38"/>
      <c r="N1551" s="38"/>
      <c r="O1551" s="38"/>
      <c r="P1551" s="38"/>
      <c r="Q1551" s="38"/>
      <c r="R1551" s="38"/>
      <c r="S1551" s="38"/>
      <c r="T1551" s="38"/>
      <c r="U1551" s="38"/>
      <c r="V1551" s="39"/>
    </row>
    <row r="1552" spans="2:22" s="37" customFormat="1" x14ac:dyDescent="0.2">
      <c r="B1552" s="92"/>
      <c r="C1552" s="93"/>
      <c r="D1552" s="38"/>
      <c r="E1552" s="38"/>
      <c r="F1552" s="38"/>
      <c r="G1552" s="38"/>
      <c r="H1552" s="38"/>
      <c r="I1552" s="38"/>
      <c r="J1552" s="38"/>
      <c r="K1552" s="38"/>
      <c r="L1552" s="38"/>
      <c r="M1552" s="38"/>
      <c r="N1552" s="38"/>
      <c r="O1552" s="38"/>
      <c r="P1552" s="38"/>
      <c r="Q1552" s="38"/>
      <c r="R1552" s="38"/>
      <c r="S1552" s="38"/>
      <c r="T1552" s="38"/>
      <c r="U1552" s="38"/>
      <c r="V1552" s="39"/>
    </row>
    <row r="1553" spans="2:22" s="37" customFormat="1" x14ac:dyDescent="0.2">
      <c r="B1553" s="92"/>
      <c r="C1553" s="93"/>
      <c r="D1553" s="38"/>
      <c r="E1553" s="38"/>
      <c r="F1553" s="38"/>
      <c r="G1553" s="38"/>
      <c r="H1553" s="38"/>
      <c r="I1553" s="38"/>
      <c r="J1553" s="38"/>
      <c r="K1553" s="38"/>
      <c r="L1553" s="38"/>
      <c r="M1553" s="38"/>
      <c r="N1553" s="38"/>
      <c r="O1553" s="38"/>
      <c r="P1553" s="38"/>
      <c r="Q1553" s="38"/>
      <c r="R1553" s="38"/>
      <c r="S1553" s="38"/>
      <c r="T1553" s="38"/>
      <c r="U1553" s="38"/>
      <c r="V1553" s="39"/>
    </row>
    <row r="1554" spans="2:22" s="37" customFormat="1" x14ac:dyDescent="0.2">
      <c r="B1554" s="92"/>
      <c r="C1554" s="93"/>
      <c r="D1554" s="38"/>
      <c r="E1554" s="38"/>
      <c r="F1554" s="38"/>
      <c r="G1554" s="38"/>
      <c r="H1554" s="38"/>
      <c r="I1554" s="38"/>
      <c r="J1554" s="38"/>
      <c r="K1554" s="38"/>
      <c r="L1554" s="38"/>
      <c r="M1554" s="38"/>
      <c r="N1554" s="38"/>
      <c r="O1554" s="38"/>
      <c r="P1554" s="38"/>
      <c r="Q1554" s="38"/>
      <c r="R1554" s="38"/>
      <c r="S1554" s="38"/>
      <c r="T1554" s="38"/>
      <c r="U1554" s="38"/>
      <c r="V1554" s="39"/>
    </row>
    <row r="1555" spans="2:22" s="37" customFormat="1" x14ac:dyDescent="0.2">
      <c r="B1555" s="92"/>
      <c r="C1555" s="93"/>
      <c r="D1555" s="38"/>
      <c r="E1555" s="38"/>
      <c r="F1555" s="38"/>
      <c r="G1555" s="38"/>
      <c r="H1555" s="38"/>
      <c r="I1555" s="38"/>
      <c r="J1555" s="38"/>
      <c r="K1555" s="38"/>
      <c r="L1555" s="38"/>
      <c r="M1555" s="38"/>
      <c r="N1555" s="38"/>
      <c r="O1555" s="38"/>
      <c r="P1555" s="38"/>
      <c r="Q1555" s="38"/>
      <c r="R1555" s="38"/>
      <c r="S1555" s="38"/>
      <c r="T1555" s="38"/>
      <c r="U1555" s="38"/>
      <c r="V1555" s="39"/>
    </row>
    <row r="1556" spans="2:22" s="37" customFormat="1" x14ac:dyDescent="0.2">
      <c r="B1556" s="92"/>
      <c r="C1556" s="93"/>
      <c r="D1556" s="38"/>
      <c r="E1556" s="38"/>
      <c r="F1556" s="38"/>
      <c r="G1556" s="38"/>
      <c r="H1556" s="38"/>
      <c r="I1556" s="38"/>
      <c r="J1556" s="38"/>
      <c r="K1556" s="38"/>
      <c r="L1556" s="38"/>
      <c r="M1556" s="38"/>
      <c r="N1556" s="38"/>
      <c r="O1556" s="38"/>
      <c r="P1556" s="38"/>
      <c r="Q1556" s="38"/>
      <c r="R1556" s="38"/>
      <c r="S1556" s="38"/>
      <c r="T1556" s="38"/>
      <c r="U1556" s="38"/>
      <c r="V1556" s="39"/>
    </row>
    <row r="1557" spans="2:22" s="37" customFormat="1" x14ac:dyDescent="0.2">
      <c r="B1557" s="92"/>
      <c r="C1557" s="93"/>
      <c r="D1557" s="38"/>
      <c r="E1557" s="38"/>
      <c r="F1557" s="38"/>
      <c r="G1557" s="38"/>
      <c r="H1557" s="38"/>
      <c r="I1557" s="38"/>
      <c r="J1557" s="38"/>
      <c r="K1557" s="38"/>
      <c r="L1557" s="38"/>
      <c r="M1557" s="38"/>
      <c r="N1557" s="38"/>
      <c r="O1557" s="38"/>
      <c r="P1557" s="38"/>
      <c r="Q1557" s="38"/>
      <c r="R1557" s="38"/>
      <c r="S1557" s="38"/>
      <c r="T1557" s="38"/>
      <c r="U1557" s="38"/>
      <c r="V1557" s="39"/>
    </row>
    <row r="1558" spans="2:22" s="37" customFormat="1" x14ac:dyDescent="0.2">
      <c r="B1558" s="92"/>
      <c r="C1558" s="93"/>
      <c r="D1558" s="38"/>
      <c r="E1558" s="38"/>
      <c r="F1558" s="38"/>
      <c r="G1558" s="38"/>
      <c r="H1558" s="38"/>
      <c r="I1558" s="38"/>
      <c r="J1558" s="38"/>
      <c r="K1558" s="38"/>
      <c r="L1558" s="38"/>
      <c r="M1558" s="38"/>
      <c r="N1558" s="38"/>
      <c r="O1558" s="38"/>
      <c r="P1558" s="38"/>
      <c r="Q1558" s="38"/>
      <c r="R1558" s="38"/>
      <c r="S1558" s="38"/>
      <c r="T1558" s="38"/>
      <c r="U1558" s="38"/>
      <c r="V1558" s="39"/>
    </row>
    <row r="1559" spans="2:22" s="37" customFormat="1" x14ac:dyDescent="0.2">
      <c r="B1559" s="92"/>
      <c r="C1559" s="93"/>
      <c r="D1559" s="38"/>
      <c r="E1559" s="38"/>
      <c r="F1559" s="38"/>
      <c r="G1559" s="38"/>
      <c r="H1559" s="38"/>
      <c r="I1559" s="38"/>
      <c r="J1559" s="38"/>
      <c r="K1559" s="38"/>
      <c r="L1559" s="38"/>
      <c r="M1559" s="38"/>
      <c r="N1559" s="38"/>
      <c r="O1559" s="38"/>
      <c r="P1559" s="38"/>
      <c r="Q1559" s="38"/>
      <c r="R1559" s="38"/>
      <c r="S1559" s="38"/>
      <c r="T1559" s="38"/>
      <c r="U1559" s="38"/>
      <c r="V1559" s="39"/>
    </row>
    <row r="1560" spans="2:22" s="37" customFormat="1" x14ac:dyDescent="0.2">
      <c r="B1560" s="92"/>
      <c r="C1560" s="93"/>
      <c r="D1560" s="38"/>
      <c r="E1560" s="38"/>
      <c r="F1560" s="38"/>
      <c r="G1560" s="38"/>
      <c r="H1560" s="38"/>
      <c r="I1560" s="38"/>
      <c r="J1560" s="38"/>
      <c r="K1560" s="38"/>
      <c r="L1560" s="38"/>
      <c r="M1560" s="38"/>
      <c r="N1560" s="38"/>
      <c r="O1560" s="38"/>
      <c r="P1560" s="38"/>
      <c r="Q1560" s="38"/>
      <c r="R1560" s="38"/>
      <c r="S1560" s="38"/>
      <c r="T1560" s="38"/>
      <c r="U1560" s="38"/>
      <c r="V1560" s="39"/>
    </row>
    <row r="1561" spans="2:22" s="37" customFormat="1" x14ac:dyDescent="0.2">
      <c r="B1561" s="92"/>
      <c r="C1561" s="93"/>
      <c r="D1561" s="38"/>
      <c r="E1561" s="38"/>
      <c r="F1561" s="38"/>
      <c r="G1561" s="38"/>
      <c r="H1561" s="38"/>
      <c r="I1561" s="38"/>
      <c r="J1561" s="38"/>
      <c r="K1561" s="38"/>
      <c r="L1561" s="38"/>
      <c r="M1561" s="38"/>
      <c r="N1561" s="38"/>
      <c r="O1561" s="38"/>
      <c r="P1561" s="38"/>
      <c r="Q1561" s="38"/>
      <c r="R1561" s="38"/>
      <c r="S1561" s="38"/>
      <c r="T1561" s="38"/>
      <c r="U1561" s="38"/>
      <c r="V1561" s="39"/>
    </row>
    <row r="1562" spans="2:22" s="37" customFormat="1" x14ac:dyDescent="0.2">
      <c r="B1562" s="92"/>
      <c r="C1562" s="93"/>
      <c r="D1562" s="38"/>
      <c r="E1562" s="38"/>
      <c r="F1562" s="38"/>
      <c r="G1562" s="38"/>
      <c r="H1562" s="38"/>
      <c r="I1562" s="38"/>
      <c r="J1562" s="38"/>
      <c r="K1562" s="38"/>
      <c r="L1562" s="38"/>
      <c r="M1562" s="38"/>
      <c r="N1562" s="38"/>
      <c r="O1562" s="38"/>
      <c r="P1562" s="38"/>
      <c r="Q1562" s="38"/>
      <c r="R1562" s="38"/>
      <c r="S1562" s="38"/>
      <c r="T1562" s="38"/>
      <c r="U1562" s="38"/>
      <c r="V1562" s="39"/>
    </row>
    <row r="1563" spans="2:22" s="37" customFormat="1" x14ac:dyDescent="0.2">
      <c r="B1563" s="92"/>
      <c r="C1563" s="93"/>
      <c r="D1563" s="38"/>
      <c r="E1563" s="38"/>
      <c r="F1563" s="38"/>
      <c r="G1563" s="38"/>
      <c r="H1563" s="38"/>
      <c r="I1563" s="38"/>
      <c r="J1563" s="38"/>
      <c r="K1563" s="38"/>
      <c r="L1563" s="38"/>
      <c r="M1563" s="38"/>
      <c r="N1563" s="38"/>
      <c r="O1563" s="38"/>
      <c r="P1563" s="38"/>
      <c r="Q1563" s="38"/>
      <c r="R1563" s="38"/>
      <c r="S1563" s="38"/>
      <c r="T1563" s="38"/>
      <c r="U1563" s="38"/>
      <c r="V1563" s="39"/>
    </row>
    <row r="1564" spans="2:22" s="37" customFormat="1" x14ac:dyDescent="0.2">
      <c r="B1564" s="92"/>
      <c r="C1564" s="93"/>
      <c r="D1564" s="38"/>
      <c r="E1564" s="38"/>
      <c r="F1564" s="38"/>
      <c r="G1564" s="38"/>
      <c r="H1564" s="38"/>
      <c r="I1564" s="38"/>
      <c r="J1564" s="38"/>
      <c r="K1564" s="38"/>
      <c r="L1564" s="38"/>
      <c r="M1564" s="38"/>
      <c r="N1564" s="38"/>
      <c r="O1564" s="38"/>
      <c r="P1564" s="38"/>
      <c r="Q1564" s="38"/>
      <c r="R1564" s="38"/>
      <c r="S1564" s="38"/>
      <c r="T1564" s="38"/>
      <c r="U1564" s="38"/>
      <c r="V1564" s="39"/>
    </row>
    <row r="1565" spans="2:22" s="37" customFormat="1" x14ac:dyDescent="0.2">
      <c r="B1565" s="92"/>
      <c r="C1565" s="93"/>
      <c r="D1565" s="38"/>
      <c r="E1565" s="38"/>
      <c r="F1565" s="38"/>
      <c r="G1565" s="38"/>
      <c r="H1565" s="38"/>
      <c r="I1565" s="38"/>
      <c r="J1565" s="38"/>
      <c r="K1565" s="38"/>
      <c r="L1565" s="38"/>
      <c r="M1565" s="38"/>
      <c r="N1565" s="38"/>
      <c r="O1565" s="38"/>
      <c r="P1565" s="38"/>
      <c r="Q1565" s="38"/>
      <c r="R1565" s="38"/>
      <c r="S1565" s="38"/>
      <c r="T1565" s="38"/>
      <c r="U1565" s="38"/>
      <c r="V1565" s="39"/>
    </row>
    <row r="1566" spans="2:22" s="37" customFormat="1" x14ac:dyDescent="0.2">
      <c r="B1566" s="92"/>
      <c r="C1566" s="93"/>
      <c r="D1566" s="38"/>
      <c r="E1566" s="38"/>
      <c r="F1566" s="38"/>
      <c r="G1566" s="38"/>
      <c r="H1566" s="38"/>
      <c r="I1566" s="38"/>
      <c r="J1566" s="38"/>
      <c r="K1566" s="38"/>
      <c r="L1566" s="38"/>
      <c r="M1566" s="38"/>
      <c r="N1566" s="38"/>
      <c r="O1566" s="38"/>
      <c r="P1566" s="38"/>
      <c r="Q1566" s="38"/>
      <c r="R1566" s="38"/>
      <c r="S1566" s="38"/>
      <c r="T1566" s="38"/>
      <c r="U1566" s="38"/>
      <c r="V1566" s="39"/>
    </row>
    <row r="1567" spans="2:22" s="37" customFormat="1" x14ac:dyDescent="0.2">
      <c r="B1567" s="92"/>
      <c r="C1567" s="93"/>
      <c r="D1567" s="38"/>
      <c r="E1567" s="38"/>
      <c r="F1567" s="38"/>
      <c r="G1567" s="38"/>
      <c r="H1567" s="38"/>
      <c r="I1567" s="38"/>
      <c r="J1567" s="38"/>
      <c r="K1567" s="38"/>
      <c r="L1567" s="38"/>
      <c r="M1567" s="38"/>
      <c r="N1567" s="38"/>
      <c r="O1567" s="38"/>
      <c r="P1567" s="38"/>
      <c r="Q1567" s="38"/>
      <c r="R1567" s="38"/>
      <c r="S1567" s="38"/>
      <c r="T1567" s="38"/>
      <c r="U1567" s="38"/>
      <c r="V1567" s="39"/>
    </row>
    <row r="1568" spans="2:22" s="37" customFormat="1" x14ac:dyDescent="0.2">
      <c r="B1568" s="92"/>
      <c r="C1568" s="93"/>
      <c r="D1568" s="38"/>
      <c r="E1568" s="38"/>
      <c r="F1568" s="38"/>
      <c r="G1568" s="38"/>
      <c r="H1568" s="38"/>
      <c r="I1568" s="38"/>
      <c r="J1568" s="38"/>
      <c r="K1568" s="38"/>
      <c r="L1568" s="38"/>
      <c r="M1568" s="38"/>
      <c r="N1568" s="38"/>
      <c r="O1568" s="38"/>
      <c r="P1568" s="38"/>
      <c r="Q1568" s="38"/>
      <c r="R1568" s="38"/>
      <c r="S1568" s="38"/>
      <c r="T1568" s="38"/>
      <c r="U1568" s="38"/>
      <c r="V1568" s="39"/>
    </row>
    <row r="1569" spans="2:22" s="37" customFormat="1" x14ac:dyDescent="0.2">
      <c r="B1569" s="92"/>
      <c r="C1569" s="93"/>
      <c r="D1569" s="38"/>
      <c r="E1569" s="38"/>
      <c r="F1569" s="38"/>
      <c r="G1569" s="38"/>
      <c r="H1569" s="38"/>
      <c r="I1569" s="38"/>
      <c r="J1569" s="38"/>
      <c r="K1569" s="38"/>
      <c r="L1569" s="38"/>
      <c r="M1569" s="38"/>
      <c r="N1569" s="38"/>
      <c r="O1569" s="38"/>
      <c r="P1569" s="38"/>
      <c r="Q1569" s="38"/>
      <c r="R1569" s="38"/>
      <c r="S1569" s="38"/>
      <c r="T1569" s="38"/>
      <c r="U1569" s="38"/>
      <c r="V1569" s="39"/>
    </row>
    <row r="1570" spans="2:22" s="37" customFormat="1" x14ac:dyDescent="0.2">
      <c r="B1570" s="92"/>
      <c r="C1570" s="93"/>
      <c r="D1570" s="38"/>
      <c r="E1570" s="38"/>
      <c r="F1570" s="38"/>
      <c r="G1570" s="38"/>
      <c r="H1570" s="38"/>
      <c r="I1570" s="38"/>
      <c r="J1570" s="38"/>
      <c r="K1570" s="38"/>
      <c r="L1570" s="38"/>
      <c r="M1570" s="38"/>
      <c r="N1570" s="38"/>
      <c r="O1570" s="38"/>
      <c r="P1570" s="38"/>
      <c r="Q1570" s="38"/>
      <c r="R1570" s="38"/>
      <c r="S1570" s="38"/>
      <c r="T1570" s="38"/>
      <c r="U1570" s="38"/>
      <c r="V1570" s="39"/>
    </row>
    <row r="1571" spans="2:22" s="37" customFormat="1" x14ac:dyDescent="0.2">
      <c r="B1571" s="92"/>
      <c r="C1571" s="93"/>
      <c r="D1571" s="38"/>
      <c r="E1571" s="38"/>
      <c r="F1571" s="38"/>
      <c r="G1571" s="38"/>
      <c r="H1571" s="38"/>
      <c r="I1571" s="38"/>
      <c r="J1571" s="38"/>
      <c r="K1571" s="38"/>
      <c r="L1571" s="38"/>
      <c r="M1571" s="38"/>
      <c r="N1571" s="38"/>
      <c r="O1571" s="38"/>
      <c r="P1571" s="38"/>
      <c r="Q1571" s="38"/>
      <c r="R1571" s="38"/>
      <c r="S1571" s="38"/>
      <c r="T1571" s="38"/>
      <c r="U1571" s="38"/>
      <c r="V1571" s="39"/>
    </row>
    <row r="1572" spans="2:22" s="37" customFormat="1" x14ac:dyDescent="0.2">
      <c r="B1572" s="92"/>
      <c r="C1572" s="93"/>
      <c r="D1572" s="38"/>
      <c r="E1572" s="38"/>
      <c r="F1572" s="38"/>
      <c r="G1572" s="38"/>
      <c r="H1572" s="38"/>
      <c r="I1572" s="38"/>
      <c r="J1572" s="38"/>
      <c r="K1572" s="38"/>
      <c r="L1572" s="38"/>
      <c r="M1572" s="38"/>
      <c r="N1572" s="38"/>
      <c r="O1572" s="38"/>
      <c r="P1572" s="38"/>
      <c r="Q1572" s="38"/>
      <c r="R1572" s="38"/>
      <c r="S1572" s="38"/>
      <c r="T1572" s="38"/>
      <c r="U1572" s="38"/>
      <c r="V1572" s="39"/>
    </row>
    <row r="1573" spans="2:22" s="37" customFormat="1" x14ac:dyDescent="0.2">
      <c r="B1573" s="92"/>
      <c r="C1573" s="93"/>
      <c r="D1573" s="38"/>
      <c r="E1573" s="38"/>
      <c r="F1573" s="38"/>
      <c r="G1573" s="38"/>
      <c r="H1573" s="38"/>
      <c r="I1573" s="38"/>
      <c r="J1573" s="38"/>
      <c r="K1573" s="38"/>
      <c r="L1573" s="38"/>
      <c r="M1573" s="38"/>
      <c r="N1573" s="38"/>
      <c r="O1573" s="38"/>
      <c r="P1573" s="38"/>
      <c r="Q1573" s="38"/>
      <c r="R1573" s="38"/>
      <c r="S1573" s="38"/>
      <c r="T1573" s="38"/>
      <c r="U1573" s="38"/>
      <c r="V1573" s="39"/>
    </row>
    <row r="1574" spans="2:22" s="37" customFormat="1" x14ac:dyDescent="0.2">
      <c r="B1574" s="92"/>
      <c r="C1574" s="93"/>
      <c r="D1574" s="38"/>
      <c r="E1574" s="38"/>
      <c r="F1574" s="38"/>
      <c r="G1574" s="38"/>
      <c r="H1574" s="38"/>
      <c r="I1574" s="38"/>
      <c r="J1574" s="38"/>
      <c r="K1574" s="38"/>
      <c r="L1574" s="38"/>
      <c r="M1574" s="38"/>
      <c r="N1574" s="38"/>
      <c r="O1574" s="38"/>
      <c r="P1574" s="38"/>
      <c r="Q1574" s="38"/>
      <c r="R1574" s="38"/>
      <c r="S1574" s="38"/>
      <c r="T1574" s="38"/>
      <c r="U1574" s="38"/>
      <c r="V1574" s="39"/>
    </row>
    <row r="1575" spans="2:22" s="37" customFormat="1" x14ac:dyDescent="0.2">
      <c r="B1575" s="92"/>
      <c r="C1575" s="93"/>
      <c r="D1575" s="38"/>
      <c r="E1575" s="38"/>
      <c r="F1575" s="38"/>
      <c r="G1575" s="38"/>
      <c r="H1575" s="38"/>
      <c r="I1575" s="38"/>
      <c r="J1575" s="38"/>
      <c r="K1575" s="38"/>
      <c r="L1575" s="38"/>
      <c r="M1575" s="38"/>
      <c r="N1575" s="38"/>
      <c r="O1575" s="38"/>
      <c r="P1575" s="38"/>
      <c r="Q1575" s="38"/>
      <c r="R1575" s="38"/>
      <c r="S1575" s="38"/>
      <c r="T1575" s="38"/>
      <c r="U1575" s="38"/>
      <c r="V1575" s="39"/>
    </row>
    <row r="1576" spans="2:22" s="37" customFormat="1" x14ac:dyDescent="0.2">
      <c r="B1576" s="92"/>
      <c r="C1576" s="93"/>
      <c r="D1576" s="38"/>
      <c r="E1576" s="38"/>
      <c r="F1576" s="38"/>
      <c r="G1576" s="38"/>
      <c r="H1576" s="38"/>
      <c r="I1576" s="38"/>
      <c r="J1576" s="38"/>
      <c r="K1576" s="38"/>
      <c r="L1576" s="38"/>
      <c r="M1576" s="38"/>
      <c r="N1576" s="38"/>
      <c r="O1576" s="38"/>
      <c r="P1576" s="38"/>
      <c r="Q1576" s="38"/>
      <c r="R1576" s="38"/>
      <c r="S1576" s="38"/>
      <c r="T1576" s="38"/>
      <c r="U1576" s="38"/>
      <c r="V1576" s="39"/>
    </row>
    <row r="1577" spans="2:22" s="37" customFormat="1" x14ac:dyDescent="0.2">
      <c r="B1577" s="92"/>
      <c r="C1577" s="93"/>
      <c r="D1577" s="38"/>
      <c r="E1577" s="38"/>
      <c r="F1577" s="38"/>
      <c r="G1577" s="38"/>
      <c r="H1577" s="38"/>
      <c r="I1577" s="38"/>
      <c r="J1577" s="38"/>
      <c r="K1577" s="38"/>
      <c r="L1577" s="38"/>
      <c r="M1577" s="38"/>
      <c r="N1577" s="38"/>
      <c r="O1577" s="38"/>
      <c r="P1577" s="38"/>
      <c r="Q1577" s="38"/>
      <c r="R1577" s="38"/>
      <c r="S1577" s="38"/>
      <c r="T1577" s="38"/>
      <c r="U1577" s="38"/>
      <c r="V1577" s="39"/>
    </row>
    <row r="1578" spans="2:22" s="37" customFormat="1" x14ac:dyDescent="0.2">
      <c r="B1578" s="92"/>
      <c r="C1578" s="93"/>
      <c r="D1578" s="38"/>
      <c r="E1578" s="38"/>
      <c r="F1578" s="38"/>
      <c r="G1578" s="38"/>
      <c r="H1578" s="38"/>
      <c r="I1578" s="38"/>
      <c r="J1578" s="38"/>
      <c r="K1578" s="38"/>
      <c r="L1578" s="38"/>
      <c r="M1578" s="38"/>
      <c r="N1578" s="38"/>
      <c r="O1578" s="38"/>
      <c r="P1578" s="38"/>
      <c r="Q1578" s="38"/>
      <c r="R1578" s="38"/>
      <c r="S1578" s="38"/>
      <c r="T1578" s="38"/>
      <c r="U1578" s="38"/>
      <c r="V1578" s="39"/>
    </row>
    <row r="1579" spans="2:22" s="37" customFormat="1" x14ac:dyDescent="0.2">
      <c r="B1579" s="92"/>
      <c r="C1579" s="93"/>
      <c r="D1579" s="38"/>
      <c r="E1579" s="38"/>
      <c r="F1579" s="38"/>
      <c r="G1579" s="38"/>
      <c r="H1579" s="38"/>
      <c r="I1579" s="38"/>
      <c r="J1579" s="38"/>
      <c r="K1579" s="38"/>
      <c r="L1579" s="38"/>
      <c r="M1579" s="38"/>
      <c r="N1579" s="38"/>
      <c r="O1579" s="38"/>
      <c r="P1579" s="38"/>
      <c r="Q1579" s="38"/>
      <c r="R1579" s="38"/>
      <c r="S1579" s="38"/>
      <c r="T1579" s="38"/>
      <c r="U1579" s="38"/>
      <c r="V1579" s="39"/>
    </row>
    <row r="1580" spans="2:22" s="37" customFormat="1" x14ac:dyDescent="0.2">
      <c r="B1580" s="92"/>
      <c r="C1580" s="93"/>
      <c r="D1580" s="38"/>
      <c r="E1580" s="38"/>
      <c r="F1580" s="38"/>
      <c r="G1580" s="38"/>
      <c r="H1580" s="38"/>
      <c r="I1580" s="38"/>
      <c r="J1580" s="38"/>
      <c r="K1580" s="38"/>
      <c r="L1580" s="38"/>
      <c r="M1580" s="38"/>
      <c r="N1580" s="38"/>
      <c r="O1580" s="38"/>
      <c r="P1580" s="38"/>
      <c r="Q1580" s="38"/>
      <c r="R1580" s="38"/>
      <c r="S1580" s="38"/>
      <c r="T1580" s="38"/>
      <c r="U1580" s="38"/>
      <c r="V1580" s="39"/>
    </row>
    <row r="1581" spans="2:22" s="37" customFormat="1" x14ac:dyDescent="0.2">
      <c r="B1581" s="92"/>
      <c r="C1581" s="93"/>
      <c r="D1581" s="38"/>
      <c r="E1581" s="38"/>
      <c r="F1581" s="38"/>
      <c r="G1581" s="38"/>
      <c r="H1581" s="38"/>
      <c r="I1581" s="38"/>
      <c r="J1581" s="38"/>
      <c r="K1581" s="38"/>
      <c r="L1581" s="38"/>
      <c r="M1581" s="38"/>
      <c r="N1581" s="38"/>
      <c r="O1581" s="38"/>
      <c r="P1581" s="38"/>
      <c r="Q1581" s="38"/>
      <c r="R1581" s="38"/>
      <c r="S1581" s="38"/>
      <c r="T1581" s="38"/>
      <c r="U1581" s="38"/>
      <c r="V1581" s="39"/>
    </row>
    <row r="1582" spans="2:22" s="37" customFormat="1" x14ac:dyDescent="0.2">
      <c r="B1582" s="92"/>
      <c r="C1582" s="93"/>
      <c r="D1582" s="38"/>
      <c r="E1582" s="38"/>
      <c r="F1582" s="38"/>
      <c r="G1582" s="38"/>
      <c r="H1582" s="38"/>
      <c r="I1582" s="38"/>
      <c r="J1582" s="38"/>
      <c r="K1582" s="38"/>
      <c r="L1582" s="38"/>
      <c r="M1582" s="38"/>
      <c r="N1582" s="38"/>
      <c r="O1582" s="38"/>
      <c r="P1582" s="38"/>
      <c r="Q1582" s="38"/>
      <c r="R1582" s="38"/>
      <c r="S1582" s="38"/>
      <c r="T1582" s="38"/>
      <c r="U1582" s="38"/>
      <c r="V1582" s="39"/>
    </row>
    <row r="1583" spans="2:22" s="37" customFormat="1" x14ac:dyDescent="0.2">
      <c r="B1583" s="92"/>
      <c r="C1583" s="93"/>
      <c r="D1583" s="38"/>
      <c r="E1583" s="38"/>
      <c r="F1583" s="38"/>
      <c r="G1583" s="38"/>
      <c r="H1583" s="38"/>
      <c r="I1583" s="38"/>
      <c r="J1583" s="38"/>
      <c r="K1583" s="38"/>
      <c r="L1583" s="38"/>
      <c r="M1583" s="38"/>
      <c r="N1583" s="38"/>
      <c r="O1583" s="38"/>
      <c r="P1583" s="38"/>
      <c r="Q1583" s="38"/>
      <c r="R1583" s="38"/>
      <c r="S1583" s="38"/>
      <c r="T1583" s="38"/>
      <c r="U1583" s="38"/>
      <c r="V1583" s="39"/>
    </row>
    <row r="1584" spans="2:22" s="37" customFormat="1" x14ac:dyDescent="0.2">
      <c r="B1584" s="92"/>
      <c r="C1584" s="93"/>
      <c r="D1584" s="38"/>
      <c r="E1584" s="38"/>
      <c r="F1584" s="38"/>
      <c r="G1584" s="38"/>
      <c r="H1584" s="38"/>
      <c r="I1584" s="38"/>
      <c r="J1584" s="38"/>
      <c r="K1584" s="38"/>
      <c r="L1584" s="38"/>
      <c r="M1584" s="38"/>
      <c r="N1584" s="38"/>
      <c r="O1584" s="38"/>
      <c r="P1584" s="38"/>
      <c r="Q1584" s="38"/>
      <c r="R1584" s="38"/>
      <c r="S1584" s="38"/>
      <c r="T1584" s="38"/>
      <c r="U1584" s="38"/>
      <c r="V1584" s="39"/>
    </row>
    <row r="1585" spans="2:22" s="37" customFormat="1" x14ac:dyDescent="0.2">
      <c r="B1585" s="92"/>
      <c r="C1585" s="93"/>
      <c r="D1585" s="38"/>
      <c r="E1585" s="38"/>
      <c r="F1585" s="38"/>
      <c r="G1585" s="38"/>
      <c r="H1585" s="38"/>
      <c r="I1585" s="38"/>
      <c r="J1585" s="38"/>
      <c r="K1585" s="38"/>
      <c r="L1585" s="38"/>
      <c r="M1585" s="38"/>
      <c r="N1585" s="38"/>
      <c r="O1585" s="38"/>
      <c r="P1585" s="38"/>
      <c r="Q1585" s="38"/>
      <c r="R1585" s="38"/>
      <c r="S1585" s="38"/>
      <c r="T1585" s="38"/>
      <c r="U1585" s="38"/>
      <c r="V1585" s="39"/>
    </row>
    <row r="1586" spans="2:22" s="37" customFormat="1" x14ac:dyDescent="0.2">
      <c r="B1586" s="92"/>
      <c r="C1586" s="93"/>
      <c r="D1586" s="38"/>
      <c r="E1586" s="38"/>
      <c r="F1586" s="38"/>
      <c r="G1586" s="38"/>
      <c r="H1586" s="38"/>
      <c r="I1586" s="38"/>
      <c r="J1586" s="38"/>
      <c r="K1586" s="38"/>
      <c r="L1586" s="38"/>
      <c r="M1586" s="38"/>
      <c r="N1586" s="38"/>
      <c r="O1586" s="38"/>
      <c r="P1586" s="38"/>
      <c r="Q1586" s="38"/>
      <c r="R1586" s="38"/>
      <c r="S1586" s="38"/>
      <c r="T1586" s="38"/>
      <c r="U1586" s="38"/>
      <c r="V1586" s="39"/>
    </row>
    <row r="1587" spans="2:22" s="37" customFormat="1" x14ac:dyDescent="0.2">
      <c r="B1587" s="92"/>
      <c r="C1587" s="93"/>
      <c r="D1587" s="38"/>
      <c r="E1587" s="38"/>
      <c r="F1587" s="38"/>
      <c r="G1587" s="38"/>
      <c r="H1587" s="38"/>
      <c r="I1587" s="38"/>
      <c r="J1587" s="38"/>
      <c r="K1587" s="38"/>
      <c r="L1587" s="38"/>
      <c r="M1587" s="38"/>
      <c r="N1587" s="38"/>
      <c r="O1587" s="38"/>
      <c r="P1587" s="38"/>
      <c r="Q1587" s="38"/>
      <c r="R1587" s="38"/>
      <c r="S1587" s="38"/>
      <c r="T1587" s="38"/>
      <c r="U1587" s="38"/>
      <c r="V1587" s="39"/>
    </row>
    <row r="1588" spans="2:22" s="37" customFormat="1" x14ac:dyDescent="0.2">
      <c r="B1588" s="92"/>
      <c r="C1588" s="93"/>
      <c r="D1588" s="38"/>
      <c r="E1588" s="38"/>
      <c r="F1588" s="38"/>
      <c r="G1588" s="38"/>
      <c r="H1588" s="38"/>
      <c r="I1588" s="38"/>
      <c r="J1588" s="38"/>
      <c r="K1588" s="38"/>
      <c r="L1588" s="38"/>
      <c r="M1588" s="38"/>
      <c r="N1588" s="38"/>
      <c r="O1588" s="38"/>
      <c r="P1588" s="38"/>
      <c r="Q1588" s="38"/>
      <c r="R1588" s="38"/>
      <c r="S1588" s="38"/>
      <c r="T1588" s="38"/>
      <c r="U1588" s="38"/>
      <c r="V1588" s="39"/>
    </row>
    <row r="1589" spans="2:22" s="37" customFormat="1" x14ac:dyDescent="0.2">
      <c r="B1589" s="92"/>
      <c r="C1589" s="93"/>
      <c r="D1589" s="38"/>
      <c r="E1589" s="38"/>
      <c r="F1589" s="38"/>
      <c r="G1589" s="38"/>
      <c r="H1589" s="38"/>
      <c r="I1589" s="38"/>
      <c r="J1589" s="38"/>
      <c r="K1589" s="38"/>
      <c r="L1589" s="38"/>
      <c r="M1589" s="38"/>
      <c r="N1589" s="38"/>
      <c r="O1589" s="38"/>
      <c r="P1589" s="38"/>
      <c r="Q1589" s="38"/>
      <c r="R1589" s="38"/>
      <c r="S1589" s="38"/>
      <c r="T1589" s="38"/>
      <c r="U1589" s="38"/>
      <c r="V1589" s="39"/>
    </row>
    <row r="1590" spans="2:22" s="37" customFormat="1" x14ac:dyDescent="0.2">
      <c r="B1590" s="92"/>
      <c r="C1590" s="93"/>
      <c r="D1590" s="38"/>
      <c r="E1590" s="38"/>
      <c r="F1590" s="38"/>
      <c r="G1590" s="38"/>
      <c r="H1590" s="38"/>
      <c r="I1590" s="38"/>
      <c r="J1590" s="38"/>
      <c r="K1590" s="38"/>
      <c r="L1590" s="38"/>
      <c r="M1590" s="38"/>
      <c r="N1590" s="38"/>
      <c r="O1590" s="38"/>
      <c r="P1590" s="38"/>
      <c r="Q1590" s="38"/>
      <c r="R1590" s="38"/>
      <c r="S1590" s="38"/>
      <c r="T1590" s="38"/>
      <c r="U1590" s="38"/>
      <c r="V1590" s="39"/>
    </row>
    <row r="1591" spans="2:22" s="37" customFormat="1" x14ac:dyDescent="0.2">
      <c r="B1591" s="92"/>
      <c r="C1591" s="93"/>
      <c r="D1591" s="38"/>
      <c r="E1591" s="38"/>
      <c r="F1591" s="38"/>
      <c r="G1591" s="38"/>
      <c r="H1591" s="38"/>
      <c r="I1591" s="38"/>
      <c r="J1591" s="38"/>
      <c r="K1591" s="38"/>
      <c r="L1591" s="38"/>
      <c r="M1591" s="38"/>
      <c r="N1591" s="38"/>
      <c r="O1591" s="38"/>
      <c r="P1591" s="38"/>
      <c r="Q1591" s="38"/>
      <c r="R1591" s="38"/>
      <c r="S1591" s="38"/>
      <c r="T1591" s="38"/>
      <c r="U1591" s="38"/>
      <c r="V1591" s="39"/>
    </row>
    <row r="1592" spans="2:22" s="37" customFormat="1" x14ac:dyDescent="0.2">
      <c r="B1592" s="92"/>
      <c r="C1592" s="93"/>
      <c r="D1592" s="38"/>
      <c r="E1592" s="38"/>
      <c r="F1592" s="38"/>
      <c r="G1592" s="38"/>
      <c r="H1592" s="38"/>
      <c r="I1592" s="38"/>
      <c r="J1592" s="38"/>
      <c r="K1592" s="38"/>
      <c r="L1592" s="38"/>
      <c r="M1592" s="38"/>
      <c r="N1592" s="38"/>
      <c r="O1592" s="38"/>
      <c r="P1592" s="38"/>
      <c r="Q1592" s="38"/>
      <c r="R1592" s="38"/>
      <c r="S1592" s="38"/>
      <c r="T1592" s="38"/>
      <c r="U1592" s="38"/>
      <c r="V1592" s="39"/>
    </row>
    <row r="1593" spans="2:22" s="37" customFormat="1" x14ac:dyDescent="0.2">
      <c r="B1593" s="92"/>
      <c r="C1593" s="93"/>
      <c r="D1593" s="38"/>
      <c r="E1593" s="38"/>
      <c r="F1593" s="38"/>
      <c r="G1593" s="38"/>
      <c r="H1593" s="38"/>
      <c r="I1593" s="38"/>
      <c r="J1593" s="38"/>
      <c r="K1593" s="38"/>
      <c r="L1593" s="38"/>
      <c r="M1593" s="38"/>
      <c r="N1593" s="38"/>
      <c r="O1593" s="38"/>
      <c r="P1593" s="38"/>
      <c r="Q1593" s="38"/>
      <c r="R1593" s="38"/>
      <c r="S1593" s="38"/>
      <c r="T1593" s="38"/>
      <c r="U1593" s="38"/>
      <c r="V1593" s="39"/>
    </row>
    <row r="1594" spans="2:22" s="37" customFormat="1" x14ac:dyDescent="0.2">
      <c r="B1594" s="92"/>
      <c r="C1594" s="93"/>
      <c r="D1594" s="38"/>
      <c r="E1594" s="38"/>
      <c r="F1594" s="38"/>
      <c r="G1594" s="38"/>
      <c r="H1594" s="38"/>
      <c r="I1594" s="38"/>
      <c r="J1594" s="38"/>
      <c r="K1594" s="38"/>
      <c r="L1594" s="38"/>
      <c r="M1594" s="38"/>
      <c r="N1594" s="38"/>
      <c r="O1594" s="38"/>
      <c r="P1594" s="38"/>
      <c r="Q1594" s="38"/>
      <c r="R1594" s="38"/>
      <c r="S1594" s="38"/>
      <c r="T1594" s="38"/>
      <c r="U1594" s="38"/>
      <c r="V1594" s="39"/>
    </row>
    <row r="1595" spans="2:22" s="37" customFormat="1" x14ac:dyDescent="0.2">
      <c r="B1595" s="92"/>
      <c r="C1595" s="93"/>
      <c r="D1595" s="38"/>
      <c r="E1595" s="38"/>
      <c r="F1595" s="38"/>
      <c r="G1595" s="38"/>
      <c r="H1595" s="38"/>
      <c r="I1595" s="38"/>
      <c r="J1595" s="38"/>
      <c r="K1595" s="38"/>
      <c r="L1595" s="38"/>
      <c r="M1595" s="38"/>
      <c r="N1595" s="38"/>
      <c r="O1595" s="38"/>
      <c r="P1595" s="38"/>
      <c r="Q1595" s="38"/>
      <c r="R1595" s="38"/>
      <c r="S1595" s="38"/>
      <c r="T1595" s="38"/>
      <c r="U1595" s="38"/>
      <c r="V1595" s="39"/>
    </row>
    <row r="1596" spans="2:22" s="37" customFormat="1" x14ac:dyDescent="0.2">
      <c r="B1596" s="92"/>
      <c r="C1596" s="93"/>
      <c r="D1596" s="38"/>
      <c r="E1596" s="38"/>
      <c r="F1596" s="38"/>
      <c r="G1596" s="38"/>
      <c r="H1596" s="38"/>
      <c r="I1596" s="38"/>
      <c r="J1596" s="38"/>
      <c r="K1596" s="38"/>
      <c r="L1596" s="38"/>
      <c r="M1596" s="38"/>
      <c r="N1596" s="38"/>
      <c r="O1596" s="38"/>
      <c r="P1596" s="38"/>
      <c r="Q1596" s="38"/>
      <c r="R1596" s="38"/>
      <c r="S1596" s="38"/>
      <c r="T1596" s="38"/>
      <c r="U1596" s="38"/>
      <c r="V1596" s="39"/>
    </row>
    <row r="1597" spans="2:22" s="37" customFormat="1" x14ac:dyDescent="0.2">
      <c r="B1597" s="92"/>
      <c r="C1597" s="93"/>
      <c r="D1597" s="38"/>
      <c r="E1597" s="38"/>
      <c r="F1597" s="38"/>
      <c r="G1597" s="38"/>
      <c r="H1597" s="38"/>
      <c r="I1597" s="38"/>
      <c r="J1597" s="38"/>
      <c r="K1597" s="38"/>
      <c r="L1597" s="38"/>
      <c r="M1597" s="38"/>
      <c r="N1597" s="38"/>
      <c r="O1597" s="38"/>
      <c r="P1597" s="38"/>
      <c r="Q1597" s="38"/>
      <c r="R1597" s="38"/>
      <c r="S1597" s="38"/>
      <c r="T1597" s="38"/>
      <c r="U1597" s="38"/>
      <c r="V1597" s="39"/>
    </row>
    <row r="1598" spans="2:22" s="37" customFormat="1" x14ac:dyDescent="0.2">
      <c r="B1598" s="92"/>
      <c r="C1598" s="93"/>
      <c r="D1598" s="38"/>
      <c r="E1598" s="38"/>
      <c r="F1598" s="38"/>
      <c r="G1598" s="38"/>
      <c r="H1598" s="38"/>
      <c r="I1598" s="38"/>
      <c r="J1598" s="38"/>
      <c r="K1598" s="38"/>
      <c r="L1598" s="38"/>
      <c r="M1598" s="38"/>
      <c r="N1598" s="38"/>
      <c r="O1598" s="38"/>
      <c r="P1598" s="38"/>
      <c r="Q1598" s="38"/>
      <c r="R1598" s="38"/>
      <c r="S1598" s="38"/>
      <c r="T1598" s="38"/>
      <c r="U1598" s="38"/>
      <c r="V1598" s="39"/>
    </row>
    <row r="1599" spans="2:22" s="37" customFormat="1" x14ac:dyDescent="0.2">
      <c r="B1599" s="92"/>
      <c r="C1599" s="93"/>
      <c r="D1599" s="38"/>
      <c r="E1599" s="38"/>
      <c r="F1599" s="38"/>
      <c r="G1599" s="38"/>
      <c r="H1599" s="38"/>
      <c r="I1599" s="38"/>
      <c r="J1599" s="38"/>
      <c r="K1599" s="38"/>
      <c r="L1599" s="38"/>
      <c r="M1599" s="38"/>
      <c r="N1599" s="38"/>
      <c r="O1599" s="38"/>
      <c r="P1599" s="38"/>
      <c r="Q1599" s="38"/>
      <c r="R1599" s="38"/>
      <c r="S1599" s="38"/>
      <c r="T1599" s="38"/>
      <c r="U1599" s="38"/>
      <c r="V1599" s="39"/>
    </row>
    <row r="1600" spans="2:22" s="37" customFormat="1" x14ac:dyDescent="0.2">
      <c r="B1600" s="92"/>
      <c r="C1600" s="93"/>
      <c r="D1600" s="38"/>
      <c r="E1600" s="38"/>
      <c r="F1600" s="38"/>
      <c r="G1600" s="38"/>
      <c r="H1600" s="38"/>
      <c r="I1600" s="38"/>
      <c r="J1600" s="38"/>
      <c r="K1600" s="38"/>
      <c r="L1600" s="38"/>
      <c r="M1600" s="38"/>
      <c r="N1600" s="38"/>
      <c r="O1600" s="38"/>
      <c r="P1600" s="38"/>
      <c r="Q1600" s="38"/>
      <c r="R1600" s="38"/>
      <c r="S1600" s="38"/>
      <c r="T1600" s="38"/>
      <c r="U1600" s="38"/>
      <c r="V1600" s="39"/>
    </row>
    <row r="1601" spans="2:22" s="37" customFormat="1" x14ac:dyDescent="0.2">
      <c r="B1601" s="92"/>
      <c r="C1601" s="93"/>
      <c r="D1601" s="38"/>
      <c r="E1601" s="38"/>
      <c r="F1601" s="38"/>
      <c r="G1601" s="38"/>
      <c r="H1601" s="38"/>
      <c r="I1601" s="38"/>
      <c r="J1601" s="38"/>
      <c r="K1601" s="38"/>
      <c r="L1601" s="38"/>
      <c r="M1601" s="38"/>
      <c r="N1601" s="38"/>
      <c r="O1601" s="38"/>
      <c r="P1601" s="38"/>
      <c r="Q1601" s="38"/>
      <c r="R1601" s="38"/>
      <c r="S1601" s="38"/>
      <c r="T1601" s="38"/>
      <c r="U1601" s="38"/>
      <c r="V1601" s="39"/>
    </row>
    <row r="1602" spans="2:22" s="37" customFormat="1" x14ac:dyDescent="0.2">
      <c r="B1602" s="92"/>
      <c r="C1602" s="93"/>
      <c r="D1602" s="38"/>
      <c r="E1602" s="38"/>
      <c r="F1602" s="38"/>
      <c r="G1602" s="38"/>
      <c r="H1602" s="38"/>
      <c r="I1602" s="38"/>
      <c r="J1602" s="38"/>
      <c r="K1602" s="38"/>
      <c r="L1602" s="38"/>
      <c r="M1602" s="38"/>
      <c r="N1602" s="38"/>
      <c r="O1602" s="38"/>
      <c r="P1602" s="38"/>
      <c r="Q1602" s="38"/>
      <c r="R1602" s="38"/>
      <c r="S1602" s="38"/>
      <c r="T1602" s="38"/>
      <c r="U1602" s="38"/>
      <c r="V1602" s="39"/>
    </row>
    <row r="1603" spans="2:22" s="37" customFormat="1" x14ac:dyDescent="0.2">
      <c r="B1603" s="92"/>
      <c r="C1603" s="93"/>
      <c r="D1603" s="38"/>
      <c r="E1603" s="38"/>
      <c r="F1603" s="38"/>
      <c r="G1603" s="38"/>
      <c r="H1603" s="38"/>
      <c r="I1603" s="38"/>
      <c r="J1603" s="38"/>
      <c r="K1603" s="38"/>
      <c r="L1603" s="38"/>
      <c r="M1603" s="38"/>
      <c r="N1603" s="38"/>
      <c r="O1603" s="38"/>
      <c r="P1603" s="38"/>
      <c r="Q1603" s="38"/>
      <c r="R1603" s="38"/>
      <c r="S1603" s="38"/>
      <c r="T1603" s="38"/>
      <c r="U1603" s="38"/>
      <c r="V1603" s="39"/>
    </row>
    <row r="1604" spans="2:22" s="37" customFormat="1" x14ac:dyDescent="0.2">
      <c r="B1604" s="92"/>
      <c r="C1604" s="93"/>
      <c r="D1604" s="38"/>
      <c r="E1604" s="38"/>
      <c r="F1604" s="38"/>
      <c r="G1604" s="38"/>
      <c r="H1604" s="38"/>
      <c r="I1604" s="38"/>
      <c r="J1604" s="38"/>
      <c r="K1604" s="38"/>
      <c r="L1604" s="38"/>
      <c r="M1604" s="38"/>
      <c r="N1604" s="38"/>
      <c r="O1604" s="38"/>
      <c r="P1604" s="38"/>
      <c r="Q1604" s="38"/>
      <c r="R1604" s="38"/>
      <c r="S1604" s="38"/>
      <c r="T1604" s="38"/>
      <c r="U1604" s="38"/>
      <c r="V1604" s="39"/>
    </row>
    <row r="1605" spans="2:22" s="37" customFormat="1" x14ac:dyDescent="0.2">
      <c r="B1605" s="92"/>
      <c r="C1605" s="93"/>
      <c r="D1605" s="38"/>
      <c r="E1605" s="38"/>
      <c r="F1605" s="38"/>
      <c r="G1605" s="38"/>
      <c r="H1605" s="38"/>
      <c r="I1605" s="38"/>
      <c r="J1605" s="38"/>
      <c r="K1605" s="38"/>
      <c r="L1605" s="38"/>
      <c r="M1605" s="38"/>
      <c r="N1605" s="38"/>
      <c r="O1605" s="38"/>
      <c r="P1605" s="38"/>
      <c r="Q1605" s="38"/>
      <c r="R1605" s="38"/>
      <c r="S1605" s="38"/>
      <c r="T1605" s="38"/>
      <c r="U1605" s="38"/>
      <c r="V1605" s="39"/>
    </row>
    <row r="1606" spans="2:22" s="37" customFormat="1" x14ac:dyDescent="0.2">
      <c r="B1606" s="92"/>
      <c r="C1606" s="93"/>
      <c r="D1606" s="38"/>
      <c r="E1606" s="38"/>
      <c r="F1606" s="38"/>
      <c r="G1606" s="38"/>
      <c r="H1606" s="38"/>
      <c r="I1606" s="38"/>
      <c r="J1606" s="38"/>
      <c r="K1606" s="38"/>
      <c r="L1606" s="38"/>
      <c r="M1606" s="38"/>
      <c r="N1606" s="38"/>
      <c r="O1606" s="38"/>
      <c r="P1606" s="38"/>
      <c r="Q1606" s="38"/>
      <c r="R1606" s="38"/>
      <c r="S1606" s="38"/>
      <c r="T1606" s="38"/>
      <c r="U1606" s="38"/>
      <c r="V1606" s="39"/>
    </row>
    <row r="1607" spans="2:22" s="37" customFormat="1" x14ac:dyDescent="0.2">
      <c r="B1607" s="92"/>
      <c r="C1607" s="93"/>
      <c r="D1607" s="38"/>
      <c r="E1607" s="38"/>
      <c r="F1607" s="38"/>
      <c r="G1607" s="38"/>
      <c r="H1607" s="38"/>
      <c r="I1607" s="38"/>
      <c r="J1607" s="38"/>
      <c r="K1607" s="38"/>
      <c r="L1607" s="38"/>
      <c r="M1607" s="38"/>
      <c r="N1607" s="38"/>
      <c r="O1607" s="38"/>
      <c r="P1607" s="38"/>
      <c r="Q1607" s="38"/>
      <c r="R1607" s="38"/>
      <c r="S1607" s="38"/>
      <c r="T1607" s="38"/>
      <c r="U1607" s="38"/>
      <c r="V1607" s="39"/>
    </row>
    <row r="1608" spans="2:22" s="37" customFormat="1" x14ac:dyDescent="0.2">
      <c r="B1608" s="92"/>
      <c r="C1608" s="93"/>
      <c r="D1608" s="38"/>
      <c r="E1608" s="38"/>
      <c r="F1608" s="38"/>
      <c r="G1608" s="38"/>
      <c r="H1608" s="38"/>
      <c r="I1608" s="38"/>
      <c r="J1608" s="38"/>
      <c r="K1608" s="38"/>
      <c r="L1608" s="38"/>
      <c r="M1608" s="38"/>
      <c r="N1608" s="38"/>
      <c r="O1608" s="38"/>
      <c r="P1608" s="38"/>
      <c r="Q1608" s="38"/>
      <c r="R1608" s="38"/>
      <c r="S1608" s="38"/>
      <c r="T1608" s="38"/>
      <c r="U1608" s="38"/>
      <c r="V1608" s="39"/>
    </row>
    <row r="1609" spans="2:22" s="37" customFormat="1" x14ac:dyDescent="0.2">
      <c r="B1609" s="92"/>
      <c r="C1609" s="93"/>
      <c r="D1609" s="38"/>
      <c r="E1609" s="38"/>
      <c r="F1609" s="38"/>
      <c r="G1609" s="38"/>
      <c r="H1609" s="38"/>
      <c r="I1609" s="38"/>
      <c r="J1609" s="38"/>
      <c r="K1609" s="38"/>
      <c r="L1609" s="38"/>
      <c r="M1609" s="38"/>
      <c r="N1609" s="38"/>
      <c r="O1609" s="38"/>
      <c r="P1609" s="38"/>
      <c r="Q1609" s="38"/>
      <c r="R1609" s="38"/>
      <c r="S1609" s="38"/>
      <c r="T1609" s="38"/>
      <c r="U1609" s="38"/>
      <c r="V1609" s="39"/>
    </row>
    <row r="1610" spans="2:22" s="37" customFormat="1" x14ac:dyDescent="0.2">
      <c r="B1610" s="92"/>
      <c r="C1610" s="93"/>
      <c r="D1610" s="38"/>
      <c r="E1610" s="38"/>
      <c r="F1610" s="38"/>
      <c r="G1610" s="38"/>
      <c r="H1610" s="38"/>
      <c r="I1610" s="38"/>
      <c r="J1610" s="38"/>
      <c r="K1610" s="38"/>
      <c r="L1610" s="38"/>
      <c r="M1610" s="38"/>
      <c r="N1610" s="38"/>
      <c r="O1610" s="38"/>
      <c r="P1610" s="38"/>
      <c r="Q1610" s="38"/>
      <c r="R1610" s="38"/>
      <c r="S1610" s="38"/>
      <c r="T1610" s="38"/>
      <c r="U1610" s="38"/>
      <c r="V1610" s="39"/>
    </row>
    <row r="1611" spans="2:22" s="37" customFormat="1" x14ac:dyDescent="0.2">
      <c r="B1611" s="92"/>
      <c r="C1611" s="93"/>
      <c r="D1611" s="38"/>
      <c r="E1611" s="38"/>
      <c r="F1611" s="38"/>
      <c r="G1611" s="38"/>
      <c r="H1611" s="38"/>
      <c r="I1611" s="38"/>
      <c r="J1611" s="38"/>
      <c r="K1611" s="38"/>
      <c r="L1611" s="38"/>
      <c r="M1611" s="38"/>
      <c r="N1611" s="38"/>
      <c r="O1611" s="38"/>
      <c r="P1611" s="38"/>
      <c r="Q1611" s="38"/>
      <c r="R1611" s="38"/>
      <c r="S1611" s="38"/>
      <c r="T1611" s="38"/>
      <c r="U1611" s="38"/>
      <c r="V1611" s="39"/>
    </row>
    <row r="1612" spans="2:22" s="37" customFormat="1" x14ac:dyDescent="0.2">
      <c r="B1612" s="92"/>
      <c r="C1612" s="93"/>
      <c r="D1612" s="38"/>
      <c r="E1612" s="38"/>
      <c r="F1612" s="38"/>
      <c r="G1612" s="38"/>
      <c r="H1612" s="38"/>
      <c r="I1612" s="38"/>
      <c r="J1612" s="38"/>
      <c r="K1612" s="38"/>
      <c r="L1612" s="38"/>
      <c r="M1612" s="38"/>
      <c r="N1612" s="38"/>
      <c r="O1612" s="38"/>
      <c r="P1612" s="38"/>
      <c r="Q1612" s="38"/>
      <c r="R1612" s="38"/>
      <c r="S1612" s="38"/>
      <c r="T1612" s="38"/>
      <c r="U1612" s="38"/>
      <c r="V1612" s="39"/>
    </row>
    <row r="1613" spans="2:22" s="37" customFormat="1" x14ac:dyDescent="0.2">
      <c r="B1613" s="92"/>
      <c r="C1613" s="93"/>
      <c r="D1613" s="38"/>
      <c r="E1613" s="38"/>
      <c r="F1613" s="38"/>
      <c r="G1613" s="38"/>
      <c r="H1613" s="38"/>
      <c r="I1613" s="38"/>
      <c r="J1613" s="38"/>
      <c r="K1613" s="38"/>
      <c r="L1613" s="38"/>
      <c r="M1613" s="38"/>
      <c r="N1613" s="38"/>
      <c r="O1613" s="38"/>
      <c r="P1613" s="38"/>
      <c r="Q1613" s="38"/>
      <c r="R1613" s="38"/>
      <c r="S1613" s="38"/>
      <c r="T1613" s="38"/>
      <c r="U1613" s="38"/>
      <c r="V1613" s="39"/>
    </row>
    <row r="1614" spans="2:22" s="37" customFormat="1" x14ac:dyDescent="0.2">
      <c r="B1614" s="92"/>
      <c r="C1614" s="93"/>
      <c r="D1614" s="38"/>
      <c r="E1614" s="38"/>
      <c r="F1614" s="38"/>
      <c r="G1614" s="38"/>
      <c r="H1614" s="38"/>
      <c r="I1614" s="38"/>
      <c r="J1614" s="38"/>
      <c r="K1614" s="38"/>
      <c r="L1614" s="38"/>
      <c r="M1614" s="38"/>
      <c r="N1614" s="38"/>
      <c r="O1614" s="38"/>
      <c r="P1614" s="38"/>
      <c r="Q1614" s="38"/>
      <c r="R1614" s="38"/>
      <c r="S1614" s="38"/>
      <c r="T1614" s="38"/>
      <c r="U1614" s="38"/>
      <c r="V1614" s="39"/>
    </row>
    <row r="1615" spans="2:22" s="37" customFormat="1" x14ac:dyDescent="0.2">
      <c r="B1615" s="92"/>
      <c r="C1615" s="93"/>
      <c r="D1615" s="38"/>
      <c r="E1615" s="38"/>
      <c r="F1615" s="38"/>
      <c r="G1615" s="38"/>
      <c r="H1615" s="38"/>
      <c r="I1615" s="38"/>
      <c r="J1615" s="38"/>
      <c r="K1615" s="38"/>
      <c r="L1615" s="38"/>
      <c r="M1615" s="38"/>
      <c r="N1615" s="38"/>
      <c r="O1615" s="38"/>
      <c r="P1615" s="38"/>
      <c r="Q1615" s="38"/>
      <c r="R1615" s="38"/>
      <c r="S1615" s="38"/>
      <c r="T1615" s="38"/>
      <c r="U1615" s="38"/>
      <c r="V1615" s="39"/>
    </row>
    <row r="1616" spans="2:22" s="37" customFormat="1" x14ac:dyDescent="0.2">
      <c r="B1616" s="92"/>
      <c r="C1616" s="93"/>
      <c r="D1616" s="38"/>
      <c r="E1616" s="38"/>
      <c r="F1616" s="38"/>
      <c r="G1616" s="38"/>
      <c r="H1616" s="38"/>
      <c r="I1616" s="38"/>
      <c r="J1616" s="38"/>
      <c r="K1616" s="38"/>
      <c r="L1616" s="38"/>
      <c r="M1616" s="38"/>
      <c r="N1616" s="38"/>
      <c r="O1616" s="38"/>
      <c r="P1616" s="38"/>
      <c r="Q1616" s="38"/>
      <c r="R1616" s="38"/>
      <c r="S1616" s="38"/>
      <c r="T1616" s="38"/>
      <c r="U1616" s="38"/>
      <c r="V1616" s="39"/>
    </row>
    <row r="1617" spans="2:22" s="37" customFormat="1" x14ac:dyDescent="0.2">
      <c r="B1617" s="92"/>
      <c r="C1617" s="93"/>
      <c r="D1617" s="38"/>
      <c r="E1617" s="38"/>
      <c r="F1617" s="38"/>
      <c r="G1617" s="38"/>
      <c r="H1617" s="38"/>
      <c r="I1617" s="38"/>
      <c r="J1617" s="38"/>
      <c r="K1617" s="38"/>
      <c r="L1617" s="38"/>
      <c r="M1617" s="38"/>
      <c r="N1617" s="38"/>
      <c r="O1617" s="38"/>
      <c r="P1617" s="38"/>
      <c r="Q1617" s="38"/>
      <c r="R1617" s="38"/>
      <c r="S1617" s="38"/>
      <c r="T1617" s="38"/>
      <c r="U1617" s="38"/>
      <c r="V1617" s="39"/>
    </row>
    <row r="1618" spans="2:22" s="37" customFormat="1" x14ac:dyDescent="0.2">
      <c r="B1618" s="92"/>
      <c r="C1618" s="93"/>
      <c r="D1618" s="38"/>
      <c r="E1618" s="38"/>
      <c r="F1618" s="38"/>
      <c r="G1618" s="38"/>
      <c r="H1618" s="38"/>
      <c r="I1618" s="38"/>
      <c r="J1618" s="38"/>
      <c r="K1618" s="38"/>
      <c r="L1618" s="38"/>
      <c r="M1618" s="38"/>
      <c r="N1618" s="38"/>
      <c r="O1618" s="38"/>
      <c r="P1618" s="38"/>
      <c r="Q1618" s="38"/>
      <c r="R1618" s="38"/>
      <c r="S1618" s="38"/>
      <c r="T1618" s="38"/>
      <c r="U1618" s="38"/>
      <c r="V1618" s="39"/>
    </row>
    <row r="1619" spans="2:22" s="37" customFormat="1" x14ac:dyDescent="0.2">
      <c r="B1619" s="92"/>
      <c r="C1619" s="93"/>
      <c r="D1619" s="38"/>
      <c r="E1619" s="38"/>
      <c r="F1619" s="38"/>
      <c r="G1619" s="38"/>
      <c r="H1619" s="38"/>
      <c r="I1619" s="38"/>
      <c r="J1619" s="38"/>
      <c r="K1619" s="38"/>
      <c r="L1619" s="38"/>
      <c r="M1619" s="38"/>
      <c r="N1619" s="38"/>
      <c r="O1619" s="38"/>
      <c r="P1619" s="38"/>
      <c r="Q1619" s="38"/>
      <c r="R1619" s="38"/>
      <c r="S1619" s="38"/>
      <c r="T1619" s="38"/>
      <c r="U1619" s="38"/>
      <c r="V1619" s="39"/>
    </row>
    <row r="1620" spans="2:22" s="37" customFormat="1" x14ac:dyDescent="0.2">
      <c r="B1620" s="92"/>
      <c r="C1620" s="93"/>
      <c r="D1620" s="38"/>
      <c r="E1620" s="38"/>
      <c r="F1620" s="38"/>
      <c r="G1620" s="38"/>
      <c r="H1620" s="38"/>
      <c r="I1620" s="38"/>
      <c r="J1620" s="38"/>
      <c r="K1620" s="38"/>
      <c r="L1620" s="38"/>
      <c r="M1620" s="38"/>
      <c r="N1620" s="38"/>
      <c r="O1620" s="38"/>
      <c r="P1620" s="38"/>
      <c r="Q1620" s="38"/>
      <c r="R1620" s="38"/>
      <c r="S1620" s="38"/>
      <c r="T1620" s="38"/>
      <c r="U1620" s="38"/>
      <c r="V1620" s="39"/>
    </row>
    <row r="1621" spans="2:22" s="37" customFormat="1" x14ac:dyDescent="0.2">
      <c r="B1621" s="92"/>
      <c r="C1621" s="93"/>
      <c r="D1621" s="38"/>
      <c r="E1621" s="38"/>
      <c r="F1621" s="38"/>
      <c r="G1621" s="38"/>
      <c r="H1621" s="38"/>
      <c r="I1621" s="38"/>
      <c r="J1621" s="38"/>
      <c r="K1621" s="38"/>
      <c r="L1621" s="38"/>
      <c r="M1621" s="38"/>
      <c r="N1621" s="38"/>
      <c r="O1621" s="38"/>
      <c r="P1621" s="38"/>
      <c r="Q1621" s="38"/>
      <c r="R1621" s="38"/>
      <c r="S1621" s="38"/>
      <c r="T1621" s="38"/>
      <c r="U1621" s="38"/>
      <c r="V1621" s="39"/>
    </row>
    <row r="1622" spans="2:22" s="37" customFormat="1" x14ac:dyDescent="0.2">
      <c r="B1622" s="92"/>
      <c r="C1622" s="93"/>
      <c r="D1622" s="38"/>
      <c r="E1622" s="38"/>
      <c r="F1622" s="38"/>
      <c r="G1622" s="38"/>
      <c r="H1622" s="38"/>
      <c r="I1622" s="38"/>
      <c r="J1622" s="38"/>
      <c r="K1622" s="38"/>
      <c r="L1622" s="38"/>
      <c r="M1622" s="38"/>
      <c r="N1622" s="38"/>
      <c r="O1622" s="38"/>
      <c r="P1622" s="38"/>
      <c r="Q1622" s="38"/>
      <c r="R1622" s="38"/>
      <c r="S1622" s="38"/>
      <c r="T1622" s="38"/>
      <c r="U1622" s="38"/>
      <c r="V1622" s="39"/>
    </row>
    <row r="1623" spans="2:22" s="37" customFormat="1" x14ac:dyDescent="0.2">
      <c r="B1623" s="92"/>
      <c r="C1623" s="93"/>
      <c r="D1623" s="38"/>
      <c r="E1623" s="38"/>
      <c r="F1623" s="38"/>
      <c r="G1623" s="38"/>
      <c r="H1623" s="38"/>
      <c r="I1623" s="38"/>
      <c r="J1623" s="38"/>
      <c r="K1623" s="38"/>
      <c r="L1623" s="38"/>
      <c r="M1623" s="38"/>
      <c r="N1623" s="38"/>
      <c r="O1623" s="38"/>
      <c r="P1623" s="38"/>
      <c r="Q1623" s="38"/>
      <c r="R1623" s="38"/>
      <c r="S1623" s="38"/>
      <c r="T1623" s="38"/>
      <c r="U1623" s="38"/>
      <c r="V1623" s="39"/>
    </row>
    <row r="1624" spans="2:22" s="37" customFormat="1" x14ac:dyDescent="0.2">
      <c r="B1624" s="92"/>
      <c r="C1624" s="93"/>
      <c r="D1624" s="38"/>
      <c r="E1624" s="38"/>
      <c r="F1624" s="38"/>
      <c r="G1624" s="38"/>
      <c r="H1624" s="38"/>
      <c r="I1624" s="38"/>
      <c r="J1624" s="38"/>
      <c r="K1624" s="38"/>
      <c r="L1624" s="38"/>
      <c r="M1624" s="38"/>
      <c r="N1624" s="38"/>
      <c r="O1624" s="38"/>
      <c r="P1624" s="38"/>
      <c r="Q1624" s="38"/>
      <c r="R1624" s="38"/>
      <c r="S1624" s="38"/>
      <c r="T1624" s="38"/>
      <c r="U1624" s="38"/>
      <c r="V1624" s="39"/>
    </row>
    <row r="1625" spans="2:22" s="37" customFormat="1" x14ac:dyDescent="0.2">
      <c r="B1625" s="92"/>
      <c r="C1625" s="93"/>
      <c r="D1625" s="38"/>
      <c r="E1625" s="38"/>
      <c r="F1625" s="38"/>
      <c r="G1625" s="38"/>
      <c r="H1625" s="38"/>
      <c r="I1625" s="38"/>
      <c r="J1625" s="38"/>
      <c r="K1625" s="38"/>
      <c r="L1625" s="38"/>
      <c r="M1625" s="38"/>
      <c r="N1625" s="38"/>
      <c r="O1625" s="38"/>
      <c r="P1625" s="38"/>
      <c r="Q1625" s="38"/>
      <c r="R1625" s="38"/>
      <c r="S1625" s="38"/>
      <c r="T1625" s="38"/>
      <c r="U1625" s="38"/>
      <c r="V1625" s="39"/>
    </row>
    <row r="1626" spans="2:22" s="37" customFormat="1" x14ac:dyDescent="0.2">
      <c r="B1626" s="92"/>
      <c r="C1626" s="93"/>
      <c r="D1626" s="38"/>
      <c r="E1626" s="38"/>
      <c r="F1626" s="38"/>
      <c r="G1626" s="38"/>
      <c r="H1626" s="38"/>
      <c r="I1626" s="38"/>
      <c r="J1626" s="38"/>
      <c r="K1626" s="38"/>
      <c r="L1626" s="38"/>
      <c r="M1626" s="38"/>
      <c r="N1626" s="38"/>
      <c r="O1626" s="38"/>
      <c r="P1626" s="38"/>
      <c r="Q1626" s="38"/>
      <c r="R1626" s="38"/>
      <c r="S1626" s="38"/>
      <c r="T1626" s="38"/>
      <c r="U1626" s="38"/>
      <c r="V1626" s="39"/>
    </row>
    <row r="1627" spans="2:22" s="37" customFormat="1" x14ac:dyDescent="0.2">
      <c r="B1627" s="92"/>
      <c r="C1627" s="93"/>
      <c r="D1627" s="38"/>
      <c r="E1627" s="38"/>
      <c r="F1627" s="38"/>
      <c r="G1627" s="38"/>
      <c r="H1627" s="38"/>
      <c r="I1627" s="38"/>
      <c r="J1627" s="38"/>
      <c r="K1627" s="38"/>
      <c r="L1627" s="38"/>
      <c r="M1627" s="38"/>
      <c r="N1627" s="38"/>
      <c r="O1627" s="38"/>
      <c r="P1627" s="38"/>
      <c r="Q1627" s="38"/>
      <c r="R1627" s="38"/>
      <c r="S1627" s="38"/>
      <c r="T1627" s="38"/>
      <c r="U1627" s="38"/>
      <c r="V1627" s="39"/>
    </row>
    <row r="1628" spans="2:22" s="37" customFormat="1" x14ac:dyDescent="0.2">
      <c r="B1628" s="92"/>
      <c r="C1628" s="93"/>
      <c r="D1628" s="38"/>
      <c r="E1628" s="38"/>
      <c r="F1628" s="38"/>
      <c r="G1628" s="38"/>
      <c r="H1628" s="38"/>
      <c r="I1628" s="38"/>
      <c r="J1628" s="38"/>
      <c r="K1628" s="38"/>
      <c r="L1628" s="38"/>
      <c r="M1628" s="38"/>
      <c r="N1628" s="38"/>
      <c r="O1628" s="38"/>
      <c r="P1628" s="38"/>
      <c r="Q1628" s="38"/>
      <c r="R1628" s="38"/>
      <c r="S1628" s="38"/>
      <c r="T1628" s="38"/>
      <c r="U1628" s="38"/>
      <c r="V1628" s="39"/>
    </row>
    <row r="1629" spans="2:22" s="37" customFormat="1" x14ac:dyDescent="0.2">
      <c r="B1629" s="92"/>
      <c r="C1629" s="93"/>
      <c r="D1629" s="38"/>
      <c r="E1629" s="38"/>
      <c r="F1629" s="38"/>
      <c r="G1629" s="38"/>
      <c r="H1629" s="38"/>
      <c r="I1629" s="38"/>
      <c r="J1629" s="38"/>
      <c r="K1629" s="38"/>
      <c r="L1629" s="38"/>
      <c r="M1629" s="38"/>
      <c r="N1629" s="38"/>
      <c r="O1629" s="38"/>
      <c r="P1629" s="38"/>
      <c r="Q1629" s="38"/>
      <c r="R1629" s="38"/>
      <c r="S1629" s="38"/>
      <c r="T1629" s="38"/>
      <c r="U1629" s="38"/>
      <c r="V1629" s="39"/>
    </row>
    <row r="1630" spans="2:22" s="37" customFormat="1" x14ac:dyDescent="0.2">
      <c r="B1630" s="92"/>
      <c r="C1630" s="93"/>
      <c r="D1630" s="38"/>
      <c r="E1630" s="38"/>
      <c r="F1630" s="38"/>
      <c r="G1630" s="38"/>
      <c r="H1630" s="38"/>
      <c r="I1630" s="38"/>
      <c r="J1630" s="38"/>
      <c r="K1630" s="38"/>
      <c r="L1630" s="38"/>
      <c r="M1630" s="38"/>
      <c r="N1630" s="38"/>
      <c r="O1630" s="38"/>
      <c r="P1630" s="38"/>
      <c r="Q1630" s="38"/>
      <c r="R1630" s="38"/>
      <c r="S1630" s="38"/>
      <c r="T1630" s="38"/>
      <c r="U1630" s="38"/>
      <c r="V1630" s="39"/>
    </row>
    <row r="1631" spans="2:22" s="37" customFormat="1" x14ac:dyDescent="0.2">
      <c r="B1631" s="92"/>
      <c r="C1631" s="93"/>
      <c r="D1631" s="38"/>
      <c r="E1631" s="38"/>
      <c r="F1631" s="38"/>
      <c r="G1631" s="38"/>
      <c r="H1631" s="38"/>
      <c r="I1631" s="38"/>
      <c r="J1631" s="38"/>
      <c r="K1631" s="38"/>
      <c r="L1631" s="38"/>
      <c r="M1631" s="38"/>
      <c r="N1631" s="38"/>
      <c r="O1631" s="38"/>
      <c r="P1631" s="38"/>
      <c r="Q1631" s="38"/>
      <c r="R1631" s="38"/>
      <c r="S1631" s="38"/>
      <c r="T1631" s="38"/>
      <c r="U1631" s="38"/>
      <c r="V1631" s="39"/>
    </row>
    <row r="1632" spans="2:22" s="37" customFormat="1" x14ac:dyDescent="0.2">
      <c r="B1632" s="92"/>
      <c r="C1632" s="93"/>
      <c r="D1632" s="38"/>
      <c r="E1632" s="38"/>
      <c r="F1632" s="38"/>
      <c r="G1632" s="38"/>
      <c r="H1632" s="38"/>
      <c r="I1632" s="38"/>
      <c r="J1632" s="38"/>
      <c r="K1632" s="38"/>
      <c r="L1632" s="38"/>
      <c r="M1632" s="38"/>
      <c r="N1632" s="38"/>
      <c r="O1632" s="38"/>
      <c r="P1632" s="38"/>
      <c r="Q1632" s="38"/>
      <c r="R1632" s="38"/>
      <c r="S1632" s="38"/>
      <c r="T1632" s="38"/>
      <c r="U1632" s="38"/>
      <c r="V1632" s="39"/>
    </row>
    <row r="1633" spans="2:22" s="37" customFormat="1" x14ac:dyDescent="0.2">
      <c r="B1633" s="92"/>
      <c r="C1633" s="93"/>
      <c r="D1633" s="38"/>
      <c r="E1633" s="38"/>
      <c r="F1633" s="38"/>
      <c r="G1633" s="38"/>
      <c r="H1633" s="38"/>
      <c r="I1633" s="38"/>
      <c r="J1633" s="38"/>
      <c r="K1633" s="38"/>
      <c r="L1633" s="38"/>
      <c r="M1633" s="38"/>
      <c r="N1633" s="38"/>
      <c r="O1633" s="38"/>
      <c r="P1633" s="38"/>
      <c r="Q1633" s="38"/>
      <c r="R1633" s="38"/>
      <c r="S1633" s="38"/>
      <c r="T1633" s="38"/>
      <c r="U1633" s="38"/>
      <c r="V1633" s="39"/>
    </row>
    <row r="1634" spans="2:22" s="37" customFormat="1" x14ac:dyDescent="0.2">
      <c r="B1634" s="92"/>
      <c r="C1634" s="93"/>
      <c r="D1634" s="38"/>
      <c r="E1634" s="38"/>
      <c r="F1634" s="38"/>
      <c r="G1634" s="38"/>
      <c r="H1634" s="38"/>
      <c r="I1634" s="38"/>
      <c r="J1634" s="38"/>
      <c r="K1634" s="38"/>
      <c r="L1634" s="38"/>
      <c r="M1634" s="38"/>
      <c r="N1634" s="38"/>
      <c r="O1634" s="38"/>
      <c r="P1634" s="38"/>
      <c r="Q1634" s="38"/>
      <c r="R1634" s="38"/>
      <c r="S1634" s="38"/>
      <c r="T1634" s="38"/>
      <c r="U1634" s="38"/>
      <c r="V1634" s="39"/>
    </row>
    <row r="1635" spans="2:22" s="37" customFormat="1" x14ac:dyDescent="0.2">
      <c r="B1635" s="92"/>
      <c r="C1635" s="93"/>
      <c r="D1635" s="38"/>
      <c r="E1635" s="38"/>
      <c r="F1635" s="38"/>
      <c r="G1635" s="38"/>
      <c r="H1635" s="38"/>
      <c r="I1635" s="38"/>
      <c r="J1635" s="38"/>
      <c r="K1635" s="38"/>
      <c r="L1635" s="38"/>
      <c r="M1635" s="38"/>
      <c r="N1635" s="38"/>
      <c r="O1635" s="38"/>
      <c r="P1635" s="38"/>
      <c r="Q1635" s="38"/>
      <c r="R1635" s="38"/>
      <c r="S1635" s="38"/>
      <c r="T1635" s="38"/>
      <c r="U1635" s="38"/>
      <c r="V1635" s="39"/>
    </row>
    <row r="1636" spans="2:22" s="37" customFormat="1" x14ac:dyDescent="0.2">
      <c r="B1636" s="92"/>
      <c r="C1636" s="93"/>
      <c r="D1636" s="38"/>
      <c r="E1636" s="38"/>
      <c r="F1636" s="38"/>
      <c r="G1636" s="38"/>
      <c r="H1636" s="38"/>
      <c r="I1636" s="38"/>
      <c r="J1636" s="38"/>
      <c r="K1636" s="38"/>
      <c r="L1636" s="38"/>
      <c r="M1636" s="38"/>
      <c r="N1636" s="38"/>
      <c r="O1636" s="38"/>
      <c r="P1636" s="38"/>
      <c r="Q1636" s="38"/>
      <c r="R1636" s="38"/>
      <c r="S1636" s="38"/>
      <c r="T1636" s="38"/>
      <c r="U1636" s="38"/>
      <c r="V1636" s="39"/>
    </row>
    <row r="1637" spans="2:22" s="37" customFormat="1" x14ac:dyDescent="0.2">
      <c r="B1637" s="92"/>
      <c r="C1637" s="93"/>
      <c r="D1637" s="38"/>
      <c r="E1637" s="38"/>
      <c r="F1637" s="38"/>
      <c r="G1637" s="38"/>
      <c r="H1637" s="38"/>
      <c r="I1637" s="38"/>
      <c r="J1637" s="38"/>
      <c r="K1637" s="38"/>
      <c r="L1637" s="38"/>
      <c r="M1637" s="38"/>
      <c r="N1637" s="38"/>
      <c r="O1637" s="38"/>
      <c r="P1637" s="38"/>
      <c r="Q1637" s="38"/>
      <c r="R1637" s="38"/>
      <c r="S1637" s="38"/>
      <c r="T1637" s="38"/>
      <c r="U1637" s="38"/>
      <c r="V1637" s="39"/>
    </row>
    <row r="1638" spans="2:22" s="37" customFormat="1" x14ac:dyDescent="0.2">
      <c r="B1638" s="92"/>
      <c r="C1638" s="93"/>
      <c r="D1638" s="38"/>
      <c r="E1638" s="38"/>
      <c r="F1638" s="38"/>
      <c r="G1638" s="38"/>
      <c r="H1638" s="38"/>
      <c r="I1638" s="38"/>
      <c r="J1638" s="38"/>
      <c r="K1638" s="38"/>
      <c r="L1638" s="38"/>
      <c r="M1638" s="38"/>
      <c r="N1638" s="38"/>
      <c r="O1638" s="38"/>
      <c r="P1638" s="38"/>
      <c r="Q1638" s="38"/>
      <c r="R1638" s="38"/>
      <c r="S1638" s="38"/>
      <c r="T1638" s="38"/>
      <c r="U1638" s="38"/>
      <c r="V1638" s="39"/>
    </row>
    <row r="1639" spans="2:22" s="37" customFormat="1" x14ac:dyDescent="0.2">
      <c r="B1639" s="92"/>
      <c r="C1639" s="93"/>
      <c r="D1639" s="38"/>
      <c r="E1639" s="38"/>
      <c r="F1639" s="38"/>
      <c r="G1639" s="38"/>
      <c r="H1639" s="38"/>
      <c r="I1639" s="38"/>
      <c r="J1639" s="38"/>
      <c r="K1639" s="38"/>
      <c r="L1639" s="38"/>
      <c r="M1639" s="38"/>
      <c r="N1639" s="38"/>
      <c r="O1639" s="38"/>
      <c r="P1639" s="38"/>
      <c r="Q1639" s="38"/>
      <c r="R1639" s="38"/>
      <c r="S1639" s="38"/>
      <c r="T1639" s="38"/>
      <c r="U1639" s="38"/>
      <c r="V1639" s="39"/>
    </row>
    <row r="1640" spans="2:22" s="37" customFormat="1" x14ac:dyDescent="0.2">
      <c r="B1640" s="92"/>
      <c r="C1640" s="93"/>
      <c r="D1640" s="38"/>
      <c r="E1640" s="38"/>
      <c r="F1640" s="38"/>
      <c r="G1640" s="38"/>
      <c r="H1640" s="38"/>
      <c r="I1640" s="38"/>
      <c r="J1640" s="38"/>
      <c r="K1640" s="38"/>
      <c r="L1640" s="38"/>
      <c r="M1640" s="38"/>
      <c r="N1640" s="38"/>
      <c r="O1640" s="38"/>
      <c r="P1640" s="38"/>
      <c r="Q1640" s="38"/>
      <c r="R1640" s="38"/>
      <c r="S1640" s="38"/>
      <c r="T1640" s="38"/>
      <c r="U1640" s="38"/>
      <c r="V1640" s="39"/>
    </row>
    <row r="1641" spans="2:22" s="37" customFormat="1" x14ac:dyDescent="0.2">
      <c r="B1641" s="92"/>
      <c r="C1641" s="93"/>
      <c r="D1641" s="38"/>
      <c r="E1641" s="38"/>
      <c r="F1641" s="38"/>
      <c r="G1641" s="38"/>
      <c r="H1641" s="38"/>
      <c r="I1641" s="38"/>
      <c r="J1641" s="38"/>
      <c r="K1641" s="38"/>
      <c r="L1641" s="38"/>
      <c r="M1641" s="38"/>
      <c r="N1641" s="38"/>
      <c r="O1641" s="38"/>
      <c r="P1641" s="38"/>
      <c r="Q1641" s="38"/>
      <c r="R1641" s="38"/>
      <c r="S1641" s="38"/>
      <c r="T1641" s="38"/>
      <c r="U1641" s="38"/>
      <c r="V1641" s="39"/>
    </row>
    <row r="1642" spans="2:22" s="37" customFormat="1" x14ac:dyDescent="0.2">
      <c r="B1642" s="92"/>
      <c r="C1642" s="93"/>
      <c r="D1642" s="38"/>
      <c r="E1642" s="38"/>
      <c r="F1642" s="38"/>
      <c r="G1642" s="38"/>
      <c r="H1642" s="38"/>
      <c r="I1642" s="38"/>
      <c r="J1642" s="38"/>
      <c r="K1642" s="38"/>
      <c r="L1642" s="38"/>
      <c r="M1642" s="38"/>
      <c r="N1642" s="38"/>
      <c r="O1642" s="38"/>
      <c r="P1642" s="38"/>
      <c r="Q1642" s="38"/>
      <c r="R1642" s="38"/>
      <c r="S1642" s="38"/>
      <c r="T1642" s="38"/>
      <c r="U1642" s="38"/>
      <c r="V1642" s="39"/>
    </row>
    <row r="1643" spans="2:22" s="37" customFormat="1" x14ac:dyDescent="0.2">
      <c r="B1643" s="92"/>
      <c r="C1643" s="93"/>
      <c r="D1643" s="38"/>
      <c r="E1643" s="38"/>
      <c r="F1643" s="38"/>
      <c r="G1643" s="38"/>
      <c r="H1643" s="38"/>
      <c r="I1643" s="38"/>
      <c r="J1643" s="38"/>
      <c r="K1643" s="38"/>
      <c r="L1643" s="38"/>
      <c r="M1643" s="38"/>
      <c r="N1643" s="38"/>
      <c r="O1643" s="38"/>
      <c r="P1643" s="38"/>
      <c r="Q1643" s="38"/>
      <c r="R1643" s="38"/>
      <c r="S1643" s="38"/>
      <c r="T1643" s="38"/>
      <c r="U1643" s="38"/>
      <c r="V1643" s="39"/>
    </row>
    <row r="1644" spans="2:22" s="37" customFormat="1" x14ac:dyDescent="0.2">
      <c r="B1644" s="92"/>
      <c r="C1644" s="93"/>
      <c r="D1644" s="38"/>
      <c r="E1644" s="38"/>
      <c r="F1644" s="38"/>
      <c r="G1644" s="38"/>
      <c r="H1644" s="38"/>
      <c r="I1644" s="38"/>
      <c r="J1644" s="38"/>
      <c r="K1644" s="38"/>
      <c r="L1644" s="38"/>
      <c r="M1644" s="38"/>
      <c r="N1644" s="38"/>
      <c r="O1644" s="38"/>
      <c r="P1644" s="38"/>
      <c r="Q1644" s="38"/>
      <c r="R1644" s="38"/>
      <c r="S1644" s="38"/>
      <c r="T1644" s="38"/>
      <c r="U1644" s="38"/>
      <c r="V1644" s="39"/>
    </row>
    <row r="1645" spans="2:22" s="37" customFormat="1" x14ac:dyDescent="0.2">
      <c r="B1645" s="92"/>
      <c r="C1645" s="93"/>
      <c r="D1645" s="38"/>
      <c r="E1645" s="38"/>
      <c r="F1645" s="38"/>
      <c r="G1645" s="38"/>
      <c r="H1645" s="38"/>
      <c r="I1645" s="38"/>
      <c r="J1645" s="38"/>
      <c r="K1645" s="38"/>
      <c r="L1645" s="38"/>
      <c r="M1645" s="38"/>
      <c r="N1645" s="38"/>
      <c r="O1645" s="38"/>
      <c r="P1645" s="38"/>
      <c r="Q1645" s="38"/>
      <c r="R1645" s="38"/>
      <c r="S1645" s="38"/>
      <c r="T1645" s="38"/>
      <c r="U1645" s="38"/>
      <c r="V1645" s="39"/>
    </row>
    <row r="1646" spans="2:22" s="37" customFormat="1" x14ac:dyDescent="0.2">
      <c r="B1646" s="92"/>
      <c r="C1646" s="93"/>
      <c r="D1646" s="38"/>
      <c r="E1646" s="38"/>
      <c r="F1646" s="38"/>
      <c r="G1646" s="38"/>
      <c r="H1646" s="38"/>
      <c r="I1646" s="38"/>
      <c r="J1646" s="38"/>
      <c r="K1646" s="38"/>
      <c r="L1646" s="38"/>
      <c r="M1646" s="38"/>
      <c r="N1646" s="38"/>
      <c r="O1646" s="38"/>
      <c r="P1646" s="38"/>
      <c r="Q1646" s="38"/>
      <c r="R1646" s="38"/>
      <c r="S1646" s="38"/>
      <c r="T1646" s="38"/>
      <c r="U1646" s="38"/>
      <c r="V1646" s="39"/>
    </row>
    <row r="1647" spans="2:22" s="37" customFormat="1" x14ac:dyDescent="0.2">
      <c r="B1647" s="92"/>
      <c r="C1647" s="93"/>
      <c r="D1647" s="38"/>
      <c r="E1647" s="38"/>
      <c r="F1647" s="38"/>
      <c r="G1647" s="38"/>
      <c r="H1647" s="38"/>
      <c r="I1647" s="38"/>
      <c r="J1647" s="38"/>
      <c r="K1647" s="38"/>
      <c r="L1647" s="38"/>
      <c r="M1647" s="38"/>
      <c r="N1647" s="38"/>
      <c r="O1647" s="38"/>
      <c r="P1647" s="38"/>
      <c r="Q1647" s="38"/>
      <c r="R1647" s="38"/>
      <c r="S1647" s="38"/>
      <c r="T1647" s="38"/>
      <c r="U1647" s="38"/>
      <c r="V1647" s="39"/>
    </row>
    <row r="1648" spans="2:22" s="37" customFormat="1" x14ac:dyDescent="0.2">
      <c r="B1648" s="92"/>
      <c r="C1648" s="93"/>
      <c r="D1648" s="38"/>
      <c r="E1648" s="38"/>
      <c r="F1648" s="38"/>
      <c r="G1648" s="38"/>
      <c r="H1648" s="38"/>
      <c r="I1648" s="38"/>
      <c r="J1648" s="38"/>
      <c r="K1648" s="38"/>
      <c r="L1648" s="38"/>
      <c r="M1648" s="38"/>
      <c r="N1648" s="38"/>
      <c r="O1648" s="38"/>
      <c r="P1648" s="38"/>
      <c r="Q1648" s="38"/>
      <c r="R1648" s="38"/>
      <c r="S1648" s="38"/>
      <c r="T1648" s="38"/>
      <c r="U1648" s="38"/>
      <c r="V1648" s="39"/>
    </row>
    <row r="1649" spans="2:22" s="37" customFormat="1" x14ac:dyDescent="0.2">
      <c r="B1649" s="92"/>
      <c r="C1649" s="93"/>
      <c r="D1649" s="38"/>
      <c r="E1649" s="38"/>
      <c r="F1649" s="38"/>
      <c r="G1649" s="38"/>
      <c r="H1649" s="38"/>
      <c r="I1649" s="38"/>
      <c r="J1649" s="38"/>
      <c r="K1649" s="38"/>
      <c r="L1649" s="38"/>
      <c r="M1649" s="38"/>
      <c r="N1649" s="38"/>
      <c r="O1649" s="38"/>
      <c r="P1649" s="38"/>
      <c r="Q1649" s="38"/>
      <c r="R1649" s="38"/>
      <c r="S1649" s="38"/>
      <c r="T1649" s="38"/>
      <c r="U1649" s="38"/>
      <c r="V1649" s="39"/>
    </row>
    <row r="1650" spans="2:22" s="37" customFormat="1" x14ac:dyDescent="0.2">
      <c r="B1650" s="92"/>
      <c r="C1650" s="93"/>
      <c r="D1650" s="38"/>
      <c r="E1650" s="38"/>
      <c r="F1650" s="38"/>
      <c r="G1650" s="38"/>
      <c r="H1650" s="38"/>
      <c r="I1650" s="38"/>
      <c r="J1650" s="38"/>
      <c r="K1650" s="38"/>
      <c r="L1650" s="38"/>
      <c r="M1650" s="38"/>
      <c r="N1650" s="38"/>
      <c r="O1650" s="38"/>
      <c r="P1650" s="38"/>
      <c r="Q1650" s="38"/>
      <c r="R1650" s="38"/>
      <c r="S1650" s="38"/>
      <c r="T1650" s="38"/>
      <c r="U1650" s="38"/>
      <c r="V1650" s="39"/>
    </row>
    <row r="1651" spans="2:22" s="37" customFormat="1" x14ac:dyDescent="0.2">
      <c r="B1651" s="92"/>
      <c r="C1651" s="93"/>
      <c r="D1651" s="38"/>
      <c r="E1651" s="38"/>
      <c r="F1651" s="38"/>
      <c r="G1651" s="38"/>
      <c r="H1651" s="38"/>
      <c r="I1651" s="38"/>
      <c r="J1651" s="38"/>
      <c r="K1651" s="38"/>
      <c r="L1651" s="38"/>
      <c r="M1651" s="38"/>
      <c r="N1651" s="38"/>
      <c r="O1651" s="38"/>
      <c r="P1651" s="38"/>
      <c r="Q1651" s="38"/>
      <c r="R1651" s="38"/>
      <c r="S1651" s="38"/>
      <c r="T1651" s="38"/>
      <c r="U1651" s="38"/>
      <c r="V1651" s="39"/>
    </row>
    <row r="1652" spans="2:22" s="37" customFormat="1" x14ac:dyDescent="0.2">
      <c r="B1652" s="92"/>
      <c r="C1652" s="93"/>
      <c r="D1652" s="38"/>
      <c r="E1652" s="38"/>
      <c r="F1652" s="38"/>
      <c r="G1652" s="38"/>
      <c r="H1652" s="38"/>
      <c r="I1652" s="38"/>
      <c r="J1652" s="38"/>
      <c r="K1652" s="38"/>
      <c r="L1652" s="38"/>
      <c r="M1652" s="38"/>
      <c r="N1652" s="38"/>
      <c r="O1652" s="38"/>
      <c r="P1652" s="38"/>
      <c r="Q1652" s="38"/>
      <c r="R1652" s="38"/>
      <c r="S1652" s="38"/>
      <c r="T1652" s="38"/>
      <c r="U1652" s="38"/>
      <c r="V1652" s="39"/>
    </row>
    <row r="1653" spans="2:22" s="37" customFormat="1" x14ac:dyDescent="0.2">
      <c r="B1653" s="92"/>
      <c r="C1653" s="93"/>
      <c r="D1653" s="38"/>
      <c r="E1653" s="38"/>
      <c r="F1653" s="38"/>
      <c r="G1653" s="38"/>
      <c r="H1653" s="38"/>
      <c r="I1653" s="38"/>
      <c r="J1653" s="38"/>
      <c r="K1653" s="38"/>
      <c r="L1653" s="38"/>
      <c r="M1653" s="38"/>
      <c r="N1653" s="38"/>
      <c r="O1653" s="38"/>
      <c r="P1653" s="38"/>
      <c r="Q1653" s="38"/>
      <c r="R1653" s="38"/>
      <c r="S1653" s="38"/>
      <c r="T1653" s="38"/>
      <c r="U1653" s="38"/>
      <c r="V1653" s="39"/>
    </row>
    <row r="1654" spans="2:22" s="37" customFormat="1" x14ac:dyDescent="0.2">
      <c r="B1654" s="92"/>
      <c r="C1654" s="93"/>
      <c r="D1654" s="38"/>
      <c r="E1654" s="38"/>
      <c r="F1654" s="38"/>
      <c r="G1654" s="38"/>
      <c r="H1654" s="38"/>
      <c r="I1654" s="38"/>
      <c r="J1654" s="38"/>
      <c r="K1654" s="38"/>
      <c r="L1654" s="38"/>
      <c r="M1654" s="38"/>
      <c r="N1654" s="38"/>
      <c r="O1654" s="38"/>
      <c r="P1654" s="38"/>
      <c r="Q1654" s="38"/>
      <c r="R1654" s="38"/>
      <c r="S1654" s="38"/>
      <c r="T1654" s="38"/>
      <c r="U1654" s="38"/>
      <c r="V1654" s="39"/>
    </row>
    <row r="1655" spans="2:22" s="37" customFormat="1" x14ac:dyDescent="0.2">
      <c r="B1655" s="92"/>
      <c r="C1655" s="93"/>
      <c r="D1655" s="38"/>
      <c r="E1655" s="38"/>
      <c r="F1655" s="38"/>
      <c r="G1655" s="38"/>
      <c r="H1655" s="38"/>
      <c r="I1655" s="38"/>
      <c r="J1655" s="38"/>
      <c r="K1655" s="38"/>
      <c r="L1655" s="38"/>
      <c r="M1655" s="38"/>
      <c r="N1655" s="38"/>
      <c r="O1655" s="38"/>
      <c r="P1655" s="38"/>
      <c r="Q1655" s="38"/>
      <c r="R1655" s="38"/>
      <c r="S1655" s="38"/>
      <c r="T1655" s="38"/>
      <c r="U1655" s="38"/>
      <c r="V1655" s="39"/>
    </row>
    <row r="1656" spans="2:22" s="37" customFormat="1" x14ac:dyDescent="0.2">
      <c r="B1656" s="92"/>
      <c r="C1656" s="93"/>
      <c r="D1656" s="38"/>
      <c r="E1656" s="38"/>
      <c r="F1656" s="38"/>
      <c r="G1656" s="38"/>
      <c r="H1656" s="38"/>
      <c r="I1656" s="38"/>
      <c r="J1656" s="38"/>
      <c r="K1656" s="38"/>
      <c r="L1656" s="38"/>
      <c r="M1656" s="38"/>
      <c r="N1656" s="38"/>
      <c r="O1656" s="38"/>
      <c r="P1656" s="38"/>
      <c r="Q1656" s="38"/>
      <c r="R1656" s="38"/>
      <c r="S1656" s="38"/>
      <c r="T1656" s="38"/>
      <c r="U1656" s="38"/>
      <c r="V1656" s="39"/>
    </row>
    <row r="1657" spans="2:22" s="37" customFormat="1" x14ac:dyDescent="0.2">
      <c r="B1657" s="92"/>
      <c r="C1657" s="93"/>
      <c r="D1657" s="38"/>
      <c r="E1657" s="38"/>
      <c r="F1657" s="38"/>
      <c r="G1657" s="38"/>
      <c r="H1657" s="38"/>
      <c r="I1657" s="38"/>
      <c r="J1657" s="38"/>
      <c r="K1657" s="38"/>
      <c r="L1657" s="38"/>
      <c r="M1657" s="38"/>
      <c r="N1657" s="38"/>
      <c r="O1657" s="38"/>
      <c r="P1657" s="38"/>
      <c r="Q1657" s="38"/>
      <c r="R1657" s="38"/>
      <c r="S1657" s="38"/>
      <c r="T1657" s="38"/>
      <c r="U1657" s="38"/>
      <c r="V1657" s="39"/>
    </row>
    <row r="1658" spans="2:22" s="37" customFormat="1" x14ac:dyDescent="0.2">
      <c r="B1658" s="92"/>
      <c r="C1658" s="93"/>
      <c r="D1658" s="38"/>
      <c r="E1658" s="38"/>
      <c r="F1658" s="38"/>
      <c r="G1658" s="38"/>
      <c r="H1658" s="38"/>
      <c r="I1658" s="38"/>
      <c r="J1658" s="38"/>
      <c r="K1658" s="38"/>
      <c r="L1658" s="38"/>
      <c r="M1658" s="38"/>
      <c r="N1658" s="38"/>
      <c r="O1658" s="38"/>
      <c r="P1658" s="38"/>
      <c r="Q1658" s="38"/>
      <c r="R1658" s="38"/>
      <c r="S1658" s="38"/>
      <c r="T1658" s="38"/>
      <c r="U1658" s="38"/>
      <c r="V1658" s="39"/>
    </row>
    <row r="1659" spans="2:22" s="37" customFormat="1" x14ac:dyDescent="0.2">
      <c r="B1659" s="92"/>
      <c r="C1659" s="93"/>
      <c r="D1659" s="38"/>
      <c r="E1659" s="38"/>
      <c r="F1659" s="38"/>
      <c r="G1659" s="38"/>
      <c r="H1659" s="38"/>
      <c r="I1659" s="38"/>
      <c r="J1659" s="38"/>
      <c r="K1659" s="38"/>
      <c r="L1659" s="38"/>
      <c r="M1659" s="38"/>
      <c r="N1659" s="38"/>
      <c r="O1659" s="38"/>
      <c r="P1659" s="38"/>
      <c r="Q1659" s="38"/>
      <c r="R1659" s="38"/>
      <c r="S1659" s="38"/>
      <c r="T1659" s="38"/>
      <c r="U1659" s="38"/>
      <c r="V1659" s="39"/>
    </row>
    <row r="1660" spans="2:22" s="37" customFormat="1" x14ac:dyDescent="0.2">
      <c r="B1660" s="92"/>
      <c r="C1660" s="93"/>
      <c r="D1660" s="38"/>
      <c r="E1660" s="38"/>
      <c r="F1660" s="38"/>
      <c r="G1660" s="38"/>
      <c r="H1660" s="38"/>
      <c r="I1660" s="38"/>
      <c r="J1660" s="38"/>
      <c r="K1660" s="38"/>
      <c r="L1660" s="38"/>
      <c r="M1660" s="38"/>
      <c r="N1660" s="38"/>
      <c r="O1660" s="38"/>
      <c r="P1660" s="38"/>
      <c r="Q1660" s="38"/>
      <c r="R1660" s="38"/>
      <c r="S1660" s="38"/>
      <c r="T1660" s="38"/>
      <c r="U1660" s="38"/>
      <c r="V1660" s="39"/>
    </row>
    <row r="1661" spans="2:22" s="37" customFormat="1" x14ac:dyDescent="0.2">
      <c r="B1661" s="92"/>
      <c r="C1661" s="93"/>
      <c r="D1661" s="38"/>
      <c r="E1661" s="38"/>
      <c r="F1661" s="38"/>
      <c r="G1661" s="38"/>
      <c r="H1661" s="38"/>
      <c r="I1661" s="38"/>
      <c r="J1661" s="38"/>
      <c r="K1661" s="38"/>
      <c r="L1661" s="38"/>
      <c r="M1661" s="38"/>
      <c r="N1661" s="38"/>
      <c r="O1661" s="38"/>
      <c r="P1661" s="38"/>
      <c r="Q1661" s="38"/>
      <c r="R1661" s="38"/>
      <c r="S1661" s="38"/>
      <c r="T1661" s="38"/>
      <c r="U1661" s="38"/>
      <c r="V1661" s="39"/>
    </row>
    <row r="1662" spans="2:22" s="37" customFormat="1" x14ac:dyDescent="0.2">
      <c r="B1662" s="92"/>
      <c r="C1662" s="93"/>
      <c r="D1662" s="38"/>
      <c r="E1662" s="38"/>
      <c r="F1662" s="38"/>
      <c r="G1662" s="38"/>
      <c r="H1662" s="38"/>
      <c r="I1662" s="38"/>
      <c r="J1662" s="38"/>
      <c r="K1662" s="38"/>
      <c r="L1662" s="38"/>
      <c r="M1662" s="38"/>
      <c r="N1662" s="38"/>
      <c r="O1662" s="38"/>
      <c r="P1662" s="38"/>
      <c r="Q1662" s="38"/>
      <c r="R1662" s="38"/>
      <c r="S1662" s="38"/>
      <c r="T1662" s="38"/>
      <c r="U1662" s="38"/>
      <c r="V1662" s="39"/>
    </row>
    <row r="1663" spans="2:22" s="37" customFormat="1" x14ac:dyDescent="0.2">
      <c r="B1663" s="92"/>
      <c r="C1663" s="93"/>
      <c r="D1663" s="38"/>
      <c r="E1663" s="38"/>
      <c r="F1663" s="38"/>
      <c r="G1663" s="38"/>
      <c r="H1663" s="38"/>
      <c r="I1663" s="38"/>
      <c r="J1663" s="38"/>
      <c r="K1663" s="38"/>
      <c r="L1663" s="38"/>
      <c r="M1663" s="38"/>
      <c r="N1663" s="38"/>
      <c r="O1663" s="38"/>
      <c r="P1663" s="38"/>
      <c r="Q1663" s="38"/>
      <c r="R1663" s="38"/>
      <c r="S1663" s="38"/>
      <c r="T1663" s="38"/>
      <c r="U1663" s="38"/>
      <c r="V1663" s="39"/>
    </row>
    <row r="1664" spans="2:22" s="37" customFormat="1" x14ac:dyDescent="0.2">
      <c r="B1664" s="92"/>
      <c r="C1664" s="93"/>
      <c r="D1664" s="38"/>
      <c r="E1664" s="38"/>
      <c r="F1664" s="38"/>
      <c r="G1664" s="38"/>
      <c r="H1664" s="38"/>
      <c r="I1664" s="38"/>
      <c r="J1664" s="38"/>
      <c r="K1664" s="38"/>
      <c r="L1664" s="38"/>
      <c r="M1664" s="38"/>
      <c r="N1664" s="38"/>
      <c r="O1664" s="38"/>
      <c r="P1664" s="38"/>
      <c r="Q1664" s="38"/>
      <c r="R1664" s="38"/>
      <c r="S1664" s="38"/>
      <c r="T1664" s="38"/>
      <c r="U1664" s="38"/>
      <c r="V1664" s="39"/>
    </row>
    <row r="1665" spans="2:22" s="37" customFormat="1" x14ac:dyDescent="0.2">
      <c r="B1665" s="92"/>
      <c r="C1665" s="93"/>
      <c r="D1665" s="38"/>
      <c r="E1665" s="38"/>
      <c r="F1665" s="38"/>
      <c r="G1665" s="38"/>
      <c r="H1665" s="38"/>
      <c r="I1665" s="38"/>
      <c r="J1665" s="38"/>
      <c r="K1665" s="38"/>
      <c r="L1665" s="38"/>
      <c r="M1665" s="38"/>
      <c r="N1665" s="38"/>
      <c r="O1665" s="38"/>
      <c r="P1665" s="38"/>
      <c r="Q1665" s="38"/>
      <c r="R1665" s="38"/>
      <c r="S1665" s="38"/>
      <c r="T1665" s="38"/>
      <c r="U1665" s="38"/>
      <c r="V1665" s="39"/>
    </row>
    <row r="1666" spans="2:22" s="37" customFormat="1" x14ac:dyDescent="0.2">
      <c r="B1666" s="92"/>
      <c r="C1666" s="93"/>
      <c r="D1666" s="38"/>
      <c r="E1666" s="38"/>
      <c r="F1666" s="38"/>
      <c r="G1666" s="38"/>
      <c r="H1666" s="38"/>
      <c r="I1666" s="38"/>
      <c r="J1666" s="38"/>
      <c r="K1666" s="38"/>
      <c r="L1666" s="38"/>
      <c r="M1666" s="38"/>
      <c r="N1666" s="38"/>
      <c r="O1666" s="38"/>
      <c r="P1666" s="38"/>
      <c r="Q1666" s="38"/>
      <c r="R1666" s="38"/>
      <c r="S1666" s="38"/>
      <c r="T1666" s="38"/>
      <c r="U1666" s="38"/>
      <c r="V1666" s="39"/>
    </row>
    <row r="1667" spans="2:22" s="37" customFormat="1" x14ac:dyDescent="0.2">
      <c r="B1667" s="92"/>
      <c r="C1667" s="93"/>
      <c r="D1667" s="38"/>
      <c r="E1667" s="38"/>
      <c r="F1667" s="38"/>
      <c r="G1667" s="38"/>
      <c r="H1667" s="38"/>
      <c r="I1667" s="38"/>
      <c r="J1667" s="38"/>
      <c r="K1667" s="38"/>
      <c r="L1667" s="38"/>
      <c r="M1667" s="38"/>
      <c r="N1667" s="38"/>
      <c r="O1667" s="38"/>
      <c r="P1667" s="38"/>
      <c r="Q1667" s="38"/>
      <c r="R1667" s="38"/>
      <c r="S1667" s="38"/>
      <c r="T1667" s="38"/>
      <c r="U1667" s="38"/>
      <c r="V1667" s="39"/>
    </row>
    <row r="1668" spans="2:22" s="37" customFormat="1" x14ac:dyDescent="0.2">
      <c r="B1668" s="92"/>
      <c r="C1668" s="93"/>
      <c r="D1668" s="38"/>
      <c r="E1668" s="38"/>
      <c r="F1668" s="38"/>
      <c r="G1668" s="38"/>
      <c r="H1668" s="38"/>
      <c r="I1668" s="38"/>
      <c r="J1668" s="38"/>
      <c r="K1668" s="38"/>
      <c r="L1668" s="38"/>
      <c r="M1668" s="38"/>
      <c r="N1668" s="38"/>
      <c r="O1668" s="38"/>
      <c r="P1668" s="38"/>
      <c r="Q1668" s="38"/>
      <c r="R1668" s="38"/>
      <c r="S1668" s="38"/>
      <c r="T1668" s="38"/>
      <c r="U1668" s="38"/>
      <c r="V1668" s="39"/>
    </row>
    <row r="1669" spans="2:22" s="37" customFormat="1" x14ac:dyDescent="0.2">
      <c r="B1669" s="92"/>
      <c r="C1669" s="93"/>
      <c r="D1669" s="38"/>
      <c r="E1669" s="38"/>
      <c r="F1669" s="38"/>
      <c r="G1669" s="38"/>
      <c r="H1669" s="38"/>
      <c r="I1669" s="38"/>
      <c r="J1669" s="38"/>
      <c r="K1669" s="38"/>
      <c r="L1669" s="38"/>
      <c r="M1669" s="38"/>
      <c r="N1669" s="38"/>
      <c r="O1669" s="38"/>
      <c r="P1669" s="38"/>
      <c r="Q1669" s="38"/>
      <c r="R1669" s="38"/>
      <c r="S1669" s="38"/>
      <c r="T1669" s="38"/>
      <c r="U1669" s="38"/>
      <c r="V1669" s="39"/>
    </row>
    <row r="1670" spans="2:22" s="37" customFormat="1" x14ac:dyDescent="0.2">
      <c r="B1670" s="92"/>
      <c r="C1670" s="93"/>
      <c r="D1670" s="38"/>
      <c r="E1670" s="38"/>
      <c r="F1670" s="38"/>
      <c r="G1670" s="38"/>
      <c r="H1670" s="38"/>
      <c r="I1670" s="38"/>
      <c r="J1670" s="38"/>
      <c r="K1670" s="38"/>
      <c r="L1670" s="38"/>
      <c r="M1670" s="38"/>
      <c r="N1670" s="38"/>
      <c r="O1670" s="38"/>
      <c r="P1670" s="38"/>
      <c r="Q1670" s="38"/>
      <c r="R1670" s="38"/>
      <c r="S1670" s="38"/>
      <c r="T1670" s="38"/>
      <c r="U1670" s="38"/>
      <c r="V1670" s="39"/>
    </row>
    <row r="1671" spans="2:22" s="37" customFormat="1" x14ac:dyDescent="0.2">
      <c r="B1671" s="92"/>
      <c r="C1671" s="93"/>
      <c r="D1671" s="38"/>
      <c r="E1671" s="38"/>
      <c r="F1671" s="38"/>
      <c r="G1671" s="38"/>
      <c r="H1671" s="38"/>
      <c r="I1671" s="38"/>
      <c r="J1671" s="38"/>
      <c r="K1671" s="38"/>
      <c r="L1671" s="38"/>
      <c r="M1671" s="38"/>
      <c r="N1671" s="38"/>
      <c r="O1671" s="38"/>
      <c r="P1671" s="38"/>
      <c r="Q1671" s="38"/>
      <c r="R1671" s="38"/>
      <c r="S1671" s="38"/>
      <c r="T1671" s="38"/>
      <c r="U1671" s="38"/>
      <c r="V1671" s="39"/>
    </row>
    <row r="1672" spans="2:22" s="37" customFormat="1" x14ac:dyDescent="0.2">
      <c r="B1672" s="92"/>
      <c r="C1672" s="93"/>
      <c r="D1672" s="38"/>
      <c r="E1672" s="38"/>
      <c r="F1672" s="38"/>
      <c r="G1672" s="38"/>
      <c r="H1672" s="38"/>
      <c r="I1672" s="38"/>
      <c r="J1672" s="38"/>
      <c r="K1672" s="38"/>
      <c r="L1672" s="38"/>
      <c r="M1672" s="38"/>
      <c r="N1672" s="38"/>
      <c r="O1672" s="38"/>
      <c r="P1672" s="38"/>
      <c r="Q1672" s="38"/>
      <c r="R1672" s="38"/>
      <c r="S1672" s="38"/>
      <c r="T1672" s="38"/>
      <c r="U1672" s="38"/>
      <c r="V1672" s="39"/>
    </row>
    <row r="1673" spans="2:22" s="37" customFormat="1" x14ac:dyDescent="0.2">
      <c r="B1673" s="92"/>
      <c r="C1673" s="93"/>
      <c r="D1673" s="38"/>
      <c r="E1673" s="38"/>
      <c r="F1673" s="38"/>
      <c r="G1673" s="38"/>
      <c r="H1673" s="38"/>
      <c r="I1673" s="38"/>
      <c r="J1673" s="38"/>
      <c r="K1673" s="38"/>
      <c r="L1673" s="38"/>
      <c r="M1673" s="38"/>
      <c r="N1673" s="38"/>
      <c r="O1673" s="38"/>
      <c r="P1673" s="38"/>
      <c r="Q1673" s="38"/>
      <c r="R1673" s="38"/>
      <c r="S1673" s="38"/>
      <c r="T1673" s="38"/>
      <c r="U1673" s="38"/>
      <c r="V1673" s="39"/>
    </row>
    <row r="1674" spans="2:22" s="37" customFormat="1" x14ac:dyDescent="0.2">
      <c r="B1674" s="92"/>
      <c r="C1674" s="93"/>
      <c r="D1674" s="38"/>
      <c r="E1674" s="38"/>
      <c r="F1674" s="38"/>
      <c r="G1674" s="38"/>
      <c r="H1674" s="38"/>
      <c r="I1674" s="38"/>
      <c r="J1674" s="38"/>
      <c r="K1674" s="38"/>
      <c r="L1674" s="38"/>
      <c r="M1674" s="38"/>
      <c r="N1674" s="38"/>
      <c r="O1674" s="38"/>
      <c r="P1674" s="38"/>
      <c r="Q1674" s="38"/>
      <c r="R1674" s="38"/>
      <c r="S1674" s="38"/>
      <c r="T1674" s="38"/>
      <c r="U1674" s="38"/>
      <c r="V1674" s="39"/>
    </row>
    <row r="1675" spans="2:22" s="37" customFormat="1" x14ac:dyDescent="0.2">
      <c r="B1675" s="92"/>
      <c r="C1675" s="93"/>
      <c r="D1675" s="38"/>
      <c r="E1675" s="38"/>
      <c r="F1675" s="38"/>
      <c r="G1675" s="38"/>
      <c r="H1675" s="38"/>
      <c r="I1675" s="38"/>
      <c r="J1675" s="38"/>
      <c r="K1675" s="38"/>
      <c r="L1675" s="38"/>
      <c r="M1675" s="38"/>
      <c r="N1675" s="38"/>
      <c r="O1675" s="38"/>
      <c r="P1675" s="38"/>
      <c r="Q1675" s="38"/>
      <c r="R1675" s="38"/>
      <c r="S1675" s="38"/>
      <c r="T1675" s="38"/>
      <c r="U1675" s="38"/>
      <c r="V1675" s="39"/>
    </row>
    <row r="1676" spans="2:22" s="37" customFormat="1" x14ac:dyDescent="0.2">
      <c r="B1676" s="92"/>
      <c r="C1676" s="93"/>
      <c r="D1676" s="38"/>
      <c r="E1676" s="38"/>
      <c r="F1676" s="38"/>
      <c r="G1676" s="38"/>
      <c r="H1676" s="38"/>
      <c r="I1676" s="38"/>
      <c r="J1676" s="38"/>
      <c r="K1676" s="38"/>
      <c r="L1676" s="38"/>
      <c r="M1676" s="38"/>
      <c r="N1676" s="38"/>
      <c r="O1676" s="38"/>
      <c r="P1676" s="38"/>
      <c r="Q1676" s="38"/>
      <c r="R1676" s="38"/>
      <c r="S1676" s="38"/>
      <c r="T1676" s="38"/>
      <c r="U1676" s="38"/>
      <c r="V1676" s="39"/>
    </row>
    <row r="1677" spans="2:22" s="37" customFormat="1" x14ac:dyDescent="0.2">
      <c r="B1677" s="92"/>
      <c r="C1677" s="93"/>
      <c r="D1677" s="38"/>
      <c r="E1677" s="38"/>
      <c r="F1677" s="38"/>
      <c r="G1677" s="38"/>
      <c r="H1677" s="38"/>
      <c r="I1677" s="38"/>
      <c r="J1677" s="38"/>
      <c r="K1677" s="38"/>
      <c r="L1677" s="38"/>
      <c r="M1677" s="38"/>
      <c r="N1677" s="38"/>
      <c r="O1677" s="38"/>
      <c r="P1677" s="38"/>
      <c r="Q1677" s="38"/>
      <c r="R1677" s="38"/>
      <c r="S1677" s="38"/>
      <c r="T1677" s="38"/>
      <c r="U1677" s="38"/>
      <c r="V1677" s="39"/>
    </row>
    <row r="1678" spans="2:22" s="37" customFormat="1" x14ac:dyDescent="0.2">
      <c r="B1678" s="92"/>
      <c r="C1678" s="93"/>
      <c r="D1678" s="38"/>
      <c r="E1678" s="38"/>
      <c r="F1678" s="38"/>
      <c r="G1678" s="38"/>
      <c r="H1678" s="38"/>
      <c r="I1678" s="38"/>
      <c r="J1678" s="38"/>
      <c r="K1678" s="38"/>
      <c r="L1678" s="38"/>
      <c r="M1678" s="38"/>
      <c r="N1678" s="38"/>
      <c r="O1678" s="38"/>
      <c r="P1678" s="38"/>
      <c r="Q1678" s="38"/>
      <c r="R1678" s="38"/>
      <c r="S1678" s="38"/>
      <c r="T1678" s="38"/>
      <c r="U1678" s="38"/>
      <c r="V1678" s="39"/>
    </row>
    <row r="1679" spans="2:22" s="37" customFormat="1" x14ac:dyDescent="0.2">
      <c r="B1679" s="92"/>
      <c r="C1679" s="93"/>
      <c r="D1679" s="38"/>
      <c r="E1679" s="38"/>
      <c r="F1679" s="38"/>
      <c r="G1679" s="38"/>
      <c r="H1679" s="38"/>
      <c r="I1679" s="38"/>
      <c r="J1679" s="38"/>
      <c r="K1679" s="38"/>
      <c r="L1679" s="38"/>
      <c r="M1679" s="38"/>
      <c r="N1679" s="38"/>
      <c r="O1679" s="38"/>
      <c r="P1679" s="38"/>
      <c r="Q1679" s="38"/>
      <c r="R1679" s="38"/>
      <c r="S1679" s="38"/>
      <c r="T1679" s="38"/>
      <c r="U1679" s="38"/>
      <c r="V1679" s="39"/>
    </row>
    <row r="1680" spans="2:22" s="37" customFormat="1" x14ac:dyDescent="0.2">
      <c r="B1680" s="92"/>
      <c r="C1680" s="93"/>
      <c r="D1680" s="38"/>
      <c r="E1680" s="38"/>
      <c r="F1680" s="38"/>
      <c r="G1680" s="38"/>
      <c r="H1680" s="38"/>
      <c r="I1680" s="38"/>
      <c r="J1680" s="38"/>
      <c r="K1680" s="38"/>
      <c r="L1680" s="38"/>
      <c r="M1680" s="38"/>
      <c r="N1680" s="38"/>
      <c r="O1680" s="38"/>
      <c r="P1680" s="38"/>
      <c r="Q1680" s="38"/>
      <c r="R1680" s="38"/>
      <c r="S1680" s="38"/>
      <c r="T1680" s="38"/>
      <c r="U1680" s="38"/>
      <c r="V1680" s="39"/>
    </row>
    <row r="1681" spans="2:22" s="37" customFormat="1" x14ac:dyDescent="0.2">
      <c r="B1681" s="92"/>
      <c r="C1681" s="93"/>
      <c r="D1681" s="38"/>
      <c r="E1681" s="38"/>
      <c r="F1681" s="38"/>
      <c r="G1681" s="38"/>
      <c r="H1681" s="38"/>
      <c r="I1681" s="38"/>
      <c r="J1681" s="38"/>
      <c r="K1681" s="38"/>
      <c r="L1681" s="38"/>
      <c r="M1681" s="38"/>
      <c r="N1681" s="38"/>
      <c r="O1681" s="38"/>
      <c r="P1681" s="38"/>
      <c r="Q1681" s="38"/>
      <c r="R1681" s="38"/>
      <c r="S1681" s="38"/>
      <c r="T1681" s="38"/>
      <c r="U1681" s="38"/>
      <c r="V1681" s="39"/>
    </row>
    <row r="1682" spans="2:22" s="37" customFormat="1" x14ac:dyDescent="0.2">
      <c r="B1682" s="92"/>
      <c r="C1682" s="93"/>
      <c r="D1682" s="38"/>
      <c r="E1682" s="38"/>
      <c r="F1682" s="38"/>
      <c r="G1682" s="38"/>
      <c r="H1682" s="38"/>
      <c r="I1682" s="38"/>
      <c r="J1682" s="38"/>
      <c r="K1682" s="38"/>
      <c r="L1682" s="38"/>
      <c r="M1682" s="38"/>
      <c r="N1682" s="38"/>
      <c r="O1682" s="38"/>
      <c r="P1682" s="38"/>
      <c r="Q1682" s="38"/>
      <c r="R1682" s="38"/>
      <c r="S1682" s="38"/>
      <c r="T1682" s="38"/>
      <c r="U1682" s="38"/>
      <c r="V1682" s="39"/>
    </row>
    <row r="1683" spans="2:22" s="37" customFormat="1" x14ac:dyDescent="0.2">
      <c r="B1683" s="92"/>
      <c r="C1683" s="93"/>
      <c r="D1683" s="38"/>
      <c r="E1683" s="38"/>
      <c r="F1683" s="38"/>
      <c r="G1683" s="38"/>
      <c r="H1683" s="38"/>
      <c r="I1683" s="38"/>
      <c r="J1683" s="38"/>
      <c r="K1683" s="38"/>
      <c r="L1683" s="38"/>
      <c r="M1683" s="38"/>
      <c r="N1683" s="38"/>
      <c r="O1683" s="38"/>
      <c r="P1683" s="38"/>
      <c r="Q1683" s="38"/>
      <c r="R1683" s="38"/>
      <c r="S1683" s="38"/>
      <c r="T1683" s="38"/>
      <c r="U1683" s="38"/>
      <c r="V1683" s="39"/>
    </row>
    <row r="1684" spans="2:22" s="37" customFormat="1" x14ac:dyDescent="0.2">
      <c r="B1684" s="92"/>
      <c r="C1684" s="93"/>
      <c r="D1684" s="38"/>
      <c r="E1684" s="38"/>
      <c r="F1684" s="38"/>
      <c r="G1684" s="38"/>
      <c r="H1684" s="38"/>
      <c r="I1684" s="38"/>
      <c r="J1684" s="38"/>
      <c r="K1684" s="38"/>
      <c r="L1684" s="38"/>
      <c r="M1684" s="38"/>
      <c r="N1684" s="38"/>
      <c r="O1684" s="38"/>
      <c r="P1684" s="38"/>
      <c r="Q1684" s="38"/>
      <c r="R1684" s="38"/>
      <c r="S1684" s="38"/>
      <c r="T1684" s="38"/>
      <c r="U1684" s="38"/>
      <c r="V1684" s="39"/>
    </row>
    <row r="1685" spans="2:22" s="37" customFormat="1" x14ac:dyDescent="0.2">
      <c r="B1685" s="92"/>
      <c r="C1685" s="93"/>
      <c r="D1685" s="38"/>
      <c r="E1685" s="38"/>
      <c r="F1685" s="38"/>
      <c r="G1685" s="38"/>
      <c r="H1685" s="38"/>
      <c r="I1685" s="38"/>
      <c r="J1685" s="38"/>
      <c r="K1685" s="38"/>
      <c r="L1685" s="38"/>
      <c r="M1685" s="38"/>
      <c r="N1685" s="38"/>
      <c r="O1685" s="38"/>
      <c r="P1685" s="38"/>
      <c r="Q1685" s="38"/>
      <c r="R1685" s="38"/>
      <c r="S1685" s="38"/>
      <c r="T1685" s="38"/>
      <c r="U1685" s="38"/>
      <c r="V1685" s="39"/>
    </row>
    <row r="1686" spans="2:22" s="37" customFormat="1" x14ac:dyDescent="0.2">
      <c r="B1686" s="92"/>
      <c r="C1686" s="93"/>
      <c r="D1686" s="38"/>
      <c r="E1686" s="38"/>
      <c r="F1686" s="38"/>
      <c r="G1686" s="38"/>
      <c r="H1686" s="38"/>
      <c r="I1686" s="38"/>
      <c r="J1686" s="38"/>
      <c r="K1686" s="38"/>
      <c r="L1686" s="38"/>
      <c r="M1686" s="38"/>
      <c r="N1686" s="38"/>
      <c r="O1686" s="38"/>
      <c r="P1686" s="38"/>
      <c r="Q1686" s="38"/>
      <c r="R1686" s="38"/>
      <c r="S1686" s="38"/>
      <c r="T1686" s="38"/>
      <c r="U1686" s="38"/>
      <c r="V1686" s="39"/>
    </row>
    <row r="1687" spans="2:22" s="37" customFormat="1" x14ac:dyDescent="0.2">
      <c r="B1687" s="92"/>
      <c r="C1687" s="93"/>
      <c r="D1687" s="38"/>
      <c r="E1687" s="38"/>
      <c r="F1687" s="38"/>
      <c r="G1687" s="38"/>
      <c r="H1687" s="38"/>
      <c r="I1687" s="38"/>
      <c r="J1687" s="38"/>
      <c r="K1687" s="38"/>
      <c r="L1687" s="38"/>
      <c r="M1687" s="38"/>
      <c r="N1687" s="38"/>
      <c r="O1687" s="38"/>
      <c r="P1687" s="38"/>
      <c r="Q1687" s="38"/>
      <c r="R1687" s="38"/>
      <c r="S1687" s="38"/>
      <c r="T1687" s="38"/>
      <c r="U1687" s="38"/>
      <c r="V1687" s="39"/>
    </row>
    <row r="1688" spans="2:22" s="37" customFormat="1" x14ac:dyDescent="0.2">
      <c r="B1688" s="92"/>
      <c r="C1688" s="93"/>
      <c r="D1688" s="38"/>
      <c r="E1688" s="38"/>
      <c r="F1688" s="38"/>
      <c r="G1688" s="38"/>
      <c r="H1688" s="38"/>
      <c r="I1688" s="38"/>
      <c r="J1688" s="38"/>
      <c r="K1688" s="38"/>
      <c r="L1688" s="38"/>
      <c r="M1688" s="38"/>
      <c r="N1688" s="38"/>
      <c r="O1688" s="38"/>
      <c r="P1688" s="38"/>
      <c r="Q1688" s="38"/>
      <c r="R1688" s="38"/>
      <c r="S1688" s="38"/>
      <c r="T1688" s="38"/>
      <c r="U1688" s="38"/>
      <c r="V1688" s="39"/>
    </row>
    <row r="1689" spans="2:22" s="37" customFormat="1" x14ac:dyDescent="0.2">
      <c r="B1689" s="92"/>
      <c r="C1689" s="93"/>
      <c r="D1689" s="38"/>
      <c r="E1689" s="38"/>
      <c r="F1689" s="38"/>
      <c r="G1689" s="38"/>
      <c r="H1689" s="38"/>
      <c r="I1689" s="38"/>
      <c r="J1689" s="38"/>
      <c r="K1689" s="38"/>
      <c r="L1689" s="38"/>
      <c r="M1689" s="38"/>
      <c r="N1689" s="38"/>
      <c r="O1689" s="38"/>
      <c r="P1689" s="38"/>
      <c r="Q1689" s="38"/>
      <c r="R1689" s="38"/>
      <c r="S1689" s="38"/>
      <c r="T1689" s="38"/>
      <c r="U1689" s="38"/>
      <c r="V1689" s="39"/>
    </row>
    <row r="1690" spans="2:22" s="37" customFormat="1" x14ac:dyDescent="0.2">
      <c r="B1690" s="92"/>
      <c r="C1690" s="93"/>
      <c r="D1690" s="38"/>
      <c r="E1690" s="38"/>
      <c r="F1690" s="38"/>
      <c r="G1690" s="38"/>
      <c r="H1690" s="38"/>
      <c r="I1690" s="38"/>
      <c r="J1690" s="38"/>
      <c r="K1690" s="38"/>
      <c r="L1690" s="38"/>
      <c r="M1690" s="38"/>
      <c r="N1690" s="38"/>
      <c r="O1690" s="38"/>
      <c r="P1690" s="38"/>
      <c r="Q1690" s="38"/>
      <c r="R1690" s="38"/>
      <c r="S1690" s="38"/>
      <c r="T1690" s="38"/>
      <c r="U1690" s="38"/>
      <c r="V1690" s="39"/>
    </row>
    <row r="1691" spans="2:22" s="37" customFormat="1" x14ac:dyDescent="0.2">
      <c r="B1691" s="92"/>
      <c r="C1691" s="93"/>
      <c r="D1691" s="38"/>
      <c r="E1691" s="38"/>
      <c r="F1691" s="38"/>
      <c r="G1691" s="38"/>
      <c r="H1691" s="38"/>
      <c r="I1691" s="38"/>
      <c r="J1691" s="38"/>
      <c r="K1691" s="38"/>
      <c r="L1691" s="38"/>
      <c r="M1691" s="38"/>
      <c r="N1691" s="38"/>
      <c r="O1691" s="38"/>
      <c r="P1691" s="38"/>
      <c r="Q1691" s="38"/>
      <c r="R1691" s="38"/>
      <c r="S1691" s="38"/>
      <c r="T1691" s="38"/>
      <c r="U1691" s="38"/>
      <c r="V1691" s="39"/>
    </row>
    <row r="1692" spans="2:22" s="37" customFormat="1" x14ac:dyDescent="0.2">
      <c r="B1692" s="92"/>
      <c r="C1692" s="93"/>
      <c r="D1692" s="38"/>
      <c r="E1692" s="38"/>
      <c r="F1692" s="38"/>
      <c r="G1692" s="38"/>
      <c r="H1692" s="38"/>
      <c r="I1692" s="38"/>
      <c r="J1692" s="38"/>
      <c r="K1692" s="38"/>
      <c r="L1692" s="38"/>
      <c r="M1692" s="38"/>
      <c r="N1692" s="38"/>
      <c r="O1692" s="38"/>
      <c r="P1692" s="38"/>
      <c r="Q1692" s="38"/>
      <c r="R1692" s="38"/>
      <c r="S1692" s="38"/>
      <c r="T1692" s="38"/>
      <c r="U1692" s="38"/>
      <c r="V1692" s="39"/>
    </row>
    <row r="1693" spans="2:22" s="37" customFormat="1" x14ac:dyDescent="0.2">
      <c r="B1693" s="92"/>
      <c r="C1693" s="93"/>
      <c r="D1693" s="38"/>
      <c r="E1693" s="38"/>
      <c r="F1693" s="38"/>
      <c r="G1693" s="38"/>
      <c r="H1693" s="38"/>
      <c r="I1693" s="38"/>
      <c r="J1693" s="38"/>
      <c r="K1693" s="38"/>
      <c r="L1693" s="38"/>
      <c r="M1693" s="38"/>
      <c r="N1693" s="38"/>
      <c r="O1693" s="38"/>
      <c r="P1693" s="38"/>
      <c r="Q1693" s="38"/>
      <c r="R1693" s="38"/>
      <c r="S1693" s="38"/>
      <c r="T1693" s="38"/>
      <c r="U1693" s="38"/>
      <c r="V1693" s="39"/>
    </row>
    <row r="1694" spans="2:22" s="37" customFormat="1" x14ac:dyDescent="0.2">
      <c r="B1694" s="92"/>
      <c r="C1694" s="93"/>
      <c r="D1694" s="38"/>
      <c r="E1694" s="38"/>
      <c r="F1694" s="38"/>
      <c r="G1694" s="38"/>
      <c r="H1694" s="38"/>
      <c r="I1694" s="38"/>
      <c r="J1694" s="38"/>
      <c r="K1694" s="38"/>
      <c r="L1694" s="38"/>
      <c r="M1694" s="38"/>
      <c r="N1694" s="38"/>
      <c r="O1694" s="38"/>
      <c r="P1694" s="38"/>
      <c r="Q1694" s="38"/>
      <c r="R1694" s="38"/>
      <c r="S1694" s="38"/>
      <c r="T1694" s="38"/>
      <c r="U1694" s="38"/>
      <c r="V1694" s="39"/>
    </row>
    <row r="1695" spans="2:22" s="37" customFormat="1" x14ac:dyDescent="0.2">
      <c r="B1695" s="92"/>
      <c r="C1695" s="93"/>
      <c r="D1695" s="38"/>
      <c r="E1695" s="38"/>
      <c r="F1695" s="38"/>
      <c r="G1695" s="38"/>
      <c r="H1695" s="38"/>
      <c r="I1695" s="38"/>
      <c r="J1695" s="38"/>
      <c r="K1695" s="38"/>
      <c r="L1695" s="38"/>
      <c r="M1695" s="38"/>
      <c r="N1695" s="38"/>
      <c r="O1695" s="38"/>
      <c r="P1695" s="38"/>
      <c r="Q1695" s="38"/>
      <c r="R1695" s="38"/>
      <c r="S1695" s="38"/>
      <c r="T1695" s="38"/>
      <c r="U1695" s="38"/>
      <c r="V1695" s="39"/>
    </row>
    <row r="1696" spans="2:22" s="37" customFormat="1" x14ac:dyDescent="0.2">
      <c r="B1696" s="92"/>
      <c r="C1696" s="93"/>
      <c r="D1696" s="38"/>
      <c r="E1696" s="38"/>
      <c r="F1696" s="38"/>
      <c r="G1696" s="38"/>
      <c r="H1696" s="38"/>
      <c r="I1696" s="38"/>
      <c r="J1696" s="38"/>
      <c r="K1696" s="38"/>
      <c r="L1696" s="38"/>
      <c r="M1696" s="38"/>
      <c r="N1696" s="38"/>
      <c r="O1696" s="38"/>
      <c r="P1696" s="38"/>
      <c r="Q1696" s="38"/>
      <c r="R1696" s="38"/>
      <c r="S1696" s="38"/>
      <c r="T1696" s="38"/>
      <c r="U1696" s="38"/>
      <c r="V1696" s="39"/>
    </row>
    <row r="1697" spans="2:22" s="37" customFormat="1" x14ac:dyDescent="0.2">
      <c r="B1697" s="92"/>
      <c r="C1697" s="93"/>
      <c r="D1697" s="38"/>
      <c r="E1697" s="38"/>
      <c r="F1697" s="38"/>
      <c r="G1697" s="38"/>
      <c r="H1697" s="38"/>
      <c r="I1697" s="38"/>
      <c r="J1697" s="38"/>
      <c r="K1697" s="38"/>
      <c r="L1697" s="38"/>
      <c r="M1697" s="38"/>
      <c r="N1697" s="38"/>
      <c r="O1697" s="38"/>
      <c r="P1697" s="38"/>
      <c r="Q1697" s="38"/>
      <c r="R1697" s="38"/>
      <c r="S1697" s="38"/>
      <c r="T1697" s="38"/>
      <c r="U1697" s="38"/>
      <c r="V1697" s="39"/>
    </row>
    <row r="1698" spans="2:22" s="37" customFormat="1" x14ac:dyDescent="0.2">
      <c r="B1698" s="92"/>
      <c r="C1698" s="93"/>
      <c r="D1698" s="38"/>
      <c r="E1698" s="38"/>
      <c r="F1698" s="38"/>
      <c r="G1698" s="38"/>
      <c r="H1698" s="38"/>
      <c r="I1698" s="38"/>
      <c r="J1698" s="38"/>
      <c r="K1698" s="38"/>
      <c r="L1698" s="38"/>
      <c r="M1698" s="38"/>
      <c r="N1698" s="38"/>
      <c r="O1698" s="38"/>
      <c r="P1698" s="38"/>
      <c r="Q1698" s="38"/>
      <c r="R1698" s="38"/>
      <c r="S1698" s="38"/>
      <c r="T1698" s="38"/>
      <c r="U1698" s="38"/>
      <c r="V1698" s="39"/>
    </row>
    <row r="1699" spans="2:22" s="37" customFormat="1" x14ac:dyDescent="0.2">
      <c r="B1699" s="92"/>
      <c r="C1699" s="93"/>
      <c r="D1699" s="38"/>
      <c r="E1699" s="38"/>
      <c r="F1699" s="38"/>
      <c r="G1699" s="38"/>
      <c r="H1699" s="38"/>
      <c r="I1699" s="38"/>
      <c r="J1699" s="38"/>
      <c r="K1699" s="38"/>
      <c r="L1699" s="38"/>
      <c r="M1699" s="38"/>
      <c r="N1699" s="38"/>
      <c r="O1699" s="38"/>
      <c r="P1699" s="38"/>
      <c r="Q1699" s="38"/>
      <c r="R1699" s="38"/>
      <c r="S1699" s="38"/>
      <c r="T1699" s="38"/>
      <c r="U1699" s="38"/>
      <c r="V1699" s="39"/>
    </row>
    <row r="1700" spans="2:22" s="37" customFormat="1" x14ac:dyDescent="0.2">
      <c r="B1700" s="92"/>
      <c r="C1700" s="93"/>
      <c r="D1700" s="38"/>
      <c r="E1700" s="38"/>
      <c r="F1700" s="38"/>
      <c r="G1700" s="38"/>
      <c r="H1700" s="38"/>
      <c r="I1700" s="38"/>
      <c r="J1700" s="38"/>
      <c r="K1700" s="38"/>
      <c r="L1700" s="38"/>
      <c r="M1700" s="38"/>
      <c r="N1700" s="38"/>
      <c r="O1700" s="38"/>
      <c r="P1700" s="38"/>
      <c r="Q1700" s="38"/>
      <c r="R1700" s="38"/>
      <c r="S1700" s="38"/>
      <c r="T1700" s="38"/>
      <c r="U1700" s="38"/>
      <c r="V1700" s="39"/>
    </row>
    <row r="1701" spans="2:22" s="37" customFormat="1" x14ac:dyDescent="0.2">
      <c r="B1701" s="92"/>
      <c r="C1701" s="93"/>
      <c r="D1701" s="38"/>
      <c r="E1701" s="38"/>
      <c r="F1701" s="38"/>
      <c r="G1701" s="38"/>
      <c r="H1701" s="38"/>
      <c r="I1701" s="38"/>
      <c r="J1701" s="38"/>
      <c r="K1701" s="38"/>
      <c r="L1701" s="38"/>
      <c r="M1701" s="38"/>
      <c r="N1701" s="38"/>
      <c r="O1701" s="38"/>
      <c r="P1701" s="38"/>
      <c r="Q1701" s="38"/>
      <c r="R1701" s="38"/>
      <c r="S1701" s="38"/>
      <c r="T1701" s="38"/>
      <c r="U1701" s="38"/>
      <c r="V1701" s="39"/>
    </row>
    <row r="1702" spans="2:22" s="37" customFormat="1" x14ac:dyDescent="0.2">
      <c r="B1702" s="92"/>
      <c r="C1702" s="93"/>
      <c r="D1702" s="38"/>
      <c r="E1702" s="38"/>
      <c r="F1702" s="38"/>
      <c r="G1702" s="38"/>
      <c r="H1702" s="38"/>
      <c r="I1702" s="38"/>
      <c r="J1702" s="38"/>
      <c r="K1702" s="38"/>
      <c r="L1702" s="38"/>
      <c r="M1702" s="38"/>
      <c r="N1702" s="38"/>
      <c r="O1702" s="38"/>
      <c r="P1702" s="38"/>
      <c r="Q1702" s="38"/>
      <c r="R1702" s="38"/>
      <c r="S1702" s="38"/>
      <c r="T1702" s="38"/>
      <c r="U1702" s="38"/>
      <c r="V1702" s="39"/>
    </row>
    <row r="1703" spans="2:22" s="37" customFormat="1" x14ac:dyDescent="0.2">
      <c r="B1703" s="92"/>
      <c r="C1703" s="93"/>
      <c r="D1703" s="38"/>
      <c r="E1703" s="38"/>
      <c r="F1703" s="38"/>
      <c r="G1703" s="38"/>
      <c r="H1703" s="38"/>
      <c r="I1703" s="38"/>
      <c r="J1703" s="38"/>
      <c r="K1703" s="38"/>
      <c r="L1703" s="38"/>
      <c r="M1703" s="38"/>
      <c r="N1703" s="38"/>
      <c r="O1703" s="38"/>
      <c r="P1703" s="38"/>
      <c r="Q1703" s="38"/>
      <c r="R1703" s="38"/>
      <c r="S1703" s="38"/>
      <c r="T1703" s="38"/>
      <c r="U1703" s="38"/>
      <c r="V1703" s="39"/>
    </row>
    <row r="1704" spans="2:22" s="37" customFormat="1" x14ac:dyDescent="0.2">
      <c r="B1704" s="92"/>
      <c r="C1704" s="93"/>
      <c r="D1704" s="38"/>
      <c r="E1704" s="38"/>
      <c r="F1704" s="38"/>
      <c r="G1704" s="38"/>
      <c r="H1704" s="38"/>
      <c r="I1704" s="38"/>
      <c r="J1704" s="38"/>
      <c r="K1704" s="38"/>
      <c r="L1704" s="38"/>
      <c r="M1704" s="38"/>
      <c r="N1704" s="38"/>
      <c r="O1704" s="38"/>
      <c r="P1704" s="38"/>
      <c r="Q1704" s="38"/>
      <c r="R1704" s="38"/>
      <c r="S1704" s="38"/>
      <c r="T1704" s="38"/>
      <c r="U1704" s="38"/>
      <c r="V1704" s="39"/>
    </row>
    <row r="1705" spans="2:22" s="37" customFormat="1" x14ac:dyDescent="0.2">
      <c r="B1705" s="92"/>
      <c r="C1705" s="93"/>
      <c r="D1705" s="38"/>
      <c r="E1705" s="38"/>
      <c r="F1705" s="38"/>
      <c r="G1705" s="38"/>
      <c r="H1705" s="38"/>
      <c r="I1705" s="38"/>
      <c r="J1705" s="38"/>
      <c r="K1705" s="38"/>
      <c r="L1705" s="38"/>
      <c r="M1705" s="38"/>
      <c r="N1705" s="38"/>
      <c r="O1705" s="38"/>
      <c r="P1705" s="38"/>
      <c r="Q1705" s="38"/>
      <c r="R1705" s="38"/>
      <c r="S1705" s="38"/>
      <c r="T1705" s="38"/>
      <c r="U1705" s="38"/>
      <c r="V1705" s="39"/>
    </row>
    <row r="1706" spans="2:22" s="37" customFormat="1" x14ac:dyDescent="0.2">
      <c r="B1706" s="92"/>
      <c r="C1706" s="93"/>
      <c r="D1706" s="38"/>
      <c r="E1706" s="38"/>
      <c r="F1706" s="38"/>
      <c r="G1706" s="38"/>
      <c r="H1706" s="38"/>
      <c r="I1706" s="38"/>
      <c r="J1706" s="38"/>
      <c r="K1706" s="38"/>
      <c r="L1706" s="38"/>
      <c r="M1706" s="38"/>
      <c r="N1706" s="38"/>
      <c r="O1706" s="38"/>
      <c r="P1706" s="38"/>
      <c r="Q1706" s="38"/>
      <c r="R1706" s="38"/>
      <c r="S1706" s="38"/>
      <c r="T1706" s="38"/>
      <c r="U1706" s="38"/>
      <c r="V1706" s="39"/>
    </row>
    <row r="1707" spans="2:22" s="37" customFormat="1" x14ac:dyDescent="0.2">
      <c r="B1707" s="92"/>
      <c r="C1707" s="93"/>
      <c r="D1707" s="38"/>
      <c r="E1707" s="38"/>
      <c r="F1707" s="38"/>
      <c r="G1707" s="38"/>
      <c r="H1707" s="38"/>
      <c r="I1707" s="38"/>
      <c r="J1707" s="38"/>
      <c r="K1707" s="38"/>
      <c r="L1707" s="38"/>
      <c r="M1707" s="38"/>
      <c r="N1707" s="38"/>
      <c r="O1707" s="38"/>
      <c r="P1707" s="38"/>
      <c r="Q1707" s="38"/>
      <c r="R1707" s="38"/>
      <c r="S1707" s="38"/>
      <c r="T1707" s="38"/>
      <c r="U1707" s="38"/>
      <c r="V1707" s="39"/>
    </row>
    <row r="1708" spans="2:22" s="37" customFormat="1" x14ac:dyDescent="0.2">
      <c r="B1708" s="92"/>
      <c r="C1708" s="93"/>
      <c r="D1708" s="38"/>
      <c r="E1708" s="38"/>
      <c r="F1708" s="38"/>
      <c r="G1708" s="38"/>
      <c r="H1708" s="38"/>
      <c r="I1708" s="38"/>
      <c r="J1708" s="38"/>
      <c r="K1708" s="38"/>
      <c r="L1708" s="38"/>
      <c r="M1708" s="38"/>
      <c r="N1708" s="38"/>
      <c r="O1708" s="38"/>
      <c r="P1708" s="38"/>
      <c r="Q1708" s="38"/>
      <c r="R1708" s="38"/>
      <c r="S1708" s="38"/>
      <c r="T1708" s="38"/>
      <c r="U1708" s="38"/>
      <c r="V1708" s="39"/>
    </row>
    <row r="1709" spans="2:22" s="37" customFormat="1" x14ac:dyDescent="0.2">
      <c r="B1709" s="92"/>
      <c r="C1709" s="93"/>
      <c r="D1709" s="38"/>
      <c r="E1709" s="38"/>
      <c r="F1709" s="38"/>
      <c r="G1709" s="38"/>
      <c r="H1709" s="38"/>
      <c r="I1709" s="38"/>
      <c r="J1709" s="38"/>
      <c r="K1709" s="38"/>
      <c r="L1709" s="38"/>
      <c r="M1709" s="38"/>
      <c r="N1709" s="38"/>
      <c r="O1709" s="38"/>
      <c r="P1709" s="38"/>
      <c r="Q1709" s="38"/>
      <c r="R1709" s="38"/>
      <c r="S1709" s="38"/>
      <c r="T1709" s="38"/>
      <c r="U1709" s="38"/>
      <c r="V1709" s="39"/>
    </row>
    <row r="1710" spans="2:22" s="37" customFormat="1" x14ac:dyDescent="0.2">
      <c r="B1710" s="92"/>
      <c r="C1710" s="93"/>
      <c r="D1710" s="38"/>
      <c r="E1710" s="38"/>
      <c r="F1710" s="38"/>
      <c r="G1710" s="38"/>
      <c r="H1710" s="38"/>
      <c r="I1710" s="38"/>
      <c r="J1710" s="38"/>
      <c r="K1710" s="38"/>
      <c r="L1710" s="38"/>
      <c r="M1710" s="38"/>
      <c r="N1710" s="38"/>
      <c r="O1710" s="38"/>
      <c r="P1710" s="38"/>
      <c r="Q1710" s="38"/>
      <c r="R1710" s="38"/>
      <c r="S1710" s="38"/>
      <c r="T1710" s="38"/>
      <c r="U1710" s="38"/>
      <c r="V1710" s="39"/>
    </row>
    <row r="1711" spans="2:22" s="37" customFormat="1" x14ac:dyDescent="0.2">
      <c r="B1711" s="92"/>
      <c r="C1711" s="93"/>
      <c r="D1711" s="38"/>
      <c r="E1711" s="38"/>
      <c r="F1711" s="38"/>
      <c r="G1711" s="38"/>
      <c r="H1711" s="38"/>
      <c r="I1711" s="38"/>
      <c r="J1711" s="38"/>
      <c r="K1711" s="38"/>
      <c r="L1711" s="38"/>
      <c r="M1711" s="38"/>
      <c r="N1711" s="38"/>
      <c r="O1711" s="38"/>
      <c r="P1711" s="38"/>
      <c r="Q1711" s="38"/>
      <c r="R1711" s="38"/>
      <c r="S1711" s="38"/>
      <c r="T1711" s="38"/>
      <c r="U1711" s="38"/>
      <c r="V1711" s="39"/>
    </row>
    <row r="1712" spans="2:22" s="37" customFormat="1" x14ac:dyDescent="0.2">
      <c r="B1712" s="92"/>
      <c r="C1712" s="93"/>
      <c r="D1712" s="38"/>
      <c r="E1712" s="38"/>
      <c r="F1712" s="38"/>
      <c r="G1712" s="38"/>
      <c r="H1712" s="38"/>
      <c r="I1712" s="38"/>
      <c r="J1712" s="38"/>
      <c r="K1712" s="38"/>
      <c r="L1712" s="38"/>
      <c r="M1712" s="38"/>
      <c r="N1712" s="38"/>
      <c r="O1712" s="38"/>
      <c r="P1712" s="38"/>
      <c r="Q1712" s="38"/>
      <c r="R1712" s="38"/>
      <c r="S1712" s="38"/>
      <c r="T1712" s="38"/>
      <c r="U1712" s="38"/>
      <c r="V1712" s="39"/>
    </row>
    <row r="1713" spans="2:22" s="37" customFormat="1" x14ac:dyDescent="0.2">
      <c r="B1713" s="92"/>
      <c r="C1713" s="93"/>
      <c r="D1713" s="38"/>
      <c r="E1713" s="38"/>
      <c r="F1713" s="38"/>
      <c r="G1713" s="38"/>
      <c r="H1713" s="38"/>
      <c r="I1713" s="38"/>
      <c r="J1713" s="38"/>
      <c r="K1713" s="38"/>
      <c r="L1713" s="38"/>
      <c r="M1713" s="38"/>
      <c r="N1713" s="38"/>
      <c r="O1713" s="38"/>
      <c r="P1713" s="38"/>
      <c r="Q1713" s="38"/>
      <c r="R1713" s="38"/>
      <c r="S1713" s="38"/>
      <c r="T1713" s="38"/>
      <c r="U1713" s="38"/>
      <c r="V1713" s="39"/>
    </row>
    <row r="1714" spans="2:22" s="37" customFormat="1" x14ac:dyDescent="0.2">
      <c r="B1714" s="92"/>
      <c r="C1714" s="93"/>
      <c r="D1714" s="38"/>
      <c r="E1714" s="38"/>
      <c r="F1714" s="38"/>
      <c r="G1714" s="38"/>
      <c r="H1714" s="38"/>
      <c r="I1714" s="38"/>
      <c r="J1714" s="38"/>
      <c r="K1714" s="38"/>
      <c r="L1714" s="38"/>
      <c r="M1714" s="38"/>
      <c r="N1714" s="38"/>
      <c r="O1714" s="38"/>
      <c r="P1714" s="38"/>
      <c r="Q1714" s="38"/>
      <c r="R1714" s="38"/>
      <c r="S1714" s="38"/>
      <c r="T1714" s="38"/>
      <c r="U1714" s="38"/>
      <c r="V1714" s="39"/>
    </row>
    <row r="1715" spans="2:22" s="37" customFormat="1" x14ac:dyDescent="0.2">
      <c r="B1715" s="92"/>
      <c r="C1715" s="93"/>
      <c r="D1715" s="38"/>
      <c r="E1715" s="38"/>
      <c r="F1715" s="38"/>
      <c r="G1715" s="38"/>
      <c r="H1715" s="38"/>
      <c r="I1715" s="38"/>
      <c r="J1715" s="38"/>
      <c r="K1715" s="38"/>
      <c r="L1715" s="38"/>
      <c r="M1715" s="38"/>
      <c r="N1715" s="38"/>
      <c r="O1715" s="38"/>
      <c r="P1715" s="38"/>
      <c r="Q1715" s="38"/>
      <c r="R1715" s="38"/>
      <c r="S1715" s="38"/>
      <c r="T1715" s="38"/>
      <c r="U1715" s="38"/>
      <c r="V1715" s="39"/>
    </row>
    <row r="1716" spans="2:22" s="37" customFormat="1" x14ac:dyDescent="0.2">
      <c r="B1716" s="92"/>
      <c r="C1716" s="93"/>
      <c r="D1716" s="38"/>
      <c r="E1716" s="38"/>
      <c r="F1716" s="38"/>
      <c r="G1716" s="38"/>
      <c r="H1716" s="38"/>
      <c r="I1716" s="38"/>
      <c r="J1716" s="38"/>
      <c r="K1716" s="38"/>
      <c r="L1716" s="38"/>
      <c r="M1716" s="38"/>
      <c r="N1716" s="38"/>
      <c r="O1716" s="38"/>
      <c r="P1716" s="38"/>
      <c r="Q1716" s="38"/>
      <c r="R1716" s="38"/>
      <c r="S1716" s="38"/>
      <c r="T1716" s="38"/>
      <c r="U1716" s="38"/>
      <c r="V1716" s="39"/>
    </row>
    <row r="1717" spans="2:22" s="37" customFormat="1" x14ac:dyDescent="0.2">
      <c r="B1717" s="92"/>
      <c r="C1717" s="93"/>
      <c r="D1717" s="38"/>
      <c r="E1717" s="38"/>
      <c r="F1717" s="38"/>
      <c r="G1717" s="38"/>
      <c r="H1717" s="38"/>
      <c r="I1717" s="38"/>
      <c r="J1717" s="38"/>
      <c r="K1717" s="38"/>
      <c r="L1717" s="38"/>
      <c r="M1717" s="38"/>
      <c r="N1717" s="38"/>
      <c r="O1717" s="38"/>
      <c r="P1717" s="38"/>
      <c r="Q1717" s="38"/>
      <c r="R1717" s="38"/>
      <c r="S1717" s="38"/>
      <c r="T1717" s="38"/>
      <c r="U1717" s="38"/>
      <c r="V1717" s="39"/>
    </row>
    <row r="1718" spans="2:22" s="37" customFormat="1" x14ac:dyDescent="0.2">
      <c r="B1718" s="92"/>
      <c r="C1718" s="93"/>
      <c r="D1718" s="38"/>
      <c r="E1718" s="38"/>
      <c r="F1718" s="38"/>
      <c r="G1718" s="38"/>
      <c r="H1718" s="38"/>
      <c r="I1718" s="38"/>
      <c r="J1718" s="38"/>
      <c r="K1718" s="38"/>
      <c r="L1718" s="38"/>
      <c r="M1718" s="38"/>
      <c r="N1718" s="38"/>
      <c r="O1718" s="38"/>
      <c r="P1718" s="38"/>
      <c r="Q1718" s="38"/>
      <c r="R1718" s="38"/>
      <c r="S1718" s="38"/>
      <c r="T1718" s="38"/>
      <c r="U1718" s="38"/>
      <c r="V1718" s="39"/>
    </row>
    <row r="1719" spans="2:22" s="37" customFormat="1" x14ac:dyDescent="0.2">
      <c r="B1719" s="92"/>
      <c r="C1719" s="93"/>
      <c r="D1719" s="38"/>
      <c r="E1719" s="38"/>
      <c r="F1719" s="38"/>
      <c r="G1719" s="38"/>
      <c r="H1719" s="38"/>
      <c r="I1719" s="38"/>
      <c r="J1719" s="38"/>
      <c r="K1719" s="38"/>
      <c r="L1719" s="38"/>
      <c r="M1719" s="38"/>
      <c r="N1719" s="38"/>
      <c r="O1719" s="38"/>
      <c r="P1719" s="38"/>
      <c r="Q1719" s="38"/>
      <c r="R1719" s="38"/>
      <c r="S1719" s="38"/>
      <c r="T1719" s="38"/>
      <c r="U1719" s="38"/>
      <c r="V1719" s="39"/>
    </row>
    <row r="1720" spans="2:22" s="37" customFormat="1" x14ac:dyDescent="0.2">
      <c r="B1720" s="92"/>
      <c r="C1720" s="93"/>
      <c r="D1720" s="38"/>
      <c r="E1720" s="38"/>
      <c r="F1720" s="38"/>
      <c r="G1720" s="38"/>
      <c r="H1720" s="38"/>
      <c r="I1720" s="38"/>
      <c r="J1720" s="38"/>
      <c r="K1720" s="38"/>
      <c r="L1720" s="38"/>
      <c r="M1720" s="38"/>
      <c r="N1720" s="38"/>
      <c r="O1720" s="38"/>
      <c r="P1720" s="38"/>
      <c r="Q1720" s="38"/>
      <c r="R1720" s="38"/>
      <c r="S1720" s="38"/>
      <c r="T1720" s="38"/>
      <c r="U1720" s="38"/>
      <c r="V1720" s="39"/>
    </row>
    <row r="1721" spans="2:22" s="37" customFormat="1" x14ac:dyDescent="0.2">
      <c r="B1721" s="92"/>
      <c r="C1721" s="93"/>
      <c r="D1721" s="38"/>
      <c r="E1721" s="38"/>
      <c r="F1721" s="38"/>
      <c r="G1721" s="38"/>
      <c r="H1721" s="38"/>
      <c r="I1721" s="38"/>
      <c r="J1721" s="38"/>
      <c r="K1721" s="38"/>
      <c r="L1721" s="38"/>
      <c r="M1721" s="38"/>
      <c r="N1721" s="38"/>
      <c r="O1721" s="38"/>
      <c r="P1721" s="38"/>
      <c r="Q1721" s="38"/>
      <c r="R1721" s="38"/>
      <c r="S1721" s="38"/>
      <c r="T1721" s="38"/>
      <c r="U1721" s="38"/>
      <c r="V1721" s="39"/>
    </row>
    <row r="1722" spans="2:22" s="37" customFormat="1" x14ac:dyDescent="0.2">
      <c r="B1722" s="92"/>
      <c r="C1722" s="93"/>
      <c r="D1722" s="38"/>
      <c r="E1722" s="38"/>
      <c r="F1722" s="38"/>
      <c r="G1722" s="38"/>
      <c r="H1722" s="38"/>
      <c r="I1722" s="38"/>
      <c r="J1722" s="38"/>
      <c r="K1722" s="38"/>
      <c r="L1722" s="38"/>
      <c r="M1722" s="38"/>
      <c r="N1722" s="38"/>
      <c r="O1722" s="38"/>
      <c r="P1722" s="38"/>
      <c r="Q1722" s="38"/>
      <c r="R1722" s="38"/>
      <c r="S1722" s="38"/>
      <c r="T1722" s="38"/>
      <c r="U1722" s="38"/>
      <c r="V1722" s="39"/>
    </row>
    <row r="1723" spans="2:22" s="37" customFormat="1" x14ac:dyDescent="0.2">
      <c r="B1723" s="92"/>
      <c r="C1723" s="93"/>
      <c r="D1723" s="38"/>
      <c r="E1723" s="38"/>
      <c r="F1723" s="38"/>
      <c r="G1723" s="38"/>
      <c r="H1723" s="38"/>
      <c r="I1723" s="38"/>
      <c r="J1723" s="38"/>
      <c r="K1723" s="38"/>
      <c r="L1723" s="38"/>
      <c r="M1723" s="38"/>
      <c r="N1723" s="38"/>
      <c r="O1723" s="38"/>
      <c r="P1723" s="38"/>
      <c r="Q1723" s="38"/>
      <c r="R1723" s="38"/>
      <c r="S1723" s="38"/>
      <c r="T1723" s="38"/>
      <c r="U1723" s="38"/>
      <c r="V1723" s="39"/>
    </row>
    <row r="1724" spans="2:22" s="37" customFormat="1" x14ac:dyDescent="0.2">
      <c r="B1724" s="92"/>
      <c r="C1724" s="93"/>
      <c r="D1724" s="38"/>
      <c r="E1724" s="38"/>
      <c r="F1724" s="38"/>
      <c r="G1724" s="38"/>
      <c r="H1724" s="38"/>
      <c r="I1724" s="38"/>
      <c r="J1724" s="38"/>
      <c r="K1724" s="38"/>
      <c r="L1724" s="38"/>
      <c r="M1724" s="38"/>
      <c r="N1724" s="38"/>
      <c r="O1724" s="38"/>
      <c r="P1724" s="38"/>
      <c r="Q1724" s="38"/>
      <c r="R1724" s="38"/>
      <c r="S1724" s="38"/>
      <c r="T1724" s="38"/>
      <c r="U1724" s="38"/>
      <c r="V1724" s="39"/>
    </row>
    <row r="1725" spans="2:22" s="37" customFormat="1" x14ac:dyDescent="0.2">
      <c r="B1725" s="92"/>
      <c r="C1725" s="93"/>
      <c r="D1725" s="38"/>
      <c r="E1725" s="38"/>
      <c r="F1725" s="38"/>
      <c r="G1725" s="38"/>
      <c r="H1725" s="38"/>
      <c r="I1725" s="38"/>
      <c r="J1725" s="38"/>
      <c r="K1725" s="38"/>
      <c r="L1725" s="38"/>
      <c r="M1725" s="38"/>
      <c r="N1725" s="38"/>
      <c r="O1725" s="38"/>
      <c r="P1725" s="38"/>
      <c r="Q1725" s="38"/>
      <c r="R1725" s="38"/>
      <c r="S1725" s="38"/>
      <c r="T1725" s="38"/>
      <c r="U1725" s="38"/>
      <c r="V1725" s="39"/>
    </row>
    <row r="1726" spans="2:22" s="37" customFormat="1" x14ac:dyDescent="0.2">
      <c r="B1726" s="92"/>
      <c r="C1726" s="93"/>
      <c r="D1726" s="38"/>
      <c r="E1726" s="38"/>
      <c r="F1726" s="38"/>
      <c r="G1726" s="38"/>
      <c r="H1726" s="38"/>
      <c r="I1726" s="38"/>
      <c r="J1726" s="38"/>
      <c r="K1726" s="38"/>
      <c r="L1726" s="38"/>
      <c r="M1726" s="38"/>
      <c r="N1726" s="38"/>
      <c r="O1726" s="38"/>
      <c r="P1726" s="38"/>
      <c r="Q1726" s="38"/>
      <c r="R1726" s="38"/>
      <c r="S1726" s="38"/>
      <c r="T1726" s="38"/>
      <c r="U1726" s="38"/>
      <c r="V1726" s="39"/>
    </row>
    <row r="1727" spans="2:22" s="37" customFormat="1" x14ac:dyDescent="0.2">
      <c r="B1727" s="92"/>
      <c r="C1727" s="93"/>
      <c r="D1727" s="38"/>
      <c r="E1727" s="38"/>
      <c r="F1727" s="38"/>
      <c r="G1727" s="38"/>
      <c r="H1727" s="38"/>
      <c r="I1727" s="38"/>
      <c r="J1727" s="38"/>
      <c r="K1727" s="38"/>
      <c r="L1727" s="38"/>
      <c r="M1727" s="38"/>
      <c r="N1727" s="38"/>
      <c r="O1727" s="38"/>
      <c r="P1727" s="38"/>
      <c r="Q1727" s="38"/>
      <c r="R1727" s="38"/>
      <c r="S1727" s="38"/>
      <c r="T1727" s="38"/>
      <c r="U1727" s="38"/>
      <c r="V1727" s="39"/>
    </row>
    <row r="1728" spans="2:22" s="37" customFormat="1" x14ac:dyDescent="0.2">
      <c r="B1728" s="92"/>
      <c r="C1728" s="93"/>
      <c r="D1728" s="38"/>
      <c r="E1728" s="38"/>
      <c r="F1728" s="38"/>
      <c r="G1728" s="38"/>
      <c r="H1728" s="38"/>
      <c r="I1728" s="38"/>
      <c r="J1728" s="38"/>
      <c r="K1728" s="38"/>
      <c r="L1728" s="38"/>
      <c r="M1728" s="38"/>
      <c r="N1728" s="38"/>
      <c r="O1728" s="38"/>
      <c r="P1728" s="38"/>
      <c r="Q1728" s="38"/>
      <c r="R1728" s="38"/>
      <c r="S1728" s="38"/>
      <c r="T1728" s="38"/>
      <c r="U1728" s="38"/>
      <c r="V1728" s="39"/>
    </row>
    <row r="1729" spans="2:22" s="37" customFormat="1" x14ac:dyDescent="0.2">
      <c r="B1729" s="92"/>
      <c r="C1729" s="93"/>
      <c r="D1729" s="38"/>
      <c r="E1729" s="38"/>
      <c r="F1729" s="38"/>
      <c r="G1729" s="38"/>
      <c r="H1729" s="38"/>
      <c r="I1729" s="38"/>
      <c r="J1729" s="38"/>
      <c r="K1729" s="38"/>
      <c r="L1729" s="38"/>
      <c r="M1729" s="38"/>
      <c r="N1729" s="38"/>
      <c r="O1729" s="38"/>
      <c r="P1729" s="38"/>
      <c r="Q1729" s="38"/>
      <c r="R1729" s="38"/>
      <c r="S1729" s="38"/>
      <c r="T1729" s="38"/>
      <c r="U1729" s="38"/>
      <c r="V1729" s="39"/>
    </row>
    <row r="1730" spans="2:22" s="37" customFormat="1" x14ac:dyDescent="0.2">
      <c r="B1730" s="92"/>
      <c r="C1730" s="93"/>
      <c r="D1730" s="38"/>
      <c r="E1730" s="38"/>
      <c r="F1730" s="38"/>
      <c r="G1730" s="38"/>
      <c r="H1730" s="38"/>
      <c r="I1730" s="38"/>
      <c r="J1730" s="38"/>
      <c r="K1730" s="38"/>
      <c r="L1730" s="38"/>
      <c r="M1730" s="38"/>
      <c r="N1730" s="38"/>
      <c r="O1730" s="38"/>
      <c r="P1730" s="38"/>
      <c r="Q1730" s="38"/>
      <c r="R1730" s="38"/>
      <c r="S1730" s="38"/>
      <c r="T1730" s="38"/>
      <c r="U1730" s="38"/>
      <c r="V1730" s="39"/>
    </row>
    <row r="1731" spans="2:22" s="37" customFormat="1" x14ac:dyDescent="0.2">
      <c r="B1731" s="92"/>
      <c r="C1731" s="93"/>
      <c r="D1731" s="38"/>
      <c r="E1731" s="38"/>
      <c r="F1731" s="38"/>
      <c r="G1731" s="38"/>
      <c r="H1731" s="38"/>
      <c r="I1731" s="38"/>
      <c r="J1731" s="38"/>
      <c r="K1731" s="38"/>
      <c r="L1731" s="38"/>
      <c r="M1731" s="38"/>
      <c r="N1731" s="38"/>
      <c r="O1731" s="38"/>
      <c r="P1731" s="38"/>
      <c r="Q1731" s="38"/>
      <c r="R1731" s="38"/>
      <c r="S1731" s="38"/>
      <c r="T1731" s="38"/>
      <c r="U1731" s="38"/>
      <c r="V1731" s="39"/>
    </row>
    <row r="1732" spans="2:22" s="37" customFormat="1" x14ac:dyDescent="0.2">
      <c r="B1732" s="92"/>
      <c r="C1732" s="93"/>
      <c r="D1732" s="38"/>
      <c r="E1732" s="38"/>
      <c r="F1732" s="38"/>
      <c r="G1732" s="38"/>
      <c r="H1732" s="38"/>
      <c r="I1732" s="38"/>
      <c r="J1732" s="38"/>
      <c r="K1732" s="38"/>
      <c r="L1732" s="38"/>
      <c r="M1732" s="38"/>
      <c r="N1732" s="38"/>
      <c r="O1732" s="38"/>
      <c r="P1732" s="38"/>
      <c r="Q1732" s="38"/>
      <c r="R1732" s="38"/>
      <c r="S1732" s="38"/>
      <c r="T1732" s="38"/>
      <c r="U1732" s="38"/>
      <c r="V1732" s="39"/>
    </row>
    <row r="1733" spans="2:22" s="37" customFormat="1" x14ac:dyDescent="0.2">
      <c r="B1733" s="92"/>
      <c r="C1733" s="93"/>
      <c r="D1733" s="38"/>
      <c r="E1733" s="38"/>
      <c r="F1733" s="38"/>
      <c r="G1733" s="38"/>
      <c r="H1733" s="38"/>
      <c r="I1733" s="38"/>
      <c r="J1733" s="38"/>
      <c r="K1733" s="38"/>
      <c r="L1733" s="38"/>
      <c r="M1733" s="38"/>
      <c r="N1733" s="38"/>
      <c r="O1733" s="38"/>
      <c r="P1733" s="38"/>
      <c r="Q1733" s="38"/>
      <c r="R1733" s="38"/>
      <c r="S1733" s="38"/>
      <c r="T1733" s="38"/>
      <c r="U1733" s="38"/>
      <c r="V1733" s="39"/>
    </row>
    <row r="1734" spans="2:22" s="37" customFormat="1" x14ac:dyDescent="0.2">
      <c r="B1734" s="92"/>
      <c r="C1734" s="93"/>
      <c r="D1734" s="38"/>
      <c r="E1734" s="38"/>
      <c r="F1734" s="38"/>
      <c r="G1734" s="38"/>
      <c r="H1734" s="38"/>
      <c r="I1734" s="38"/>
      <c r="J1734" s="38"/>
      <c r="K1734" s="38"/>
      <c r="L1734" s="38"/>
      <c r="M1734" s="38"/>
      <c r="N1734" s="38"/>
      <c r="O1734" s="38"/>
      <c r="P1734" s="38"/>
      <c r="Q1734" s="38"/>
      <c r="R1734" s="38"/>
      <c r="S1734" s="38"/>
      <c r="T1734" s="38"/>
      <c r="U1734" s="38"/>
      <c r="V1734" s="39"/>
    </row>
    <row r="1735" spans="2:22" s="37" customFormat="1" x14ac:dyDescent="0.2">
      <c r="B1735" s="92"/>
      <c r="C1735" s="93"/>
      <c r="D1735" s="38"/>
      <c r="E1735" s="38"/>
      <c r="F1735" s="38"/>
      <c r="G1735" s="38"/>
      <c r="H1735" s="38"/>
      <c r="I1735" s="38"/>
      <c r="J1735" s="38"/>
      <c r="K1735" s="38"/>
      <c r="L1735" s="38"/>
      <c r="M1735" s="38"/>
      <c r="N1735" s="38"/>
      <c r="O1735" s="38"/>
      <c r="P1735" s="38"/>
      <c r="Q1735" s="38"/>
      <c r="R1735" s="38"/>
      <c r="S1735" s="38"/>
      <c r="T1735" s="38"/>
      <c r="U1735" s="38"/>
      <c r="V1735" s="39"/>
    </row>
    <row r="1736" spans="2:22" s="37" customFormat="1" x14ac:dyDescent="0.2">
      <c r="B1736" s="92"/>
      <c r="C1736" s="93"/>
      <c r="D1736" s="38"/>
      <c r="E1736" s="38"/>
      <c r="F1736" s="38"/>
      <c r="G1736" s="38"/>
      <c r="H1736" s="38"/>
      <c r="I1736" s="38"/>
      <c r="J1736" s="38"/>
      <c r="K1736" s="38"/>
      <c r="L1736" s="38"/>
      <c r="M1736" s="38"/>
      <c r="N1736" s="38"/>
      <c r="O1736" s="38"/>
      <c r="P1736" s="38"/>
      <c r="Q1736" s="38"/>
      <c r="R1736" s="38"/>
      <c r="S1736" s="38"/>
      <c r="T1736" s="38"/>
      <c r="U1736" s="38"/>
      <c r="V1736" s="39"/>
    </row>
    <row r="1737" spans="2:22" s="37" customFormat="1" x14ac:dyDescent="0.2">
      <c r="B1737" s="92"/>
      <c r="C1737" s="93"/>
      <c r="D1737" s="38"/>
      <c r="E1737" s="38"/>
      <c r="F1737" s="38"/>
      <c r="G1737" s="38"/>
      <c r="H1737" s="38"/>
      <c r="I1737" s="38"/>
      <c r="J1737" s="38"/>
      <c r="K1737" s="38"/>
      <c r="L1737" s="38"/>
      <c r="M1737" s="38"/>
      <c r="N1737" s="38"/>
      <c r="O1737" s="38"/>
      <c r="P1737" s="38"/>
      <c r="Q1737" s="38"/>
      <c r="R1737" s="38"/>
      <c r="S1737" s="38"/>
      <c r="T1737" s="38"/>
      <c r="U1737" s="38"/>
      <c r="V1737" s="39"/>
    </row>
    <row r="1738" spans="2:22" s="37" customFormat="1" x14ac:dyDescent="0.2">
      <c r="B1738" s="92"/>
      <c r="C1738" s="93"/>
      <c r="D1738" s="38"/>
      <c r="E1738" s="38"/>
      <c r="F1738" s="38"/>
      <c r="G1738" s="38"/>
      <c r="H1738" s="38"/>
      <c r="I1738" s="38"/>
      <c r="J1738" s="38"/>
      <c r="K1738" s="38"/>
      <c r="L1738" s="38"/>
      <c r="M1738" s="38"/>
      <c r="N1738" s="38"/>
      <c r="O1738" s="38"/>
      <c r="P1738" s="38"/>
      <c r="Q1738" s="38"/>
      <c r="R1738" s="38"/>
      <c r="S1738" s="38"/>
      <c r="T1738" s="38"/>
      <c r="U1738" s="38"/>
      <c r="V1738" s="39"/>
    </row>
    <row r="1739" spans="2:22" s="37" customFormat="1" x14ac:dyDescent="0.2">
      <c r="B1739" s="92"/>
      <c r="C1739" s="93"/>
      <c r="D1739" s="38"/>
      <c r="E1739" s="38"/>
      <c r="F1739" s="38"/>
      <c r="G1739" s="38"/>
      <c r="H1739" s="38"/>
      <c r="I1739" s="38"/>
      <c r="J1739" s="38"/>
      <c r="K1739" s="38"/>
      <c r="L1739" s="38"/>
      <c r="M1739" s="38"/>
      <c r="N1739" s="38"/>
      <c r="O1739" s="38"/>
      <c r="P1739" s="38"/>
      <c r="Q1739" s="38"/>
      <c r="R1739" s="38"/>
      <c r="S1739" s="38"/>
      <c r="T1739" s="38"/>
      <c r="U1739" s="38"/>
      <c r="V1739" s="39"/>
    </row>
    <row r="1740" spans="2:22" s="37" customFormat="1" x14ac:dyDescent="0.2">
      <c r="B1740" s="92"/>
      <c r="C1740" s="93"/>
      <c r="D1740" s="38"/>
      <c r="E1740" s="38"/>
      <c r="F1740" s="38"/>
      <c r="G1740" s="38"/>
      <c r="H1740" s="38"/>
      <c r="I1740" s="38"/>
      <c r="J1740" s="38"/>
      <c r="K1740" s="38"/>
      <c r="L1740" s="38"/>
      <c r="M1740" s="38"/>
      <c r="N1740" s="38"/>
      <c r="O1740" s="38"/>
      <c r="P1740" s="38"/>
      <c r="Q1740" s="38"/>
      <c r="R1740" s="38"/>
      <c r="S1740" s="38"/>
      <c r="T1740" s="38"/>
      <c r="U1740" s="38"/>
      <c r="V1740" s="39"/>
    </row>
    <row r="1741" spans="2:22" s="37" customFormat="1" x14ac:dyDescent="0.2">
      <c r="B1741" s="92"/>
      <c r="C1741" s="93"/>
      <c r="D1741" s="38"/>
      <c r="E1741" s="38"/>
      <c r="F1741" s="38"/>
      <c r="G1741" s="38"/>
      <c r="H1741" s="38"/>
      <c r="I1741" s="38"/>
      <c r="J1741" s="38"/>
      <c r="K1741" s="38"/>
      <c r="L1741" s="38"/>
      <c r="M1741" s="38"/>
      <c r="N1741" s="38"/>
      <c r="O1741" s="38"/>
      <c r="P1741" s="38"/>
      <c r="Q1741" s="38"/>
      <c r="R1741" s="38"/>
      <c r="S1741" s="38"/>
      <c r="T1741" s="38"/>
      <c r="U1741" s="38"/>
      <c r="V1741" s="39"/>
    </row>
    <row r="1742" spans="2:22" s="37" customFormat="1" x14ac:dyDescent="0.2">
      <c r="B1742" s="92"/>
      <c r="C1742" s="93"/>
      <c r="D1742" s="38"/>
      <c r="E1742" s="38"/>
      <c r="F1742" s="38"/>
      <c r="G1742" s="38"/>
      <c r="H1742" s="38"/>
      <c r="I1742" s="38"/>
      <c r="J1742" s="38"/>
      <c r="K1742" s="38"/>
      <c r="L1742" s="38"/>
      <c r="M1742" s="38"/>
      <c r="N1742" s="38"/>
      <c r="O1742" s="38"/>
      <c r="P1742" s="38"/>
      <c r="Q1742" s="38"/>
      <c r="R1742" s="38"/>
      <c r="S1742" s="38"/>
      <c r="T1742" s="38"/>
      <c r="U1742" s="38"/>
      <c r="V1742" s="39"/>
    </row>
    <row r="1743" spans="2:22" s="37" customFormat="1" x14ac:dyDescent="0.2">
      <c r="B1743" s="92"/>
      <c r="C1743" s="93"/>
      <c r="D1743" s="38"/>
      <c r="E1743" s="38"/>
      <c r="F1743" s="38"/>
      <c r="G1743" s="38"/>
      <c r="H1743" s="38"/>
      <c r="I1743" s="38"/>
      <c r="J1743" s="38"/>
      <c r="K1743" s="38"/>
      <c r="L1743" s="38"/>
      <c r="M1743" s="38"/>
      <c r="N1743" s="38"/>
      <c r="O1743" s="38"/>
      <c r="P1743" s="38"/>
      <c r="Q1743" s="38"/>
      <c r="R1743" s="38"/>
      <c r="S1743" s="38"/>
      <c r="T1743" s="38"/>
      <c r="U1743" s="38"/>
      <c r="V1743" s="39"/>
    </row>
    <row r="1744" spans="2:22" s="37" customFormat="1" x14ac:dyDescent="0.2">
      <c r="B1744" s="92"/>
      <c r="C1744" s="93"/>
      <c r="D1744" s="38"/>
      <c r="E1744" s="38"/>
      <c r="F1744" s="38"/>
      <c r="G1744" s="38"/>
      <c r="H1744" s="38"/>
      <c r="I1744" s="38"/>
      <c r="J1744" s="38"/>
      <c r="K1744" s="38"/>
      <c r="L1744" s="38"/>
      <c r="M1744" s="38"/>
      <c r="N1744" s="38"/>
      <c r="O1744" s="38"/>
      <c r="P1744" s="38"/>
      <c r="Q1744" s="38"/>
      <c r="R1744" s="38"/>
      <c r="S1744" s="38"/>
      <c r="T1744" s="38"/>
      <c r="U1744" s="38"/>
      <c r="V1744" s="39"/>
    </row>
    <row r="1745" spans="2:22" s="37" customFormat="1" x14ac:dyDescent="0.2">
      <c r="B1745" s="92"/>
      <c r="C1745" s="93"/>
      <c r="D1745" s="38"/>
      <c r="E1745" s="38"/>
      <c r="F1745" s="38"/>
      <c r="G1745" s="38"/>
      <c r="H1745" s="38"/>
      <c r="I1745" s="38"/>
      <c r="J1745" s="38"/>
      <c r="K1745" s="38"/>
      <c r="L1745" s="38"/>
      <c r="M1745" s="38"/>
      <c r="N1745" s="38"/>
      <c r="O1745" s="38"/>
      <c r="P1745" s="38"/>
      <c r="Q1745" s="38"/>
      <c r="R1745" s="38"/>
      <c r="S1745" s="38"/>
      <c r="T1745" s="38"/>
      <c r="U1745" s="38"/>
      <c r="V1745" s="39"/>
    </row>
    <row r="1746" spans="2:22" s="37" customFormat="1" x14ac:dyDescent="0.2">
      <c r="B1746" s="92"/>
      <c r="C1746" s="93"/>
      <c r="D1746" s="38"/>
      <c r="E1746" s="38"/>
      <c r="F1746" s="38"/>
      <c r="G1746" s="38"/>
      <c r="H1746" s="38"/>
      <c r="I1746" s="38"/>
      <c r="J1746" s="38"/>
      <c r="K1746" s="38"/>
      <c r="L1746" s="38"/>
      <c r="M1746" s="38"/>
      <c r="N1746" s="38"/>
      <c r="O1746" s="38"/>
      <c r="P1746" s="38"/>
      <c r="Q1746" s="38"/>
      <c r="R1746" s="38"/>
      <c r="S1746" s="38"/>
      <c r="T1746" s="38"/>
      <c r="U1746" s="38"/>
      <c r="V1746" s="39"/>
    </row>
    <row r="1747" spans="2:22" s="37" customFormat="1" x14ac:dyDescent="0.2">
      <c r="B1747" s="92"/>
      <c r="C1747" s="93"/>
      <c r="D1747" s="38"/>
      <c r="E1747" s="38"/>
      <c r="F1747" s="38"/>
      <c r="G1747" s="38"/>
      <c r="H1747" s="38"/>
      <c r="I1747" s="38"/>
      <c r="J1747" s="38"/>
      <c r="K1747" s="38"/>
      <c r="L1747" s="38"/>
      <c r="M1747" s="38"/>
      <c r="N1747" s="38"/>
      <c r="O1747" s="38"/>
      <c r="P1747" s="38"/>
      <c r="Q1747" s="38"/>
      <c r="R1747" s="38"/>
      <c r="S1747" s="38"/>
      <c r="T1747" s="38"/>
      <c r="U1747" s="38"/>
      <c r="V1747" s="39"/>
    </row>
    <row r="1748" spans="2:22" s="37" customFormat="1" x14ac:dyDescent="0.2">
      <c r="B1748" s="92"/>
      <c r="C1748" s="93"/>
      <c r="D1748" s="38"/>
      <c r="E1748" s="38"/>
      <c r="F1748" s="38"/>
      <c r="G1748" s="38"/>
      <c r="H1748" s="38"/>
      <c r="I1748" s="38"/>
      <c r="J1748" s="38"/>
      <c r="K1748" s="38"/>
      <c r="L1748" s="38"/>
      <c r="M1748" s="38"/>
      <c r="N1748" s="38"/>
      <c r="O1748" s="38"/>
      <c r="P1748" s="38"/>
      <c r="Q1748" s="38"/>
      <c r="R1748" s="38"/>
      <c r="S1748" s="38"/>
      <c r="T1748" s="38"/>
      <c r="U1748" s="38"/>
      <c r="V1748" s="39"/>
    </row>
    <row r="1749" spans="2:22" s="37" customFormat="1" x14ac:dyDescent="0.2">
      <c r="B1749" s="92"/>
      <c r="C1749" s="93"/>
      <c r="D1749" s="38"/>
      <c r="E1749" s="38"/>
      <c r="F1749" s="38"/>
      <c r="G1749" s="38"/>
      <c r="H1749" s="38"/>
      <c r="I1749" s="38"/>
      <c r="J1749" s="38"/>
      <c r="K1749" s="38"/>
      <c r="L1749" s="38"/>
      <c r="M1749" s="38"/>
      <c r="N1749" s="38"/>
      <c r="O1749" s="38"/>
      <c r="P1749" s="38"/>
      <c r="Q1749" s="38"/>
      <c r="R1749" s="38"/>
      <c r="S1749" s="38"/>
      <c r="T1749" s="38"/>
      <c r="U1749" s="38"/>
      <c r="V1749" s="39"/>
    </row>
    <row r="1750" spans="2:22" s="37" customFormat="1" x14ac:dyDescent="0.2">
      <c r="B1750" s="92"/>
      <c r="C1750" s="93"/>
      <c r="D1750" s="38"/>
      <c r="E1750" s="38"/>
      <c r="F1750" s="38"/>
      <c r="G1750" s="38"/>
      <c r="H1750" s="38"/>
      <c r="I1750" s="38"/>
      <c r="J1750" s="38"/>
      <c r="K1750" s="38"/>
      <c r="L1750" s="38"/>
      <c r="M1750" s="38"/>
      <c r="N1750" s="38"/>
      <c r="O1750" s="38"/>
      <c r="P1750" s="38"/>
      <c r="Q1750" s="38"/>
      <c r="R1750" s="38"/>
      <c r="S1750" s="38"/>
      <c r="T1750" s="38"/>
      <c r="U1750" s="38"/>
      <c r="V1750" s="39"/>
    </row>
    <row r="1751" spans="2:22" s="37" customFormat="1" x14ac:dyDescent="0.2">
      <c r="B1751" s="92"/>
      <c r="C1751" s="93"/>
      <c r="D1751" s="38"/>
      <c r="E1751" s="38"/>
      <c r="F1751" s="38"/>
      <c r="G1751" s="38"/>
      <c r="H1751" s="38"/>
      <c r="I1751" s="38"/>
      <c r="J1751" s="38"/>
      <c r="K1751" s="38"/>
      <c r="L1751" s="38"/>
      <c r="M1751" s="38"/>
      <c r="N1751" s="38"/>
      <c r="O1751" s="38"/>
      <c r="P1751" s="38"/>
      <c r="Q1751" s="38"/>
      <c r="R1751" s="38"/>
      <c r="S1751" s="38"/>
      <c r="T1751" s="38"/>
      <c r="U1751" s="38"/>
      <c r="V1751" s="39"/>
    </row>
    <row r="1752" spans="2:22" s="37" customFormat="1" x14ac:dyDescent="0.2">
      <c r="B1752" s="92"/>
      <c r="C1752" s="93"/>
      <c r="D1752" s="38"/>
      <c r="E1752" s="38"/>
      <c r="F1752" s="38"/>
      <c r="G1752" s="38"/>
      <c r="H1752" s="38"/>
      <c r="I1752" s="38"/>
      <c r="J1752" s="38"/>
      <c r="K1752" s="38"/>
      <c r="L1752" s="38"/>
      <c r="M1752" s="38"/>
      <c r="N1752" s="38"/>
      <c r="O1752" s="38"/>
      <c r="P1752" s="38"/>
      <c r="Q1752" s="38"/>
      <c r="R1752" s="38"/>
      <c r="S1752" s="38"/>
      <c r="T1752" s="38"/>
      <c r="U1752" s="38"/>
      <c r="V1752" s="39"/>
    </row>
    <row r="1753" spans="2:22" s="37" customFormat="1" x14ac:dyDescent="0.2">
      <c r="B1753" s="92"/>
      <c r="C1753" s="93"/>
      <c r="D1753" s="38"/>
      <c r="E1753" s="38"/>
      <c r="F1753" s="38"/>
      <c r="G1753" s="38"/>
      <c r="H1753" s="38"/>
      <c r="I1753" s="38"/>
      <c r="J1753" s="38"/>
      <c r="K1753" s="38"/>
      <c r="L1753" s="38"/>
      <c r="M1753" s="38"/>
      <c r="N1753" s="38"/>
      <c r="O1753" s="38"/>
      <c r="P1753" s="38"/>
      <c r="Q1753" s="38"/>
      <c r="R1753" s="38"/>
      <c r="S1753" s="38"/>
      <c r="T1753" s="38"/>
      <c r="U1753" s="38"/>
      <c r="V1753" s="39"/>
    </row>
    <row r="1754" spans="2:22" s="37" customFormat="1" x14ac:dyDescent="0.2">
      <c r="B1754" s="92"/>
      <c r="C1754" s="93"/>
      <c r="D1754" s="38"/>
      <c r="E1754" s="38"/>
      <c r="F1754" s="38"/>
      <c r="G1754" s="38"/>
      <c r="H1754" s="38"/>
      <c r="I1754" s="38"/>
      <c r="J1754" s="38"/>
      <c r="K1754" s="38"/>
      <c r="L1754" s="38"/>
      <c r="M1754" s="38"/>
      <c r="N1754" s="38"/>
      <c r="O1754" s="38"/>
      <c r="P1754" s="38"/>
      <c r="Q1754" s="38"/>
      <c r="R1754" s="38"/>
      <c r="S1754" s="38"/>
      <c r="T1754" s="38"/>
      <c r="U1754" s="38"/>
      <c r="V1754" s="39"/>
    </row>
    <row r="1755" spans="2:22" s="37" customFormat="1" x14ac:dyDescent="0.2">
      <c r="B1755" s="92"/>
      <c r="C1755" s="93"/>
      <c r="D1755" s="38"/>
      <c r="E1755" s="38"/>
      <c r="F1755" s="38"/>
      <c r="G1755" s="38"/>
      <c r="H1755" s="38"/>
      <c r="I1755" s="38"/>
      <c r="J1755" s="38"/>
      <c r="K1755" s="38"/>
      <c r="L1755" s="38"/>
      <c r="M1755" s="38"/>
      <c r="N1755" s="38"/>
      <c r="O1755" s="38"/>
      <c r="P1755" s="38"/>
      <c r="Q1755" s="38"/>
      <c r="R1755" s="38"/>
      <c r="S1755" s="38"/>
      <c r="T1755" s="38"/>
      <c r="U1755" s="38"/>
      <c r="V1755" s="39"/>
    </row>
    <row r="1756" spans="2:22" s="37" customFormat="1" x14ac:dyDescent="0.2">
      <c r="B1756" s="92"/>
      <c r="C1756" s="93"/>
      <c r="D1756" s="38"/>
      <c r="E1756" s="38"/>
      <c r="F1756" s="38"/>
      <c r="G1756" s="38"/>
      <c r="H1756" s="38"/>
      <c r="I1756" s="38"/>
      <c r="J1756" s="38"/>
      <c r="K1756" s="38"/>
      <c r="L1756" s="38"/>
      <c r="M1756" s="38"/>
      <c r="N1756" s="38"/>
      <c r="O1756" s="38"/>
      <c r="P1756" s="38"/>
      <c r="Q1756" s="38"/>
      <c r="R1756" s="38"/>
      <c r="S1756" s="38"/>
      <c r="T1756" s="38"/>
      <c r="U1756" s="38"/>
      <c r="V1756" s="39"/>
    </row>
    <row r="1757" spans="2:22" s="37" customFormat="1" x14ac:dyDescent="0.2">
      <c r="B1757" s="92"/>
      <c r="C1757" s="93"/>
      <c r="D1757" s="38"/>
      <c r="E1757" s="38"/>
      <c r="F1757" s="38"/>
      <c r="G1757" s="38"/>
      <c r="H1757" s="38"/>
      <c r="I1757" s="38"/>
      <c r="J1757" s="38"/>
      <c r="K1757" s="38"/>
      <c r="L1757" s="38"/>
      <c r="M1757" s="38"/>
      <c r="N1757" s="38"/>
      <c r="O1757" s="38"/>
      <c r="P1757" s="38"/>
      <c r="Q1757" s="38"/>
      <c r="R1757" s="38"/>
      <c r="S1757" s="38"/>
      <c r="T1757" s="38"/>
      <c r="U1757" s="38"/>
      <c r="V1757" s="39"/>
    </row>
    <row r="1758" spans="2:22" s="37" customFormat="1" x14ac:dyDescent="0.2">
      <c r="B1758" s="92"/>
      <c r="C1758" s="93"/>
      <c r="D1758" s="38"/>
      <c r="E1758" s="38"/>
      <c r="F1758" s="38"/>
      <c r="G1758" s="38"/>
      <c r="H1758" s="38"/>
      <c r="I1758" s="38"/>
      <c r="J1758" s="38"/>
      <c r="K1758" s="38"/>
      <c r="L1758" s="38"/>
      <c r="M1758" s="38"/>
      <c r="N1758" s="38"/>
      <c r="O1758" s="38"/>
      <c r="P1758" s="38"/>
      <c r="Q1758" s="38"/>
      <c r="R1758" s="38"/>
      <c r="S1758" s="38"/>
      <c r="T1758" s="38"/>
      <c r="U1758" s="38"/>
      <c r="V1758" s="39"/>
    </row>
    <row r="1759" spans="2:22" s="37" customFormat="1" x14ac:dyDescent="0.2">
      <c r="B1759" s="92"/>
      <c r="C1759" s="93"/>
      <c r="D1759" s="38"/>
      <c r="E1759" s="38"/>
      <c r="F1759" s="38"/>
      <c r="G1759" s="38"/>
      <c r="H1759" s="38"/>
      <c r="I1759" s="38"/>
      <c r="J1759" s="38"/>
      <c r="K1759" s="38"/>
      <c r="L1759" s="38"/>
      <c r="M1759" s="38"/>
      <c r="N1759" s="38"/>
      <c r="O1759" s="38"/>
      <c r="P1759" s="38"/>
      <c r="Q1759" s="38"/>
      <c r="R1759" s="38"/>
      <c r="S1759" s="38"/>
      <c r="T1759" s="38"/>
      <c r="U1759" s="38"/>
      <c r="V1759" s="39"/>
    </row>
    <row r="1760" spans="2:22" s="37" customFormat="1" x14ac:dyDescent="0.2">
      <c r="B1760" s="92"/>
      <c r="C1760" s="93"/>
      <c r="D1760" s="38"/>
      <c r="E1760" s="38"/>
      <c r="F1760" s="38"/>
      <c r="G1760" s="38"/>
      <c r="H1760" s="38"/>
      <c r="I1760" s="38"/>
      <c r="J1760" s="38"/>
      <c r="K1760" s="38"/>
      <c r="L1760" s="38"/>
      <c r="M1760" s="38"/>
      <c r="N1760" s="38"/>
      <c r="O1760" s="38"/>
      <c r="P1760" s="38"/>
      <c r="Q1760" s="38"/>
      <c r="R1760" s="38"/>
      <c r="S1760" s="38"/>
      <c r="T1760" s="38"/>
      <c r="U1760" s="38"/>
      <c r="V1760" s="39"/>
    </row>
    <row r="1761" spans="2:22" s="37" customFormat="1" x14ac:dyDescent="0.2">
      <c r="B1761" s="92"/>
      <c r="C1761" s="93"/>
      <c r="D1761" s="38"/>
      <c r="E1761" s="38"/>
      <c r="F1761" s="38"/>
      <c r="G1761" s="38"/>
      <c r="H1761" s="38"/>
      <c r="I1761" s="38"/>
      <c r="J1761" s="38"/>
      <c r="K1761" s="38"/>
      <c r="L1761" s="38"/>
      <c r="M1761" s="38"/>
      <c r="N1761" s="38"/>
      <c r="O1761" s="38"/>
      <c r="P1761" s="38"/>
      <c r="Q1761" s="38"/>
      <c r="R1761" s="38"/>
      <c r="S1761" s="38"/>
      <c r="T1761" s="38"/>
      <c r="U1761" s="38"/>
      <c r="V1761" s="39"/>
    </row>
    <row r="1762" spans="2:22" s="37" customFormat="1" x14ac:dyDescent="0.2">
      <c r="B1762" s="92"/>
      <c r="C1762" s="93"/>
      <c r="D1762" s="38"/>
      <c r="E1762" s="38"/>
      <c r="F1762" s="38"/>
      <c r="G1762" s="38"/>
      <c r="H1762" s="38"/>
      <c r="I1762" s="38"/>
      <c r="J1762" s="38"/>
      <c r="K1762" s="38"/>
      <c r="L1762" s="38"/>
      <c r="M1762" s="38"/>
      <c r="N1762" s="38"/>
      <c r="O1762" s="38"/>
      <c r="P1762" s="38"/>
      <c r="Q1762" s="38"/>
      <c r="R1762" s="38"/>
      <c r="S1762" s="38"/>
      <c r="T1762" s="38"/>
      <c r="U1762" s="38"/>
      <c r="V1762" s="39"/>
    </row>
    <row r="1763" spans="2:22" s="37" customFormat="1" x14ac:dyDescent="0.2">
      <c r="B1763" s="92"/>
      <c r="C1763" s="93"/>
      <c r="D1763" s="38"/>
      <c r="E1763" s="38"/>
      <c r="F1763" s="38"/>
      <c r="G1763" s="38"/>
      <c r="H1763" s="38"/>
      <c r="I1763" s="38"/>
      <c r="J1763" s="38"/>
      <c r="K1763" s="38"/>
      <c r="L1763" s="38"/>
      <c r="M1763" s="38"/>
      <c r="N1763" s="38"/>
      <c r="O1763" s="38"/>
      <c r="P1763" s="38"/>
      <c r="Q1763" s="38"/>
      <c r="R1763" s="38"/>
      <c r="S1763" s="38"/>
      <c r="T1763" s="38"/>
      <c r="U1763" s="38"/>
      <c r="V1763" s="39"/>
    </row>
    <row r="1764" spans="2:22" s="37" customFormat="1" x14ac:dyDescent="0.2">
      <c r="B1764" s="92"/>
      <c r="C1764" s="93"/>
      <c r="D1764" s="38"/>
      <c r="E1764" s="38"/>
      <c r="F1764" s="38"/>
      <c r="G1764" s="38"/>
      <c r="H1764" s="38"/>
      <c r="I1764" s="38"/>
      <c r="J1764" s="38"/>
      <c r="K1764" s="38"/>
      <c r="L1764" s="38"/>
      <c r="M1764" s="38"/>
      <c r="N1764" s="38"/>
      <c r="O1764" s="38"/>
      <c r="P1764" s="38"/>
      <c r="Q1764" s="38"/>
      <c r="R1764" s="38"/>
      <c r="S1764" s="38"/>
      <c r="T1764" s="38"/>
      <c r="U1764" s="38"/>
      <c r="V1764" s="39"/>
    </row>
    <row r="1765" spans="2:22" s="37" customFormat="1" x14ac:dyDescent="0.2">
      <c r="B1765" s="92"/>
      <c r="C1765" s="93"/>
      <c r="D1765" s="38"/>
      <c r="E1765" s="38"/>
      <c r="F1765" s="38"/>
      <c r="G1765" s="38"/>
      <c r="H1765" s="38"/>
      <c r="I1765" s="38"/>
      <c r="J1765" s="38"/>
      <c r="K1765" s="38"/>
      <c r="L1765" s="38"/>
      <c r="M1765" s="38"/>
      <c r="N1765" s="38"/>
      <c r="O1765" s="38"/>
      <c r="P1765" s="38"/>
      <c r="Q1765" s="38"/>
      <c r="R1765" s="38"/>
      <c r="S1765" s="38"/>
      <c r="T1765" s="38"/>
      <c r="U1765" s="38"/>
      <c r="V1765" s="39"/>
    </row>
    <row r="1766" spans="2:22" s="37" customFormat="1" x14ac:dyDescent="0.2">
      <c r="B1766" s="92"/>
      <c r="C1766" s="93"/>
      <c r="D1766" s="38"/>
      <c r="E1766" s="38"/>
      <c r="F1766" s="38"/>
      <c r="G1766" s="38"/>
      <c r="H1766" s="38"/>
      <c r="I1766" s="38"/>
      <c r="J1766" s="38"/>
      <c r="K1766" s="38"/>
      <c r="L1766" s="38"/>
      <c r="M1766" s="38"/>
      <c r="N1766" s="38"/>
      <c r="O1766" s="38"/>
      <c r="P1766" s="38"/>
      <c r="Q1766" s="38"/>
      <c r="R1766" s="38"/>
      <c r="S1766" s="38"/>
      <c r="T1766" s="38"/>
      <c r="U1766" s="38"/>
      <c r="V1766" s="39"/>
    </row>
    <row r="1767" spans="2:22" s="37" customFormat="1" x14ac:dyDescent="0.2">
      <c r="B1767" s="92"/>
      <c r="C1767" s="93"/>
      <c r="D1767" s="38"/>
      <c r="E1767" s="38"/>
      <c r="F1767" s="38"/>
      <c r="G1767" s="38"/>
      <c r="H1767" s="38"/>
      <c r="I1767" s="38"/>
      <c r="J1767" s="38"/>
      <c r="K1767" s="38"/>
      <c r="L1767" s="38"/>
      <c r="M1767" s="38"/>
      <c r="N1767" s="38"/>
      <c r="O1767" s="38"/>
      <c r="P1767" s="38"/>
      <c r="Q1767" s="38"/>
      <c r="R1767" s="38"/>
      <c r="S1767" s="38"/>
      <c r="T1767" s="38"/>
      <c r="U1767" s="38"/>
      <c r="V1767" s="39"/>
    </row>
    <row r="1768" spans="2:22" s="37" customFormat="1" x14ac:dyDescent="0.2">
      <c r="B1768" s="92"/>
      <c r="C1768" s="93"/>
      <c r="D1768" s="38"/>
      <c r="E1768" s="38"/>
      <c r="F1768" s="38"/>
      <c r="G1768" s="38"/>
      <c r="H1768" s="38"/>
      <c r="I1768" s="38"/>
      <c r="J1768" s="38"/>
      <c r="K1768" s="38"/>
      <c r="L1768" s="38"/>
      <c r="M1768" s="38"/>
      <c r="N1768" s="38"/>
      <c r="O1768" s="38"/>
      <c r="P1768" s="38"/>
      <c r="Q1768" s="38"/>
      <c r="R1768" s="38"/>
      <c r="S1768" s="38"/>
      <c r="T1768" s="38"/>
      <c r="U1768" s="38"/>
      <c r="V1768" s="39"/>
    </row>
    <row r="1769" spans="2:22" s="37" customFormat="1" x14ac:dyDescent="0.2">
      <c r="B1769" s="92"/>
      <c r="C1769" s="93"/>
      <c r="D1769" s="38"/>
      <c r="E1769" s="38"/>
      <c r="F1769" s="38"/>
      <c r="G1769" s="38"/>
      <c r="H1769" s="38"/>
      <c r="I1769" s="38"/>
      <c r="J1769" s="38"/>
      <c r="K1769" s="38"/>
      <c r="L1769" s="38"/>
      <c r="M1769" s="38"/>
      <c r="N1769" s="38"/>
      <c r="O1769" s="38"/>
      <c r="P1769" s="38"/>
      <c r="Q1769" s="38"/>
      <c r="R1769" s="38"/>
      <c r="S1769" s="38"/>
      <c r="T1769" s="38"/>
      <c r="U1769" s="38"/>
      <c r="V1769" s="39"/>
    </row>
    <row r="1770" spans="2:22" s="37" customFormat="1" x14ac:dyDescent="0.2">
      <c r="B1770" s="92"/>
      <c r="C1770" s="93"/>
      <c r="D1770" s="38"/>
      <c r="E1770" s="38"/>
      <c r="F1770" s="38"/>
      <c r="G1770" s="38"/>
      <c r="H1770" s="38"/>
      <c r="I1770" s="38"/>
      <c r="J1770" s="38"/>
      <c r="K1770" s="38"/>
      <c r="L1770" s="38"/>
      <c r="M1770" s="38"/>
      <c r="N1770" s="38"/>
      <c r="O1770" s="38"/>
      <c r="P1770" s="38"/>
      <c r="Q1770" s="38"/>
      <c r="R1770" s="38"/>
      <c r="S1770" s="38"/>
      <c r="T1770" s="38"/>
      <c r="U1770" s="38"/>
      <c r="V1770" s="39"/>
    </row>
    <row r="1771" spans="2:22" s="37" customFormat="1" x14ac:dyDescent="0.2">
      <c r="B1771" s="92"/>
      <c r="C1771" s="93"/>
      <c r="D1771" s="38"/>
      <c r="E1771" s="38"/>
      <c r="F1771" s="38"/>
      <c r="G1771" s="38"/>
      <c r="H1771" s="38"/>
      <c r="I1771" s="38"/>
      <c r="J1771" s="38"/>
      <c r="K1771" s="38"/>
      <c r="L1771" s="38"/>
      <c r="M1771" s="38"/>
      <c r="N1771" s="38"/>
      <c r="O1771" s="38"/>
      <c r="P1771" s="38"/>
      <c r="Q1771" s="38"/>
      <c r="R1771" s="38"/>
      <c r="S1771" s="38"/>
      <c r="T1771" s="38"/>
      <c r="U1771" s="38"/>
      <c r="V1771" s="39"/>
    </row>
    <row r="1772" spans="2:22" s="37" customFormat="1" x14ac:dyDescent="0.2">
      <c r="B1772" s="92"/>
      <c r="C1772" s="93"/>
      <c r="D1772" s="38"/>
      <c r="E1772" s="38"/>
      <c r="F1772" s="38"/>
      <c r="G1772" s="38"/>
      <c r="H1772" s="38"/>
      <c r="I1772" s="38"/>
      <c r="J1772" s="38"/>
      <c r="K1772" s="38"/>
      <c r="L1772" s="38"/>
      <c r="M1772" s="38"/>
      <c r="N1772" s="38"/>
      <c r="O1772" s="38"/>
      <c r="P1772" s="38"/>
      <c r="Q1772" s="38"/>
      <c r="R1772" s="38"/>
      <c r="S1772" s="38"/>
      <c r="T1772" s="38"/>
      <c r="U1772" s="38"/>
      <c r="V1772" s="39"/>
    </row>
    <row r="1773" spans="2:22" s="37" customFormat="1" x14ac:dyDescent="0.2">
      <c r="B1773" s="92"/>
      <c r="C1773" s="93"/>
      <c r="D1773" s="38"/>
      <c r="E1773" s="38"/>
      <c r="F1773" s="38"/>
      <c r="G1773" s="38"/>
      <c r="H1773" s="38"/>
      <c r="I1773" s="38"/>
      <c r="J1773" s="38"/>
      <c r="K1773" s="38"/>
      <c r="L1773" s="38"/>
      <c r="M1773" s="38"/>
      <c r="N1773" s="38"/>
      <c r="O1773" s="38"/>
      <c r="P1773" s="38"/>
      <c r="Q1773" s="38"/>
      <c r="R1773" s="38"/>
      <c r="S1773" s="38"/>
      <c r="T1773" s="38"/>
      <c r="U1773" s="38"/>
      <c r="V1773" s="39"/>
    </row>
    <row r="1774" spans="2:22" s="37" customFormat="1" x14ac:dyDescent="0.2">
      <c r="B1774" s="92"/>
      <c r="C1774" s="93"/>
      <c r="D1774" s="38"/>
      <c r="E1774" s="38"/>
      <c r="F1774" s="38"/>
      <c r="G1774" s="38"/>
      <c r="H1774" s="38"/>
      <c r="I1774" s="38"/>
      <c r="J1774" s="38"/>
      <c r="K1774" s="38"/>
      <c r="L1774" s="38"/>
      <c r="M1774" s="38"/>
      <c r="N1774" s="38"/>
      <c r="O1774" s="38"/>
      <c r="P1774" s="38"/>
      <c r="Q1774" s="38"/>
      <c r="R1774" s="38"/>
      <c r="S1774" s="38"/>
      <c r="T1774" s="38"/>
      <c r="U1774" s="38"/>
      <c r="V1774" s="39"/>
    </row>
    <row r="1775" spans="2:22" s="37" customFormat="1" x14ac:dyDescent="0.2">
      <c r="B1775" s="92"/>
      <c r="C1775" s="93"/>
      <c r="D1775" s="38"/>
      <c r="E1775" s="38"/>
      <c r="F1775" s="38"/>
      <c r="G1775" s="38"/>
      <c r="H1775" s="38"/>
      <c r="I1775" s="38"/>
      <c r="J1775" s="38"/>
      <c r="K1775" s="38"/>
      <c r="L1775" s="38"/>
      <c r="M1775" s="38"/>
      <c r="N1775" s="38"/>
      <c r="O1775" s="38"/>
      <c r="P1775" s="38"/>
      <c r="Q1775" s="38"/>
      <c r="R1775" s="38"/>
      <c r="S1775" s="38"/>
      <c r="T1775" s="38"/>
      <c r="U1775" s="38"/>
      <c r="V1775" s="39"/>
    </row>
    <row r="1776" spans="2:22" s="37" customFormat="1" x14ac:dyDescent="0.2">
      <c r="B1776" s="92"/>
      <c r="C1776" s="93"/>
      <c r="D1776" s="38"/>
      <c r="E1776" s="38"/>
      <c r="F1776" s="38"/>
      <c r="G1776" s="38"/>
      <c r="H1776" s="38"/>
      <c r="I1776" s="38"/>
      <c r="J1776" s="38"/>
      <c r="K1776" s="38"/>
      <c r="L1776" s="38"/>
      <c r="M1776" s="38"/>
      <c r="N1776" s="38"/>
      <c r="O1776" s="38"/>
      <c r="P1776" s="38"/>
      <c r="Q1776" s="38"/>
      <c r="R1776" s="38"/>
      <c r="S1776" s="38"/>
      <c r="T1776" s="38"/>
      <c r="U1776" s="38"/>
      <c r="V1776" s="39"/>
    </row>
    <row r="1777" spans="2:22" s="37" customFormat="1" x14ac:dyDescent="0.2">
      <c r="B1777" s="92"/>
      <c r="C1777" s="93"/>
      <c r="D1777" s="38"/>
      <c r="E1777" s="38"/>
      <c r="F1777" s="38"/>
      <c r="G1777" s="38"/>
      <c r="H1777" s="38"/>
      <c r="I1777" s="38"/>
      <c r="J1777" s="38"/>
      <c r="K1777" s="38"/>
      <c r="L1777" s="38"/>
      <c r="M1777" s="38"/>
      <c r="N1777" s="38"/>
      <c r="O1777" s="38"/>
      <c r="P1777" s="38"/>
      <c r="Q1777" s="38"/>
      <c r="R1777" s="38"/>
      <c r="S1777" s="38"/>
      <c r="T1777" s="38"/>
      <c r="U1777" s="38"/>
      <c r="V1777" s="39"/>
    </row>
    <row r="1778" spans="2:22" s="37" customFormat="1" x14ac:dyDescent="0.2">
      <c r="B1778" s="92"/>
      <c r="C1778" s="93"/>
      <c r="D1778" s="38"/>
      <c r="E1778" s="38"/>
      <c r="F1778" s="38"/>
      <c r="G1778" s="38"/>
      <c r="H1778" s="38"/>
      <c r="I1778" s="38"/>
      <c r="J1778" s="38"/>
      <c r="K1778" s="38"/>
      <c r="L1778" s="38"/>
      <c r="M1778" s="38"/>
      <c r="N1778" s="38"/>
      <c r="O1778" s="38"/>
      <c r="P1778" s="38"/>
      <c r="Q1778" s="38"/>
      <c r="R1778" s="38"/>
      <c r="S1778" s="38"/>
      <c r="T1778" s="38"/>
      <c r="U1778" s="38"/>
      <c r="V1778" s="39"/>
    </row>
    <row r="1779" spans="2:22" s="37" customFormat="1" x14ac:dyDescent="0.2">
      <c r="B1779" s="92"/>
      <c r="C1779" s="93"/>
      <c r="D1779" s="38"/>
      <c r="E1779" s="38"/>
      <c r="F1779" s="38"/>
      <c r="G1779" s="38"/>
      <c r="H1779" s="38"/>
      <c r="I1779" s="38"/>
      <c r="J1779" s="38"/>
      <c r="K1779" s="38"/>
      <c r="L1779" s="38"/>
      <c r="M1779" s="38"/>
      <c r="N1779" s="38"/>
      <c r="O1779" s="38"/>
      <c r="P1779" s="38"/>
      <c r="Q1779" s="38"/>
      <c r="R1779" s="38"/>
      <c r="S1779" s="38"/>
      <c r="T1779" s="38"/>
      <c r="U1779" s="38"/>
      <c r="V1779" s="39"/>
    </row>
    <row r="1780" spans="2:22" s="37" customFormat="1" x14ac:dyDescent="0.2">
      <c r="B1780" s="92"/>
      <c r="C1780" s="93"/>
      <c r="D1780" s="38"/>
      <c r="E1780" s="38"/>
      <c r="F1780" s="38"/>
      <c r="G1780" s="38"/>
      <c r="H1780" s="38"/>
      <c r="I1780" s="38"/>
      <c r="J1780" s="38"/>
      <c r="K1780" s="38"/>
      <c r="L1780" s="38"/>
      <c r="M1780" s="38"/>
      <c r="N1780" s="38"/>
      <c r="O1780" s="38"/>
      <c r="P1780" s="38"/>
      <c r="Q1780" s="38"/>
      <c r="R1780" s="38"/>
      <c r="S1780" s="38"/>
      <c r="T1780" s="38"/>
      <c r="U1780" s="38"/>
      <c r="V1780" s="39"/>
    </row>
    <row r="1781" spans="2:22" s="37" customFormat="1" x14ac:dyDescent="0.2">
      <c r="B1781" s="92"/>
      <c r="C1781" s="93"/>
      <c r="D1781" s="38"/>
      <c r="E1781" s="38"/>
      <c r="F1781" s="38"/>
      <c r="G1781" s="38"/>
      <c r="H1781" s="38"/>
      <c r="I1781" s="38"/>
      <c r="J1781" s="38"/>
      <c r="K1781" s="38"/>
      <c r="L1781" s="38"/>
      <c r="M1781" s="38"/>
      <c r="N1781" s="38"/>
      <c r="O1781" s="38"/>
      <c r="P1781" s="38"/>
      <c r="Q1781" s="38"/>
      <c r="R1781" s="38"/>
      <c r="S1781" s="38"/>
      <c r="T1781" s="38"/>
      <c r="U1781" s="38"/>
      <c r="V1781" s="39"/>
    </row>
    <row r="1782" spans="2:22" s="37" customFormat="1" x14ac:dyDescent="0.2">
      <c r="B1782" s="92"/>
      <c r="C1782" s="93"/>
      <c r="D1782" s="38"/>
      <c r="E1782" s="38"/>
      <c r="F1782" s="38"/>
      <c r="G1782" s="38"/>
      <c r="H1782" s="38"/>
      <c r="I1782" s="38"/>
      <c r="J1782" s="38"/>
      <c r="K1782" s="38"/>
      <c r="L1782" s="38"/>
      <c r="M1782" s="38"/>
      <c r="N1782" s="38"/>
      <c r="O1782" s="38"/>
      <c r="P1782" s="38"/>
      <c r="Q1782" s="38"/>
      <c r="R1782" s="38"/>
      <c r="S1782" s="38"/>
      <c r="T1782" s="38"/>
      <c r="U1782" s="38"/>
      <c r="V1782" s="39"/>
    </row>
    <row r="1783" spans="2:22" s="37" customFormat="1" x14ac:dyDescent="0.2">
      <c r="B1783" s="92"/>
      <c r="C1783" s="93"/>
      <c r="D1783" s="38"/>
      <c r="E1783" s="38"/>
      <c r="F1783" s="38"/>
      <c r="G1783" s="38"/>
      <c r="H1783" s="38"/>
      <c r="I1783" s="38"/>
      <c r="J1783" s="38"/>
      <c r="K1783" s="38"/>
      <c r="L1783" s="38"/>
      <c r="M1783" s="38"/>
      <c r="N1783" s="38"/>
      <c r="O1783" s="38"/>
      <c r="P1783" s="38"/>
      <c r="Q1783" s="38"/>
      <c r="R1783" s="38"/>
      <c r="S1783" s="38"/>
      <c r="T1783" s="38"/>
      <c r="U1783" s="38"/>
      <c r="V1783" s="39"/>
    </row>
    <row r="1784" spans="2:22" s="37" customFormat="1" x14ac:dyDescent="0.2">
      <c r="B1784" s="92"/>
      <c r="C1784" s="93"/>
      <c r="D1784" s="38"/>
      <c r="E1784" s="38"/>
      <c r="F1784" s="38"/>
      <c r="G1784" s="38"/>
      <c r="H1784" s="38"/>
      <c r="I1784" s="38"/>
      <c r="J1784" s="38"/>
      <c r="K1784" s="38"/>
      <c r="L1784" s="38"/>
      <c r="M1784" s="38"/>
      <c r="N1784" s="38"/>
      <c r="O1784" s="38"/>
      <c r="P1784" s="38"/>
      <c r="Q1784" s="38"/>
      <c r="R1784" s="38"/>
      <c r="S1784" s="38"/>
      <c r="T1784" s="38"/>
      <c r="U1784" s="38"/>
      <c r="V1784" s="39"/>
    </row>
    <row r="1785" spans="2:22" s="37" customFormat="1" x14ac:dyDescent="0.2">
      <c r="B1785" s="92"/>
      <c r="C1785" s="93"/>
      <c r="D1785" s="38"/>
      <c r="E1785" s="38"/>
      <c r="F1785" s="38"/>
      <c r="G1785" s="38"/>
      <c r="H1785" s="38"/>
      <c r="I1785" s="38"/>
      <c r="J1785" s="38"/>
      <c r="K1785" s="38"/>
      <c r="L1785" s="38"/>
      <c r="M1785" s="38"/>
      <c r="N1785" s="38"/>
      <c r="O1785" s="38"/>
      <c r="P1785" s="38"/>
      <c r="Q1785" s="38"/>
      <c r="R1785" s="38"/>
      <c r="S1785" s="38"/>
      <c r="T1785" s="38"/>
      <c r="U1785" s="38"/>
      <c r="V1785" s="39"/>
    </row>
    <row r="1786" spans="2:22" s="37" customFormat="1" x14ac:dyDescent="0.2">
      <c r="B1786" s="92"/>
      <c r="C1786" s="93"/>
      <c r="D1786" s="38"/>
      <c r="E1786" s="38"/>
      <c r="F1786" s="38"/>
      <c r="G1786" s="38"/>
      <c r="H1786" s="38"/>
      <c r="I1786" s="38"/>
      <c r="J1786" s="38"/>
      <c r="K1786" s="38"/>
      <c r="L1786" s="38"/>
      <c r="M1786" s="38"/>
      <c r="N1786" s="38"/>
      <c r="O1786" s="38"/>
      <c r="P1786" s="38"/>
      <c r="Q1786" s="38"/>
      <c r="R1786" s="38"/>
      <c r="S1786" s="38"/>
      <c r="T1786" s="38"/>
      <c r="U1786" s="38"/>
      <c r="V1786" s="39"/>
    </row>
    <row r="1787" spans="2:22" s="37" customFormat="1" x14ac:dyDescent="0.2">
      <c r="B1787" s="92"/>
      <c r="C1787" s="93"/>
      <c r="D1787" s="38"/>
      <c r="E1787" s="38"/>
      <c r="F1787" s="38"/>
      <c r="G1787" s="38"/>
      <c r="H1787" s="38"/>
      <c r="I1787" s="38"/>
      <c r="J1787" s="38"/>
      <c r="K1787" s="38"/>
      <c r="L1787" s="38"/>
      <c r="M1787" s="38"/>
      <c r="N1787" s="38"/>
      <c r="O1787" s="38"/>
      <c r="P1787" s="38"/>
      <c r="Q1787" s="38"/>
      <c r="R1787" s="38"/>
      <c r="S1787" s="38"/>
      <c r="T1787" s="38"/>
      <c r="U1787" s="38"/>
      <c r="V1787" s="39"/>
    </row>
    <row r="1788" spans="2:22" s="37" customFormat="1" x14ac:dyDescent="0.2">
      <c r="B1788" s="92"/>
      <c r="C1788" s="93"/>
      <c r="D1788" s="38"/>
      <c r="E1788" s="38"/>
      <c r="F1788" s="38"/>
      <c r="G1788" s="38"/>
      <c r="H1788" s="38"/>
      <c r="I1788" s="38"/>
      <c r="J1788" s="38"/>
      <c r="K1788" s="38"/>
      <c r="L1788" s="38"/>
      <c r="M1788" s="38"/>
      <c r="N1788" s="38"/>
      <c r="O1788" s="38"/>
      <c r="P1788" s="38"/>
      <c r="Q1788" s="38"/>
      <c r="R1788" s="38"/>
      <c r="S1788" s="38"/>
      <c r="T1788" s="38"/>
      <c r="U1788" s="38"/>
      <c r="V1788" s="39"/>
    </row>
    <row r="1789" spans="2:22" s="37" customFormat="1" x14ac:dyDescent="0.2">
      <c r="B1789" s="92"/>
      <c r="C1789" s="93"/>
      <c r="D1789" s="38"/>
      <c r="E1789" s="38"/>
      <c r="F1789" s="38"/>
      <c r="G1789" s="38"/>
      <c r="H1789" s="38"/>
      <c r="I1789" s="38"/>
      <c r="J1789" s="38"/>
      <c r="K1789" s="38"/>
      <c r="L1789" s="38"/>
      <c r="M1789" s="38"/>
      <c r="N1789" s="38"/>
      <c r="O1789" s="38"/>
      <c r="P1789" s="38"/>
      <c r="Q1789" s="38"/>
      <c r="R1789" s="38"/>
      <c r="S1789" s="38"/>
      <c r="T1789" s="38"/>
      <c r="U1789" s="38"/>
      <c r="V1789" s="39"/>
    </row>
    <row r="1790" spans="2:22" s="37" customFormat="1" x14ac:dyDescent="0.2">
      <c r="B1790" s="92"/>
      <c r="C1790" s="93"/>
      <c r="D1790" s="38"/>
      <c r="E1790" s="38"/>
      <c r="F1790" s="38"/>
      <c r="G1790" s="38"/>
      <c r="H1790" s="38"/>
      <c r="I1790" s="38"/>
      <c r="J1790" s="38"/>
      <c r="K1790" s="38"/>
      <c r="L1790" s="38"/>
      <c r="M1790" s="38"/>
      <c r="N1790" s="38"/>
      <c r="O1790" s="38"/>
      <c r="P1790" s="38"/>
      <c r="Q1790" s="38"/>
      <c r="R1790" s="38"/>
      <c r="S1790" s="38"/>
      <c r="T1790" s="38"/>
      <c r="U1790" s="38"/>
      <c r="V1790" s="39"/>
    </row>
    <row r="1791" spans="2:22" s="37" customFormat="1" x14ac:dyDescent="0.2">
      <c r="B1791" s="92"/>
      <c r="C1791" s="93"/>
      <c r="D1791" s="38"/>
      <c r="E1791" s="38"/>
      <c r="F1791" s="38"/>
      <c r="G1791" s="38"/>
      <c r="H1791" s="38"/>
      <c r="I1791" s="38"/>
      <c r="J1791" s="38"/>
      <c r="K1791" s="38"/>
      <c r="L1791" s="38"/>
      <c r="M1791" s="38"/>
      <c r="N1791" s="38"/>
      <c r="O1791" s="38"/>
      <c r="P1791" s="38"/>
      <c r="Q1791" s="38"/>
      <c r="R1791" s="38"/>
      <c r="S1791" s="38"/>
      <c r="T1791" s="38"/>
      <c r="U1791" s="38"/>
      <c r="V1791" s="39"/>
    </row>
  </sheetData>
  <sheetProtection formatCells="0" formatColumns="0" formatRows="0" insertColumns="0" insertRows="0" insertHyperlinks="0" deleteColumns="0" deleteRows="0" sort="0" autoFilter="0" pivotTables="0"/>
  <protectedRanges>
    <protectedRange algorithmName="SHA-512" hashValue="sZhVsiROBYafhuU7E087xF0xIo2z7XSUlbSDSQxtZbExZaeMpBkZgLP0sWjiboEGQhBBIrmURrMuk7aETYUqrQ==" saltValue="qqBBDqXF8QlRcwjrGN516A==" spinCount="100000" sqref="N961:N1048576 J1:J1048576 H1:H1048576 T1:T1048576 R1:R1048576 P1:P1048576 D1:D1048576 N1:N959" name="Range1"/>
  </protectedRanges>
  <autoFilter ref="A2:Z954"/>
  <phoneticPr fontId="2" type="noConversion"/>
  <pageMargins left="0.7" right="0.7" top="0.75" bottom="0.75" header="0.3" footer="0.3"/>
  <pageSetup scale="8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SEARCH</vt:lpstr>
      <vt:lpstr>STOCK DETAILS OF CHEMICALS</vt:lpstr>
      <vt:lpstr>Sheet1</vt:lpstr>
      <vt:lpstr>expat</vt:lpstr>
      <vt:lpstr>SEARCH!Print_Area</vt:lpstr>
      <vt:lpstr>'STOCK DETAILS OF CHEMICALS'!Print_Area</vt:lpstr>
    </vt:vector>
  </TitlesOfParts>
  <Company>Hewlett-Packard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Ibrahim</dc:creator>
  <cp:lastModifiedBy>user</cp:lastModifiedBy>
  <cp:lastPrinted>2023-08-03T03:46:42Z</cp:lastPrinted>
  <dcterms:created xsi:type="dcterms:W3CDTF">2009-06-06T05:52:00Z</dcterms:created>
  <dcterms:modified xsi:type="dcterms:W3CDTF">2025-03-25T10:14:34Z</dcterms:modified>
</cp:coreProperties>
</file>